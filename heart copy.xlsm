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/>
  <workbookPr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prakr\Downloads\pdata\data sets\Heart Attack Analysis &amp; Prediction Dataset\"/>
    </mc:Choice>
  </mc:AlternateContent>
  <xr:revisionPtr revIDLastSave="0" documentId="13_ncr:1_{711BC39E-B421-4188-8FFF-235F3A1AC80E}" xr6:coauthVersionLast="47" xr6:coauthVersionMax="47" xr10:uidLastSave="{00000000-0000-0000-0000-000000000000}"/>
  <bookViews>
    <workbookView xWindow="-120" yWindow="-120" windowWidth="20730" windowHeight="11160" activeTab="2" xr2:uid="{80427946-002F-4C13-AE93-BEACA4ED6465}"/>
  </bookViews>
  <sheets>
    <sheet name="orginal data" sheetId="1" r:id="rId1"/>
    <sheet name="des.Analysis" sheetId="2" r:id="rId2"/>
    <sheet name="Inf.Analysis" sheetId="7" r:id="rId3"/>
    <sheet name="1Anova" sheetId="10" r:id="rId4"/>
    <sheet name="regression" sheetId="11" r:id="rId5"/>
    <sheet name="heart rate M,F " sheetId="6" r:id="rId6"/>
    <sheet name="Sheet3" sheetId="3" r:id="rId7"/>
    <sheet name="Sheet5" sheetId="5" r:id="rId8"/>
  </sheets>
  <definedNames>
    <definedName name="_xlnm._FilterDatabase" localSheetId="3" hidden="1">'1Anova'!$B$1:$B$304</definedName>
    <definedName name="_xlnm._FilterDatabase" localSheetId="5" hidden="1">'heart rate M,F '!$A$1:$A$304</definedName>
    <definedName name="_xlchart.v1.0" hidden="1">'orginal data'!$A$1</definedName>
    <definedName name="_xlchart.v1.1" hidden="1">'orginal data'!$A$2:$A$304</definedName>
  </definedNames>
  <calcPr calcId="191029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3" i="7" l="1"/>
  <c r="D25" i="7" s="1"/>
  <c r="C41" i="2" l="1"/>
  <c r="C36" i="2"/>
  <c r="C35" i="2"/>
  <c r="C29" i="2"/>
  <c r="C31" i="2"/>
  <c r="C30" i="2"/>
  <c r="C28" i="2"/>
  <c r="C24" i="2"/>
  <c r="C23" i="2"/>
  <c r="C22" i="2"/>
  <c r="C19" i="2"/>
  <c r="C18" i="2"/>
  <c r="B3" i="2" a="1"/>
  <c r="B3" i="2" s="1"/>
  <c r="B7" i="2" l="1"/>
  <c r="B11" i="2"/>
  <c r="B6" i="2"/>
  <c r="B5" i="2"/>
  <c r="B9" i="2"/>
  <c r="B13" i="2"/>
  <c r="B4" i="2"/>
  <c r="B8" i="2"/>
  <c r="C8" i="2" s="1"/>
  <c r="B10" i="2"/>
  <c r="B12" i="2"/>
  <c r="C12" i="2" l="1"/>
  <c r="C13" i="2"/>
  <c r="C11" i="2"/>
  <c r="C10" i="2"/>
  <c r="C9" i="2"/>
  <c r="C7" i="2"/>
  <c r="C5" i="2"/>
  <c r="C3" i="2"/>
  <c r="C4" i="2"/>
  <c r="C6" i="2"/>
  <c r="B14" i="2"/>
  <c r="C14" i="2" s="1"/>
</calcChain>
</file>

<file path=xl/sharedStrings.xml><?xml version="1.0" encoding="utf-8"?>
<sst xmlns="http://schemas.openxmlformats.org/spreadsheetml/2006/main" count="488" uniqueCount="168">
  <si>
    <t>age</t>
  </si>
  <si>
    <t>sex</t>
  </si>
  <si>
    <t>cp</t>
  </si>
  <si>
    <t>trtbps</t>
  </si>
  <si>
    <t>chol</t>
  </si>
  <si>
    <t>fbs</t>
  </si>
  <si>
    <t>restecg</t>
  </si>
  <si>
    <t>thalachh</t>
  </si>
  <si>
    <t>exng</t>
  </si>
  <si>
    <t>oldpeak</t>
  </si>
  <si>
    <t>slp</t>
  </si>
  <si>
    <t>caa</t>
  </si>
  <si>
    <t>thall</t>
  </si>
  <si>
    <t>output</t>
  </si>
  <si>
    <t>Frequency Distribution Table</t>
  </si>
  <si>
    <t>Frequency</t>
  </si>
  <si>
    <t>Relative Frequency</t>
  </si>
  <si>
    <t>Total</t>
  </si>
  <si>
    <t>Age</t>
  </si>
  <si>
    <t>Age Analysis</t>
  </si>
  <si>
    <t>Mean age</t>
  </si>
  <si>
    <t>Median age</t>
  </si>
  <si>
    <t>Cholesterol Levels</t>
  </si>
  <si>
    <t>Mean cholesterol:</t>
  </si>
  <si>
    <t>Mediaan cholesterol:</t>
  </si>
  <si>
    <t>Cholesterol Skewness:</t>
  </si>
  <si>
    <t>Count of each chest pain type:</t>
  </si>
  <si>
    <t>Chest Pain Type Frequency</t>
  </si>
  <si>
    <t>0: typical angina</t>
  </si>
  <si>
    <t>1: atypical angina</t>
  </si>
  <si>
    <t>2: non-anginal pain</t>
  </si>
  <si>
    <t>3: asymptomatic</t>
  </si>
  <si>
    <t>Correlation Analysis</t>
  </si>
  <si>
    <t>Correlation between age and cholesterol:</t>
  </si>
  <si>
    <t>Correlation between age and maximum heart rate:</t>
  </si>
  <si>
    <t>Column Labels</t>
  </si>
  <si>
    <t>Grand Total</t>
  </si>
  <si>
    <t>Row Labels</t>
  </si>
  <si>
    <t>Average of thalachh</t>
  </si>
  <si>
    <t>29-33</t>
  </si>
  <si>
    <t>34-38</t>
  </si>
  <si>
    <t>39-43</t>
  </si>
  <si>
    <t>44-48</t>
  </si>
  <si>
    <t>49-53</t>
  </si>
  <si>
    <t>54-58</t>
  </si>
  <si>
    <t>59-63</t>
  </si>
  <si>
    <t>64-68</t>
  </si>
  <si>
    <t>69-73</t>
  </si>
  <si>
    <t>74-78</t>
  </si>
  <si>
    <t>Heart Attack Risk Analysis</t>
  </si>
  <si>
    <t>Proportion of patients with high risk:</t>
  </si>
  <si>
    <t>Analysis by sex:</t>
  </si>
  <si>
    <t>Count of output</t>
  </si>
  <si>
    <t xml:space="preserve">higher chance of heart attack </t>
  </si>
  <si>
    <t xml:space="preserve">less chance of heart attack </t>
  </si>
  <si>
    <t>Female</t>
  </si>
  <si>
    <t>Male</t>
  </si>
  <si>
    <t>Conclusion:</t>
  </si>
  <si>
    <t>the proportion of patients with a high risk of heart attack is 0.5445 (or 54.45%)</t>
  </si>
  <si>
    <r>
      <t>Sex 0 (e.g., females)</t>
    </r>
    <r>
      <rPr>
        <sz val="11"/>
        <color theme="1"/>
        <rFont val="Calibri"/>
        <family val="2"/>
        <scheme val="minor"/>
      </rPr>
      <t xml:space="preserve"> has 43.64% of individuals with a higher chance of heart attack.</t>
    </r>
  </si>
  <si>
    <r>
      <t>Sex 1 (e.g., males)</t>
    </r>
    <r>
      <rPr>
        <sz val="11"/>
        <color theme="1"/>
        <rFont val="Calibri"/>
        <family val="2"/>
        <scheme val="minor"/>
      </rPr>
      <t xml:space="preserve"> has 56.36% of individuals with a higher chance of heart attack.</t>
    </r>
  </si>
  <si>
    <t>Mean</t>
  </si>
  <si>
    <t>Standard Error</t>
  </si>
  <si>
    <t>Median</t>
  </si>
  <si>
    <t>Mode</t>
  </si>
  <si>
    <t>Standard Deviation</t>
  </si>
  <si>
    <t>Sample Variance</t>
  </si>
  <si>
    <t>Kurtosis</t>
  </si>
  <si>
    <t>Skewness</t>
  </si>
  <si>
    <t>Range</t>
  </si>
  <si>
    <t>Minimum</t>
  </si>
  <si>
    <t>Maximum</t>
  </si>
  <si>
    <t>Sum</t>
  </si>
  <si>
    <t>Count</t>
  </si>
  <si>
    <t>Results of the T-Tests:</t>
  </si>
  <si>
    <r>
      <t>One-Sample T-Test</t>
    </r>
    <r>
      <rPr>
        <sz val="11"/>
        <color theme="1"/>
        <rFont val="Calibri"/>
        <family val="2"/>
        <scheme val="minor"/>
      </rPr>
      <t>:</t>
    </r>
  </si>
  <si>
    <r>
      <t>Test</t>
    </r>
    <r>
      <rPr>
        <sz val="11"/>
        <color theme="1"/>
        <rFont val="Calibri"/>
        <family val="2"/>
        <scheme val="minor"/>
      </rPr>
      <t>: Compared the average cholesterol level in the dataset to a known population mean of 200 mg/dL.</t>
    </r>
  </si>
  <si>
    <r>
      <t>Sample Mean</t>
    </r>
    <r>
      <rPr>
        <sz val="11"/>
        <color theme="1"/>
        <rFont val="Calibri"/>
        <family val="2"/>
        <scheme val="minor"/>
      </rPr>
      <t>:</t>
    </r>
  </si>
  <si>
    <t>chol (mg/dL)</t>
  </si>
  <si>
    <r>
      <t>t-statistic</t>
    </r>
    <r>
      <rPr>
        <sz val="11"/>
        <color theme="1"/>
        <rFont val="Calibri"/>
        <family val="2"/>
        <scheme val="minor"/>
      </rPr>
      <t>:</t>
    </r>
  </si>
  <si>
    <r>
      <t>p-value</t>
    </r>
    <r>
      <rPr>
        <sz val="11"/>
        <color theme="1"/>
        <rFont val="Calibri"/>
        <family val="2"/>
        <scheme val="minor"/>
      </rPr>
      <t>:</t>
    </r>
  </si>
  <si>
    <r>
      <t>Interpretation</t>
    </r>
    <r>
      <rPr>
        <sz val="11"/>
        <color theme="1"/>
        <rFont val="Calibri"/>
        <family val="2"/>
        <scheme val="minor"/>
      </rPr>
      <t>: The p-value is significantly lower than 0.05, indicating that the average cholesterol level in the dataset is significantly different from the population mean of 200 mg/dL.</t>
    </r>
  </si>
  <si>
    <r>
      <t>Independent Samples T-Test</t>
    </r>
    <r>
      <rPr>
        <sz val="11"/>
        <color theme="1"/>
        <rFont val="Calibri"/>
        <family val="2"/>
        <scheme val="minor"/>
      </rPr>
      <t>:</t>
    </r>
  </si>
  <si>
    <r>
      <t>Test</t>
    </r>
    <r>
      <rPr>
        <sz val="11"/>
        <color theme="1"/>
        <rFont val="Calibri"/>
        <family val="2"/>
        <scheme val="minor"/>
      </rPr>
      <t>: Compare the average maximum heart rate achieved (thalachh) between males and females.</t>
    </r>
  </si>
  <si>
    <t>t-Test: Two-Sample Assuming Unequal Variances</t>
  </si>
  <si>
    <t>Variance</t>
  </si>
  <si>
    <t>Observations</t>
  </si>
  <si>
    <t>Hypothesized Mean Difference</t>
  </si>
  <si>
    <t>df</t>
  </si>
  <si>
    <t>t Stat</t>
  </si>
  <si>
    <t>P(T&lt;=t) one-tail</t>
  </si>
  <si>
    <t>t Critical one-tail</t>
  </si>
  <si>
    <t>P(T&lt;=t) two-tail</t>
  </si>
  <si>
    <t>t Critical two-tail</t>
  </si>
  <si>
    <t>Male Data</t>
  </si>
  <si>
    <t>Female Data</t>
  </si>
  <si>
    <t>Results of the ANOVA:</t>
  </si>
  <si>
    <r>
      <t>One-Way ANOVA</t>
    </r>
    <r>
      <rPr>
        <sz val="11"/>
        <color theme="1"/>
        <rFont val="Calibri"/>
        <family val="2"/>
        <scheme val="minor"/>
      </rPr>
      <t xml:space="preserve">: </t>
    </r>
  </si>
  <si>
    <r>
      <rPr>
        <b/>
        <sz val="11"/>
        <color theme="1"/>
        <rFont val="Calibri"/>
        <family val="2"/>
        <scheme val="minor"/>
      </rPr>
      <t xml:space="preserve">Test: </t>
    </r>
    <r>
      <rPr>
        <sz val="11"/>
        <color theme="1"/>
        <rFont val="Calibri"/>
        <family val="2"/>
        <scheme val="minor"/>
      </rPr>
      <t>compare the mean cholesterol levels (chol) across different chest pain types (cp)</t>
    </r>
  </si>
  <si>
    <r>
      <t>Interpretation</t>
    </r>
    <r>
      <rPr>
        <sz val="11"/>
        <color theme="1"/>
        <rFont val="Calibri"/>
        <family val="2"/>
        <scheme val="minor"/>
      </rPr>
      <t xml:space="preserve">: The two-tailed p-value of 0.414 is much greater than the typical significance level of 0.05, indicating that the observed difference in means is </t>
    </r>
    <r>
      <rPr>
        <b/>
        <sz val="11"/>
        <color theme="1"/>
        <rFont val="Calibri"/>
        <family val="2"/>
        <scheme val="minor"/>
      </rPr>
      <t>not statistically significant</t>
    </r>
    <r>
      <rPr>
        <sz val="11"/>
        <color theme="1"/>
        <rFont val="Calibri"/>
        <family val="2"/>
        <scheme val="minor"/>
      </rPr>
      <t>./ suggesting that there is no significant difference in the average maximum heart rate achieved between males and females.</t>
    </r>
  </si>
  <si>
    <t>Type2chol</t>
  </si>
  <si>
    <t>Type3chol</t>
  </si>
  <si>
    <t>Type4chol</t>
  </si>
  <si>
    <t>Type1chol</t>
  </si>
  <si>
    <t>Anova: Single Factor</t>
  </si>
  <si>
    <t>SUMMARY</t>
  </si>
  <si>
    <t>Groups</t>
  </si>
  <si>
    <t>Average</t>
  </si>
  <si>
    <t>ANOVA</t>
  </si>
  <si>
    <t>Source of Variation</t>
  </si>
  <si>
    <t>SS</t>
  </si>
  <si>
    <t>MS</t>
  </si>
  <si>
    <t>F</t>
  </si>
  <si>
    <t>P-value</t>
  </si>
  <si>
    <t>F crit</t>
  </si>
  <si>
    <t>Between Groups</t>
  </si>
  <si>
    <t>Within Groups</t>
  </si>
  <si>
    <r>
      <t>F-statistic</t>
    </r>
    <r>
      <rPr>
        <sz val="11"/>
        <color theme="1"/>
        <rFont val="Calibri"/>
        <family val="2"/>
        <scheme val="minor"/>
      </rPr>
      <t>:</t>
    </r>
  </si>
  <si>
    <r>
      <t>Interpretation</t>
    </r>
    <r>
      <rPr>
        <sz val="11"/>
        <color theme="1"/>
        <rFont val="Calibri"/>
        <family val="2"/>
        <scheme val="minor"/>
      </rPr>
      <t>: The p-value is greater than 0.05, indicating no significant difference in cholesterol levels across the different chest pain types.</t>
    </r>
  </si>
  <si>
    <r>
      <t>Two-Way ANOVA</t>
    </r>
    <r>
      <rPr>
        <sz val="11"/>
        <color theme="1"/>
        <rFont val="Calibri"/>
        <family val="2"/>
        <scheme val="minor"/>
      </rPr>
      <t xml:space="preserve">: </t>
    </r>
  </si>
  <si>
    <r>
      <t>Test</t>
    </r>
    <r>
      <rPr>
        <sz val="11"/>
        <color theme="1"/>
        <rFont val="Calibri"/>
        <family val="2"/>
        <scheme val="minor"/>
      </rPr>
      <t>: Examined the influence of both chest pain type and fasting blood sugar on cholesterol levels.</t>
    </r>
  </si>
  <si>
    <t>Anova: Two-Factor Without Replication</t>
  </si>
  <si>
    <t>Rows</t>
  </si>
  <si>
    <t>Columns</t>
  </si>
  <si>
    <t>Error</t>
  </si>
  <si>
    <t>cp \ fbs</t>
  </si>
  <si>
    <t>Summary of the Results:</t>
  </si>
  <si>
    <r>
      <t>Rows</t>
    </r>
    <r>
      <rPr>
        <sz val="11"/>
        <color theme="1"/>
        <rFont val="Calibri"/>
        <family val="2"/>
        <scheme val="minor"/>
      </rPr>
      <t xml:space="preserve"> (Chest Pain Type, </t>
    </r>
    <r>
      <rPr>
        <sz val="10"/>
        <color theme="1"/>
        <rFont val="Arial Unicode MS"/>
      </rPr>
      <t>cp</t>
    </r>
    <r>
      <rPr>
        <sz val="11"/>
        <color theme="1"/>
        <rFont val="Calibri"/>
        <family val="2"/>
        <scheme val="minor"/>
      </rPr>
      <t>):</t>
    </r>
  </si>
  <si>
    <r>
      <t>Columns</t>
    </r>
    <r>
      <rPr>
        <sz val="11"/>
        <color theme="1"/>
        <rFont val="Calibri"/>
        <family val="2"/>
        <scheme val="minor"/>
      </rPr>
      <t xml:space="preserve"> (Fasting Blood Sugar, </t>
    </r>
    <r>
      <rPr>
        <sz val="10"/>
        <color theme="1"/>
        <rFont val="Arial Unicode MS"/>
      </rPr>
      <t>fbs</t>
    </r>
    <r>
      <rPr>
        <sz val="11"/>
        <color theme="1"/>
        <rFont val="Calibri"/>
        <family val="2"/>
        <scheme val="minor"/>
      </rPr>
      <t>):</t>
    </r>
  </si>
  <si>
    <t xml:space="preserve">F-statistic: </t>
  </si>
  <si>
    <t xml:space="preserve">p-value: </t>
  </si>
  <si>
    <t xml:space="preserve">F crit: </t>
  </si>
  <si>
    <r>
      <t>Conclusion</t>
    </r>
    <r>
      <rPr>
        <sz val="11"/>
        <color theme="1"/>
        <rFont val="Calibri"/>
        <family val="2"/>
        <scheme val="minor"/>
      </rPr>
      <t>:  Neither chest pain type (Rows) nor fasting blood sugar (Columns) significantly affects cholesterol levels.</t>
    </r>
  </si>
  <si>
    <t>SUMMARY OUTPUT</t>
  </si>
  <si>
    <t>Regression Statistics</t>
  </si>
  <si>
    <t>Multiple R</t>
  </si>
  <si>
    <t>R Square</t>
  </si>
  <si>
    <t>Adjusted R Square</t>
  </si>
  <si>
    <t>Regression</t>
  </si>
  <si>
    <t>Residual</t>
  </si>
  <si>
    <t>Intercept</t>
  </si>
  <si>
    <t>Significance F</t>
  </si>
  <si>
    <t>Coefficients</t>
  </si>
  <si>
    <t>Lower 95%</t>
  </si>
  <si>
    <t>Upper 95%</t>
  </si>
  <si>
    <t>Lower 95.0%</t>
  </si>
  <si>
    <t>Upper 95.0%</t>
  </si>
  <si>
    <t>RESIDUAL OUTPUT</t>
  </si>
  <si>
    <t>Observation</t>
  </si>
  <si>
    <t>Predicted chol</t>
  </si>
  <si>
    <t>Residuals</t>
  </si>
  <si>
    <t>Standard Residuals</t>
  </si>
  <si>
    <t>PROBABILITY OUTPUT</t>
  </si>
  <si>
    <t>Percentile</t>
  </si>
  <si>
    <t>Results of the Regression:</t>
  </si>
  <si>
    <t>Intercept (const)</t>
  </si>
  <si>
    <t>Slope (age coefficient)</t>
  </si>
  <si>
    <r>
      <t>R-squared</t>
    </r>
    <r>
      <rPr>
        <sz val="11"/>
        <color theme="1"/>
        <rFont val="Calibri"/>
        <family val="2"/>
        <scheme val="minor"/>
      </rPr>
      <t xml:space="preserve">: </t>
    </r>
  </si>
  <si>
    <r>
      <t>F-statistic</t>
    </r>
    <r>
      <rPr>
        <sz val="11"/>
        <color theme="1"/>
        <rFont val="Calibri"/>
        <family val="2"/>
        <scheme val="minor"/>
      </rPr>
      <t xml:space="preserve">: </t>
    </r>
  </si>
  <si>
    <t>p-value</t>
  </si>
  <si>
    <r>
      <t>Conclusion</t>
    </r>
    <r>
      <rPr>
        <sz val="11"/>
        <color theme="1"/>
        <rFont val="Calibri"/>
        <family val="2"/>
        <scheme val="minor"/>
      </rPr>
      <t>:  there is a positive relationship between age and cholesterol levels, and the relationship is statistically significant, though the amount of variance explained by age is quite low.</t>
    </r>
  </si>
  <si>
    <t>Simple Linear Regression Results</t>
  </si>
  <si>
    <t>Multiple Linear Regression Results</t>
  </si>
  <si>
    <t>age coefficient</t>
  </si>
  <si>
    <t xml:space="preserve">R-squared: </t>
  </si>
  <si>
    <r>
      <t>Resting Blood Pressure (trtbps) Coefficient</t>
    </r>
    <r>
      <rPr>
        <sz val="11"/>
        <color theme="1"/>
        <rFont val="Calibri"/>
        <family val="2"/>
        <scheme val="minor"/>
      </rPr>
      <t>:</t>
    </r>
  </si>
  <si>
    <t>Cholesterol (chol) Coefficient:</t>
  </si>
  <si>
    <r>
      <t>Conclusion</t>
    </r>
    <r>
      <rPr>
        <sz val="11"/>
        <color theme="1"/>
        <rFont val="Calibri"/>
        <family val="2"/>
        <scheme val="minor"/>
      </rPr>
      <t>:  there is a positive relationship between age, resting blood pressure and cholesterol levels, and the relationship is statistically significant, though the amount of variance explained by age is quite low.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</si>
</sst>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Times New Roman"/>
      <family val="1"/>
    </font>
    <font>
      <sz val="11"/>
      <color theme="1"/>
      <name val="Times New Roman"/>
      <family val="1"/>
    </font>
    <font>
      <b/>
      <sz val="12"/>
      <color theme="1"/>
      <name val="Times New Roman"/>
      <family val="1"/>
    </font>
    <font>
      <b/>
      <sz val="11"/>
      <color theme="1"/>
      <name val="Times New Roman"/>
      <family val="1"/>
    </font>
    <font>
      <b/>
      <sz val="16"/>
      <color theme="1"/>
      <name val="Times New Roman"/>
      <family val="1"/>
    </font>
    <font>
      <i/>
      <sz val="11"/>
      <color theme="1"/>
      <name val="Calibri"/>
      <family val="2"/>
      <scheme val="minor"/>
    </font>
    <font>
      <b/>
      <sz val="13.5"/>
      <color theme="1"/>
      <name val="Calibri"/>
      <family val="2"/>
      <scheme val="minor"/>
    </font>
    <font>
      <sz val="10"/>
      <color theme="1"/>
      <name val="Arial Unicode MS"/>
    </font>
    <font>
      <b/>
      <sz val="10"/>
      <color theme="1"/>
      <name val="Arial Unicode MS"/>
    </font>
  </fonts>
  <fills count="2">
    <fill>
      <patternFill patternType="none"/>
    </fill>
    <fill>
      <patternFill patternType="gray125"/>
    </fill>
  </fills>
  <borders count="3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8">
    <xf numFmtId="0" fontId="0" fillId="0" borderId="0" xfId="0"/>
    <xf numFmtId="0" fontId="1" fillId="0" borderId="0" xfId="0" applyFont="1"/>
    <xf numFmtId="0" fontId="3" fillId="0" borderId="0" xfId="0" applyFont="1"/>
    <xf numFmtId="0" fontId="4" fillId="0" borderId="2" xfId="0" applyFont="1" applyBorder="1"/>
    <xf numFmtId="0" fontId="4" fillId="0" borderId="3" xfId="0" applyFont="1" applyBorder="1"/>
    <xf numFmtId="0" fontId="4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7" xfId="0" applyFont="1" applyBorder="1"/>
    <xf numFmtId="0" fontId="3" fillId="0" borderId="11" xfId="0" applyFont="1" applyBorder="1"/>
    <xf numFmtId="0" fontId="3" fillId="0" borderId="12" xfId="0" applyFont="1" applyBorder="1"/>
    <xf numFmtId="0" fontId="3" fillId="0" borderId="8" xfId="0" applyFont="1" applyBorder="1"/>
    <xf numFmtId="0" fontId="3" fillId="0" borderId="13" xfId="0" applyFont="1" applyBorder="1"/>
    <xf numFmtId="0" fontId="5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6" fillId="0" borderId="0" xfId="0" applyFont="1"/>
    <xf numFmtId="0" fontId="2" fillId="0" borderId="0" xfId="0" applyFont="1"/>
    <xf numFmtId="0" fontId="3" fillId="0" borderId="0" xfId="0" quotePrefix="1" applyFont="1"/>
    <xf numFmtId="0" fontId="0" fillId="0" borderId="0" xfId="0" pivotButton="1"/>
    <xf numFmtId="0" fontId="0" fillId="0" borderId="0" xfId="0" applyAlignment="1">
      <alignment horizontal="left"/>
    </xf>
    <xf numFmtId="10" fontId="0" fillId="0" borderId="0" xfId="0" applyNumberFormat="1"/>
    <xf numFmtId="0" fontId="5" fillId="0" borderId="0" xfId="0" applyFont="1"/>
    <xf numFmtId="0" fontId="3" fillId="0" borderId="0" xfId="0" applyFont="1" applyAlignment="1">
      <alignment wrapText="1"/>
    </xf>
    <xf numFmtId="0" fontId="1" fillId="0" borderId="0" xfId="0" applyFont="1" applyAlignment="1">
      <alignment wrapText="1"/>
    </xf>
    <xf numFmtId="0" fontId="0" fillId="0" borderId="1" xfId="0" applyBorder="1"/>
    <xf numFmtId="0" fontId="7" fillId="0" borderId="14" xfId="0" applyFont="1" applyBorder="1" applyAlignment="1">
      <alignment horizontal="center"/>
    </xf>
    <xf numFmtId="0" fontId="8" fillId="0" borderId="0" xfId="0" applyFont="1" applyAlignment="1">
      <alignment vertical="center"/>
    </xf>
    <xf numFmtId="0" fontId="0" fillId="0" borderId="16" xfId="0" applyBorder="1"/>
    <xf numFmtId="0" fontId="0" fillId="0" borderId="17" xfId="0" applyBorder="1"/>
    <xf numFmtId="0" fontId="1" fillId="0" borderId="18" xfId="0" applyFont="1" applyBorder="1"/>
    <xf numFmtId="0" fontId="0" fillId="0" borderId="19" xfId="0" applyBorder="1"/>
    <xf numFmtId="0" fontId="0" fillId="0" borderId="18" xfId="0" applyBorder="1"/>
    <xf numFmtId="0" fontId="0" fillId="0" borderId="0" xfId="0" applyAlignment="1">
      <alignment horizontal="right"/>
    </xf>
    <xf numFmtId="0" fontId="1" fillId="0" borderId="15" xfId="0" applyFont="1" applyBorder="1"/>
    <xf numFmtId="0" fontId="7" fillId="0" borderId="22" xfId="0" applyFont="1" applyBorder="1" applyAlignment="1">
      <alignment horizontal="center"/>
    </xf>
    <xf numFmtId="0" fontId="0" fillId="0" borderId="23" xfId="0" applyBorder="1"/>
    <xf numFmtId="0" fontId="0" fillId="0" borderId="24" xfId="0" applyBorder="1"/>
    <xf numFmtId="0" fontId="7" fillId="0" borderId="25" xfId="0" applyFont="1" applyBorder="1" applyAlignment="1">
      <alignment horizontal="center"/>
    </xf>
    <xf numFmtId="0" fontId="0" fillId="0" borderId="26" xfId="0" applyBorder="1"/>
    <xf numFmtId="0" fontId="0" fillId="0" borderId="27" xfId="0" applyBorder="1"/>
    <xf numFmtId="0" fontId="7" fillId="0" borderId="28" xfId="0" applyFont="1" applyBorder="1" applyAlignment="1">
      <alignment horizontal="center"/>
    </xf>
    <xf numFmtId="0" fontId="0" fillId="0" borderId="20" xfId="0" applyBorder="1"/>
    <xf numFmtId="0" fontId="0" fillId="0" borderId="21" xfId="0" applyBorder="1"/>
    <xf numFmtId="0" fontId="1" fillId="0" borderId="18" xfId="0" applyFont="1" applyBorder="1" applyAlignment="1">
      <alignment horizontal="left" vertical="center" indent="1"/>
    </xf>
    <xf numFmtId="0" fontId="1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7" fillId="0" borderId="32" xfId="0" applyFont="1" applyBorder="1" applyAlignment="1">
      <alignment horizontal="center"/>
    </xf>
    <xf numFmtId="0" fontId="8" fillId="0" borderId="18" xfId="0" applyFont="1" applyBorder="1" applyAlignment="1">
      <alignment vertical="center"/>
    </xf>
    <xf numFmtId="0" fontId="1" fillId="0" borderId="18" xfId="0" applyFont="1" applyBorder="1" applyAlignment="1">
      <alignment horizontal="left" vertical="center" indent="2"/>
    </xf>
    <xf numFmtId="0" fontId="2" fillId="0" borderId="1" xfId="0" applyFont="1" applyBorder="1" applyAlignment="1">
      <alignment horizontal="center"/>
    </xf>
    <xf numFmtId="0" fontId="1" fillId="0" borderId="20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21" xfId="0" applyFont="1" applyBorder="1" applyAlignment="1">
      <alignment horizontal="center" vertical="center" wrapText="1"/>
    </xf>
    <xf numFmtId="0" fontId="1" fillId="0" borderId="18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29" xfId="0" applyFont="1" applyBorder="1" applyAlignment="1">
      <alignment horizontal="center" vertical="center" wrapText="1"/>
    </xf>
    <xf numFmtId="0" fontId="1" fillId="0" borderId="30" xfId="0" applyFont="1" applyBorder="1" applyAlignment="1">
      <alignment horizontal="center" vertical="center" wrapText="1"/>
    </xf>
    <xf numFmtId="0" fontId="1" fillId="0" borderId="31" xfId="0" applyFont="1" applyBorder="1" applyAlignment="1">
      <alignment horizontal="center" vertical="center" wrapText="1"/>
    </xf>
    <xf numFmtId="0" fontId="1" fillId="0" borderId="29" xfId="0" applyFont="1" applyBorder="1" applyAlignment="1">
      <alignment horizontal="center" wrapText="1"/>
    </xf>
    <xf numFmtId="0" fontId="1" fillId="0" borderId="30" xfId="0" applyFont="1" applyBorder="1" applyAlignment="1">
      <alignment horizontal="center" wrapText="1"/>
    </xf>
    <xf numFmtId="0" fontId="1" fillId="0" borderId="31" xfId="0" applyFont="1" applyBorder="1" applyAlignment="1">
      <alignment horizontal="center" wrapText="1"/>
    </xf>
    <xf numFmtId="0" fontId="1" fillId="0" borderId="18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0" borderId="19" xfId="0" applyFont="1" applyBorder="1" applyAlignment="1">
      <alignment horizontal="center" vertical="center" wrapText="1"/>
    </xf>
    <xf numFmtId="0" fontId="0" fillId="0" borderId="16" xfId="0" applyFill="1" applyBorder="1" applyAlignment="1"/>
    <xf numFmtId="0" fontId="0" fillId="0" borderId="0" xfId="0" applyFill="1" applyBorder="1" applyAlignment="1"/>
    <xf numFmtId="0" fontId="0" fillId="0" borderId="1" xfId="0" applyFill="1" applyBorder="1" applyAlignment="1"/>
    <xf numFmtId="0" fontId="7" fillId="0" borderId="14" xfId="0" applyFont="1" applyFill="1" applyBorder="1" applyAlignment="1">
      <alignment horizontal="center"/>
    </xf>
    <xf numFmtId="0" fontId="7" fillId="0" borderId="14" xfId="0" applyFont="1" applyFill="1" applyBorder="1" applyAlignment="1">
      <alignment horizontal="centerContinuous"/>
    </xf>
    <xf numFmtId="0" fontId="0" fillId="0" borderId="15" xfId="0" applyBorder="1"/>
    <xf numFmtId="0" fontId="0" fillId="0" borderId="0" xfId="0" applyBorder="1"/>
    <xf numFmtId="0" fontId="1" fillId="0" borderId="0" xfId="0" applyFont="1" applyBorder="1" applyAlignment="1">
      <alignment horizontal="center"/>
    </xf>
    <xf numFmtId="0" fontId="1" fillId="0" borderId="18" xfId="0" applyFont="1" applyBorder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Chest Pain Type Distribution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tx>
            <c:strRef>
              <c:f>des.Analysis!$C$27</c:f>
              <c:strCache>
                <c:ptCount val="1"/>
              </c:strCache>
            </c:strRef>
          </c:tx>
          <c:invertIfNegative val="0"/>
          <c:dPt>
            <c:idx val="0"/>
            <c:invertIfNegative val="0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72BE-48A4-AC3C-105C39BEAD28}"/>
              </c:ext>
            </c:extLst>
          </c:dPt>
          <c:dPt>
            <c:idx val="1"/>
            <c:invertIfNegative val="0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72BE-48A4-AC3C-105C39BEAD28}"/>
              </c:ext>
            </c:extLst>
          </c:dPt>
          <c:dPt>
            <c:idx val="2"/>
            <c:invertIfNegative val="0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72BE-48A4-AC3C-105C39BEAD28}"/>
              </c:ext>
            </c:extLst>
          </c:dPt>
          <c:dPt>
            <c:idx val="3"/>
            <c:invertIfNegative val="0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72BE-48A4-AC3C-105C39BEAD2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des.Analysis!$B$28:$B$31</c:f>
              <c:strCache>
                <c:ptCount val="4"/>
                <c:pt idx="0">
                  <c:v>0: typical angina</c:v>
                </c:pt>
                <c:pt idx="1">
                  <c:v>1: atypical angina</c:v>
                </c:pt>
                <c:pt idx="2">
                  <c:v>2: non-anginal pain</c:v>
                </c:pt>
                <c:pt idx="3">
                  <c:v>3: asymptomatic</c:v>
                </c:pt>
              </c:strCache>
            </c:strRef>
          </c:cat>
          <c:val>
            <c:numRef>
              <c:f>des.Analysis!$C$28:$C$31</c:f>
              <c:numCache>
                <c:formatCode>General</c:formatCode>
                <c:ptCount val="4"/>
                <c:pt idx="0">
                  <c:v>143</c:v>
                </c:pt>
                <c:pt idx="1">
                  <c:v>50</c:v>
                </c:pt>
                <c:pt idx="2">
                  <c:v>87</c:v>
                </c:pt>
                <c:pt idx="3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D3-4457-B949-31384572462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15"/>
        <c:overlap val="-20"/>
        <c:axId val="2133043615"/>
        <c:axId val="2133044095"/>
      </c:barChart>
      <c:catAx>
        <c:axId val="213304361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044095"/>
        <c:crosses val="autoZero"/>
        <c:auto val="1"/>
        <c:lblAlgn val="ctr"/>
        <c:lblOffset val="100"/>
        <c:noMultiLvlLbl val="0"/>
      </c:catAx>
      <c:valAx>
        <c:axId val="21330440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0436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age  Residual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'orginal data'!$A$2:$A$304</c:f>
              <c:numCache>
                <c:formatCode>General</c:formatCode>
                <c:ptCount val="303"/>
                <c:pt idx="0">
                  <c:v>63</c:v>
                </c:pt>
                <c:pt idx="1">
                  <c:v>37</c:v>
                </c:pt>
                <c:pt idx="2">
                  <c:v>41</c:v>
                </c:pt>
                <c:pt idx="3">
                  <c:v>56</c:v>
                </c:pt>
                <c:pt idx="4">
                  <c:v>57</c:v>
                </c:pt>
                <c:pt idx="5">
                  <c:v>57</c:v>
                </c:pt>
                <c:pt idx="6">
                  <c:v>56</c:v>
                </c:pt>
                <c:pt idx="7">
                  <c:v>44</c:v>
                </c:pt>
                <c:pt idx="8">
                  <c:v>52</c:v>
                </c:pt>
                <c:pt idx="9">
                  <c:v>57</c:v>
                </c:pt>
                <c:pt idx="10">
                  <c:v>54</c:v>
                </c:pt>
                <c:pt idx="11">
                  <c:v>48</c:v>
                </c:pt>
                <c:pt idx="12">
                  <c:v>49</c:v>
                </c:pt>
                <c:pt idx="13">
                  <c:v>64</c:v>
                </c:pt>
                <c:pt idx="14">
                  <c:v>58</c:v>
                </c:pt>
                <c:pt idx="15">
                  <c:v>50</c:v>
                </c:pt>
                <c:pt idx="16">
                  <c:v>58</c:v>
                </c:pt>
                <c:pt idx="17">
                  <c:v>66</c:v>
                </c:pt>
                <c:pt idx="18">
                  <c:v>43</c:v>
                </c:pt>
                <c:pt idx="19">
                  <c:v>69</c:v>
                </c:pt>
                <c:pt idx="20">
                  <c:v>59</c:v>
                </c:pt>
                <c:pt idx="21">
                  <c:v>44</c:v>
                </c:pt>
                <c:pt idx="22">
                  <c:v>42</c:v>
                </c:pt>
                <c:pt idx="23">
                  <c:v>61</c:v>
                </c:pt>
                <c:pt idx="24">
                  <c:v>40</c:v>
                </c:pt>
                <c:pt idx="25">
                  <c:v>71</c:v>
                </c:pt>
                <c:pt idx="26">
                  <c:v>59</c:v>
                </c:pt>
                <c:pt idx="27">
                  <c:v>51</c:v>
                </c:pt>
                <c:pt idx="28">
                  <c:v>65</c:v>
                </c:pt>
                <c:pt idx="29">
                  <c:v>53</c:v>
                </c:pt>
                <c:pt idx="30">
                  <c:v>41</c:v>
                </c:pt>
                <c:pt idx="31">
                  <c:v>65</c:v>
                </c:pt>
                <c:pt idx="32">
                  <c:v>44</c:v>
                </c:pt>
                <c:pt idx="33">
                  <c:v>54</c:v>
                </c:pt>
                <c:pt idx="34">
                  <c:v>51</c:v>
                </c:pt>
                <c:pt idx="35">
                  <c:v>46</c:v>
                </c:pt>
                <c:pt idx="36">
                  <c:v>54</c:v>
                </c:pt>
                <c:pt idx="37">
                  <c:v>54</c:v>
                </c:pt>
                <c:pt idx="38">
                  <c:v>65</c:v>
                </c:pt>
                <c:pt idx="39">
                  <c:v>65</c:v>
                </c:pt>
                <c:pt idx="40">
                  <c:v>51</c:v>
                </c:pt>
                <c:pt idx="41">
                  <c:v>48</c:v>
                </c:pt>
                <c:pt idx="42">
                  <c:v>45</c:v>
                </c:pt>
                <c:pt idx="43">
                  <c:v>53</c:v>
                </c:pt>
                <c:pt idx="44">
                  <c:v>39</c:v>
                </c:pt>
                <c:pt idx="45">
                  <c:v>52</c:v>
                </c:pt>
                <c:pt idx="46">
                  <c:v>44</c:v>
                </c:pt>
                <c:pt idx="47">
                  <c:v>47</c:v>
                </c:pt>
                <c:pt idx="48">
                  <c:v>53</c:v>
                </c:pt>
                <c:pt idx="49">
                  <c:v>53</c:v>
                </c:pt>
                <c:pt idx="50">
                  <c:v>51</c:v>
                </c:pt>
                <c:pt idx="51">
                  <c:v>66</c:v>
                </c:pt>
                <c:pt idx="52">
                  <c:v>62</c:v>
                </c:pt>
                <c:pt idx="53">
                  <c:v>44</c:v>
                </c:pt>
                <c:pt idx="54">
                  <c:v>63</c:v>
                </c:pt>
                <c:pt idx="55">
                  <c:v>52</c:v>
                </c:pt>
                <c:pt idx="56">
                  <c:v>48</c:v>
                </c:pt>
                <c:pt idx="57">
                  <c:v>45</c:v>
                </c:pt>
                <c:pt idx="58">
                  <c:v>34</c:v>
                </c:pt>
                <c:pt idx="59">
                  <c:v>57</c:v>
                </c:pt>
                <c:pt idx="60">
                  <c:v>71</c:v>
                </c:pt>
                <c:pt idx="61">
                  <c:v>54</c:v>
                </c:pt>
                <c:pt idx="62">
                  <c:v>52</c:v>
                </c:pt>
                <c:pt idx="63">
                  <c:v>41</c:v>
                </c:pt>
                <c:pt idx="64">
                  <c:v>58</c:v>
                </c:pt>
                <c:pt idx="65">
                  <c:v>35</c:v>
                </c:pt>
                <c:pt idx="66">
                  <c:v>51</c:v>
                </c:pt>
                <c:pt idx="67">
                  <c:v>45</c:v>
                </c:pt>
                <c:pt idx="68">
                  <c:v>44</c:v>
                </c:pt>
                <c:pt idx="69">
                  <c:v>62</c:v>
                </c:pt>
                <c:pt idx="70">
                  <c:v>54</c:v>
                </c:pt>
                <c:pt idx="71">
                  <c:v>51</c:v>
                </c:pt>
                <c:pt idx="72">
                  <c:v>29</c:v>
                </c:pt>
                <c:pt idx="73">
                  <c:v>51</c:v>
                </c:pt>
                <c:pt idx="74">
                  <c:v>43</c:v>
                </c:pt>
                <c:pt idx="75">
                  <c:v>55</c:v>
                </c:pt>
                <c:pt idx="76">
                  <c:v>51</c:v>
                </c:pt>
                <c:pt idx="77">
                  <c:v>59</c:v>
                </c:pt>
                <c:pt idx="78">
                  <c:v>52</c:v>
                </c:pt>
                <c:pt idx="79">
                  <c:v>58</c:v>
                </c:pt>
                <c:pt idx="80">
                  <c:v>41</c:v>
                </c:pt>
                <c:pt idx="81">
                  <c:v>45</c:v>
                </c:pt>
                <c:pt idx="82">
                  <c:v>60</c:v>
                </c:pt>
                <c:pt idx="83">
                  <c:v>52</c:v>
                </c:pt>
                <c:pt idx="84">
                  <c:v>42</c:v>
                </c:pt>
                <c:pt idx="85">
                  <c:v>67</c:v>
                </c:pt>
                <c:pt idx="86">
                  <c:v>68</c:v>
                </c:pt>
                <c:pt idx="87">
                  <c:v>46</c:v>
                </c:pt>
                <c:pt idx="88">
                  <c:v>54</c:v>
                </c:pt>
                <c:pt idx="89">
                  <c:v>58</c:v>
                </c:pt>
                <c:pt idx="90">
                  <c:v>48</c:v>
                </c:pt>
                <c:pt idx="91">
                  <c:v>57</c:v>
                </c:pt>
                <c:pt idx="92">
                  <c:v>52</c:v>
                </c:pt>
                <c:pt idx="93">
                  <c:v>54</c:v>
                </c:pt>
                <c:pt idx="94">
                  <c:v>45</c:v>
                </c:pt>
                <c:pt idx="95">
                  <c:v>53</c:v>
                </c:pt>
                <c:pt idx="96">
                  <c:v>62</c:v>
                </c:pt>
                <c:pt idx="97">
                  <c:v>52</c:v>
                </c:pt>
                <c:pt idx="98">
                  <c:v>43</c:v>
                </c:pt>
                <c:pt idx="99">
                  <c:v>53</c:v>
                </c:pt>
                <c:pt idx="100">
                  <c:v>42</c:v>
                </c:pt>
                <c:pt idx="101">
                  <c:v>59</c:v>
                </c:pt>
                <c:pt idx="102">
                  <c:v>63</c:v>
                </c:pt>
                <c:pt idx="103">
                  <c:v>42</c:v>
                </c:pt>
                <c:pt idx="104">
                  <c:v>50</c:v>
                </c:pt>
                <c:pt idx="105">
                  <c:v>68</c:v>
                </c:pt>
                <c:pt idx="106">
                  <c:v>69</c:v>
                </c:pt>
                <c:pt idx="107">
                  <c:v>45</c:v>
                </c:pt>
                <c:pt idx="108">
                  <c:v>50</c:v>
                </c:pt>
                <c:pt idx="109">
                  <c:v>50</c:v>
                </c:pt>
                <c:pt idx="110">
                  <c:v>64</c:v>
                </c:pt>
                <c:pt idx="111">
                  <c:v>57</c:v>
                </c:pt>
                <c:pt idx="112">
                  <c:v>64</c:v>
                </c:pt>
                <c:pt idx="113">
                  <c:v>43</c:v>
                </c:pt>
                <c:pt idx="114">
                  <c:v>55</c:v>
                </c:pt>
                <c:pt idx="115">
                  <c:v>37</c:v>
                </c:pt>
                <c:pt idx="116">
                  <c:v>41</c:v>
                </c:pt>
                <c:pt idx="117">
                  <c:v>56</c:v>
                </c:pt>
                <c:pt idx="118">
                  <c:v>46</c:v>
                </c:pt>
                <c:pt idx="119">
                  <c:v>46</c:v>
                </c:pt>
                <c:pt idx="120">
                  <c:v>64</c:v>
                </c:pt>
                <c:pt idx="121">
                  <c:v>59</c:v>
                </c:pt>
                <c:pt idx="122">
                  <c:v>41</c:v>
                </c:pt>
                <c:pt idx="123">
                  <c:v>54</c:v>
                </c:pt>
                <c:pt idx="124">
                  <c:v>39</c:v>
                </c:pt>
                <c:pt idx="125">
                  <c:v>34</c:v>
                </c:pt>
                <c:pt idx="126">
                  <c:v>47</c:v>
                </c:pt>
                <c:pt idx="127">
                  <c:v>67</c:v>
                </c:pt>
                <c:pt idx="128">
                  <c:v>52</c:v>
                </c:pt>
                <c:pt idx="129">
                  <c:v>74</c:v>
                </c:pt>
                <c:pt idx="130">
                  <c:v>54</c:v>
                </c:pt>
                <c:pt idx="131">
                  <c:v>49</c:v>
                </c:pt>
                <c:pt idx="132">
                  <c:v>42</c:v>
                </c:pt>
                <c:pt idx="133">
                  <c:v>41</c:v>
                </c:pt>
                <c:pt idx="134">
                  <c:v>41</c:v>
                </c:pt>
                <c:pt idx="135">
                  <c:v>49</c:v>
                </c:pt>
                <c:pt idx="136">
                  <c:v>60</c:v>
                </c:pt>
                <c:pt idx="137">
                  <c:v>62</c:v>
                </c:pt>
                <c:pt idx="138">
                  <c:v>57</c:v>
                </c:pt>
                <c:pt idx="139">
                  <c:v>64</c:v>
                </c:pt>
                <c:pt idx="140">
                  <c:v>51</c:v>
                </c:pt>
                <c:pt idx="141">
                  <c:v>43</c:v>
                </c:pt>
                <c:pt idx="142">
                  <c:v>42</c:v>
                </c:pt>
                <c:pt idx="143">
                  <c:v>67</c:v>
                </c:pt>
                <c:pt idx="144">
                  <c:v>76</c:v>
                </c:pt>
                <c:pt idx="145">
                  <c:v>70</c:v>
                </c:pt>
                <c:pt idx="146">
                  <c:v>44</c:v>
                </c:pt>
                <c:pt idx="147">
                  <c:v>60</c:v>
                </c:pt>
                <c:pt idx="148">
                  <c:v>44</c:v>
                </c:pt>
                <c:pt idx="149">
                  <c:v>42</c:v>
                </c:pt>
                <c:pt idx="150">
                  <c:v>66</c:v>
                </c:pt>
                <c:pt idx="151">
                  <c:v>71</c:v>
                </c:pt>
                <c:pt idx="152">
                  <c:v>64</c:v>
                </c:pt>
                <c:pt idx="153">
                  <c:v>66</c:v>
                </c:pt>
                <c:pt idx="154">
                  <c:v>39</c:v>
                </c:pt>
                <c:pt idx="155">
                  <c:v>58</c:v>
                </c:pt>
                <c:pt idx="156">
                  <c:v>47</c:v>
                </c:pt>
                <c:pt idx="157">
                  <c:v>35</c:v>
                </c:pt>
                <c:pt idx="158">
                  <c:v>58</c:v>
                </c:pt>
                <c:pt idx="159">
                  <c:v>56</c:v>
                </c:pt>
                <c:pt idx="160">
                  <c:v>56</c:v>
                </c:pt>
                <c:pt idx="161">
                  <c:v>55</c:v>
                </c:pt>
                <c:pt idx="162">
                  <c:v>41</c:v>
                </c:pt>
                <c:pt idx="163">
                  <c:v>38</c:v>
                </c:pt>
                <c:pt idx="164">
                  <c:v>38</c:v>
                </c:pt>
                <c:pt idx="165">
                  <c:v>67</c:v>
                </c:pt>
                <c:pt idx="166">
                  <c:v>67</c:v>
                </c:pt>
                <c:pt idx="167">
                  <c:v>62</c:v>
                </c:pt>
                <c:pt idx="168">
                  <c:v>63</c:v>
                </c:pt>
                <c:pt idx="169">
                  <c:v>53</c:v>
                </c:pt>
                <c:pt idx="170">
                  <c:v>56</c:v>
                </c:pt>
                <c:pt idx="171">
                  <c:v>48</c:v>
                </c:pt>
                <c:pt idx="172">
                  <c:v>58</c:v>
                </c:pt>
                <c:pt idx="173">
                  <c:v>58</c:v>
                </c:pt>
                <c:pt idx="174">
                  <c:v>60</c:v>
                </c:pt>
                <c:pt idx="175">
                  <c:v>40</c:v>
                </c:pt>
                <c:pt idx="176">
                  <c:v>60</c:v>
                </c:pt>
                <c:pt idx="177">
                  <c:v>64</c:v>
                </c:pt>
                <c:pt idx="178">
                  <c:v>43</c:v>
                </c:pt>
                <c:pt idx="179">
                  <c:v>57</c:v>
                </c:pt>
                <c:pt idx="180">
                  <c:v>55</c:v>
                </c:pt>
                <c:pt idx="181">
                  <c:v>65</c:v>
                </c:pt>
                <c:pt idx="182">
                  <c:v>61</c:v>
                </c:pt>
                <c:pt idx="183">
                  <c:v>58</c:v>
                </c:pt>
                <c:pt idx="184">
                  <c:v>50</c:v>
                </c:pt>
                <c:pt idx="185">
                  <c:v>44</c:v>
                </c:pt>
                <c:pt idx="186">
                  <c:v>60</c:v>
                </c:pt>
                <c:pt idx="187">
                  <c:v>54</c:v>
                </c:pt>
                <c:pt idx="188">
                  <c:v>50</c:v>
                </c:pt>
                <c:pt idx="189">
                  <c:v>41</c:v>
                </c:pt>
                <c:pt idx="190">
                  <c:v>51</c:v>
                </c:pt>
                <c:pt idx="191">
                  <c:v>58</c:v>
                </c:pt>
                <c:pt idx="192">
                  <c:v>54</c:v>
                </c:pt>
                <c:pt idx="193">
                  <c:v>60</c:v>
                </c:pt>
                <c:pt idx="194">
                  <c:v>60</c:v>
                </c:pt>
                <c:pt idx="195">
                  <c:v>59</c:v>
                </c:pt>
                <c:pt idx="196">
                  <c:v>46</c:v>
                </c:pt>
                <c:pt idx="197">
                  <c:v>67</c:v>
                </c:pt>
                <c:pt idx="198">
                  <c:v>62</c:v>
                </c:pt>
                <c:pt idx="199">
                  <c:v>65</c:v>
                </c:pt>
                <c:pt idx="200">
                  <c:v>44</c:v>
                </c:pt>
                <c:pt idx="201">
                  <c:v>60</c:v>
                </c:pt>
                <c:pt idx="202">
                  <c:v>58</c:v>
                </c:pt>
                <c:pt idx="203">
                  <c:v>68</c:v>
                </c:pt>
                <c:pt idx="204">
                  <c:v>62</c:v>
                </c:pt>
                <c:pt idx="205">
                  <c:v>52</c:v>
                </c:pt>
                <c:pt idx="206">
                  <c:v>59</c:v>
                </c:pt>
                <c:pt idx="207">
                  <c:v>60</c:v>
                </c:pt>
                <c:pt idx="208">
                  <c:v>49</c:v>
                </c:pt>
                <c:pt idx="209">
                  <c:v>59</c:v>
                </c:pt>
                <c:pt idx="210">
                  <c:v>57</c:v>
                </c:pt>
                <c:pt idx="211">
                  <c:v>61</c:v>
                </c:pt>
                <c:pt idx="212">
                  <c:v>39</c:v>
                </c:pt>
                <c:pt idx="213">
                  <c:v>61</c:v>
                </c:pt>
                <c:pt idx="214">
                  <c:v>56</c:v>
                </c:pt>
                <c:pt idx="215">
                  <c:v>43</c:v>
                </c:pt>
                <c:pt idx="216">
                  <c:v>62</c:v>
                </c:pt>
                <c:pt idx="217">
                  <c:v>63</c:v>
                </c:pt>
                <c:pt idx="218">
                  <c:v>65</c:v>
                </c:pt>
                <c:pt idx="219">
                  <c:v>48</c:v>
                </c:pt>
                <c:pt idx="220">
                  <c:v>63</c:v>
                </c:pt>
                <c:pt idx="221">
                  <c:v>55</c:v>
                </c:pt>
                <c:pt idx="222">
                  <c:v>65</c:v>
                </c:pt>
                <c:pt idx="223">
                  <c:v>56</c:v>
                </c:pt>
                <c:pt idx="224">
                  <c:v>54</c:v>
                </c:pt>
                <c:pt idx="225">
                  <c:v>70</c:v>
                </c:pt>
                <c:pt idx="226">
                  <c:v>62</c:v>
                </c:pt>
                <c:pt idx="227">
                  <c:v>35</c:v>
                </c:pt>
                <c:pt idx="228">
                  <c:v>59</c:v>
                </c:pt>
                <c:pt idx="229">
                  <c:v>64</c:v>
                </c:pt>
                <c:pt idx="230">
                  <c:v>47</c:v>
                </c:pt>
                <c:pt idx="231">
                  <c:v>57</c:v>
                </c:pt>
                <c:pt idx="232">
                  <c:v>55</c:v>
                </c:pt>
                <c:pt idx="233">
                  <c:v>64</c:v>
                </c:pt>
                <c:pt idx="234">
                  <c:v>70</c:v>
                </c:pt>
                <c:pt idx="235">
                  <c:v>51</c:v>
                </c:pt>
                <c:pt idx="236">
                  <c:v>58</c:v>
                </c:pt>
                <c:pt idx="237">
                  <c:v>60</c:v>
                </c:pt>
                <c:pt idx="238">
                  <c:v>77</c:v>
                </c:pt>
                <c:pt idx="239">
                  <c:v>35</c:v>
                </c:pt>
                <c:pt idx="240">
                  <c:v>70</c:v>
                </c:pt>
                <c:pt idx="241">
                  <c:v>59</c:v>
                </c:pt>
                <c:pt idx="242">
                  <c:v>64</c:v>
                </c:pt>
                <c:pt idx="243">
                  <c:v>57</c:v>
                </c:pt>
                <c:pt idx="244">
                  <c:v>56</c:v>
                </c:pt>
                <c:pt idx="245">
                  <c:v>48</c:v>
                </c:pt>
                <c:pt idx="246">
                  <c:v>56</c:v>
                </c:pt>
                <c:pt idx="247">
                  <c:v>66</c:v>
                </c:pt>
                <c:pt idx="248">
                  <c:v>54</c:v>
                </c:pt>
                <c:pt idx="249">
                  <c:v>69</c:v>
                </c:pt>
                <c:pt idx="250">
                  <c:v>51</c:v>
                </c:pt>
                <c:pt idx="251">
                  <c:v>43</c:v>
                </c:pt>
                <c:pt idx="252">
                  <c:v>62</c:v>
                </c:pt>
                <c:pt idx="253">
                  <c:v>67</c:v>
                </c:pt>
                <c:pt idx="254">
                  <c:v>59</c:v>
                </c:pt>
                <c:pt idx="255">
                  <c:v>45</c:v>
                </c:pt>
                <c:pt idx="256">
                  <c:v>58</c:v>
                </c:pt>
                <c:pt idx="257">
                  <c:v>50</c:v>
                </c:pt>
                <c:pt idx="258">
                  <c:v>62</c:v>
                </c:pt>
                <c:pt idx="259">
                  <c:v>38</c:v>
                </c:pt>
                <c:pt idx="260">
                  <c:v>66</c:v>
                </c:pt>
                <c:pt idx="261">
                  <c:v>52</c:v>
                </c:pt>
                <c:pt idx="262">
                  <c:v>53</c:v>
                </c:pt>
                <c:pt idx="263">
                  <c:v>63</c:v>
                </c:pt>
                <c:pt idx="264">
                  <c:v>54</c:v>
                </c:pt>
                <c:pt idx="265">
                  <c:v>66</c:v>
                </c:pt>
                <c:pt idx="266">
                  <c:v>55</c:v>
                </c:pt>
                <c:pt idx="267">
                  <c:v>49</c:v>
                </c:pt>
                <c:pt idx="268">
                  <c:v>54</c:v>
                </c:pt>
                <c:pt idx="269">
                  <c:v>56</c:v>
                </c:pt>
                <c:pt idx="270">
                  <c:v>46</c:v>
                </c:pt>
                <c:pt idx="271">
                  <c:v>61</c:v>
                </c:pt>
                <c:pt idx="272">
                  <c:v>67</c:v>
                </c:pt>
                <c:pt idx="273">
                  <c:v>58</c:v>
                </c:pt>
                <c:pt idx="274">
                  <c:v>47</c:v>
                </c:pt>
                <c:pt idx="275">
                  <c:v>52</c:v>
                </c:pt>
                <c:pt idx="276">
                  <c:v>58</c:v>
                </c:pt>
                <c:pt idx="277">
                  <c:v>57</c:v>
                </c:pt>
                <c:pt idx="278">
                  <c:v>58</c:v>
                </c:pt>
                <c:pt idx="279">
                  <c:v>61</c:v>
                </c:pt>
                <c:pt idx="280">
                  <c:v>42</c:v>
                </c:pt>
                <c:pt idx="281">
                  <c:v>52</c:v>
                </c:pt>
                <c:pt idx="282">
                  <c:v>59</c:v>
                </c:pt>
                <c:pt idx="283">
                  <c:v>40</c:v>
                </c:pt>
                <c:pt idx="284">
                  <c:v>61</c:v>
                </c:pt>
                <c:pt idx="285">
                  <c:v>46</c:v>
                </c:pt>
                <c:pt idx="286">
                  <c:v>59</c:v>
                </c:pt>
                <c:pt idx="287">
                  <c:v>57</c:v>
                </c:pt>
                <c:pt idx="288">
                  <c:v>57</c:v>
                </c:pt>
                <c:pt idx="289">
                  <c:v>55</c:v>
                </c:pt>
                <c:pt idx="290">
                  <c:v>61</c:v>
                </c:pt>
                <c:pt idx="291">
                  <c:v>58</c:v>
                </c:pt>
                <c:pt idx="292">
                  <c:v>58</c:v>
                </c:pt>
                <c:pt idx="293">
                  <c:v>67</c:v>
                </c:pt>
                <c:pt idx="294">
                  <c:v>44</c:v>
                </c:pt>
                <c:pt idx="295">
                  <c:v>63</c:v>
                </c:pt>
                <c:pt idx="296">
                  <c:v>63</c:v>
                </c:pt>
                <c:pt idx="297">
                  <c:v>59</c:v>
                </c:pt>
                <c:pt idx="298">
                  <c:v>57</c:v>
                </c:pt>
                <c:pt idx="299">
                  <c:v>45</c:v>
                </c:pt>
                <c:pt idx="300">
                  <c:v>68</c:v>
                </c:pt>
                <c:pt idx="301">
                  <c:v>57</c:v>
                </c:pt>
                <c:pt idx="302">
                  <c:v>57</c:v>
                </c:pt>
              </c:numCache>
            </c:numRef>
          </c:xVal>
          <c:yVal>
            <c:numRef>
              <c:f>regression!$C$25:$C$327</c:f>
              <c:numCache>
                <c:formatCode>General</c:formatCode>
                <c:ptCount val="303"/>
                <c:pt idx="0">
                  <c:v>-23.792272006054191</c:v>
                </c:pt>
                <c:pt idx="1">
                  <c:v>24.913201565694607</c:v>
                </c:pt>
                <c:pt idx="2">
                  <c:v>-25.96456359918983</c:v>
                </c:pt>
                <c:pt idx="3">
                  <c:v>-12.256182967506447</c:v>
                </c:pt>
                <c:pt idx="4">
                  <c:v>104.52437574127245</c:v>
                </c:pt>
                <c:pt idx="5">
                  <c:v>-57.475624258727549</c:v>
                </c:pt>
                <c:pt idx="6">
                  <c:v>45.743817032493553</c:v>
                </c:pt>
                <c:pt idx="7">
                  <c:v>29.377112527146835</c:v>
                </c:pt>
                <c:pt idx="8">
                  <c:v>-44.37841780262201</c:v>
                </c:pt>
                <c:pt idx="9">
                  <c:v>-81.475624258727549</c:v>
                </c:pt>
                <c:pt idx="10">
                  <c:v>-6.8173003850642431</c:v>
                </c:pt>
                <c:pt idx="11">
                  <c:v>36.499347362262426</c:v>
                </c:pt>
                <c:pt idx="12">
                  <c:v>26.279906071041296</c:v>
                </c:pt>
                <c:pt idx="13">
                  <c:v>-47.011713297275264</c:v>
                </c:pt>
                <c:pt idx="14">
                  <c:v>32.304934450051348</c:v>
                </c:pt>
                <c:pt idx="15">
                  <c:v>-21.939535220179778</c:v>
                </c:pt>
                <c:pt idx="16">
                  <c:v>89.304934450051348</c:v>
                </c:pt>
                <c:pt idx="17">
                  <c:v>-34.450595879717525</c:v>
                </c:pt>
                <c:pt idx="18">
                  <c:v>14.596553818367966</c:v>
                </c:pt>
                <c:pt idx="19">
                  <c:v>-25.10891975338086</c:v>
                </c:pt>
                <c:pt idx="20">
                  <c:v>-17.914506841169754</c:v>
                </c:pt>
                <c:pt idx="21">
                  <c:v>-0.62288747285316504</c:v>
                </c:pt>
                <c:pt idx="22">
                  <c:v>-5.1840048904109324</c:v>
                </c:pt>
                <c:pt idx="23">
                  <c:v>-11.353389423611986</c:v>
                </c:pt>
                <c:pt idx="24">
                  <c:v>-29.745122307968728</c:v>
                </c:pt>
                <c:pt idx="25">
                  <c:v>35.452197664176992</c:v>
                </c:pt>
                <c:pt idx="26">
                  <c:v>-39.914506841169754</c:v>
                </c:pt>
                <c:pt idx="27">
                  <c:v>-67.158976511400908</c:v>
                </c:pt>
                <c:pt idx="28">
                  <c:v>157.76884541150361</c:v>
                </c:pt>
                <c:pt idx="29">
                  <c:v>-47.597859093843113</c:v>
                </c:pt>
                <c:pt idx="30">
                  <c:v>-31.96456359918983</c:v>
                </c:pt>
                <c:pt idx="31">
                  <c:v>-82.231154588496395</c:v>
                </c:pt>
                <c:pt idx="32">
                  <c:v>-14.622887472853165</c:v>
                </c:pt>
                <c:pt idx="33">
                  <c:v>27.182699614935757</c:v>
                </c:pt>
                <c:pt idx="34">
                  <c:v>-29.158976511400908</c:v>
                </c:pt>
                <c:pt idx="35">
                  <c:v>-59.061770055295369</c:v>
                </c:pt>
                <c:pt idx="36">
                  <c:v>58.182699614935757</c:v>
                </c:pt>
                <c:pt idx="37">
                  <c:v>-13.817300385064243</c:v>
                </c:pt>
                <c:pt idx="38">
                  <c:v>9.7688454115036052</c:v>
                </c:pt>
                <c:pt idx="39">
                  <c:v>100.76884541150361</c:v>
                </c:pt>
                <c:pt idx="40">
                  <c:v>65.841023488599092</c:v>
                </c:pt>
                <c:pt idx="41">
                  <c:v>6.4993473622624265</c:v>
                </c:pt>
                <c:pt idx="42">
                  <c:v>-26.842328764074267</c:v>
                </c:pt>
                <c:pt idx="43">
                  <c:v>19.402140906156887</c:v>
                </c:pt>
                <c:pt idx="44">
                  <c:v>93.474318983252374</c:v>
                </c:pt>
                <c:pt idx="45">
                  <c:v>81.62158219737799</c:v>
                </c:pt>
                <c:pt idx="46">
                  <c:v>1.377112527146835</c:v>
                </c:pt>
                <c:pt idx="47">
                  <c:v>19.718788653483529</c:v>
                </c:pt>
                <c:pt idx="48">
                  <c:v>-28.597859093843113</c:v>
                </c:pt>
                <c:pt idx="49">
                  <c:v>-10.597859093843113</c:v>
                </c:pt>
                <c:pt idx="50">
                  <c:v>13.841023488599092</c:v>
                </c:pt>
                <c:pt idx="51">
                  <c:v>41.549404120282475</c:v>
                </c:pt>
                <c:pt idx="52">
                  <c:v>-24.57283071483306</c:v>
                </c:pt>
                <c:pt idx="53">
                  <c:v>-92.622887472853165</c:v>
                </c:pt>
                <c:pt idx="54">
                  <c:v>-4.7922720060541906</c:v>
                </c:pt>
                <c:pt idx="55">
                  <c:v>-42.37841780262201</c:v>
                </c:pt>
                <c:pt idx="56">
                  <c:v>-16.500652637737574</c:v>
                </c:pt>
                <c:pt idx="57">
                  <c:v>25.157671235925733</c:v>
                </c:pt>
                <c:pt idx="58">
                  <c:v>-39.428474560642087</c:v>
                </c:pt>
                <c:pt idx="59">
                  <c:v>53.524375741272451</c:v>
                </c:pt>
                <c:pt idx="60">
                  <c:v>-1.5478023358230075</c:v>
                </c:pt>
                <c:pt idx="61">
                  <c:v>63.182699614935757</c:v>
                </c:pt>
                <c:pt idx="62">
                  <c:v>-57.37841780262201</c:v>
                </c:pt>
                <c:pt idx="63">
                  <c:v>-26.96456359918983</c:v>
                </c:pt>
                <c:pt idx="64">
                  <c:v>-39.695065549948652</c:v>
                </c:pt>
                <c:pt idx="65">
                  <c:v>-39.647915851863189</c:v>
                </c:pt>
                <c:pt idx="66">
                  <c:v>-20.158976511400908</c:v>
                </c:pt>
                <c:pt idx="67">
                  <c:v>-0.84232876407426716</c:v>
                </c:pt>
                <c:pt idx="68">
                  <c:v>-13.622887472853165</c:v>
                </c:pt>
                <c:pt idx="69">
                  <c:v>-46.57283071483306</c:v>
                </c:pt>
                <c:pt idx="70">
                  <c:v>12.182699614935757</c:v>
                </c:pt>
                <c:pt idx="71">
                  <c:v>-15.158976511400908</c:v>
                </c:pt>
                <c:pt idx="72">
                  <c:v>-11.331268104536548</c:v>
                </c:pt>
                <c:pt idx="73">
                  <c:v>18.841023488599092</c:v>
                </c:pt>
                <c:pt idx="74">
                  <c:v>-19.403446181632034</c:v>
                </c:pt>
                <c:pt idx="75">
                  <c:v>2.9632583237146832</c:v>
                </c:pt>
                <c:pt idx="76">
                  <c:v>2.8410234885990917</c:v>
                </c:pt>
                <c:pt idx="77">
                  <c:v>-30.914506841169754</c:v>
                </c:pt>
                <c:pt idx="78">
                  <c:v>-38.37841780262201</c:v>
                </c:pt>
                <c:pt idx="79">
                  <c:v>-10.695065549948652</c:v>
                </c:pt>
                <c:pt idx="80">
                  <c:v>20.03543640081017</c:v>
                </c:pt>
                <c:pt idx="81">
                  <c:v>73.157671235925733</c:v>
                </c:pt>
                <c:pt idx="82">
                  <c:v>64.866051867609144</c:v>
                </c:pt>
                <c:pt idx="83">
                  <c:v>54.62158219737799</c:v>
                </c:pt>
                <c:pt idx="84">
                  <c:v>33.815995109589068</c:v>
                </c:pt>
                <c:pt idx="85">
                  <c:v>302.3299628290614</c:v>
                </c:pt>
                <c:pt idx="86">
                  <c:v>14.11052153784027</c:v>
                </c:pt>
                <c:pt idx="87">
                  <c:v>-39.061770055295369</c:v>
                </c:pt>
                <c:pt idx="88">
                  <c:v>-31.817300385064243</c:v>
                </c:pt>
                <c:pt idx="89">
                  <c:v>-2.6950655499486516</c:v>
                </c:pt>
                <c:pt idx="90">
                  <c:v>16.499347362262426</c:v>
                </c:pt>
                <c:pt idx="91">
                  <c:v>-42.475624258727549</c:v>
                </c:pt>
                <c:pt idx="92">
                  <c:v>-20.37841780262201</c:v>
                </c:pt>
                <c:pt idx="93">
                  <c:v>42.182699614935757</c:v>
                </c:pt>
                <c:pt idx="94">
                  <c:v>-74.842328764074267</c:v>
                </c:pt>
                <c:pt idx="95">
                  <c:v>-18.597859093843113</c:v>
                </c:pt>
                <c:pt idx="96">
                  <c:v>138.42716928516694</c:v>
                </c:pt>
                <c:pt idx="97">
                  <c:v>-10.37841780262201</c:v>
                </c:pt>
                <c:pt idx="98">
                  <c:v>82.596553818367966</c:v>
                </c:pt>
                <c:pt idx="99">
                  <c:v>1.4021409061568875</c:v>
                </c:pt>
                <c:pt idx="100">
                  <c:v>12.815995109589068</c:v>
                </c:pt>
                <c:pt idx="101">
                  <c:v>18.085493158830246</c:v>
                </c:pt>
                <c:pt idx="102">
                  <c:v>-61.792272006054191</c:v>
                </c:pt>
                <c:pt idx="103">
                  <c:v>8.8159951095890676</c:v>
                </c:pt>
                <c:pt idx="104">
                  <c:v>-44.939535220179778</c:v>
                </c:pt>
                <c:pt idx="105">
                  <c:v>-51.88947846215973</c:v>
                </c:pt>
                <c:pt idx="106">
                  <c:v>-30.10891975338086</c:v>
                </c:pt>
                <c:pt idx="107">
                  <c:v>1.1576712359257328</c:v>
                </c:pt>
                <c:pt idx="108">
                  <c:v>3.0604647798202222</c:v>
                </c:pt>
                <c:pt idx="109">
                  <c:v>13.060464779820222</c:v>
                </c:pt>
                <c:pt idx="110">
                  <c:v>66.988286702724736</c:v>
                </c:pt>
                <c:pt idx="111">
                  <c:v>-123.47562425872755</c:v>
                </c:pt>
                <c:pt idx="112">
                  <c:v>54.988286702724736</c:v>
                </c:pt>
                <c:pt idx="113">
                  <c:v>-21.403446181632034</c:v>
                </c:pt>
                <c:pt idx="114">
                  <c:v>14.963258323714683</c:v>
                </c:pt>
                <c:pt idx="115">
                  <c:v>-10.086798434305393</c:v>
                </c:pt>
                <c:pt idx="116">
                  <c:v>-15.96456359918983</c:v>
                </c:pt>
                <c:pt idx="117">
                  <c:v>-55.256182967506447</c:v>
                </c:pt>
                <c:pt idx="118">
                  <c:v>-32.061770055295369</c:v>
                </c:pt>
                <c:pt idx="119">
                  <c:v>6.9382299447046307</c:v>
                </c:pt>
                <c:pt idx="120">
                  <c:v>44.988286702724736</c:v>
                </c:pt>
                <c:pt idx="121">
                  <c:v>19.085493158830246</c:v>
                </c:pt>
                <c:pt idx="122">
                  <c:v>38.03543640081017</c:v>
                </c:pt>
                <c:pt idx="123">
                  <c:v>21.182699614935757</c:v>
                </c:pt>
                <c:pt idx="124">
                  <c:v>-28.525681016747626</c:v>
                </c:pt>
                <c:pt idx="125">
                  <c:v>-11.428474560642087</c:v>
                </c:pt>
                <c:pt idx="126">
                  <c:v>-33.281211346516471</c:v>
                </c:pt>
                <c:pt idx="127">
                  <c:v>15.329962829061401</c:v>
                </c:pt>
                <c:pt idx="128">
                  <c:v>-47.37841780262201</c:v>
                </c:pt>
                <c:pt idx="129">
                  <c:v>-1.2061262094863423</c:v>
                </c:pt>
                <c:pt idx="130">
                  <c:v>-44.817300385064243</c:v>
                </c:pt>
                <c:pt idx="131">
                  <c:v>31.279906071041296</c:v>
                </c:pt>
                <c:pt idx="132">
                  <c:v>63.815995109589068</c:v>
                </c:pt>
                <c:pt idx="133">
                  <c:v>5.0354364008101697</c:v>
                </c:pt>
                <c:pt idx="134">
                  <c:v>76.03543640081017</c:v>
                </c:pt>
                <c:pt idx="135">
                  <c:v>29.279906071041296</c:v>
                </c:pt>
                <c:pt idx="136">
                  <c:v>-75.133948132390856</c:v>
                </c:pt>
                <c:pt idx="137">
                  <c:v>-47.57283071483306</c:v>
                </c:pt>
                <c:pt idx="138">
                  <c:v>-48.475624258727549</c:v>
                </c:pt>
                <c:pt idx="139">
                  <c:v>4.9882867027247357</c:v>
                </c:pt>
                <c:pt idx="140">
                  <c:v>52.841023488599092</c:v>
                </c:pt>
                <c:pt idx="141">
                  <c:v>70.596553818367966</c:v>
                </c:pt>
                <c:pt idx="142">
                  <c:v>-22.184004890410932</c:v>
                </c:pt>
                <c:pt idx="143">
                  <c:v>-38.670037170938599</c:v>
                </c:pt>
                <c:pt idx="144">
                  <c:v>-75.645008791928603</c:v>
                </c:pt>
                <c:pt idx="145">
                  <c:v>-20.328361044601934</c:v>
                </c:pt>
                <c:pt idx="146">
                  <c:v>8.377112527146835</c:v>
                </c:pt>
                <c:pt idx="147">
                  <c:v>-13.133948132390856</c:v>
                </c:pt>
                <c:pt idx="148">
                  <c:v>-7.622887472853165</c:v>
                </c:pt>
                <c:pt idx="149">
                  <c:v>-51.184004890410932</c:v>
                </c:pt>
                <c:pt idx="150">
                  <c:v>-32.450595879717525</c:v>
                </c:pt>
                <c:pt idx="151">
                  <c:v>-117.54780233582301</c:v>
                </c:pt>
                <c:pt idx="152">
                  <c:v>-31.011713297275264</c:v>
                </c:pt>
                <c:pt idx="153">
                  <c:v>17.549404120282475</c:v>
                </c:pt>
                <c:pt idx="154">
                  <c:v>-7.525681016747626</c:v>
                </c:pt>
                <c:pt idx="155">
                  <c:v>-53.695065549948652</c:v>
                </c:pt>
                <c:pt idx="156">
                  <c:v>15.718788653483529</c:v>
                </c:pt>
                <c:pt idx="157">
                  <c:v>-30.647915851863189</c:v>
                </c:pt>
                <c:pt idx="158">
                  <c:v>-30.695065549948652</c:v>
                </c:pt>
                <c:pt idx="159">
                  <c:v>-27.256182967506447</c:v>
                </c:pt>
                <c:pt idx="160">
                  <c:v>-8.2561829675064473</c:v>
                </c:pt>
                <c:pt idx="161">
                  <c:v>94.963258323714683</c:v>
                </c:pt>
                <c:pt idx="162">
                  <c:v>-72.96456359918983</c:v>
                </c:pt>
                <c:pt idx="163">
                  <c:v>-51.306239725526495</c:v>
                </c:pt>
                <c:pt idx="164">
                  <c:v>-51.306239725526495</c:v>
                </c:pt>
                <c:pt idx="165">
                  <c:v>24.329962829061401</c:v>
                </c:pt>
                <c:pt idx="166">
                  <c:v>-32.670037170938599</c:v>
                </c:pt>
                <c:pt idx="167">
                  <c:v>12.42716928516694</c:v>
                </c:pt>
                <c:pt idx="168">
                  <c:v>-2.7922720060541906</c:v>
                </c:pt>
                <c:pt idx="169">
                  <c:v>-41.597859093843113</c:v>
                </c:pt>
                <c:pt idx="170">
                  <c:v>7.7438170324935527</c:v>
                </c:pt>
                <c:pt idx="171">
                  <c:v>-9.5006526377375735</c:v>
                </c:pt>
                <c:pt idx="172">
                  <c:v>33.304934450051348</c:v>
                </c:pt>
                <c:pt idx="173">
                  <c:v>-26.695065549948652</c:v>
                </c:pt>
                <c:pt idx="174">
                  <c:v>-47.133948132390856</c:v>
                </c:pt>
                <c:pt idx="175">
                  <c:v>-61.745122307968728</c:v>
                </c:pt>
                <c:pt idx="176">
                  <c:v>-23.133948132390856</c:v>
                </c:pt>
                <c:pt idx="177">
                  <c:v>76.988286702724736</c:v>
                </c:pt>
                <c:pt idx="178">
                  <c:v>-55.403446181632034</c:v>
                </c:pt>
                <c:pt idx="179">
                  <c:v>26.524375741272451</c:v>
                </c:pt>
                <c:pt idx="180">
                  <c:v>105.96325832371468</c:v>
                </c:pt>
                <c:pt idx="181">
                  <c:v>-34.231154588496395</c:v>
                </c:pt>
                <c:pt idx="182">
                  <c:v>75.646610576388014</c:v>
                </c:pt>
                <c:pt idx="183">
                  <c:v>-20.695065549948652</c:v>
                </c:pt>
                <c:pt idx="184">
                  <c:v>2.0604647798202222</c:v>
                </c:pt>
                <c:pt idx="185">
                  <c:v>56.377112527146835</c:v>
                </c:pt>
                <c:pt idx="186">
                  <c:v>-0.13394813239085579</c:v>
                </c:pt>
                <c:pt idx="187">
                  <c:v>20.182699614935757</c:v>
                </c:pt>
                <c:pt idx="188">
                  <c:v>-7.9395352201797778</c:v>
                </c:pt>
                <c:pt idx="189">
                  <c:v>-57.96456359918983</c:v>
                </c:pt>
                <c:pt idx="190">
                  <c:v>62.841023488599092</c:v>
                </c:pt>
                <c:pt idx="191">
                  <c:v>-34.695065549948652</c:v>
                </c:pt>
                <c:pt idx="192">
                  <c:v>-57.817300385064243</c:v>
                </c:pt>
                <c:pt idx="193">
                  <c:v>28.866051867609144</c:v>
                </c:pt>
                <c:pt idx="194">
                  <c:v>-68.133948132390856</c:v>
                </c:pt>
                <c:pt idx="195">
                  <c:v>74.085493158830246</c:v>
                </c:pt>
                <c:pt idx="196">
                  <c:v>-5.0617700552953693</c:v>
                </c:pt>
                <c:pt idx="197">
                  <c:v>-7.670037170938599</c:v>
                </c:pt>
                <c:pt idx="198">
                  <c:v>11.42716928516694</c:v>
                </c:pt>
                <c:pt idx="199">
                  <c:v>-11.231154588496395</c:v>
                </c:pt>
                <c:pt idx="200">
                  <c:v>-36.622887472853165</c:v>
                </c:pt>
                <c:pt idx="201">
                  <c:v>4.8660518676091442</c:v>
                </c:pt>
                <c:pt idx="202">
                  <c:v>19.304934450051348</c:v>
                </c:pt>
                <c:pt idx="203">
                  <c:v>11.11052153784027</c:v>
                </c:pt>
                <c:pt idx="204">
                  <c:v>-91.57283071483306</c:v>
                </c:pt>
                <c:pt idx="205">
                  <c:v>11.62158219737799</c:v>
                </c:pt>
                <c:pt idx="206">
                  <c:v>-12.914506841169754</c:v>
                </c:pt>
                <c:pt idx="207">
                  <c:v>4.8660518676091442</c:v>
                </c:pt>
                <c:pt idx="208">
                  <c:v>-51.720093928958704</c:v>
                </c:pt>
                <c:pt idx="209">
                  <c:v>-74.914506841169754</c:v>
                </c:pt>
                <c:pt idx="210">
                  <c:v>-20.475624258727549</c:v>
                </c:pt>
                <c:pt idx="211">
                  <c:v>5.6466105763880137</c:v>
                </c:pt>
                <c:pt idx="212">
                  <c:v>-8.525681016747626</c:v>
                </c:pt>
                <c:pt idx="213">
                  <c:v>52.646610576388014</c:v>
                </c:pt>
                <c:pt idx="214">
                  <c:v>0.74381703249355269</c:v>
                </c:pt>
                <c:pt idx="215">
                  <c:v>108.59655381836797</c:v>
                </c:pt>
                <c:pt idx="216">
                  <c:v>7.42716928516694</c:v>
                </c:pt>
                <c:pt idx="217">
                  <c:v>73.207727993945809</c:v>
                </c:pt>
                <c:pt idx="218">
                  <c:v>-5.2311545884963948</c:v>
                </c:pt>
                <c:pt idx="219">
                  <c:v>17.499347362262426</c:v>
                </c:pt>
                <c:pt idx="220">
                  <c:v>150.20772799394581</c:v>
                </c:pt>
                <c:pt idx="221">
                  <c:v>-30.036741676285317</c:v>
                </c:pt>
                <c:pt idx="222">
                  <c:v>22.768845411503605</c:v>
                </c:pt>
                <c:pt idx="223">
                  <c:v>39.743817032493553</c:v>
                </c:pt>
                <c:pt idx="224">
                  <c:v>-6.8173003850642431</c:v>
                </c:pt>
                <c:pt idx="225">
                  <c:v>-91.328361044601934</c:v>
                </c:pt>
                <c:pt idx="226">
                  <c:v>25.42716928516694</c:v>
                </c:pt>
                <c:pt idx="227">
                  <c:v>-24.647915851863189</c:v>
                </c:pt>
                <c:pt idx="228">
                  <c:v>36.085493158830246</c:v>
                </c:pt>
                <c:pt idx="229">
                  <c:v>50.988286702724736</c:v>
                </c:pt>
                <c:pt idx="230">
                  <c:v>5.7187886534835286</c:v>
                </c:pt>
                <c:pt idx="231">
                  <c:v>39.524375741272451</c:v>
                </c:pt>
                <c:pt idx="232">
                  <c:v>41.963258323714683</c:v>
                </c:pt>
                <c:pt idx="233">
                  <c:v>-12.011713297275264</c:v>
                </c:pt>
                <c:pt idx="234">
                  <c:v>56.671638955398066</c:v>
                </c:pt>
                <c:pt idx="235">
                  <c:v>56.841023488599092</c:v>
                </c:pt>
                <c:pt idx="236">
                  <c:v>49.304934450051348</c:v>
                </c:pt>
                <c:pt idx="237">
                  <c:v>39.866051867609144</c:v>
                </c:pt>
                <c:pt idx="238">
                  <c:v>30.135549916850323</c:v>
                </c:pt>
                <c:pt idx="239">
                  <c:v>59.352084148136811</c:v>
                </c:pt>
                <c:pt idx="240">
                  <c:v>3.6716389553980662</c:v>
                </c:pt>
                <c:pt idx="241">
                  <c:v>-2.9145068411697537</c:v>
                </c:pt>
                <c:pt idx="242">
                  <c:v>-46.011713297275264</c:v>
                </c:pt>
                <c:pt idx="243">
                  <c:v>24.524375741272451</c:v>
                </c:pt>
                <c:pt idx="244">
                  <c:v>-64.256182967506447</c:v>
                </c:pt>
                <c:pt idx="245">
                  <c:v>35.499347362262426</c:v>
                </c:pt>
                <c:pt idx="246">
                  <c:v>160.74381703249355</c:v>
                </c:pt>
                <c:pt idx="247">
                  <c:v>-14.450595879717525</c:v>
                </c:pt>
                <c:pt idx="248">
                  <c:v>37.182699614935757</c:v>
                </c:pt>
                <c:pt idx="249">
                  <c:v>-10.10891975338086</c:v>
                </c:pt>
                <c:pt idx="250">
                  <c:v>55.841023488599092</c:v>
                </c:pt>
                <c:pt idx="251">
                  <c:v>14.596553818367966</c:v>
                </c:pt>
                <c:pt idx="252">
                  <c:v>38.42716928516694</c:v>
                </c:pt>
                <c:pt idx="253">
                  <c:v>37.329962829061401</c:v>
                </c:pt>
                <c:pt idx="254">
                  <c:v>21.085493158830246</c:v>
                </c:pt>
                <c:pt idx="255">
                  <c:v>74.157671235925733</c:v>
                </c:pt>
                <c:pt idx="256">
                  <c:v>8.3049344500513484</c:v>
                </c:pt>
                <c:pt idx="257">
                  <c:v>-40.939535220179778</c:v>
                </c:pt>
                <c:pt idx="258">
                  <c:v>-11.57283071483306</c:v>
                </c:pt>
                <c:pt idx="259">
                  <c:v>4.6937602744735045</c:v>
                </c:pt>
                <c:pt idx="260">
                  <c:v>-32.450595879717525</c:v>
                </c:pt>
                <c:pt idx="261">
                  <c:v>-13.37841780262201</c:v>
                </c:pt>
                <c:pt idx="262">
                  <c:v>37.402140906156887</c:v>
                </c:pt>
                <c:pt idx="263">
                  <c:v>12.207727993945809</c:v>
                </c:pt>
                <c:pt idx="264">
                  <c:v>-39.817300385064243</c:v>
                </c:pt>
                <c:pt idx="265">
                  <c:v>-48.450595879717525</c:v>
                </c:pt>
                <c:pt idx="266">
                  <c:v>79.963258323714683</c:v>
                </c:pt>
                <c:pt idx="267">
                  <c:v>-90.720093928958704</c:v>
                </c:pt>
                <c:pt idx="268">
                  <c:v>40.182699614935757</c:v>
                </c:pt>
                <c:pt idx="269">
                  <c:v>34.743817032493553</c:v>
                </c:pt>
                <c:pt idx="270">
                  <c:v>12.938229944704631</c:v>
                </c:pt>
                <c:pt idx="271">
                  <c:v>-20.353389423611986</c:v>
                </c:pt>
                <c:pt idx="272">
                  <c:v>-24.670037170938599</c:v>
                </c:pt>
                <c:pt idx="273">
                  <c:v>-16.695065549948652</c:v>
                </c:pt>
                <c:pt idx="274">
                  <c:v>37.718788653483529</c:v>
                </c:pt>
                <c:pt idx="275">
                  <c:v>-31.37841780262201</c:v>
                </c:pt>
                <c:pt idx="276">
                  <c:v>-32.695065549948652</c:v>
                </c:pt>
                <c:pt idx="277">
                  <c:v>11.524375741272451</c:v>
                </c:pt>
                <c:pt idx="278">
                  <c:v>68.304934450051348</c:v>
                </c:pt>
                <c:pt idx="279">
                  <c:v>-88.353389423611986</c:v>
                </c:pt>
                <c:pt idx="280">
                  <c:v>83.815995109589068</c:v>
                </c:pt>
                <c:pt idx="281">
                  <c:v>-39.37841780262201</c:v>
                </c:pt>
                <c:pt idx="282">
                  <c:v>-33.914506841169754</c:v>
                </c:pt>
                <c:pt idx="283">
                  <c:v>-5.7451223079687281</c:v>
                </c:pt>
                <c:pt idx="284">
                  <c:v>-47.353389423611986</c:v>
                </c:pt>
                <c:pt idx="285">
                  <c:v>74.938229944704631</c:v>
                </c:pt>
                <c:pt idx="286">
                  <c:v>-47.914506841169754</c:v>
                </c:pt>
                <c:pt idx="287">
                  <c:v>-17.475624258727549</c:v>
                </c:pt>
                <c:pt idx="288">
                  <c:v>85.524375741272451</c:v>
                </c:pt>
                <c:pt idx="289">
                  <c:v>-42.036741676285317</c:v>
                </c:pt>
                <c:pt idx="290">
                  <c:v>-51.353389423611986</c:v>
                </c:pt>
                <c:pt idx="291">
                  <c:v>67.304934450051348</c:v>
                </c:pt>
                <c:pt idx="292">
                  <c:v>-25.695065549948652</c:v>
                </c:pt>
                <c:pt idx="293">
                  <c:v>-49.670037170938599</c:v>
                </c:pt>
                <c:pt idx="294">
                  <c:v>-64.622887472853165</c:v>
                </c:pt>
                <c:pt idx="295">
                  <c:v>-69.792272006054191</c:v>
                </c:pt>
                <c:pt idx="296">
                  <c:v>-59.792272006054191</c:v>
                </c:pt>
                <c:pt idx="297">
                  <c:v>-75.914506841169754</c:v>
                </c:pt>
                <c:pt idx="298">
                  <c:v>-8.4756242587275494</c:v>
                </c:pt>
                <c:pt idx="299">
                  <c:v>29.157671235925733</c:v>
                </c:pt>
                <c:pt idx="300">
                  <c:v>-69.88947846215973</c:v>
                </c:pt>
                <c:pt idx="301">
                  <c:v>-118.47562425872755</c:v>
                </c:pt>
                <c:pt idx="302">
                  <c:v>-13.475624258727549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691-42F1-AC6D-70566C3D85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1722943"/>
        <c:axId val="610709471"/>
      </c:scatterChart>
      <c:valAx>
        <c:axId val="66172294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age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0709471"/>
        <c:crosses val="autoZero"/>
        <c:crossBetween val="midCat"/>
      </c:valAx>
      <c:valAx>
        <c:axId val="61070947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Residuals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61722943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age Line Fit 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chol</c:v>
          </c:tx>
          <c:spPr>
            <a:ln w="19050">
              <a:noFill/>
            </a:ln>
          </c:spPr>
          <c:xVal>
            <c:numRef>
              <c:f>'orginal data'!$A$2:$A$304</c:f>
              <c:numCache>
                <c:formatCode>General</c:formatCode>
                <c:ptCount val="303"/>
                <c:pt idx="0">
                  <c:v>63</c:v>
                </c:pt>
                <c:pt idx="1">
                  <c:v>37</c:v>
                </c:pt>
                <c:pt idx="2">
                  <c:v>41</c:v>
                </c:pt>
                <c:pt idx="3">
                  <c:v>56</c:v>
                </c:pt>
                <c:pt idx="4">
                  <c:v>57</c:v>
                </c:pt>
                <c:pt idx="5">
                  <c:v>57</c:v>
                </c:pt>
                <c:pt idx="6">
                  <c:v>56</c:v>
                </c:pt>
                <c:pt idx="7">
                  <c:v>44</c:v>
                </c:pt>
                <c:pt idx="8">
                  <c:v>52</c:v>
                </c:pt>
                <c:pt idx="9">
                  <c:v>57</c:v>
                </c:pt>
                <c:pt idx="10">
                  <c:v>54</c:v>
                </c:pt>
                <c:pt idx="11">
                  <c:v>48</c:v>
                </c:pt>
                <c:pt idx="12">
                  <c:v>49</c:v>
                </c:pt>
                <c:pt idx="13">
                  <c:v>64</c:v>
                </c:pt>
                <c:pt idx="14">
                  <c:v>58</c:v>
                </c:pt>
                <c:pt idx="15">
                  <c:v>50</c:v>
                </c:pt>
                <c:pt idx="16">
                  <c:v>58</c:v>
                </c:pt>
                <c:pt idx="17">
                  <c:v>66</c:v>
                </c:pt>
                <c:pt idx="18">
                  <c:v>43</c:v>
                </c:pt>
                <c:pt idx="19">
                  <c:v>69</c:v>
                </c:pt>
                <c:pt idx="20">
                  <c:v>59</c:v>
                </c:pt>
                <c:pt idx="21">
                  <c:v>44</c:v>
                </c:pt>
                <c:pt idx="22">
                  <c:v>42</c:v>
                </c:pt>
                <c:pt idx="23">
                  <c:v>61</c:v>
                </c:pt>
                <c:pt idx="24">
                  <c:v>40</c:v>
                </c:pt>
                <c:pt idx="25">
                  <c:v>71</c:v>
                </c:pt>
                <c:pt idx="26">
                  <c:v>59</c:v>
                </c:pt>
                <c:pt idx="27">
                  <c:v>51</c:v>
                </c:pt>
                <c:pt idx="28">
                  <c:v>65</c:v>
                </c:pt>
                <c:pt idx="29">
                  <c:v>53</c:v>
                </c:pt>
                <c:pt idx="30">
                  <c:v>41</c:v>
                </c:pt>
                <c:pt idx="31">
                  <c:v>65</c:v>
                </c:pt>
                <c:pt idx="32">
                  <c:v>44</c:v>
                </c:pt>
                <c:pt idx="33">
                  <c:v>54</c:v>
                </c:pt>
                <c:pt idx="34">
                  <c:v>51</c:v>
                </c:pt>
                <c:pt idx="35">
                  <c:v>46</c:v>
                </c:pt>
                <c:pt idx="36">
                  <c:v>54</c:v>
                </c:pt>
                <c:pt idx="37">
                  <c:v>54</c:v>
                </c:pt>
                <c:pt idx="38">
                  <c:v>65</c:v>
                </c:pt>
                <c:pt idx="39">
                  <c:v>65</c:v>
                </c:pt>
                <c:pt idx="40">
                  <c:v>51</c:v>
                </c:pt>
                <c:pt idx="41">
                  <c:v>48</c:v>
                </c:pt>
                <c:pt idx="42">
                  <c:v>45</c:v>
                </c:pt>
                <c:pt idx="43">
                  <c:v>53</c:v>
                </c:pt>
                <c:pt idx="44">
                  <c:v>39</c:v>
                </c:pt>
                <c:pt idx="45">
                  <c:v>52</c:v>
                </c:pt>
                <c:pt idx="46">
                  <c:v>44</c:v>
                </c:pt>
                <c:pt idx="47">
                  <c:v>47</c:v>
                </c:pt>
                <c:pt idx="48">
                  <c:v>53</c:v>
                </c:pt>
                <c:pt idx="49">
                  <c:v>53</c:v>
                </c:pt>
                <c:pt idx="50">
                  <c:v>51</c:v>
                </c:pt>
                <c:pt idx="51">
                  <c:v>66</c:v>
                </c:pt>
                <c:pt idx="52">
                  <c:v>62</c:v>
                </c:pt>
                <c:pt idx="53">
                  <c:v>44</c:v>
                </c:pt>
                <c:pt idx="54">
                  <c:v>63</c:v>
                </c:pt>
                <c:pt idx="55">
                  <c:v>52</c:v>
                </c:pt>
                <c:pt idx="56">
                  <c:v>48</c:v>
                </c:pt>
                <c:pt idx="57">
                  <c:v>45</c:v>
                </c:pt>
                <c:pt idx="58">
                  <c:v>34</c:v>
                </c:pt>
                <c:pt idx="59">
                  <c:v>57</c:v>
                </c:pt>
                <c:pt idx="60">
                  <c:v>71</c:v>
                </c:pt>
                <c:pt idx="61">
                  <c:v>54</c:v>
                </c:pt>
                <c:pt idx="62">
                  <c:v>52</c:v>
                </c:pt>
                <c:pt idx="63">
                  <c:v>41</c:v>
                </c:pt>
                <c:pt idx="64">
                  <c:v>58</c:v>
                </c:pt>
                <c:pt idx="65">
                  <c:v>35</c:v>
                </c:pt>
                <c:pt idx="66">
                  <c:v>51</c:v>
                </c:pt>
                <c:pt idx="67">
                  <c:v>45</c:v>
                </c:pt>
                <c:pt idx="68">
                  <c:v>44</c:v>
                </c:pt>
                <c:pt idx="69">
                  <c:v>62</c:v>
                </c:pt>
                <c:pt idx="70">
                  <c:v>54</c:v>
                </c:pt>
                <c:pt idx="71">
                  <c:v>51</c:v>
                </c:pt>
                <c:pt idx="72">
                  <c:v>29</c:v>
                </c:pt>
                <c:pt idx="73">
                  <c:v>51</c:v>
                </c:pt>
                <c:pt idx="74">
                  <c:v>43</c:v>
                </c:pt>
                <c:pt idx="75">
                  <c:v>55</c:v>
                </c:pt>
                <c:pt idx="76">
                  <c:v>51</c:v>
                </c:pt>
                <c:pt idx="77">
                  <c:v>59</c:v>
                </c:pt>
                <c:pt idx="78">
                  <c:v>52</c:v>
                </c:pt>
                <c:pt idx="79">
                  <c:v>58</c:v>
                </c:pt>
                <c:pt idx="80">
                  <c:v>41</c:v>
                </c:pt>
                <c:pt idx="81">
                  <c:v>45</c:v>
                </c:pt>
                <c:pt idx="82">
                  <c:v>60</c:v>
                </c:pt>
                <c:pt idx="83">
                  <c:v>52</c:v>
                </c:pt>
                <c:pt idx="84">
                  <c:v>42</c:v>
                </c:pt>
                <c:pt idx="85">
                  <c:v>67</c:v>
                </c:pt>
                <c:pt idx="86">
                  <c:v>68</c:v>
                </c:pt>
                <c:pt idx="87">
                  <c:v>46</c:v>
                </c:pt>
                <c:pt idx="88">
                  <c:v>54</c:v>
                </c:pt>
                <c:pt idx="89">
                  <c:v>58</c:v>
                </c:pt>
                <c:pt idx="90">
                  <c:v>48</c:v>
                </c:pt>
                <c:pt idx="91">
                  <c:v>57</c:v>
                </c:pt>
                <c:pt idx="92">
                  <c:v>52</c:v>
                </c:pt>
                <c:pt idx="93">
                  <c:v>54</c:v>
                </c:pt>
                <c:pt idx="94">
                  <c:v>45</c:v>
                </c:pt>
                <c:pt idx="95">
                  <c:v>53</c:v>
                </c:pt>
                <c:pt idx="96">
                  <c:v>62</c:v>
                </c:pt>
                <c:pt idx="97">
                  <c:v>52</c:v>
                </c:pt>
                <c:pt idx="98">
                  <c:v>43</c:v>
                </c:pt>
                <c:pt idx="99">
                  <c:v>53</c:v>
                </c:pt>
                <c:pt idx="100">
                  <c:v>42</c:v>
                </c:pt>
                <c:pt idx="101">
                  <c:v>59</c:v>
                </c:pt>
                <c:pt idx="102">
                  <c:v>63</c:v>
                </c:pt>
                <c:pt idx="103">
                  <c:v>42</c:v>
                </c:pt>
                <c:pt idx="104">
                  <c:v>50</c:v>
                </c:pt>
                <c:pt idx="105">
                  <c:v>68</c:v>
                </c:pt>
                <c:pt idx="106">
                  <c:v>69</c:v>
                </c:pt>
                <c:pt idx="107">
                  <c:v>45</c:v>
                </c:pt>
                <c:pt idx="108">
                  <c:v>50</c:v>
                </c:pt>
                <c:pt idx="109">
                  <c:v>50</c:v>
                </c:pt>
                <c:pt idx="110">
                  <c:v>64</c:v>
                </c:pt>
                <c:pt idx="111">
                  <c:v>57</c:v>
                </c:pt>
                <c:pt idx="112">
                  <c:v>64</c:v>
                </c:pt>
                <c:pt idx="113">
                  <c:v>43</c:v>
                </c:pt>
                <c:pt idx="114">
                  <c:v>55</c:v>
                </c:pt>
                <c:pt idx="115">
                  <c:v>37</c:v>
                </c:pt>
                <c:pt idx="116">
                  <c:v>41</c:v>
                </c:pt>
                <c:pt idx="117">
                  <c:v>56</c:v>
                </c:pt>
                <c:pt idx="118">
                  <c:v>46</c:v>
                </c:pt>
                <c:pt idx="119">
                  <c:v>46</c:v>
                </c:pt>
                <c:pt idx="120">
                  <c:v>64</c:v>
                </c:pt>
                <c:pt idx="121">
                  <c:v>59</c:v>
                </c:pt>
                <c:pt idx="122">
                  <c:v>41</c:v>
                </c:pt>
                <c:pt idx="123">
                  <c:v>54</c:v>
                </c:pt>
                <c:pt idx="124">
                  <c:v>39</c:v>
                </c:pt>
                <c:pt idx="125">
                  <c:v>34</c:v>
                </c:pt>
                <c:pt idx="126">
                  <c:v>47</c:v>
                </c:pt>
                <c:pt idx="127">
                  <c:v>67</c:v>
                </c:pt>
                <c:pt idx="128">
                  <c:v>52</c:v>
                </c:pt>
                <c:pt idx="129">
                  <c:v>74</c:v>
                </c:pt>
                <c:pt idx="130">
                  <c:v>54</c:v>
                </c:pt>
                <c:pt idx="131">
                  <c:v>49</c:v>
                </c:pt>
                <c:pt idx="132">
                  <c:v>42</c:v>
                </c:pt>
                <c:pt idx="133">
                  <c:v>41</c:v>
                </c:pt>
                <c:pt idx="134">
                  <c:v>41</c:v>
                </c:pt>
                <c:pt idx="135">
                  <c:v>49</c:v>
                </c:pt>
                <c:pt idx="136">
                  <c:v>60</c:v>
                </c:pt>
                <c:pt idx="137">
                  <c:v>62</c:v>
                </c:pt>
                <c:pt idx="138">
                  <c:v>57</c:v>
                </c:pt>
                <c:pt idx="139">
                  <c:v>64</c:v>
                </c:pt>
                <c:pt idx="140">
                  <c:v>51</c:v>
                </c:pt>
                <c:pt idx="141">
                  <c:v>43</c:v>
                </c:pt>
                <c:pt idx="142">
                  <c:v>42</c:v>
                </c:pt>
                <c:pt idx="143">
                  <c:v>67</c:v>
                </c:pt>
                <c:pt idx="144">
                  <c:v>76</c:v>
                </c:pt>
                <c:pt idx="145">
                  <c:v>70</c:v>
                </c:pt>
                <c:pt idx="146">
                  <c:v>44</c:v>
                </c:pt>
                <c:pt idx="147">
                  <c:v>60</c:v>
                </c:pt>
                <c:pt idx="148">
                  <c:v>44</c:v>
                </c:pt>
                <c:pt idx="149">
                  <c:v>42</c:v>
                </c:pt>
                <c:pt idx="150">
                  <c:v>66</c:v>
                </c:pt>
                <c:pt idx="151">
                  <c:v>71</c:v>
                </c:pt>
                <c:pt idx="152">
                  <c:v>64</c:v>
                </c:pt>
                <c:pt idx="153">
                  <c:v>66</c:v>
                </c:pt>
                <c:pt idx="154">
                  <c:v>39</c:v>
                </c:pt>
                <c:pt idx="155">
                  <c:v>58</c:v>
                </c:pt>
                <c:pt idx="156">
                  <c:v>47</c:v>
                </c:pt>
                <c:pt idx="157">
                  <c:v>35</c:v>
                </c:pt>
                <c:pt idx="158">
                  <c:v>58</c:v>
                </c:pt>
                <c:pt idx="159">
                  <c:v>56</c:v>
                </c:pt>
                <c:pt idx="160">
                  <c:v>56</c:v>
                </c:pt>
                <c:pt idx="161">
                  <c:v>55</c:v>
                </c:pt>
                <c:pt idx="162">
                  <c:v>41</c:v>
                </c:pt>
                <c:pt idx="163">
                  <c:v>38</c:v>
                </c:pt>
                <c:pt idx="164">
                  <c:v>38</c:v>
                </c:pt>
                <c:pt idx="165">
                  <c:v>67</c:v>
                </c:pt>
                <c:pt idx="166">
                  <c:v>67</c:v>
                </c:pt>
                <c:pt idx="167">
                  <c:v>62</c:v>
                </c:pt>
                <c:pt idx="168">
                  <c:v>63</c:v>
                </c:pt>
                <c:pt idx="169">
                  <c:v>53</c:v>
                </c:pt>
                <c:pt idx="170">
                  <c:v>56</c:v>
                </c:pt>
                <c:pt idx="171">
                  <c:v>48</c:v>
                </c:pt>
                <c:pt idx="172">
                  <c:v>58</c:v>
                </c:pt>
                <c:pt idx="173">
                  <c:v>58</c:v>
                </c:pt>
                <c:pt idx="174">
                  <c:v>60</c:v>
                </c:pt>
                <c:pt idx="175">
                  <c:v>40</c:v>
                </c:pt>
                <c:pt idx="176">
                  <c:v>60</c:v>
                </c:pt>
                <c:pt idx="177">
                  <c:v>64</c:v>
                </c:pt>
                <c:pt idx="178">
                  <c:v>43</c:v>
                </c:pt>
                <c:pt idx="179">
                  <c:v>57</c:v>
                </c:pt>
                <c:pt idx="180">
                  <c:v>55</c:v>
                </c:pt>
                <c:pt idx="181">
                  <c:v>65</c:v>
                </c:pt>
                <c:pt idx="182">
                  <c:v>61</c:v>
                </c:pt>
                <c:pt idx="183">
                  <c:v>58</c:v>
                </c:pt>
                <c:pt idx="184">
                  <c:v>50</c:v>
                </c:pt>
                <c:pt idx="185">
                  <c:v>44</c:v>
                </c:pt>
                <c:pt idx="186">
                  <c:v>60</c:v>
                </c:pt>
                <c:pt idx="187">
                  <c:v>54</c:v>
                </c:pt>
                <c:pt idx="188">
                  <c:v>50</c:v>
                </c:pt>
                <c:pt idx="189">
                  <c:v>41</c:v>
                </c:pt>
                <c:pt idx="190">
                  <c:v>51</c:v>
                </c:pt>
                <c:pt idx="191">
                  <c:v>58</c:v>
                </c:pt>
                <c:pt idx="192">
                  <c:v>54</c:v>
                </c:pt>
                <c:pt idx="193">
                  <c:v>60</c:v>
                </c:pt>
                <c:pt idx="194">
                  <c:v>60</c:v>
                </c:pt>
                <c:pt idx="195">
                  <c:v>59</c:v>
                </c:pt>
                <c:pt idx="196">
                  <c:v>46</c:v>
                </c:pt>
                <c:pt idx="197">
                  <c:v>67</c:v>
                </c:pt>
                <c:pt idx="198">
                  <c:v>62</c:v>
                </c:pt>
                <c:pt idx="199">
                  <c:v>65</c:v>
                </c:pt>
                <c:pt idx="200">
                  <c:v>44</c:v>
                </c:pt>
                <c:pt idx="201">
                  <c:v>60</c:v>
                </c:pt>
                <c:pt idx="202">
                  <c:v>58</c:v>
                </c:pt>
                <c:pt idx="203">
                  <c:v>68</c:v>
                </c:pt>
                <c:pt idx="204">
                  <c:v>62</c:v>
                </c:pt>
                <c:pt idx="205">
                  <c:v>52</c:v>
                </c:pt>
                <c:pt idx="206">
                  <c:v>59</c:v>
                </c:pt>
                <c:pt idx="207">
                  <c:v>60</c:v>
                </c:pt>
                <c:pt idx="208">
                  <c:v>49</c:v>
                </c:pt>
                <c:pt idx="209">
                  <c:v>59</c:v>
                </c:pt>
                <c:pt idx="210">
                  <c:v>57</c:v>
                </c:pt>
                <c:pt idx="211">
                  <c:v>61</c:v>
                </c:pt>
                <c:pt idx="212">
                  <c:v>39</c:v>
                </c:pt>
                <c:pt idx="213">
                  <c:v>61</c:v>
                </c:pt>
                <c:pt idx="214">
                  <c:v>56</c:v>
                </c:pt>
                <c:pt idx="215">
                  <c:v>43</c:v>
                </c:pt>
                <c:pt idx="216">
                  <c:v>62</c:v>
                </c:pt>
                <c:pt idx="217">
                  <c:v>63</c:v>
                </c:pt>
                <c:pt idx="218">
                  <c:v>65</c:v>
                </c:pt>
                <c:pt idx="219">
                  <c:v>48</c:v>
                </c:pt>
                <c:pt idx="220">
                  <c:v>63</c:v>
                </c:pt>
                <c:pt idx="221">
                  <c:v>55</c:v>
                </c:pt>
                <c:pt idx="222">
                  <c:v>65</c:v>
                </c:pt>
                <c:pt idx="223">
                  <c:v>56</c:v>
                </c:pt>
                <c:pt idx="224">
                  <c:v>54</c:v>
                </c:pt>
                <c:pt idx="225">
                  <c:v>70</c:v>
                </c:pt>
                <c:pt idx="226">
                  <c:v>62</c:v>
                </c:pt>
                <c:pt idx="227">
                  <c:v>35</c:v>
                </c:pt>
                <c:pt idx="228">
                  <c:v>59</c:v>
                </c:pt>
                <c:pt idx="229">
                  <c:v>64</c:v>
                </c:pt>
                <c:pt idx="230">
                  <c:v>47</c:v>
                </c:pt>
                <c:pt idx="231">
                  <c:v>57</c:v>
                </c:pt>
                <c:pt idx="232">
                  <c:v>55</c:v>
                </c:pt>
                <c:pt idx="233">
                  <c:v>64</c:v>
                </c:pt>
                <c:pt idx="234">
                  <c:v>70</c:v>
                </c:pt>
                <c:pt idx="235">
                  <c:v>51</c:v>
                </c:pt>
                <c:pt idx="236">
                  <c:v>58</c:v>
                </c:pt>
                <c:pt idx="237">
                  <c:v>60</c:v>
                </c:pt>
                <c:pt idx="238">
                  <c:v>77</c:v>
                </c:pt>
                <c:pt idx="239">
                  <c:v>35</c:v>
                </c:pt>
                <c:pt idx="240">
                  <c:v>70</c:v>
                </c:pt>
                <c:pt idx="241">
                  <c:v>59</c:v>
                </c:pt>
                <c:pt idx="242">
                  <c:v>64</c:v>
                </c:pt>
                <c:pt idx="243">
                  <c:v>57</c:v>
                </c:pt>
                <c:pt idx="244">
                  <c:v>56</c:v>
                </c:pt>
                <c:pt idx="245">
                  <c:v>48</c:v>
                </c:pt>
                <c:pt idx="246">
                  <c:v>56</c:v>
                </c:pt>
                <c:pt idx="247">
                  <c:v>66</c:v>
                </c:pt>
                <c:pt idx="248">
                  <c:v>54</c:v>
                </c:pt>
                <c:pt idx="249">
                  <c:v>69</c:v>
                </c:pt>
                <c:pt idx="250">
                  <c:v>51</c:v>
                </c:pt>
                <c:pt idx="251">
                  <c:v>43</c:v>
                </c:pt>
                <c:pt idx="252">
                  <c:v>62</c:v>
                </c:pt>
                <c:pt idx="253">
                  <c:v>67</c:v>
                </c:pt>
                <c:pt idx="254">
                  <c:v>59</c:v>
                </c:pt>
                <c:pt idx="255">
                  <c:v>45</c:v>
                </c:pt>
                <c:pt idx="256">
                  <c:v>58</c:v>
                </c:pt>
                <c:pt idx="257">
                  <c:v>50</c:v>
                </c:pt>
                <c:pt idx="258">
                  <c:v>62</c:v>
                </c:pt>
                <c:pt idx="259">
                  <c:v>38</c:v>
                </c:pt>
                <c:pt idx="260">
                  <c:v>66</c:v>
                </c:pt>
                <c:pt idx="261">
                  <c:v>52</c:v>
                </c:pt>
                <c:pt idx="262">
                  <c:v>53</c:v>
                </c:pt>
                <c:pt idx="263">
                  <c:v>63</c:v>
                </c:pt>
                <c:pt idx="264">
                  <c:v>54</c:v>
                </c:pt>
                <c:pt idx="265">
                  <c:v>66</c:v>
                </c:pt>
                <c:pt idx="266">
                  <c:v>55</c:v>
                </c:pt>
                <c:pt idx="267">
                  <c:v>49</c:v>
                </c:pt>
                <c:pt idx="268">
                  <c:v>54</c:v>
                </c:pt>
                <c:pt idx="269">
                  <c:v>56</c:v>
                </c:pt>
                <c:pt idx="270">
                  <c:v>46</c:v>
                </c:pt>
                <c:pt idx="271">
                  <c:v>61</c:v>
                </c:pt>
                <c:pt idx="272">
                  <c:v>67</c:v>
                </c:pt>
                <c:pt idx="273">
                  <c:v>58</c:v>
                </c:pt>
                <c:pt idx="274">
                  <c:v>47</c:v>
                </c:pt>
                <c:pt idx="275">
                  <c:v>52</c:v>
                </c:pt>
                <c:pt idx="276">
                  <c:v>58</c:v>
                </c:pt>
                <c:pt idx="277">
                  <c:v>57</c:v>
                </c:pt>
                <c:pt idx="278">
                  <c:v>58</c:v>
                </c:pt>
                <c:pt idx="279">
                  <c:v>61</c:v>
                </c:pt>
                <c:pt idx="280">
                  <c:v>42</c:v>
                </c:pt>
                <c:pt idx="281">
                  <c:v>52</c:v>
                </c:pt>
                <c:pt idx="282">
                  <c:v>59</c:v>
                </c:pt>
                <c:pt idx="283">
                  <c:v>40</c:v>
                </c:pt>
                <c:pt idx="284">
                  <c:v>61</c:v>
                </c:pt>
                <c:pt idx="285">
                  <c:v>46</c:v>
                </c:pt>
                <c:pt idx="286">
                  <c:v>59</c:v>
                </c:pt>
                <c:pt idx="287">
                  <c:v>57</c:v>
                </c:pt>
                <c:pt idx="288">
                  <c:v>57</c:v>
                </c:pt>
                <c:pt idx="289">
                  <c:v>55</c:v>
                </c:pt>
                <c:pt idx="290">
                  <c:v>61</c:v>
                </c:pt>
                <c:pt idx="291">
                  <c:v>58</c:v>
                </c:pt>
                <c:pt idx="292">
                  <c:v>58</c:v>
                </c:pt>
                <c:pt idx="293">
                  <c:v>67</c:v>
                </c:pt>
                <c:pt idx="294">
                  <c:v>44</c:v>
                </c:pt>
                <c:pt idx="295">
                  <c:v>63</c:v>
                </c:pt>
                <c:pt idx="296">
                  <c:v>63</c:v>
                </c:pt>
                <c:pt idx="297">
                  <c:v>59</c:v>
                </c:pt>
                <c:pt idx="298">
                  <c:v>57</c:v>
                </c:pt>
                <c:pt idx="299">
                  <c:v>45</c:v>
                </c:pt>
                <c:pt idx="300">
                  <c:v>68</c:v>
                </c:pt>
                <c:pt idx="301">
                  <c:v>57</c:v>
                </c:pt>
                <c:pt idx="302">
                  <c:v>57</c:v>
                </c:pt>
              </c:numCache>
            </c:numRef>
          </c:xVal>
          <c:yVal>
            <c:numRef>
              <c:f>'orginal data'!$E$2:$E$304</c:f>
              <c:numCache>
                <c:formatCode>General</c:formatCode>
                <c:ptCount val="303"/>
                <c:pt idx="0">
                  <c:v>233</c:v>
                </c:pt>
                <c:pt idx="1">
                  <c:v>250</c:v>
                </c:pt>
                <c:pt idx="2">
                  <c:v>204</c:v>
                </c:pt>
                <c:pt idx="3">
                  <c:v>236</c:v>
                </c:pt>
                <c:pt idx="4">
                  <c:v>354</c:v>
                </c:pt>
                <c:pt idx="5">
                  <c:v>192</c:v>
                </c:pt>
                <c:pt idx="6">
                  <c:v>294</c:v>
                </c:pt>
                <c:pt idx="7">
                  <c:v>263</c:v>
                </c:pt>
                <c:pt idx="8">
                  <c:v>199</c:v>
                </c:pt>
                <c:pt idx="9">
                  <c:v>168</c:v>
                </c:pt>
                <c:pt idx="10">
                  <c:v>239</c:v>
                </c:pt>
                <c:pt idx="11">
                  <c:v>275</c:v>
                </c:pt>
                <c:pt idx="12">
                  <c:v>266</c:v>
                </c:pt>
                <c:pt idx="13">
                  <c:v>211</c:v>
                </c:pt>
                <c:pt idx="14">
                  <c:v>283</c:v>
                </c:pt>
                <c:pt idx="15">
                  <c:v>219</c:v>
                </c:pt>
                <c:pt idx="16">
                  <c:v>340</c:v>
                </c:pt>
                <c:pt idx="17">
                  <c:v>226</c:v>
                </c:pt>
                <c:pt idx="18">
                  <c:v>247</c:v>
                </c:pt>
                <c:pt idx="19">
                  <c:v>239</c:v>
                </c:pt>
                <c:pt idx="20">
                  <c:v>234</c:v>
                </c:pt>
                <c:pt idx="21">
                  <c:v>233</c:v>
                </c:pt>
                <c:pt idx="22">
                  <c:v>226</c:v>
                </c:pt>
                <c:pt idx="23">
                  <c:v>243</c:v>
                </c:pt>
                <c:pt idx="24">
                  <c:v>199</c:v>
                </c:pt>
                <c:pt idx="25">
                  <c:v>302</c:v>
                </c:pt>
                <c:pt idx="26">
                  <c:v>212</c:v>
                </c:pt>
                <c:pt idx="27">
                  <c:v>175</c:v>
                </c:pt>
                <c:pt idx="28">
                  <c:v>417</c:v>
                </c:pt>
                <c:pt idx="29">
                  <c:v>197</c:v>
                </c:pt>
                <c:pt idx="30">
                  <c:v>198</c:v>
                </c:pt>
                <c:pt idx="31">
                  <c:v>177</c:v>
                </c:pt>
                <c:pt idx="32">
                  <c:v>219</c:v>
                </c:pt>
                <c:pt idx="33">
                  <c:v>273</c:v>
                </c:pt>
                <c:pt idx="34">
                  <c:v>213</c:v>
                </c:pt>
                <c:pt idx="35">
                  <c:v>177</c:v>
                </c:pt>
                <c:pt idx="36">
                  <c:v>304</c:v>
                </c:pt>
                <c:pt idx="37">
                  <c:v>232</c:v>
                </c:pt>
                <c:pt idx="38">
                  <c:v>269</c:v>
                </c:pt>
                <c:pt idx="39">
                  <c:v>360</c:v>
                </c:pt>
                <c:pt idx="40">
                  <c:v>308</c:v>
                </c:pt>
                <c:pt idx="41">
                  <c:v>245</c:v>
                </c:pt>
                <c:pt idx="42">
                  <c:v>208</c:v>
                </c:pt>
                <c:pt idx="43">
                  <c:v>264</c:v>
                </c:pt>
                <c:pt idx="44">
                  <c:v>321</c:v>
                </c:pt>
                <c:pt idx="45">
                  <c:v>325</c:v>
                </c:pt>
                <c:pt idx="46">
                  <c:v>235</c:v>
                </c:pt>
                <c:pt idx="47">
                  <c:v>257</c:v>
                </c:pt>
                <c:pt idx="48">
                  <c:v>216</c:v>
                </c:pt>
                <c:pt idx="49">
                  <c:v>234</c:v>
                </c:pt>
                <c:pt idx="50">
                  <c:v>256</c:v>
                </c:pt>
                <c:pt idx="51">
                  <c:v>302</c:v>
                </c:pt>
                <c:pt idx="52">
                  <c:v>231</c:v>
                </c:pt>
                <c:pt idx="53">
                  <c:v>141</c:v>
                </c:pt>
                <c:pt idx="54">
                  <c:v>252</c:v>
                </c:pt>
                <c:pt idx="55">
                  <c:v>201</c:v>
                </c:pt>
                <c:pt idx="56">
                  <c:v>222</c:v>
                </c:pt>
                <c:pt idx="57">
                  <c:v>260</c:v>
                </c:pt>
                <c:pt idx="58">
                  <c:v>182</c:v>
                </c:pt>
                <c:pt idx="59">
                  <c:v>303</c:v>
                </c:pt>
                <c:pt idx="60">
                  <c:v>265</c:v>
                </c:pt>
                <c:pt idx="61">
                  <c:v>309</c:v>
                </c:pt>
                <c:pt idx="62">
                  <c:v>186</c:v>
                </c:pt>
                <c:pt idx="63">
                  <c:v>203</c:v>
                </c:pt>
                <c:pt idx="64">
                  <c:v>211</c:v>
                </c:pt>
                <c:pt idx="65">
                  <c:v>183</c:v>
                </c:pt>
                <c:pt idx="66">
                  <c:v>222</c:v>
                </c:pt>
                <c:pt idx="67">
                  <c:v>234</c:v>
                </c:pt>
                <c:pt idx="68">
                  <c:v>220</c:v>
                </c:pt>
                <c:pt idx="69">
                  <c:v>209</c:v>
                </c:pt>
                <c:pt idx="70">
                  <c:v>258</c:v>
                </c:pt>
                <c:pt idx="71">
                  <c:v>227</c:v>
                </c:pt>
                <c:pt idx="72">
                  <c:v>204</c:v>
                </c:pt>
                <c:pt idx="73">
                  <c:v>261</c:v>
                </c:pt>
                <c:pt idx="74">
                  <c:v>213</c:v>
                </c:pt>
                <c:pt idx="75">
                  <c:v>250</c:v>
                </c:pt>
                <c:pt idx="76">
                  <c:v>245</c:v>
                </c:pt>
                <c:pt idx="77">
                  <c:v>221</c:v>
                </c:pt>
                <c:pt idx="78">
                  <c:v>205</c:v>
                </c:pt>
                <c:pt idx="79">
                  <c:v>240</c:v>
                </c:pt>
                <c:pt idx="80">
                  <c:v>250</c:v>
                </c:pt>
                <c:pt idx="81">
                  <c:v>308</c:v>
                </c:pt>
                <c:pt idx="82">
                  <c:v>318</c:v>
                </c:pt>
                <c:pt idx="83">
                  <c:v>298</c:v>
                </c:pt>
                <c:pt idx="84">
                  <c:v>265</c:v>
                </c:pt>
                <c:pt idx="85">
                  <c:v>564</c:v>
                </c:pt>
                <c:pt idx="86">
                  <c:v>277</c:v>
                </c:pt>
                <c:pt idx="87">
                  <c:v>197</c:v>
                </c:pt>
                <c:pt idx="88">
                  <c:v>214</c:v>
                </c:pt>
                <c:pt idx="89">
                  <c:v>248</c:v>
                </c:pt>
                <c:pt idx="90">
                  <c:v>255</c:v>
                </c:pt>
                <c:pt idx="91">
                  <c:v>207</c:v>
                </c:pt>
                <c:pt idx="92">
                  <c:v>223</c:v>
                </c:pt>
                <c:pt idx="93">
                  <c:v>288</c:v>
                </c:pt>
                <c:pt idx="94">
                  <c:v>160</c:v>
                </c:pt>
                <c:pt idx="95">
                  <c:v>226</c:v>
                </c:pt>
                <c:pt idx="96">
                  <c:v>394</c:v>
                </c:pt>
                <c:pt idx="97">
                  <c:v>233</c:v>
                </c:pt>
                <c:pt idx="98">
                  <c:v>315</c:v>
                </c:pt>
                <c:pt idx="99">
                  <c:v>246</c:v>
                </c:pt>
                <c:pt idx="100">
                  <c:v>244</c:v>
                </c:pt>
                <c:pt idx="101">
                  <c:v>270</c:v>
                </c:pt>
                <c:pt idx="102">
                  <c:v>195</c:v>
                </c:pt>
                <c:pt idx="103">
                  <c:v>240</c:v>
                </c:pt>
                <c:pt idx="104">
                  <c:v>196</c:v>
                </c:pt>
                <c:pt idx="105">
                  <c:v>211</c:v>
                </c:pt>
                <c:pt idx="106">
                  <c:v>234</c:v>
                </c:pt>
                <c:pt idx="107">
                  <c:v>236</c:v>
                </c:pt>
                <c:pt idx="108">
                  <c:v>244</c:v>
                </c:pt>
                <c:pt idx="109">
                  <c:v>254</c:v>
                </c:pt>
                <c:pt idx="110">
                  <c:v>325</c:v>
                </c:pt>
                <c:pt idx="111">
                  <c:v>126</c:v>
                </c:pt>
                <c:pt idx="112">
                  <c:v>313</c:v>
                </c:pt>
                <c:pt idx="113">
                  <c:v>211</c:v>
                </c:pt>
                <c:pt idx="114">
                  <c:v>262</c:v>
                </c:pt>
                <c:pt idx="115">
                  <c:v>215</c:v>
                </c:pt>
                <c:pt idx="116">
                  <c:v>214</c:v>
                </c:pt>
                <c:pt idx="117">
                  <c:v>193</c:v>
                </c:pt>
                <c:pt idx="118">
                  <c:v>204</c:v>
                </c:pt>
                <c:pt idx="119">
                  <c:v>243</c:v>
                </c:pt>
                <c:pt idx="120">
                  <c:v>303</c:v>
                </c:pt>
                <c:pt idx="121">
                  <c:v>271</c:v>
                </c:pt>
                <c:pt idx="122">
                  <c:v>268</c:v>
                </c:pt>
                <c:pt idx="123">
                  <c:v>267</c:v>
                </c:pt>
                <c:pt idx="124">
                  <c:v>199</c:v>
                </c:pt>
                <c:pt idx="125">
                  <c:v>210</c:v>
                </c:pt>
                <c:pt idx="126">
                  <c:v>204</c:v>
                </c:pt>
                <c:pt idx="127">
                  <c:v>277</c:v>
                </c:pt>
                <c:pt idx="128">
                  <c:v>196</c:v>
                </c:pt>
                <c:pt idx="129">
                  <c:v>269</c:v>
                </c:pt>
                <c:pt idx="130">
                  <c:v>201</c:v>
                </c:pt>
                <c:pt idx="131">
                  <c:v>271</c:v>
                </c:pt>
                <c:pt idx="132">
                  <c:v>295</c:v>
                </c:pt>
                <c:pt idx="133">
                  <c:v>235</c:v>
                </c:pt>
                <c:pt idx="134">
                  <c:v>306</c:v>
                </c:pt>
                <c:pt idx="135">
                  <c:v>269</c:v>
                </c:pt>
                <c:pt idx="136">
                  <c:v>178</c:v>
                </c:pt>
                <c:pt idx="137">
                  <c:v>208</c:v>
                </c:pt>
                <c:pt idx="138">
                  <c:v>201</c:v>
                </c:pt>
                <c:pt idx="139">
                  <c:v>263</c:v>
                </c:pt>
                <c:pt idx="140">
                  <c:v>295</c:v>
                </c:pt>
                <c:pt idx="141">
                  <c:v>303</c:v>
                </c:pt>
                <c:pt idx="142">
                  <c:v>209</c:v>
                </c:pt>
                <c:pt idx="143">
                  <c:v>223</c:v>
                </c:pt>
                <c:pt idx="144">
                  <c:v>197</c:v>
                </c:pt>
                <c:pt idx="145">
                  <c:v>245</c:v>
                </c:pt>
                <c:pt idx="146">
                  <c:v>242</c:v>
                </c:pt>
                <c:pt idx="147">
                  <c:v>240</c:v>
                </c:pt>
                <c:pt idx="148">
                  <c:v>226</c:v>
                </c:pt>
                <c:pt idx="149">
                  <c:v>180</c:v>
                </c:pt>
                <c:pt idx="150">
                  <c:v>228</c:v>
                </c:pt>
                <c:pt idx="151">
                  <c:v>149</c:v>
                </c:pt>
                <c:pt idx="152">
                  <c:v>227</c:v>
                </c:pt>
                <c:pt idx="153">
                  <c:v>278</c:v>
                </c:pt>
                <c:pt idx="154">
                  <c:v>220</c:v>
                </c:pt>
                <c:pt idx="155">
                  <c:v>197</c:v>
                </c:pt>
                <c:pt idx="156">
                  <c:v>253</c:v>
                </c:pt>
                <c:pt idx="157">
                  <c:v>192</c:v>
                </c:pt>
                <c:pt idx="158">
                  <c:v>220</c:v>
                </c:pt>
                <c:pt idx="159">
                  <c:v>221</c:v>
                </c:pt>
                <c:pt idx="160">
                  <c:v>240</c:v>
                </c:pt>
                <c:pt idx="161">
                  <c:v>342</c:v>
                </c:pt>
                <c:pt idx="162">
                  <c:v>157</c:v>
                </c:pt>
                <c:pt idx="163">
                  <c:v>175</c:v>
                </c:pt>
                <c:pt idx="164">
                  <c:v>175</c:v>
                </c:pt>
                <c:pt idx="165">
                  <c:v>286</c:v>
                </c:pt>
                <c:pt idx="166">
                  <c:v>229</c:v>
                </c:pt>
                <c:pt idx="167">
                  <c:v>268</c:v>
                </c:pt>
                <c:pt idx="168">
                  <c:v>254</c:v>
                </c:pt>
                <c:pt idx="169">
                  <c:v>203</c:v>
                </c:pt>
                <c:pt idx="170">
                  <c:v>256</c:v>
                </c:pt>
                <c:pt idx="171">
                  <c:v>229</c:v>
                </c:pt>
                <c:pt idx="172">
                  <c:v>284</c:v>
                </c:pt>
                <c:pt idx="173">
                  <c:v>224</c:v>
                </c:pt>
                <c:pt idx="174">
                  <c:v>206</c:v>
                </c:pt>
                <c:pt idx="175">
                  <c:v>167</c:v>
                </c:pt>
                <c:pt idx="176">
                  <c:v>230</c:v>
                </c:pt>
                <c:pt idx="177">
                  <c:v>335</c:v>
                </c:pt>
                <c:pt idx="178">
                  <c:v>177</c:v>
                </c:pt>
                <c:pt idx="179">
                  <c:v>276</c:v>
                </c:pt>
                <c:pt idx="180">
                  <c:v>353</c:v>
                </c:pt>
                <c:pt idx="181">
                  <c:v>225</c:v>
                </c:pt>
                <c:pt idx="182">
                  <c:v>330</c:v>
                </c:pt>
                <c:pt idx="183">
                  <c:v>230</c:v>
                </c:pt>
                <c:pt idx="184">
                  <c:v>243</c:v>
                </c:pt>
                <c:pt idx="185">
                  <c:v>290</c:v>
                </c:pt>
                <c:pt idx="186">
                  <c:v>253</c:v>
                </c:pt>
                <c:pt idx="187">
                  <c:v>266</c:v>
                </c:pt>
                <c:pt idx="188">
                  <c:v>233</c:v>
                </c:pt>
                <c:pt idx="189">
                  <c:v>172</c:v>
                </c:pt>
                <c:pt idx="190">
                  <c:v>305</c:v>
                </c:pt>
                <c:pt idx="191">
                  <c:v>216</c:v>
                </c:pt>
                <c:pt idx="192">
                  <c:v>188</c:v>
                </c:pt>
                <c:pt idx="193">
                  <c:v>282</c:v>
                </c:pt>
                <c:pt idx="194">
                  <c:v>185</c:v>
                </c:pt>
                <c:pt idx="195">
                  <c:v>326</c:v>
                </c:pt>
                <c:pt idx="196">
                  <c:v>231</c:v>
                </c:pt>
                <c:pt idx="197">
                  <c:v>254</c:v>
                </c:pt>
                <c:pt idx="198">
                  <c:v>267</c:v>
                </c:pt>
                <c:pt idx="199">
                  <c:v>248</c:v>
                </c:pt>
                <c:pt idx="200">
                  <c:v>197</c:v>
                </c:pt>
                <c:pt idx="201">
                  <c:v>258</c:v>
                </c:pt>
                <c:pt idx="202">
                  <c:v>270</c:v>
                </c:pt>
                <c:pt idx="203">
                  <c:v>274</c:v>
                </c:pt>
                <c:pt idx="204">
                  <c:v>164</c:v>
                </c:pt>
                <c:pt idx="205">
                  <c:v>255</c:v>
                </c:pt>
                <c:pt idx="206">
                  <c:v>239</c:v>
                </c:pt>
                <c:pt idx="207">
                  <c:v>258</c:v>
                </c:pt>
                <c:pt idx="208">
                  <c:v>188</c:v>
                </c:pt>
                <c:pt idx="209">
                  <c:v>177</c:v>
                </c:pt>
                <c:pt idx="210">
                  <c:v>229</c:v>
                </c:pt>
                <c:pt idx="211">
                  <c:v>260</c:v>
                </c:pt>
                <c:pt idx="212">
                  <c:v>219</c:v>
                </c:pt>
                <c:pt idx="213">
                  <c:v>307</c:v>
                </c:pt>
                <c:pt idx="214">
                  <c:v>249</c:v>
                </c:pt>
                <c:pt idx="215">
                  <c:v>341</c:v>
                </c:pt>
                <c:pt idx="216">
                  <c:v>263</c:v>
                </c:pt>
                <c:pt idx="217">
                  <c:v>330</c:v>
                </c:pt>
                <c:pt idx="218">
                  <c:v>254</c:v>
                </c:pt>
                <c:pt idx="219">
                  <c:v>256</c:v>
                </c:pt>
                <c:pt idx="220">
                  <c:v>407</c:v>
                </c:pt>
                <c:pt idx="221">
                  <c:v>217</c:v>
                </c:pt>
                <c:pt idx="222">
                  <c:v>282</c:v>
                </c:pt>
                <c:pt idx="223">
                  <c:v>288</c:v>
                </c:pt>
                <c:pt idx="224">
                  <c:v>239</c:v>
                </c:pt>
                <c:pt idx="225">
                  <c:v>174</c:v>
                </c:pt>
                <c:pt idx="226">
                  <c:v>281</c:v>
                </c:pt>
                <c:pt idx="227">
                  <c:v>198</c:v>
                </c:pt>
                <c:pt idx="228">
                  <c:v>288</c:v>
                </c:pt>
                <c:pt idx="229">
                  <c:v>309</c:v>
                </c:pt>
                <c:pt idx="230">
                  <c:v>243</c:v>
                </c:pt>
                <c:pt idx="231">
                  <c:v>289</c:v>
                </c:pt>
                <c:pt idx="232">
                  <c:v>289</c:v>
                </c:pt>
                <c:pt idx="233">
                  <c:v>246</c:v>
                </c:pt>
                <c:pt idx="234">
                  <c:v>322</c:v>
                </c:pt>
                <c:pt idx="235">
                  <c:v>299</c:v>
                </c:pt>
                <c:pt idx="236">
                  <c:v>300</c:v>
                </c:pt>
                <c:pt idx="237">
                  <c:v>293</c:v>
                </c:pt>
                <c:pt idx="238">
                  <c:v>304</c:v>
                </c:pt>
                <c:pt idx="239">
                  <c:v>282</c:v>
                </c:pt>
                <c:pt idx="240">
                  <c:v>269</c:v>
                </c:pt>
                <c:pt idx="241">
                  <c:v>249</c:v>
                </c:pt>
                <c:pt idx="242">
                  <c:v>212</c:v>
                </c:pt>
                <c:pt idx="243">
                  <c:v>274</c:v>
                </c:pt>
                <c:pt idx="244">
                  <c:v>184</c:v>
                </c:pt>
                <c:pt idx="245">
                  <c:v>274</c:v>
                </c:pt>
                <c:pt idx="246">
                  <c:v>409</c:v>
                </c:pt>
                <c:pt idx="247">
                  <c:v>246</c:v>
                </c:pt>
                <c:pt idx="248">
                  <c:v>283</c:v>
                </c:pt>
                <c:pt idx="249">
                  <c:v>254</c:v>
                </c:pt>
                <c:pt idx="250">
                  <c:v>298</c:v>
                </c:pt>
                <c:pt idx="251">
                  <c:v>247</c:v>
                </c:pt>
                <c:pt idx="252">
                  <c:v>294</c:v>
                </c:pt>
                <c:pt idx="253">
                  <c:v>299</c:v>
                </c:pt>
                <c:pt idx="254">
                  <c:v>273</c:v>
                </c:pt>
                <c:pt idx="255">
                  <c:v>309</c:v>
                </c:pt>
                <c:pt idx="256">
                  <c:v>259</c:v>
                </c:pt>
                <c:pt idx="257">
                  <c:v>200</c:v>
                </c:pt>
                <c:pt idx="258">
                  <c:v>244</c:v>
                </c:pt>
                <c:pt idx="259">
                  <c:v>231</c:v>
                </c:pt>
                <c:pt idx="260">
                  <c:v>228</c:v>
                </c:pt>
                <c:pt idx="261">
                  <c:v>230</c:v>
                </c:pt>
                <c:pt idx="262">
                  <c:v>282</c:v>
                </c:pt>
                <c:pt idx="263">
                  <c:v>269</c:v>
                </c:pt>
                <c:pt idx="264">
                  <c:v>206</c:v>
                </c:pt>
                <c:pt idx="265">
                  <c:v>212</c:v>
                </c:pt>
                <c:pt idx="266">
                  <c:v>327</c:v>
                </c:pt>
                <c:pt idx="267">
                  <c:v>149</c:v>
                </c:pt>
                <c:pt idx="268">
                  <c:v>286</c:v>
                </c:pt>
                <c:pt idx="269">
                  <c:v>283</c:v>
                </c:pt>
                <c:pt idx="270">
                  <c:v>249</c:v>
                </c:pt>
                <c:pt idx="271">
                  <c:v>234</c:v>
                </c:pt>
                <c:pt idx="272">
                  <c:v>237</c:v>
                </c:pt>
                <c:pt idx="273">
                  <c:v>234</c:v>
                </c:pt>
                <c:pt idx="274">
                  <c:v>275</c:v>
                </c:pt>
                <c:pt idx="275">
                  <c:v>212</c:v>
                </c:pt>
                <c:pt idx="276">
                  <c:v>218</c:v>
                </c:pt>
                <c:pt idx="277">
                  <c:v>261</c:v>
                </c:pt>
                <c:pt idx="278">
                  <c:v>319</c:v>
                </c:pt>
                <c:pt idx="279">
                  <c:v>166</c:v>
                </c:pt>
                <c:pt idx="280">
                  <c:v>315</c:v>
                </c:pt>
                <c:pt idx="281">
                  <c:v>204</c:v>
                </c:pt>
                <c:pt idx="282">
                  <c:v>218</c:v>
                </c:pt>
                <c:pt idx="283">
                  <c:v>223</c:v>
                </c:pt>
                <c:pt idx="284">
                  <c:v>207</c:v>
                </c:pt>
                <c:pt idx="285">
                  <c:v>311</c:v>
                </c:pt>
                <c:pt idx="286">
                  <c:v>204</c:v>
                </c:pt>
                <c:pt idx="287">
                  <c:v>232</c:v>
                </c:pt>
                <c:pt idx="288">
                  <c:v>335</c:v>
                </c:pt>
                <c:pt idx="289">
                  <c:v>205</c:v>
                </c:pt>
                <c:pt idx="290">
                  <c:v>203</c:v>
                </c:pt>
                <c:pt idx="291">
                  <c:v>318</c:v>
                </c:pt>
                <c:pt idx="292">
                  <c:v>225</c:v>
                </c:pt>
                <c:pt idx="293">
                  <c:v>212</c:v>
                </c:pt>
                <c:pt idx="294">
                  <c:v>169</c:v>
                </c:pt>
                <c:pt idx="295">
                  <c:v>187</c:v>
                </c:pt>
                <c:pt idx="296">
                  <c:v>197</c:v>
                </c:pt>
                <c:pt idx="297">
                  <c:v>176</c:v>
                </c:pt>
                <c:pt idx="298">
                  <c:v>241</c:v>
                </c:pt>
                <c:pt idx="299">
                  <c:v>264</c:v>
                </c:pt>
                <c:pt idx="300">
                  <c:v>193</c:v>
                </c:pt>
                <c:pt idx="301">
                  <c:v>131</c:v>
                </c:pt>
                <c:pt idx="302">
                  <c:v>236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A5F-4FD8-82B6-1EF5DDD7322E}"/>
            </c:ext>
          </c:extLst>
        </c:ser>
        <c:ser>
          <c:idx val="1"/>
          <c:order val="1"/>
          <c:tx>
            <c:v>Predicted chol</c:v>
          </c:tx>
          <c:spPr>
            <a:ln w="19050">
              <a:noFill/>
            </a:ln>
          </c:spPr>
          <c:xVal>
            <c:numRef>
              <c:f>'orginal data'!$A$2:$A$304</c:f>
              <c:numCache>
                <c:formatCode>General</c:formatCode>
                <c:ptCount val="303"/>
                <c:pt idx="0">
                  <c:v>63</c:v>
                </c:pt>
                <c:pt idx="1">
                  <c:v>37</c:v>
                </c:pt>
                <c:pt idx="2">
                  <c:v>41</c:v>
                </c:pt>
                <c:pt idx="3">
                  <c:v>56</c:v>
                </c:pt>
                <c:pt idx="4">
                  <c:v>57</c:v>
                </c:pt>
                <c:pt idx="5">
                  <c:v>57</c:v>
                </c:pt>
                <c:pt idx="6">
                  <c:v>56</c:v>
                </c:pt>
                <c:pt idx="7">
                  <c:v>44</c:v>
                </c:pt>
                <c:pt idx="8">
                  <c:v>52</c:v>
                </c:pt>
                <c:pt idx="9">
                  <c:v>57</c:v>
                </c:pt>
                <c:pt idx="10">
                  <c:v>54</c:v>
                </c:pt>
                <c:pt idx="11">
                  <c:v>48</c:v>
                </c:pt>
                <c:pt idx="12">
                  <c:v>49</c:v>
                </c:pt>
                <c:pt idx="13">
                  <c:v>64</c:v>
                </c:pt>
                <c:pt idx="14">
                  <c:v>58</c:v>
                </c:pt>
                <c:pt idx="15">
                  <c:v>50</c:v>
                </c:pt>
                <c:pt idx="16">
                  <c:v>58</c:v>
                </c:pt>
                <c:pt idx="17">
                  <c:v>66</c:v>
                </c:pt>
                <c:pt idx="18">
                  <c:v>43</c:v>
                </c:pt>
                <c:pt idx="19">
                  <c:v>69</c:v>
                </c:pt>
                <c:pt idx="20">
                  <c:v>59</c:v>
                </c:pt>
                <c:pt idx="21">
                  <c:v>44</c:v>
                </c:pt>
                <c:pt idx="22">
                  <c:v>42</c:v>
                </c:pt>
                <c:pt idx="23">
                  <c:v>61</c:v>
                </c:pt>
                <c:pt idx="24">
                  <c:v>40</c:v>
                </c:pt>
                <c:pt idx="25">
                  <c:v>71</c:v>
                </c:pt>
                <c:pt idx="26">
                  <c:v>59</c:v>
                </c:pt>
                <c:pt idx="27">
                  <c:v>51</c:v>
                </c:pt>
                <c:pt idx="28">
                  <c:v>65</c:v>
                </c:pt>
                <c:pt idx="29">
                  <c:v>53</c:v>
                </c:pt>
                <c:pt idx="30">
                  <c:v>41</c:v>
                </c:pt>
                <c:pt idx="31">
                  <c:v>65</c:v>
                </c:pt>
                <c:pt idx="32">
                  <c:v>44</c:v>
                </c:pt>
                <c:pt idx="33">
                  <c:v>54</c:v>
                </c:pt>
                <c:pt idx="34">
                  <c:v>51</c:v>
                </c:pt>
                <c:pt idx="35">
                  <c:v>46</c:v>
                </c:pt>
                <c:pt idx="36">
                  <c:v>54</c:v>
                </c:pt>
                <c:pt idx="37">
                  <c:v>54</c:v>
                </c:pt>
                <c:pt idx="38">
                  <c:v>65</c:v>
                </c:pt>
                <c:pt idx="39">
                  <c:v>65</c:v>
                </c:pt>
                <c:pt idx="40">
                  <c:v>51</c:v>
                </c:pt>
                <c:pt idx="41">
                  <c:v>48</c:v>
                </c:pt>
                <c:pt idx="42">
                  <c:v>45</c:v>
                </c:pt>
                <c:pt idx="43">
                  <c:v>53</c:v>
                </c:pt>
                <c:pt idx="44">
                  <c:v>39</c:v>
                </c:pt>
                <c:pt idx="45">
                  <c:v>52</c:v>
                </c:pt>
                <c:pt idx="46">
                  <c:v>44</c:v>
                </c:pt>
                <c:pt idx="47">
                  <c:v>47</c:v>
                </c:pt>
                <c:pt idx="48">
                  <c:v>53</c:v>
                </c:pt>
                <c:pt idx="49">
                  <c:v>53</c:v>
                </c:pt>
                <c:pt idx="50">
                  <c:v>51</c:v>
                </c:pt>
                <c:pt idx="51">
                  <c:v>66</c:v>
                </c:pt>
                <c:pt idx="52">
                  <c:v>62</c:v>
                </c:pt>
                <c:pt idx="53">
                  <c:v>44</c:v>
                </c:pt>
                <c:pt idx="54">
                  <c:v>63</c:v>
                </c:pt>
                <c:pt idx="55">
                  <c:v>52</c:v>
                </c:pt>
                <c:pt idx="56">
                  <c:v>48</c:v>
                </c:pt>
                <c:pt idx="57">
                  <c:v>45</c:v>
                </c:pt>
                <c:pt idx="58">
                  <c:v>34</c:v>
                </c:pt>
                <c:pt idx="59">
                  <c:v>57</c:v>
                </c:pt>
                <c:pt idx="60">
                  <c:v>71</c:v>
                </c:pt>
                <c:pt idx="61">
                  <c:v>54</c:v>
                </c:pt>
                <c:pt idx="62">
                  <c:v>52</c:v>
                </c:pt>
                <c:pt idx="63">
                  <c:v>41</c:v>
                </c:pt>
                <c:pt idx="64">
                  <c:v>58</c:v>
                </c:pt>
                <c:pt idx="65">
                  <c:v>35</c:v>
                </c:pt>
                <c:pt idx="66">
                  <c:v>51</c:v>
                </c:pt>
                <c:pt idx="67">
                  <c:v>45</c:v>
                </c:pt>
                <c:pt idx="68">
                  <c:v>44</c:v>
                </c:pt>
                <c:pt idx="69">
                  <c:v>62</c:v>
                </c:pt>
                <c:pt idx="70">
                  <c:v>54</c:v>
                </c:pt>
                <c:pt idx="71">
                  <c:v>51</c:v>
                </c:pt>
                <c:pt idx="72">
                  <c:v>29</c:v>
                </c:pt>
                <c:pt idx="73">
                  <c:v>51</c:v>
                </c:pt>
                <c:pt idx="74">
                  <c:v>43</c:v>
                </c:pt>
                <c:pt idx="75">
                  <c:v>55</c:v>
                </c:pt>
                <c:pt idx="76">
                  <c:v>51</c:v>
                </c:pt>
                <c:pt idx="77">
                  <c:v>59</c:v>
                </c:pt>
                <c:pt idx="78">
                  <c:v>52</c:v>
                </c:pt>
                <c:pt idx="79">
                  <c:v>58</c:v>
                </c:pt>
                <c:pt idx="80">
                  <c:v>41</c:v>
                </c:pt>
                <c:pt idx="81">
                  <c:v>45</c:v>
                </c:pt>
                <c:pt idx="82">
                  <c:v>60</c:v>
                </c:pt>
                <c:pt idx="83">
                  <c:v>52</c:v>
                </c:pt>
                <c:pt idx="84">
                  <c:v>42</c:v>
                </c:pt>
                <c:pt idx="85">
                  <c:v>67</c:v>
                </c:pt>
                <c:pt idx="86">
                  <c:v>68</c:v>
                </c:pt>
                <c:pt idx="87">
                  <c:v>46</c:v>
                </c:pt>
                <c:pt idx="88">
                  <c:v>54</c:v>
                </c:pt>
                <c:pt idx="89">
                  <c:v>58</c:v>
                </c:pt>
                <c:pt idx="90">
                  <c:v>48</c:v>
                </c:pt>
                <c:pt idx="91">
                  <c:v>57</c:v>
                </c:pt>
                <c:pt idx="92">
                  <c:v>52</c:v>
                </c:pt>
                <c:pt idx="93">
                  <c:v>54</c:v>
                </c:pt>
                <c:pt idx="94">
                  <c:v>45</c:v>
                </c:pt>
                <c:pt idx="95">
                  <c:v>53</c:v>
                </c:pt>
                <c:pt idx="96">
                  <c:v>62</c:v>
                </c:pt>
                <c:pt idx="97">
                  <c:v>52</c:v>
                </c:pt>
                <c:pt idx="98">
                  <c:v>43</c:v>
                </c:pt>
                <c:pt idx="99">
                  <c:v>53</c:v>
                </c:pt>
                <c:pt idx="100">
                  <c:v>42</c:v>
                </c:pt>
                <c:pt idx="101">
                  <c:v>59</c:v>
                </c:pt>
                <c:pt idx="102">
                  <c:v>63</c:v>
                </c:pt>
                <c:pt idx="103">
                  <c:v>42</c:v>
                </c:pt>
                <c:pt idx="104">
                  <c:v>50</c:v>
                </c:pt>
                <c:pt idx="105">
                  <c:v>68</c:v>
                </c:pt>
                <c:pt idx="106">
                  <c:v>69</c:v>
                </c:pt>
                <c:pt idx="107">
                  <c:v>45</c:v>
                </c:pt>
                <c:pt idx="108">
                  <c:v>50</c:v>
                </c:pt>
                <c:pt idx="109">
                  <c:v>50</c:v>
                </c:pt>
                <c:pt idx="110">
                  <c:v>64</c:v>
                </c:pt>
                <c:pt idx="111">
                  <c:v>57</c:v>
                </c:pt>
                <c:pt idx="112">
                  <c:v>64</c:v>
                </c:pt>
                <c:pt idx="113">
                  <c:v>43</c:v>
                </c:pt>
                <c:pt idx="114">
                  <c:v>55</c:v>
                </c:pt>
                <c:pt idx="115">
                  <c:v>37</c:v>
                </c:pt>
                <c:pt idx="116">
                  <c:v>41</c:v>
                </c:pt>
                <c:pt idx="117">
                  <c:v>56</c:v>
                </c:pt>
                <c:pt idx="118">
                  <c:v>46</c:v>
                </c:pt>
                <c:pt idx="119">
                  <c:v>46</c:v>
                </c:pt>
                <c:pt idx="120">
                  <c:v>64</c:v>
                </c:pt>
                <c:pt idx="121">
                  <c:v>59</c:v>
                </c:pt>
                <c:pt idx="122">
                  <c:v>41</c:v>
                </c:pt>
                <c:pt idx="123">
                  <c:v>54</c:v>
                </c:pt>
                <c:pt idx="124">
                  <c:v>39</c:v>
                </c:pt>
                <c:pt idx="125">
                  <c:v>34</c:v>
                </c:pt>
                <c:pt idx="126">
                  <c:v>47</c:v>
                </c:pt>
                <c:pt idx="127">
                  <c:v>67</c:v>
                </c:pt>
                <c:pt idx="128">
                  <c:v>52</c:v>
                </c:pt>
                <c:pt idx="129">
                  <c:v>74</c:v>
                </c:pt>
                <c:pt idx="130">
                  <c:v>54</c:v>
                </c:pt>
                <c:pt idx="131">
                  <c:v>49</c:v>
                </c:pt>
                <c:pt idx="132">
                  <c:v>42</c:v>
                </c:pt>
                <c:pt idx="133">
                  <c:v>41</c:v>
                </c:pt>
                <c:pt idx="134">
                  <c:v>41</c:v>
                </c:pt>
                <c:pt idx="135">
                  <c:v>49</c:v>
                </c:pt>
                <c:pt idx="136">
                  <c:v>60</c:v>
                </c:pt>
                <c:pt idx="137">
                  <c:v>62</c:v>
                </c:pt>
                <c:pt idx="138">
                  <c:v>57</c:v>
                </c:pt>
                <c:pt idx="139">
                  <c:v>64</c:v>
                </c:pt>
                <c:pt idx="140">
                  <c:v>51</c:v>
                </c:pt>
                <c:pt idx="141">
                  <c:v>43</c:v>
                </c:pt>
                <c:pt idx="142">
                  <c:v>42</c:v>
                </c:pt>
                <c:pt idx="143">
                  <c:v>67</c:v>
                </c:pt>
                <c:pt idx="144">
                  <c:v>76</c:v>
                </c:pt>
                <c:pt idx="145">
                  <c:v>70</c:v>
                </c:pt>
                <c:pt idx="146">
                  <c:v>44</c:v>
                </c:pt>
                <c:pt idx="147">
                  <c:v>60</c:v>
                </c:pt>
                <c:pt idx="148">
                  <c:v>44</c:v>
                </c:pt>
                <c:pt idx="149">
                  <c:v>42</c:v>
                </c:pt>
                <c:pt idx="150">
                  <c:v>66</c:v>
                </c:pt>
                <c:pt idx="151">
                  <c:v>71</c:v>
                </c:pt>
                <c:pt idx="152">
                  <c:v>64</c:v>
                </c:pt>
                <c:pt idx="153">
                  <c:v>66</c:v>
                </c:pt>
                <c:pt idx="154">
                  <c:v>39</c:v>
                </c:pt>
                <c:pt idx="155">
                  <c:v>58</c:v>
                </c:pt>
                <c:pt idx="156">
                  <c:v>47</c:v>
                </c:pt>
                <c:pt idx="157">
                  <c:v>35</c:v>
                </c:pt>
                <c:pt idx="158">
                  <c:v>58</c:v>
                </c:pt>
                <c:pt idx="159">
                  <c:v>56</c:v>
                </c:pt>
                <c:pt idx="160">
                  <c:v>56</c:v>
                </c:pt>
                <c:pt idx="161">
                  <c:v>55</c:v>
                </c:pt>
                <c:pt idx="162">
                  <c:v>41</c:v>
                </c:pt>
                <c:pt idx="163">
                  <c:v>38</c:v>
                </c:pt>
                <c:pt idx="164">
                  <c:v>38</c:v>
                </c:pt>
                <c:pt idx="165">
                  <c:v>67</c:v>
                </c:pt>
                <c:pt idx="166">
                  <c:v>67</c:v>
                </c:pt>
                <c:pt idx="167">
                  <c:v>62</c:v>
                </c:pt>
                <c:pt idx="168">
                  <c:v>63</c:v>
                </c:pt>
                <c:pt idx="169">
                  <c:v>53</c:v>
                </c:pt>
                <c:pt idx="170">
                  <c:v>56</c:v>
                </c:pt>
                <c:pt idx="171">
                  <c:v>48</c:v>
                </c:pt>
                <c:pt idx="172">
                  <c:v>58</c:v>
                </c:pt>
                <c:pt idx="173">
                  <c:v>58</c:v>
                </c:pt>
                <c:pt idx="174">
                  <c:v>60</c:v>
                </c:pt>
                <c:pt idx="175">
                  <c:v>40</c:v>
                </c:pt>
                <c:pt idx="176">
                  <c:v>60</c:v>
                </c:pt>
                <c:pt idx="177">
                  <c:v>64</c:v>
                </c:pt>
                <c:pt idx="178">
                  <c:v>43</c:v>
                </c:pt>
                <c:pt idx="179">
                  <c:v>57</c:v>
                </c:pt>
                <c:pt idx="180">
                  <c:v>55</c:v>
                </c:pt>
                <c:pt idx="181">
                  <c:v>65</c:v>
                </c:pt>
                <c:pt idx="182">
                  <c:v>61</c:v>
                </c:pt>
                <c:pt idx="183">
                  <c:v>58</c:v>
                </c:pt>
                <c:pt idx="184">
                  <c:v>50</c:v>
                </c:pt>
                <c:pt idx="185">
                  <c:v>44</c:v>
                </c:pt>
                <c:pt idx="186">
                  <c:v>60</c:v>
                </c:pt>
                <c:pt idx="187">
                  <c:v>54</c:v>
                </c:pt>
                <c:pt idx="188">
                  <c:v>50</c:v>
                </c:pt>
                <c:pt idx="189">
                  <c:v>41</c:v>
                </c:pt>
                <c:pt idx="190">
                  <c:v>51</c:v>
                </c:pt>
                <c:pt idx="191">
                  <c:v>58</c:v>
                </c:pt>
                <c:pt idx="192">
                  <c:v>54</c:v>
                </c:pt>
                <c:pt idx="193">
                  <c:v>60</c:v>
                </c:pt>
                <c:pt idx="194">
                  <c:v>60</c:v>
                </c:pt>
                <c:pt idx="195">
                  <c:v>59</c:v>
                </c:pt>
                <c:pt idx="196">
                  <c:v>46</c:v>
                </c:pt>
                <c:pt idx="197">
                  <c:v>67</c:v>
                </c:pt>
                <c:pt idx="198">
                  <c:v>62</c:v>
                </c:pt>
                <c:pt idx="199">
                  <c:v>65</c:v>
                </c:pt>
                <c:pt idx="200">
                  <c:v>44</c:v>
                </c:pt>
                <c:pt idx="201">
                  <c:v>60</c:v>
                </c:pt>
                <c:pt idx="202">
                  <c:v>58</c:v>
                </c:pt>
                <c:pt idx="203">
                  <c:v>68</c:v>
                </c:pt>
                <c:pt idx="204">
                  <c:v>62</c:v>
                </c:pt>
                <c:pt idx="205">
                  <c:v>52</c:v>
                </c:pt>
                <c:pt idx="206">
                  <c:v>59</c:v>
                </c:pt>
                <c:pt idx="207">
                  <c:v>60</c:v>
                </c:pt>
                <c:pt idx="208">
                  <c:v>49</c:v>
                </c:pt>
                <c:pt idx="209">
                  <c:v>59</c:v>
                </c:pt>
                <c:pt idx="210">
                  <c:v>57</c:v>
                </c:pt>
                <c:pt idx="211">
                  <c:v>61</c:v>
                </c:pt>
                <c:pt idx="212">
                  <c:v>39</c:v>
                </c:pt>
                <c:pt idx="213">
                  <c:v>61</c:v>
                </c:pt>
                <c:pt idx="214">
                  <c:v>56</c:v>
                </c:pt>
                <c:pt idx="215">
                  <c:v>43</c:v>
                </c:pt>
                <c:pt idx="216">
                  <c:v>62</c:v>
                </c:pt>
                <c:pt idx="217">
                  <c:v>63</c:v>
                </c:pt>
                <c:pt idx="218">
                  <c:v>65</c:v>
                </c:pt>
                <c:pt idx="219">
                  <c:v>48</c:v>
                </c:pt>
                <c:pt idx="220">
                  <c:v>63</c:v>
                </c:pt>
                <c:pt idx="221">
                  <c:v>55</c:v>
                </c:pt>
                <c:pt idx="222">
                  <c:v>65</c:v>
                </c:pt>
                <c:pt idx="223">
                  <c:v>56</c:v>
                </c:pt>
                <c:pt idx="224">
                  <c:v>54</c:v>
                </c:pt>
                <c:pt idx="225">
                  <c:v>70</c:v>
                </c:pt>
                <c:pt idx="226">
                  <c:v>62</c:v>
                </c:pt>
                <c:pt idx="227">
                  <c:v>35</c:v>
                </c:pt>
                <c:pt idx="228">
                  <c:v>59</c:v>
                </c:pt>
                <c:pt idx="229">
                  <c:v>64</c:v>
                </c:pt>
                <c:pt idx="230">
                  <c:v>47</c:v>
                </c:pt>
                <c:pt idx="231">
                  <c:v>57</c:v>
                </c:pt>
                <c:pt idx="232">
                  <c:v>55</c:v>
                </c:pt>
                <c:pt idx="233">
                  <c:v>64</c:v>
                </c:pt>
                <c:pt idx="234">
                  <c:v>70</c:v>
                </c:pt>
                <c:pt idx="235">
                  <c:v>51</c:v>
                </c:pt>
                <c:pt idx="236">
                  <c:v>58</c:v>
                </c:pt>
                <c:pt idx="237">
                  <c:v>60</c:v>
                </c:pt>
                <c:pt idx="238">
                  <c:v>77</c:v>
                </c:pt>
                <c:pt idx="239">
                  <c:v>35</c:v>
                </c:pt>
                <c:pt idx="240">
                  <c:v>70</c:v>
                </c:pt>
                <c:pt idx="241">
                  <c:v>59</c:v>
                </c:pt>
                <c:pt idx="242">
                  <c:v>64</c:v>
                </c:pt>
                <c:pt idx="243">
                  <c:v>57</c:v>
                </c:pt>
                <c:pt idx="244">
                  <c:v>56</c:v>
                </c:pt>
                <c:pt idx="245">
                  <c:v>48</c:v>
                </c:pt>
                <c:pt idx="246">
                  <c:v>56</c:v>
                </c:pt>
                <c:pt idx="247">
                  <c:v>66</c:v>
                </c:pt>
                <c:pt idx="248">
                  <c:v>54</c:v>
                </c:pt>
                <c:pt idx="249">
                  <c:v>69</c:v>
                </c:pt>
                <c:pt idx="250">
                  <c:v>51</c:v>
                </c:pt>
                <c:pt idx="251">
                  <c:v>43</c:v>
                </c:pt>
                <c:pt idx="252">
                  <c:v>62</c:v>
                </c:pt>
                <c:pt idx="253">
                  <c:v>67</c:v>
                </c:pt>
                <c:pt idx="254">
                  <c:v>59</c:v>
                </c:pt>
                <c:pt idx="255">
                  <c:v>45</c:v>
                </c:pt>
                <c:pt idx="256">
                  <c:v>58</c:v>
                </c:pt>
                <c:pt idx="257">
                  <c:v>50</c:v>
                </c:pt>
                <c:pt idx="258">
                  <c:v>62</c:v>
                </c:pt>
                <c:pt idx="259">
                  <c:v>38</c:v>
                </c:pt>
                <c:pt idx="260">
                  <c:v>66</c:v>
                </c:pt>
                <c:pt idx="261">
                  <c:v>52</c:v>
                </c:pt>
                <c:pt idx="262">
                  <c:v>53</c:v>
                </c:pt>
                <c:pt idx="263">
                  <c:v>63</c:v>
                </c:pt>
                <c:pt idx="264">
                  <c:v>54</c:v>
                </c:pt>
                <c:pt idx="265">
                  <c:v>66</c:v>
                </c:pt>
                <c:pt idx="266">
                  <c:v>55</c:v>
                </c:pt>
                <c:pt idx="267">
                  <c:v>49</c:v>
                </c:pt>
                <c:pt idx="268">
                  <c:v>54</c:v>
                </c:pt>
                <c:pt idx="269">
                  <c:v>56</c:v>
                </c:pt>
                <c:pt idx="270">
                  <c:v>46</c:v>
                </c:pt>
                <c:pt idx="271">
                  <c:v>61</c:v>
                </c:pt>
                <c:pt idx="272">
                  <c:v>67</c:v>
                </c:pt>
                <c:pt idx="273">
                  <c:v>58</c:v>
                </c:pt>
                <c:pt idx="274">
                  <c:v>47</c:v>
                </c:pt>
                <c:pt idx="275">
                  <c:v>52</c:v>
                </c:pt>
                <c:pt idx="276">
                  <c:v>58</c:v>
                </c:pt>
                <c:pt idx="277">
                  <c:v>57</c:v>
                </c:pt>
                <c:pt idx="278">
                  <c:v>58</c:v>
                </c:pt>
                <c:pt idx="279">
                  <c:v>61</c:v>
                </c:pt>
                <c:pt idx="280">
                  <c:v>42</c:v>
                </c:pt>
                <c:pt idx="281">
                  <c:v>52</c:v>
                </c:pt>
                <c:pt idx="282">
                  <c:v>59</c:v>
                </c:pt>
                <c:pt idx="283">
                  <c:v>40</c:v>
                </c:pt>
                <c:pt idx="284">
                  <c:v>61</c:v>
                </c:pt>
                <c:pt idx="285">
                  <c:v>46</c:v>
                </c:pt>
                <c:pt idx="286">
                  <c:v>59</c:v>
                </c:pt>
                <c:pt idx="287">
                  <c:v>57</c:v>
                </c:pt>
                <c:pt idx="288">
                  <c:v>57</c:v>
                </c:pt>
                <c:pt idx="289">
                  <c:v>55</c:v>
                </c:pt>
                <c:pt idx="290">
                  <c:v>61</c:v>
                </c:pt>
                <c:pt idx="291">
                  <c:v>58</c:v>
                </c:pt>
                <c:pt idx="292">
                  <c:v>58</c:v>
                </c:pt>
                <c:pt idx="293">
                  <c:v>67</c:v>
                </c:pt>
                <c:pt idx="294">
                  <c:v>44</c:v>
                </c:pt>
                <c:pt idx="295">
                  <c:v>63</c:v>
                </c:pt>
                <c:pt idx="296">
                  <c:v>63</c:v>
                </c:pt>
                <c:pt idx="297">
                  <c:v>59</c:v>
                </c:pt>
                <c:pt idx="298">
                  <c:v>57</c:v>
                </c:pt>
                <c:pt idx="299">
                  <c:v>45</c:v>
                </c:pt>
                <c:pt idx="300">
                  <c:v>68</c:v>
                </c:pt>
                <c:pt idx="301">
                  <c:v>57</c:v>
                </c:pt>
                <c:pt idx="302">
                  <c:v>57</c:v>
                </c:pt>
              </c:numCache>
            </c:numRef>
          </c:xVal>
          <c:yVal>
            <c:numRef>
              <c:f>regression!$B$25:$B$327</c:f>
              <c:numCache>
                <c:formatCode>General</c:formatCode>
                <c:ptCount val="303"/>
                <c:pt idx="0">
                  <c:v>256.79227200605419</c:v>
                </c:pt>
                <c:pt idx="1">
                  <c:v>225.08679843430539</c:v>
                </c:pt>
                <c:pt idx="2">
                  <c:v>229.96456359918983</c:v>
                </c:pt>
                <c:pt idx="3">
                  <c:v>248.25618296750645</c:v>
                </c:pt>
                <c:pt idx="4">
                  <c:v>249.47562425872755</c:v>
                </c:pt>
                <c:pt idx="5">
                  <c:v>249.47562425872755</c:v>
                </c:pt>
                <c:pt idx="6">
                  <c:v>248.25618296750645</c:v>
                </c:pt>
                <c:pt idx="7">
                  <c:v>233.62288747285317</c:v>
                </c:pt>
                <c:pt idx="8">
                  <c:v>243.37841780262201</c:v>
                </c:pt>
                <c:pt idx="9">
                  <c:v>249.47562425872755</c:v>
                </c:pt>
                <c:pt idx="10">
                  <c:v>245.81730038506424</c:v>
                </c:pt>
                <c:pt idx="11">
                  <c:v>238.50065263773757</c:v>
                </c:pt>
                <c:pt idx="12">
                  <c:v>239.7200939289587</c:v>
                </c:pt>
                <c:pt idx="13">
                  <c:v>258.01171329727526</c:v>
                </c:pt>
                <c:pt idx="14">
                  <c:v>250.69506554994865</c:v>
                </c:pt>
                <c:pt idx="15">
                  <c:v>240.93953522017978</c:v>
                </c:pt>
                <c:pt idx="16">
                  <c:v>250.69506554994865</c:v>
                </c:pt>
                <c:pt idx="17">
                  <c:v>260.45059587971753</c:v>
                </c:pt>
                <c:pt idx="18">
                  <c:v>232.40344618163203</c:v>
                </c:pt>
                <c:pt idx="19">
                  <c:v>264.10891975338086</c:v>
                </c:pt>
                <c:pt idx="20">
                  <c:v>251.91450684116975</c:v>
                </c:pt>
                <c:pt idx="21">
                  <c:v>233.62288747285317</c:v>
                </c:pt>
                <c:pt idx="22">
                  <c:v>231.18400489041093</c:v>
                </c:pt>
                <c:pt idx="23">
                  <c:v>254.35338942361199</c:v>
                </c:pt>
                <c:pt idx="24">
                  <c:v>228.74512230796873</c:v>
                </c:pt>
                <c:pt idx="25">
                  <c:v>266.54780233582301</c:v>
                </c:pt>
                <c:pt idx="26">
                  <c:v>251.91450684116975</c:v>
                </c:pt>
                <c:pt idx="27">
                  <c:v>242.15897651140091</c:v>
                </c:pt>
                <c:pt idx="28">
                  <c:v>259.23115458849639</c:v>
                </c:pt>
                <c:pt idx="29">
                  <c:v>244.59785909384311</c:v>
                </c:pt>
                <c:pt idx="30">
                  <c:v>229.96456359918983</c:v>
                </c:pt>
                <c:pt idx="31">
                  <c:v>259.23115458849639</c:v>
                </c:pt>
                <c:pt idx="32">
                  <c:v>233.62288747285317</c:v>
                </c:pt>
                <c:pt idx="33">
                  <c:v>245.81730038506424</c:v>
                </c:pt>
                <c:pt idx="34">
                  <c:v>242.15897651140091</c:v>
                </c:pt>
                <c:pt idx="35">
                  <c:v>236.06177005529537</c:v>
                </c:pt>
                <c:pt idx="36">
                  <c:v>245.81730038506424</c:v>
                </c:pt>
                <c:pt idx="37">
                  <c:v>245.81730038506424</c:v>
                </c:pt>
                <c:pt idx="38">
                  <c:v>259.23115458849639</c:v>
                </c:pt>
                <c:pt idx="39">
                  <c:v>259.23115458849639</c:v>
                </c:pt>
                <c:pt idx="40">
                  <c:v>242.15897651140091</c:v>
                </c:pt>
                <c:pt idx="41">
                  <c:v>238.50065263773757</c:v>
                </c:pt>
                <c:pt idx="42">
                  <c:v>234.84232876407427</c:v>
                </c:pt>
                <c:pt idx="43">
                  <c:v>244.59785909384311</c:v>
                </c:pt>
                <c:pt idx="44">
                  <c:v>227.52568101674763</c:v>
                </c:pt>
                <c:pt idx="45">
                  <c:v>243.37841780262201</c:v>
                </c:pt>
                <c:pt idx="46">
                  <c:v>233.62288747285317</c:v>
                </c:pt>
                <c:pt idx="47">
                  <c:v>237.28121134651647</c:v>
                </c:pt>
                <c:pt idx="48">
                  <c:v>244.59785909384311</c:v>
                </c:pt>
                <c:pt idx="49">
                  <c:v>244.59785909384311</c:v>
                </c:pt>
                <c:pt idx="50">
                  <c:v>242.15897651140091</c:v>
                </c:pt>
                <c:pt idx="51">
                  <c:v>260.45059587971753</c:v>
                </c:pt>
                <c:pt idx="52">
                  <c:v>255.57283071483306</c:v>
                </c:pt>
                <c:pt idx="53">
                  <c:v>233.62288747285317</c:v>
                </c:pt>
                <c:pt idx="54">
                  <c:v>256.79227200605419</c:v>
                </c:pt>
                <c:pt idx="55">
                  <c:v>243.37841780262201</c:v>
                </c:pt>
                <c:pt idx="56">
                  <c:v>238.50065263773757</c:v>
                </c:pt>
                <c:pt idx="57">
                  <c:v>234.84232876407427</c:v>
                </c:pt>
                <c:pt idx="58">
                  <c:v>221.42847456064209</c:v>
                </c:pt>
                <c:pt idx="59">
                  <c:v>249.47562425872755</c:v>
                </c:pt>
                <c:pt idx="60">
                  <c:v>266.54780233582301</c:v>
                </c:pt>
                <c:pt idx="61">
                  <c:v>245.81730038506424</c:v>
                </c:pt>
                <c:pt idx="62">
                  <c:v>243.37841780262201</c:v>
                </c:pt>
                <c:pt idx="63">
                  <c:v>229.96456359918983</c:v>
                </c:pt>
                <c:pt idx="64">
                  <c:v>250.69506554994865</c:v>
                </c:pt>
                <c:pt idx="65">
                  <c:v>222.64791585186319</c:v>
                </c:pt>
                <c:pt idx="66">
                  <c:v>242.15897651140091</c:v>
                </c:pt>
                <c:pt idx="67">
                  <c:v>234.84232876407427</c:v>
                </c:pt>
                <c:pt idx="68">
                  <c:v>233.62288747285317</c:v>
                </c:pt>
                <c:pt idx="69">
                  <c:v>255.57283071483306</c:v>
                </c:pt>
                <c:pt idx="70">
                  <c:v>245.81730038506424</c:v>
                </c:pt>
                <c:pt idx="71">
                  <c:v>242.15897651140091</c:v>
                </c:pt>
                <c:pt idx="72">
                  <c:v>215.33126810453655</c:v>
                </c:pt>
                <c:pt idx="73">
                  <c:v>242.15897651140091</c:v>
                </c:pt>
                <c:pt idx="74">
                  <c:v>232.40344618163203</c:v>
                </c:pt>
                <c:pt idx="75">
                  <c:v>247.03674167628532</c:v>
                </c:pt>
                <c:pt idx="76">
                  <c:v>242.15897651140091</c:v>
                </c:pt>
                <c:pt idx="77">
                  <c:v>251.91450684116975</c:v>
                </c:pt>
                <c:pt idx="78">
                  <c:v>243.37841780262201</c:v>
                </c:pt>
                <c:pt idx="79">
                  <c:v>250.69506554994865</c:v>
                </c:pt>
                <c:pt idx="80">
                  <c:v>229.96456359918983</c:v>
                </c:pt>
                <c:pt idx="81">
                  <c:v>234.84232876407427</c:v>
                </c:pt>
                <c:pt idx="82">
                  <c:v>253.13394813239086</c:v>
                </c:pt>
                <c:pt idx="83">
                  <c:v>243.37841780262201</c:v>
                </c:pt>
                <c:pt idx="84">
                  <c:v>231.18400489041093</c:v>
                </c:pt>
                <c:pt idx="85">
                  <c:v>261.6700371709386</c:v>
                </c:pt>
                <c:pt idx="86">
                  <c:v>262.88947846215973</c:v>
                </c:pt>
                <c:pt idx="87">
                  <c:v>236.06177005529537</c:v>
                </c:pt>
                <c:pt idx="88">
                  <c:v>245.81730038506424</c:v>
                </c:pt>
                <c:pt idx="89">
                  <c:v>250.69506554994865</c:v>
                </c:pt>
                <c:pt idx="90">
                  <c:v>238.50065263773757</c:v>
                </c:pt>
                <c:pt idx="91">
                  <c:v>249.47562425872755</c:v>
                </c:pt>
                <c:pt idx="92">
                  <c:v>243.37841780262201</c:v>
                </c:pt>
                <c:pt idx="93">
                  <c:v>245.81730038506424</c:v>
                </c:pt>
                <c:pt idx="94">
                  <c:v>234.84232876407427</c:v>
                </c:pt>
                <c:pt idx="95">
                  <c:v>244.59785909384311</c:v>
                </c:pt>
                <c:pt idx="96">
                  <c:v>255.57283071483306</c:v>
                </c:pt>
                <c:pt idx="97">
                  <c:v>243.37841780262201</c:v>
                </c:pt>
                <c:pt idx="98">
                  <c:v>232.40344618163203</c:v>
                </c:pt>
                <c:pt idx="99">
                  <c:v>244.59785909384311</c:v>
                </c:pt>
                <c:pt idx="100">
                  <c:v>231.18400489041093</c:v>
                </c:pt>
                <c:pt idx="101">
                  <c:v>251.91450684116975</c:v>
                </c:pt>
                <c:pt idx="102">
                  <c:v>256.79227200605419</c:v>
                </c:pt>
                <c:pt idx="103">
                  <c:v>231.18400489041093</c:v>
                </c:pt>
                <c:pt idx="104">
                  <c:v>240.93953522017978</c:v>
                </c:pt>
                <c:pt idx="105">
                  <c:v>262.88947846215973</c:v>
                </c:pt>
                <c:pt idx="106">
                  <c:v>264.10891975338086</c:v>
                </c:pt>
                <c:pt idx="107">
                  <c:v>234.84232876407427</c:v>
                </c:pt>
                <c:pt idx="108">
                  <c:v>240.93953522017978</c:v>
                </c:pt>
                <c:pt idx="109">
                  <c:v>240.93953522017978</c:v>
                </c:pt>
                <c:pt idx="110">
                  <c:v>258.01171329727526</c:v>
                </c:pt>
                <c:pt idx="111">
                  <c:v>249.47562425872755</c:v>
                </c:pt>
                <c:pt idx="112">
                  <c:v>258.01171329727526</c:v>
                </c:pt>
                <c:pt idx="113">
                  <c:v>232.40344618163203</c:v>
                </c:pt>
                <c:pt idx="114">
                  <c:v>247.03674167628532</c:v>
                </c:pt>
                <c:pt idx="115">
                  <c:v>225.08679843430539</c:v>
                </c:pt>
                <c:pt idx="116">
                  <c:v>229.96456359918983</c:v>
                </c:pt>
                <c:pt idx="117">
                  <c:v>248.25618296750645</c:v>
                </c:pt>
                <c:pt idx="118">
                  <c:v>236.06177005529537</c:v>
                </c:pt>
                <c:pt idx="119">
                  <c:v>236.06177005529537</c:v>
                </c:pt>
                <c:pt idx="120">
                  <c:v>258.01171329727526</c:v>
                </c:pt>
                <c:pt idx="121">
                  <c:v>251.91450684116975</c:v>
                </c:pt>
                <c:pt idx="122">
                  <c:v>229.96456359918983</c:v>
                </c:pt>
                <c:pt idx="123">
                  <c:v>245.81730038506424</c:v>
                </c:pt>
                <c:pt idx="124">
                  <c:v>227.52568101674763</c:v>
                </c:pt>
                <c:pt idx="125">
                  <c:v>221.42847456064209</c:v>
                </c:pt>
                <c:pt idx="126">
                  <c:v>237.28121134651647</c:v>
                </c:pt>
                <c:pt idx="127">
                  <c:v>261.6700371709386</c:v>
                </c:pt>
                <c:pt idx="128">
                  <c:v>243.37841780262201</c:v>
                </c:pt>
                <c:pt idx="129">
                  <c:v>270.20612620948634</c:v>
                </c:pt>
                <c:pt idx="130">
                  <c:v>245.81730038506424</c:v>
                </c:pt>
                <c:pt idx="131">
                  <c:v>239.7200939289587</c:v>
                </c:pt>
                <c:pt idx="132">
                  <c:v>231.18400489041093</c:v>
                </c:pt>
                <c:pt idx="133">
                  <c:v>229.96456359918983</c:v>
                </c:pt>
                <c:pt idx="134">
                  <c:v>229.96456359918983</c:v>
                </c:pt>
                <c:pt idx="135">
                  <c:v>239.7200939289587</c:v>
                </c:pt>
                <c:pt idx="136">
                  <c:v>253.13394813239086</c:v>
                </c:pt>
                <c:pt idx="137">
                  <c:v>255.57283071483306</c:v>
                </c:pt>
                <c:pt idx="138">
                  <c:v>249.47562425872755</c:v>
                </c:pt>
                <c:pt idx="139">
                  <c:v>258.01171329727526</c:v>
                </c:pt>
                <c:pt idx="140">
                  <c:v>242.15897651140091</c:v>
                </c:pt>
                <c:pt idx="141">
                  <c:v>232.40344618163203</c:v>
                </c:pt>
                <c:pt idx="142">
                  <c:v>231.18400489041093</c:v>
                </c:pt>
                <c:pt idx="143">
                  <c:v>261.6700371709386</c:v>
                </c:pt>
                <c:pt idx="144">
                  <c:v>272.6450087919286</c:v>
                </c:pt>
                <c:pt idx="145">
                  <c:v>265.32836104460193</c:v>
                </c:pt>
                <c:pt idx="146">
                  <c:v>233.62288747285317</c:v>
                </c:pt>
                <c:pt idx="147">
                  <c:v>253.13394813239086</c:v>
                </c:pt>
                <c:pt idx="148">
                  <c:v>233.62288747285317</c:v>
                </c:pt>
                <c:pt idx="149">
                  <c:v>231.18400489041093</c:v>
                </c:pt>
                <c:pt idx="150">
                  <c:v>260.45059587971753</c:v>
                </c:pt>
                <c:pt idx="151">
                  <c:v>266.54780233582301</c:v>
                </c:pt>
                <c:pt idx="152">
                  <c:v>258.01171329727526</c:v>
                </c:pt>
                <c:pt idx="153">
                  <c:v>260.45059587971753</c:v>
                </c:pt>
                <c:pt idx="154">
                  <c:v>227.52568101674763</c:v>
                </c:pt>
                <c:pt idx="155">
                  <c:v>250.69506554994865</c:v>
                </c:pt>
                <c:pt idx="156">
                  <c:v>237.28121134651647</c:v>
                </c:pt>
                <c:pt idx="157">
                  <c:v>222.64791585186319</c:v>
                </c:pt>
                <c:pt idx="158">
                  <c:v>250.69506554994865</c:v>
                </c:pt>
                <c:pt idx="159">
                  <c:v>248.25618296750645</c:v>
                </c:pt>
                <c:pt idx="160">
                  <c:v>248.25618296750645</c:v>
                </c:pt>
                <c:pt idx="161">
                  <c:v>247.03674167628532</c:v>
                </c:pt>
                <c:pt idx="162">
                  <c:v>229.96456359918983</c:v>
                </c:pt>
                <c:pt idx="163">
                  <c:v>226.3062397255265</c:v>
                </c:pt>
                <c:pt idx="164">
                  <c:v>226.3062397255265</c:v>
                </c:pt>
                <c:pt idx="165">
                  <c:v>261.6700371709386</c:v>
                </c:pt>
                <c:pt idx="166">
                  <c:v>261.6700371709386</c:v>
                </c:pt>
                <c:pt idx="167">
                  <c:v>255.57283071483306</c:v>
                </c:pt>
                <c:pt idx="168">
                  <c:v>256.79227200605419</c:v>
                </c:pt>
                <c:pt idx="169">
                  <c:v>244.59785909384311</c:v>
                </c:pt>
                <c:pt idx="170">
                  <c:v>248.25618296750645</c:v>
                </c:pt>
                <c:pt idx="171">
                  <c:v>238.50065263773757</c:v>
                </c:pt>
                <c:pt idx="172">
                  <c:v>250.69506554994865</c:v>
                </c:pt>
                <c:pt idx="173">
                  <c:v>250.69506554994865</c:v>
                </c:pt>
                <c:pt idx="174">
                  <c:v>253.13394813239086</c:v>
                </c:pt>
                <c:pt idx="175">
                  <c:v>228.74512230796873</c:v>
                </c:pt>
                <c:pt idx="176">
                  <c:v>253.13394813239086</c:v>
                </c:pt>
                <c:pt idx="177">
                  <c:v>258.01171329727526</c:v>
                </c:pt>
                <c:pt idx="178">
                  <c:v>232.40344618163203</c:v>
                </c:pt>
                <c:pt idx="179">
                  <c:v>249.47562425872755</c:v>
                </c:pt>
                <c:pt idx="180">
                  <c:v>247.03674167628532</c:v>
                </c:pt>
                <c:pt idx="181">
                  <c:v>259.23115458849639</c:v>
                </c:pt>
                <c:pt idx="182">
                  <c:v>254.35338942361199</c:v>
                </c:pt>
                <c:pt idx="183">
                  <c:v>250.69506554994865</c:v>
                </c:pt>
                <c:pt idx="184">
                  <c:v>240.93953522017978</c:v>
                </c:pt>
                <c:pt idx="185">
                  <c:v>233.62288747285317</c:v>
                </c:pt>
                <c:pt idx="186">
                  <c:v>253.13394813239086</c:v>
                </c:pt>
                <c:pt idx="187">
                  <c:v>245.81730038506424</c:v>
                </c:pt>
                <c:pt idx="188">
                  <c:v>240.93953522017978</c:v>
                </c:pt>
                <c:pt idx="189">
                  <c:v>229.96456359918983</c:v>
                </c:pt>
                <c:pt idx="190">
                  <c:v>242.15897651140091</c:v>
                </c:pt>
                <c:pt idx="191">
                  <c:v>250.69506554994865</c:v>
                </c:pt>
                <c:pt idx="192">
                  <c:v>245.81730038506424</c:v>
                </c:pt>
                <c:pt idx="193">
                  <c:v>253.13394813239086</c:v>
                </c:pt>
                <c:pt idx="194">
                  <c:v>253.13394813239086</c:v>
                </c:pt>
                <c:pt idx="195">
                  <c:v>251.91450684116975</c:v>
                </c:pt>
                <c:pt idx="196">
                  <c:v>236.06177005529537</c:v>
                </c:pt>
                <c:pt idx="197">
                  <c:v>261.6700371709386</c:v>
                </c:pt>
                <c:pt idx="198">
                  <c:v>255.57283071483306</c:v>
                </c:pt>
                <c:pt idx="199">
                  <c:v>259.23115458849639</c:v>
                </c:pt>
                <c:pt idx="200">
                  <c:v>233.62288747285317</c:v>
                </c:pt>
                <c:pt idx="201">
                  <c:v>253.13394813239086</c:v>
                </c:pt>
                <c:pt idx="202">
                  <c:v>250.69506554994865</c:v>
                </c:pt>
                <c:pt idx="203">
                  <c:v>262.88947846215973</c:v>
                </c:pt>
                <c:pt idx="204">
                  <c:v>255.57283071483306</c:v>
                </c:pt>
                <c:pt idx="205">
                  <c:v>243.37841780262201</c:v>
                </c:pt>
                <c:pt idx="206">
                  <c:v>251.91450684116975</c:v>
                </c:pt>
                <c:pt idx="207">
                  <c:v>253.13394813239086</c:v>
                </c:pt>
                <c:pt idx="208">
                  <c:v>239.7200939289587</c:v>
                </c:pt>
                <c:pt idx="209">
                  <c:v>251.91450684116975</c:v>
                </c:pt>
                <c:pt idx="210">
                  <c:v>249.47562425872755</c:v>
                </c:pt>
                <c:pt idx="211">
                  <c:v>254.35338942361199</c:v>
                </c:pt>
                <c:pt idx="212">
                  <c:v>227.52568101674763</c:v>
                </c:pt>
                <c:pt idx="213">
                  <c:v>254.35338942361199</c:v>
                </c:pt>
                <c:pt idx="214">
                  <c:v>248.25618296750645</c:v>
                </c:pt>
                <c:pt idx="215">
                  <c:v>232.40344618163203</c:v>
                </c:pt>
                <c:pt idx="216">
                  <c:v>255.57283071483306</c:v>
                </c:pt>
                <c:pt idx="217">
                  <c:v>256.79227200605419</c:v>
                </c:pt>
                <c:pt idx="218">
                  <c:v>259.23115458849639</c:v>
                </c:pt>
                <c:pt idx="219">
                  <c:v>238.50065263773757</c:v>
                </c:pt>
                <c:pt idx="220">
                  <c:v>256.79227200605419</c:v>
                </c:pt>
                <c:pt idx="221">
                  <c:v>247.03674167628532</c:v>
                </c:pt>
                <c:pt idx="222">
                  <c:v>259.23115458849639</c:v>
                </c:pt>
                <c:pt idx="223">
                  <c:v>248.25618296750645</c:v>
                </c:pt>
                <c:pt idx="224">
                  <c:v>245.81730038506424</c:v>
                </c:pt>
                <c:pt idx="225">
                  <c:v>265.32836104460193</c:v>
                </c:pt>
                <c:pt idx="226">
                  <c:v>255.57283071483306</c:v>
                </c:pt>
                <c:pt idx="227">
                  <c:v>222.64791585186319</c:v>
                </c:pt>
                <c:pt idx="228">
                  <c:v>251.91450684116975</c:v>
                </c:pt>
                <c:pt idx="229">
                  <c:v>258.01171329727526</c:v>
                </c:pt>
                <c:pt idx="230">
                  <c:v>237.28121134651647</c:v>
                </c:pt>
                <c:pt idx="231">
                  <c:v>249.47562425872755</c:v>
                </c:pt>
                <c:pt idx="232">
                  <c:v>247.03674167628532</c:v>
                </c:pt>
                <c:pt idx="233">
                  <c:v>258.01171329727526</c:v>
                </c:pt>
                <c:pt idx="234">
                  <c:v>265.32836104460193</c:v>
                </c:pt>
                <c:pt idx="235">
                  <c:v>242.15897651140091</c:v>
                </c:pt>
                <c:pt idx="236">
                  <c:v>250.69506554994865</c:v>
                </c:pt>
                <c:pt idx="237">
                  <c:v>253.13394813239086</c:v>
                </c:pt>
                <c:pt idx="238">
                  <c:v>273.86445008314968</c:v>
                </c:pt>
                <c:pt idx="239">
                  <c:v>222.64791585186319</c:v>
                </c:pt>
                <c:pt idx="240">
                  <c:v>265.32836104460193</c:v>
                </c:pt>
                <c:pt idx="241">
                  <c:v>251.91450684116975</c:v>
                </c:pt>
                <c:pt idx="242">
                  <c:v>258.01171329727526</c:v>
                </c:pt>
                <c:pt idx="243">
                  <c:v>249.47562425872755</c:v>
                </c:pt>
                <c:pt idx="244">
                  <c:v>248.25618296750645</c:v>
                </c:pt>
                <c:pt idx="245">
                  <c:v>238.50065263773757</c:v>
                </c:pt>
                <c:pt idx="246">
                  <c:v>248.25618296750645</c:v>
                </c:pt>
                <c:pt idx="247">
                  <c:v>260.45059587971753</c:v>
                </c:pt>
                <c:pt idx="248">
                  <c:v>245.81730038506424</c:v>
                </c:pt>
                <c:pt idx="249">
                  <c:v>264.10891975338086</c:v>
                </c:pt>
                <c:pt idx="250">
                  <c:v>242.15897651140091</c:v>
                </c:pt>
                <c:pt idx="251">
                  <c:v>232.40344618163203</c:v>
                </c:pt>
                <c:pt idx="252">
                  <c:v>255.57283071483306</c:v>
                </c:pt>
                <c:pt idx="253">
                  <c:v>261.6700371709386</c:v>
                </c:pt>
                <c:pt idx="254">
                  <c:v>251.91450684116975</c:v>
                </c:pt>
                <c:pt idx="255">
                  <c:v>234.84232876407427</c:v>
                </c:pt>
                <c:pt idx="256">
                  <c:v>250.69506554994865</c:v>
                </c:pt>
                <c:pt idx="257">
                  <c:v>240.93953522017978</c:v>
                </c:pt>
                <c:pt idx="258">
                  <c:v>255.57283071483306</c:v>
                </c:pt>
                <c:pt idx="259">
                  <c:v>226.3062397255265</c:v>
                </c:pt>
                <c:pt idx="260">
                  <c:v>260.45059587971753</c:v>
                </c:pt>
                <c:pt idx="261">
                  <c:v>243.37841780262201</c:v>
                </c:pt>
                <c:pt idx="262">
                  <c:v>244.59785909384311</c:v>
                </c:pt>
                <c:pt idx="263">
                  <c:v>256.79227200605419</c:v>
                </c:pt>
                <c:pt idx="264">
                  <c:v>245.81730038506424</c:v>
                </c:pt>
                <c:pt idx="265">
                  <c:v>260.45059587971753</c:v>
                </c:pt>
                <c:pt idx="266">
                  <c:v>247.03674167628532</c:v>
                </c:pt>
                <c:pt idx="267">
                  <c:v>239.7200939289587</c:v>
                </c:pt>
                <c:pt idx="268">
                  <c:v>245.81730038506424</c:v>
                </c:pt>
                <c:pt idx="269">
                  <c:v>248.25618296750645</c:v>
                </c:pt>
                <c:pt idx="270">
                  <c:v>236.06177005529537</c:v>
                </c:pt>
                <c:pt idx="271">
                  <c:v>254.35338942361199</c:v>
                </c:pt>
                <c:pt idx="272">
                  <c:v>261.6700371709386</c:v>
                </c:pt>
                <c:pt idx="273">
                  <c:v>250.69506554994865</c:v>
                </c:pt>
                <c:pt idx="274">
                  <c:v>237.28121134651647</c:v>
                </c:pt>
                <c:pt idx="275">
                  <c:v>243.37841780262201</c:v>
                </c:pt>
                <c:pt idx="276">
                  <c:v>250.69506554994865</c:v>
                </c:pt>
                <c:pt idx="277">
                  <c:v>249.47562425872755</c:v>
                </c:pt>
                <c:pt idx="278">
                  <c:v>250.69506554994865</c:v>
                </c:pt>
                <c:pt idx="279">
                  <c:v>254.35338942361199</c:v>
                </c:pt>
                <c:pt idx="280">
                  <c:v>231.18400489041093</c:v>
                </c:pt>
                <c:pt idx="281">
                  <c:v>243.37841780262201</c:v>
                </c:pt>
                <c:pt idx="282">
                  <c:v>251.91450684116975</c:v>
                </c:pt>
                <c:pt idx="283">
                  <c:v>228.74512230796873</c:v>
                </c:pt>
                <c:pt idx="284">
                  <c:v>254.35338942361199</c:v>
                </c:pt>
                <c:pt idx="285">
                  <c:v>236.06177005529537</c:v>
                </c:pt>
                <c:pt idx="286">
                  <c:v>251.91450684116975</c:v>
                </c:pt>
                <c:pt idx="287">
                  <c:v>249.47562425872755</c:v>
                </c:pt>
                <c:pt idx="288">
                  <c:v>249.47562425872755</c:v>
                </c:pt>
                <c:pt idx="289">
                  <c:v>247.03674167628532</c:v>
                </c:pt>
                <c:pt idx="290">
                  <c:v>254.35338942361199</c:v>
                </c:pt>
                <c:pt idx="291">
                  <c:v>250.69506554994865</c:v>
                </c:pt>
                <c:pt idx="292">
                  <c:v>250.69506554994865</c:v>
                </c:pt>
                <c:pt idx="293">
                  <c:v>261.6700371709386</c:v>
                </c:pt>
                <c:pt idx="294">
                  <c:v>233.62288747285317</c:v>
                </c:pt>
                <c:pt idx="295">
                  <c:v>256.79227200605419</c:v>
                </c:pt>
                <c:pt idx="296">
                  <c:v>256.79227200605419</c:v>
                </c:pt>
                <c:pt idx="297">
                  <c:v>251.91450684116975</c:v>
                </c:pt>
                <c:pt idx="298">
                  <c:v>249.47562425872755</c:v>
                </c:pt>
                <c:pt idx="299">
                  <c:v>234.84232876407427</c:v>
                </c:pt>
                <c:pt idx="300">
                  <c:v>262.88947846215973</c:v>
                </c:pt>
                <c:pt idx="301">
                  <c:v>249.47562425872755</c:v>
                </c:pt>
                <c:pt idx="302">
                  <c:v>249.47562425872755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A5F-4FD8-82B6-1EF5DDD73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7627119"/>
        <c:axId val="607627599"/>
      </c:scatterChart>
      <c:valAx>
        <c:axId val="60762711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age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07627599"/>
        <c:crosses val="autoZero"/>
        <c:crossBetween val="midCat"/>
      </c:valAx>
      <c:valAx>
        <c:axId val="607627599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chol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07627119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Normal Probability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regression!$F$25:$F$327</c:f>
              <c:numCache>
                <c:formatCode>General</c:formatCode>
                <c:ptCount val="303"/>
                <c:pt idx="0">
                  <c:v>0.16501650165016502</c:v>
                </c:pt>
                <c:pt idx="1">
                  <c:v>0.49504950495049505</c:v>
                </c:pt>
                <c:pt idx="2">
                  <c:v>0.82508250825082508</c:v>
                </c:pt>
                <c:pt idx="3">
                  <c:v>1.1551155115511551</c:v>
                </c:pt>
                <c:pt idx="4">
                  <c:v>1.4851485148514851</c:v>
                </c:pt>
                <c:pt idx="5">
                  <c:v>1.8151815181518152</c:v>
                </c:pt>
                <c:pt idx="6">
                  <c:v>2.1452145214521452</c:v>
                </c:pt>
                <c:pt idx="7">
                  <c:v>2.4752475247524752</c:v>
                </c:pt>
                <c:pt idx="8">
                  <c:v>2.8052805280528053</c:v>
                </c:pt>
                <c:pt idx="9">
                  <c:v>3.1353135313531353</c:v>
                </c:pt>
                <c:pt idx="10">
                  <c:v>3.4653465346534653</c:v>
                </c:pt>
                <c:pt idx="11">
                  <c:v>3.7953795379537953</c:v>
                </c:pt>
                <c:pt idx="12">
                  <c:v>4.1254125412541249</c:v>
                </c:pt>
                <c:pt idx="13">
                  <c:v>4.4554455445544559</c:v>
                </c:pt>
                <c:pt idx="14">
                  <c:v>4.785478547854785</c:v>
                </c:pt>
                <c:pt idx="15">
                  <c:v>5.1155115511551159</c:v>
                </c:pt>
                <c:pt idx="16">
                  <c:v>5.4455445544554451</c:v>
                </c:pt>
                <c:pt idx="17">
                  <c:v>5.775577557755776</c:v>
                </c:pt>
                <c:pt idx="18">
                  <c:v>6.1056105610561051</c:v>
                </c:pt>
                <c:pt idx="19">
                  <c:v>6.435643564356436</c:v>
                </c:pt>
                <c:pt idx="20">
                  <c:v>6.7656765676567652</c:v>
                </c:pt>
                <c:pt idx="21">
                  <c:v>7.0957095709570961</c:v>
                </c:pt>
                <c:pt idx="22">
                  <c:v>7.4257425742574252</c:v>
                </c:pt>
                <c:pt idx="23">
                  <c:v>7.7557755775577562</c:v>
                </c:pt>
                <c:pt idx="24">
                  <c:v>8.0858085808580853</c:v>
                </c:pt>
                <c:pt idx="25">
                  <c:v>8.4158415841584144</c:v>
                </c:pt>
                <c:pt idx="26">
                  <c:v>8.7458745874587454</c:v>
                </c:pt>
                <c:pt idx="27">
                  <c:v>9.0759075907590763</c:v>
                </c:pt>
                <c:pt idx="28">
                  <c:v>9.4059405940594054</c:v>
                </c:pt>
                <c:pt idx="29">
                  <c:v>9.7359735973597346</c:v>
                </c:pt>
                <c:pt idx="30">
                  <c:v>10.066006600660065</c:v>
                </c:pt>
                <c:pt idx="31">
                  <c:v>10.396039603960396</c:v>
                </c:pt>
                <c:pt idx="32">
                  <c:v>10.726072607260726</c:v>
                </c:pt>
                <c:pt idx="33">
                  <c:v>11.056105610561055</c:v>
                </c:pt>
                <c:pt idx="34">
                  <c:v>11.386138613861386</c:v>
                </c:pt>
                <c:pt idx="35">
                  <c:v>11.716171617161717</c:v>
                </c:pt>
                <c:pt idx="36">
                  <c:v>12.046204620462046</c:v>
                </c:pt>
                <c:pt idx="37">
                  <c:v>12.376237623762375</c:v>
                </c:pt>
                <c:pt idx="38">
                  <c:v>12.706270627062706</c:v>
                </c:pt>
                <c:pt idx="39">
                  <c:v>13.036303630363037</c:v>
                </c:pt>
                <c:pt idx="40">
                  <c:v>13.366336633663366</c:v>
                </c:pt>
                <c:pt idx="41">
                  <c:v>13.696369636963695</c:v>
                </c:pt>
                <c:pt idx="42">
                  <c:v>14.026402640264026</c:v>
                </c:pt>
                <c:pt idx="43">
                  <c:v>14.356435643564357</c:v>
                </c:pt>
                <c:pt idx="44">
                  <c:v>14.686468646864686</c:v>
                </c:pt>
                <c:pt idx="45">
                  <c:v>15.016501650165015</c:v>
                </c:pt>
                <c:pt idx="46">
                  <c:v>15.346534653465346</c:v>
                </c:pt>
                <c:pt idx="47">
                  <c:v>15.676567656765677</c:v>
                </c:pt>
                <c:pt idx="48">
                  <c:v>16.006600660066006</c:v>
                </c:pt>
                <c:pt idx="49">
                  <c:v>16.336633663366335</c:v>
                </c:pt>
                <c:pt idx="50">
                  <c:v>16.666666666666664</c:v>
                </c:pt>
                <c:pt idx="51">
                  <c:v>16.996699669966997</c:v>
                </c:pt>
                <c:pt idx="52">
                  <c:v>17.326732673267326</c:v>
                </c:pt>
                <c:pt idx="53">
                  <c:v>17.656765676567655</c:v>
                </c:pt>
                <c:pt idx="54">
                  <c:v>17.986798679867988</c:v>
                </c:pt>
                <c:pt idx="55">
                  <c:v>18.316831683168317</c:v>
                </c:pt>
                <c:pt idx="56">
                  <c:v>18.646864686468646</c:v>
                </c:pt>
                <c:pt idx="57">
                  <c:v>18.976897689768975</c:v>
                </c:pt>
                <c:pt idx="58">
                  <c:v>19.306930693069305</c:v>
                </c:pt>
                <c:pt idx="59">
                  <c:v>19.636963696369637</c:v>
                </c:pt>
                <c:pt idx="60">
                  <c:v>19.966996699669966</c:v>
                </c:pt>
                <c:pt idx="61">
                  <c:v>20.297029702970296</c:v>
                </c:pt>
                <c:pt idx="62">
                  <c:v>20.627062706270628</c:v>
                </c:pt>
                <c:pt idx="63">
                  <c:v>20.957095709570957</c:v>
                </c:pt>
                <c:pt idx="64">
                  <c:v>21.287128712871286</c:v>
                </c:pt>
                <c:pt idx="65">
                  <c:v>21.617161716171616</c:v>
                </c:pt>
                <c:pt idx="66">
                  <c:v>21.947194719471945</c:v>
                </c:pt>
                <c:pt idx="67">
                  <c:v>22.277227722772277</c:v>
                </c:pt>
                <c:pt idx="68">
                  <c:v>22.607260726072607</c:v>
                </c:pt>
                <c:pt idx="69">
                  <c:v>22.937293729372936</c:v>
                </c:pt>
                <c:pt idx="70">
                  <c:v>23.267326732673268</c:v>
                </c:pt>
                <c:pt idx="71">
                  <c:v>23.597359735973598</c:v>
                </c:pt>
                <c:pt idx="72">
                  <c:v>23.927392739273927</c:v>
                </c:pt>
                <c:pt idx="73">
                  <c:v>24.257425742574256</c:v>
                </c:pt>
                <c:pt idx="74">
                  <c:v>24.587458745874585</c:v>
                </c:pt>
                <c:pt idx="75">
                  <c:v>24.917491749174918</c:v>
                </c:pt>
                <c:pt idx="76">
                  <c:v>25.247524752475247</c:v>
                </c:pt>
                <c:pt idx="77">
                  <c:v>25.577557755775576</c:v>
                </c:pt>
                <c:pt idx="78">
                  <c:v>25.907590759075909</c:v>
                </c:pt>
                <c:pt idx="79">
                  <c:v>26.237623762376238</c:v>
                </c:pt>
                <c:pt idx="80">
                  <c:v>26.567656765676567</c:v>
                </c:pt>
                <c:pt idx="81">
                  <c:v>26.897689768976896</c:v>
                </c:pt>
                <c:pt idx="82">
                  <c:v>27.227722772277225</c:v>
                </c:pt>
                <c:pt idx="83">
                  <c:v>27.557755775577558</c:v>
                </c:pt>
                <c:pt idx="84">
                  <c:v>27.887788778877887</c:v>
                </c:pt>
                <c:pt idx="85">
                  <c:v>28.217821782178216</c:v>
                </c:pt>
                <c:pt idx="86">
                  <c:v>28.547854785478549</c:v>
                </c:pt>
                <c:pt idx="87">
                  <c:v>28.877887788778878</c:v>
                </c:pt>
                <c:pt idx="88">
                  <c:v>29.207920792079207</c:v>
                </c:pt>
                <c:pt idx="89">
                  <c:v>29.537953795379536</c:v>
                </c:pt>
                <c:pt idx="90">
                  <c:v>29.867986798679866</c:v>
                </c:pt>
                <c:pt idx="91">
                  <c:v>30.198019801980198</c:v>
                </c:pt>
                <c:pt idx="92">
                  <c:v>30.528052805280527</c:v>
                </c:pt>
                <c:pt idx="93">
                  <c:v>30.858085808580856</c:v>
                </c:pt>
                <c:pt idx="94">
                  <c:v>31.188118811881189</c:v>
                </c:pt>
                <c:pt idx="95">
                  <c:v>31.518151815181518</c:v>
                </c:pt>
                <c:pt idx="96">
                  <c:v>31.848184818481847</c:v>
                </c:pt>
                <c:pt idx="97">
                  <c:v>32.178217821782177</c:v>
                </c:pt>
                <c:pt idx="98">
                  <c:v>32.508250825082506</c:v>
                </c:pt>
                <c:pt idx="99">
                  <c:v>32.838283828382835</c:v>
                </c:pt>
                <c:pt idx="100">
                  <c:v>33.168316831683164</c:v>
                </c:pt>
                <c:pt idx="101">
                  <c:v>33.4983498349835</c:v>
                </c:pt>
                <c:pt idx="102">
                  <c:v>33.828382838283829</c:v>
                </c:pt>
                <c:pt idx="103">
                  <c:v>34.158415841584159</c:v>
                </c:pt>
                <c:pt idx="104">
                  <c:v>34.488448844884488</c:v>
                </c:pt>
                <c:pt idx="105">
                  <c:v>34.818481848184817</c:v>
                </c:pt>
                <c:pt idx="106">
                  <c:v>35.148514851485146</c:v>
                </c:pt>
                <c:pt idx="107">
                  <c:v>35.478547854785475</c:v>
                </c:pt>
                <c:pt idx="108">
                  <c:v>35.808580858085811</c:v>
                </c:pt>
                <c:pt idx="109">
                  <c:v>36.138613861386141</c:v>
                </c:pt>
                <c:pt idx="110">
                  <c:v>36.46864686468647</c:v>
                </c:pt>
                <c:pt idx="111">
                  <c:v>36.798679867986799</c:v>
                </c:pt>
                <c:pt idx="112">
                  <c:v>37.128712871287128</c:v>
                </c:pt>
                <c:pt idx="113">
                  <c:v>37.458745874587457</c:v>
                </c:pt>
                <c:pt idx="114">
                  <c:v>37.788778877887786</c:v>
                </c:pt>
                <c:pt idx="115">
                  <c:v>38.118811881188115</c:v>
                </c:pt>
                <c:pt idx="116">
                  <c:v>38.448844884488445</c:v>
                </c:pt>
                <c:pt idx="117">
                  <c:v>38.778877887788781</c:v>
                </c:pt>
                <c:pt idx="118">
                  <c:v>39.10891089108911</c:v>
                </c:pt>
                <c:pt idx="119">
                  <c:v>39.438943894389439</c:v>
                </c:pt>
                <c:pt idx="120">
                  <c:v>39.768976897689768</c:v>
                </c:pt>
                <c:pt idx="121">
                  <c:v>40.099009900990097</c:v>
                </c:pt>
                <c:pt idx="122">
                  <c:v>40.429042904290426</c:v>
                </c:pt>
                <c:pt idx="123">
                  <c:v>40.759075907590756</c:v>
                </c:pt>
                <c:pt idx="124">
                  <c:v>41.089108910891092</c:v>
                </c:pt>
                <c:pt idx="125">
                  <c:v>41.419141914191421</c:v>
                </c:pt>
                <c:pt idx="126">
                  <c:v>41.74917491749175</c:v>
                </c:pt>
                <c:pt idx="127">
                  <c:v>42.079207920792079</c:v>
                </c:pt>
                <c:pt idx="128">
                  <c:v>42.409240924092408</c:v>
                </c:pt>
                <c:pt idx="129">
                  <c:v>42.739273927392738</c:v>
                </c:pt>
                <c:pt idx="130">
                  <c:v>43.069306930693067</c:v>
                </c:pt>
                <c:pt idx="131">
                  <c:v>43.399339933993396</c:v>
                </c:pt>
                <c:pt idx="132">
                  <c:v>43.729372937293725</c:v>
                </c:pt>
                <c:pt idx="133">
                  <c:v>44.059405940594061</c:v>
                </c:pt>
                <c:pt idx="134">
                  <c:v>44.38943894389439</c:v>
                </c:pt>
                <c:pt idx="135">
                  <c:v>44.71947194719472</c:v>
                </c:pt>
                <c:pt idx="136">
                  <c:v>45.049504950495049</c:v>
                </c:pt>
                <c:pt idx="137">
                  <c:v>45.379537953795378</c:v>
                </c:pt>
                <c:pt idx="138">
                  <c:v>45.709570957095707</c:v>
                </c:pt>
                <c:pt idx="139">
                  <c:v>46.039603960396036</c:v>
                </c:pt>
                <c:pt idx="140">
                  <c:v>46.369636963696372</c:v>
                </c:pt>
                <c:pt idx="141">
                  <c:v>46.699669966996701</c:v>
                </c:pt>
                <c:pt idx="142">
                  <c:v>47.029702970297031</c:v>
                </c:pt>
                <c:pt idx="143">
                  <c:v>47.35973597359736</c:v>
                </c:pt>
                <c:pt idx="144">
                  <c:v>47.689768976897689</c:v>
                </c:pt>
                <c:pt idx="145">
                  <c:v>48.019801980198018</c:v>
                </c:pt>
                <c:pt idx="146">
                  <c:v>48.349834983498347</c:v>
                </c:pt>
                <c:pt idx="147">
                  <c:v>48.679867986798676</c:v>
                </c:pt>
                <c:pt idx="148">
                  <c:v>49.009900990099005</c:v>
                </c:pt>
                <c:pt idx="149">
                  <c:v>49.339933993399342</c:v>
                </c:pt>
                <c:pt idx="150">
                  <c:v>49.669966996699671</c:v>
                </c:pt>
                <c:pt idx="151">
                  <c:v>50</c:v>
                </c:pt>
                <c:pt idx="152">
                  <c:v>50.330033003300329</c:v>
                </c:pt>
                <c:pt idx="153">
                  <c:v>50.660066006600658</c:v>
                </c:pt>
                <c:pt idx="154">
                  <c:v>50.990099009900987</c:v>
                </c:pt>
                <c:pt idx="155">
                  <c:v>51.320132013201317</c:v>
                </c:pt>
                <c:pt idx="156">
                  <c:v>51.650165016501653</c:v>
                </c:pt>
                <c:pt idx="157">
                  <c:v>51.980198019801982</c:v>
                </c:pt>
                <c:pt idx="158">
                  <c:v>52.310231023102311</c:v>
                </c:pt>
                <c:pt idx="159">
                  <c:v>52.64026402640264</c:v>
                </c:pt>
                <c:pt idx="160">
                  <c:v>52.970297029702969</c:v>
                </c:pt>
                <c:pt idx="161">
                  <c:v>53.300330033003299</c:v>
                </c:pt>
                <c:pt idx="162">
                  <c:v>53.630363036303628</c:v>
                </c:pt>
                <c:pt idx="163">
                  <c:v>53.960396039603957</c:v>
                </c:pt>
                <c:pt idx="164">
                  <c:v>54.290429042904286</c:v>
                </c:pt>
                <c:pt idx="165">
                  <c:v>54.620462046204622</c:v>
                </c:pt>
                <c:pt idx="166">
                  <c:v>54.950495049504951</c:v>
                </c:pt>
                <c:pt idx="167">
                  <c:v>55.28052805280528</c:v>
                </c:pt>
                <c:pt idx="168">
                  <c:v>55.61056105610561</c:v>
                </c:pt>
                <c:pt idx="169">
                  <c:v>55.940594059405939</c:v>
                </c:pt>
                <c:pt idx="170">
                  <c:v>56.270627062706268</c:v>
                </c:pt>
                <c:pt idx="171">
                  <c:v>56.600660066006597</c:v>
                </c:pt>
                <c:pt idx="172">
                  <c:v>56.930693069306933</c:v>
                </c:pt>
                <c:pt idx="173">
                  <c:v>57.260726072607262</c:v>
                </c:pt>
                <c:pt idx="174">
                  <c:v>57.590759075907592</c:v>
                </c:pt>
                <c:pt idx="175">
                  <c:v>57.920792079207921</c:v>
                </c:pt>
                <c:pt idx="176">
                  <c:v>58.25082508250825</c:v>
                </c:pt>
                <c:pt idx="177">
                  <c:v>58.580858085808579</c:v>
                </c:pt>
                <c:pt idx="178">
                  <c:v>58.910891089108908</c:v>
                </c:pt>
                <c:pt idx="179">
                  <c:v>59.240924092409237</c:v>
                </c:pt>
                <c:pt idx="180">
                  <c:v>59.570957095709566</c:v>
                </c:pt>
                <c:pt idx="181">
                  <c:v>59.900990099009903</c:v>
                </c:pt>
                <c:pt idx="182">
                  <c:v>60.231023102310232</c:v>
                </c:pt>
                <c:pt idx="183">
                  <c:v>60.561056105610561</c:v>
                </c:pt>
                <c:pt idx="184">
                  <c:v>60.89108910891089</c:v>
                </c:pt>
                <c:pt idx="185">
                  <c:v>61.221122112211219</c:v>
                </c:pt>
                <c:pt idx="186">
                  <c:v>61.551155115511548</c:v>
                </c:pt>
                <c:pt idx="187">
                  <c:v>61.881188118811878</c:v>
                </c:pt>
                <c:pt idx="188">
                  <c:v>62.211221122112214</c:v>
                </c:pt>
                <c:pt idx="189">
                  <c:v>62.541254125412543</c:v>
                </c:pt>
                <c:pt idx="190">
                  <c:v>62.871287128712872</c:v>
                </c:pt>
                <c:pt idx="191">
                  <c:v>63.201320132013201</c:v>
                </c:pt>
                <c:pt idx="192">
                  <c:v>63.53135313531353</c:v>
                </c:pt>
                <c:pt idx="193">
                  <c:v>63.861386138613859</c:v>
                </c:pt>
                <c:pt idx="194">
                  <c:v>64.191419141914196</c:v>
                </c:pt>
                <c:pt idx="195">
                  <c:v>64.521452145214525</c:v>
                </c:pt>
                <c:pt idx="196">
                  <c:v>64.851485148514854</c:v>
                </c:pt>
                <c:pt idx="197">
                  <c:v>65.181518151815183</c:v>
                </c:pt>
                <c:pt idx="198">
                  <c:v>65.511551155115512</c:v>
                </c:pt>
                <c:pt idx="199">
                  <c:v>65.841584158415841</c:v>
                </c:pt>
                <c:pt idx="200">
                  <c:v>66.171617161716171</c:v>
                </c:pt>
                <c:pt idx="201">
                  <c:v>66.501650165016514</c:v>
                </c:pt>
                <c:pt idx="202">
                  <c:v>66.831683168316843</c:v>
                </c:pt>
                <c:pt idx="203">
                  <c:v>67.161716171617172</c:v>
                </c:pt>
                <c:pt idx="204">
                  <c:v>67.491749174917501</c:v>
                </c:pt>
                <c:pt idx="205">
                  <c:v>67.821782178217831</c:v>
                </c:pt>
                <c:pt idx="206">
                  <c:v>68.15181518151816</c:v>
                </c:pt>
                <c:pt idx="207">
                  <c:v>68.481848184818489</c:v>
                </c:pt>
                <c:pt idx="208">
                  <c:v>68.811881188118818</c:v>
                </c:pt>
                <c:pt idx="209">
                  <c:v>69.141914191419147</c:v>
                </c:pt>
                <c:pt idx="210">
                  <c:v>69.471947194719476</c:v>
                </c:pt>
                <c:pt idx="211">
                  <c:v>69.801980198019805</c:v>
                </c:pt>
                <c:pt idx="212">
                  <c:v>70.132013201320134</c:v>
                </c:pt>
                <c:pt idx="213">
                  <c:v>70.462046204620464</c:v>
                </c:pt>
                <c:pt idx="214">
                  <c:v>70.792079207920793</c:v>
                </c:pt>
                <c:pt idx="215">
                  <c:v>71.122112211221122</c:v>
                </c:pt>
                <c:pt idx="216">
                  <c:v>71.452145214521465</c:v>
                </c:pt>
                <c:pt idx="217">
                  <c:v>71.782178217821794</c:v>
                </c:pt>
                <c:pt idx="218">
                  <c:v>72.112211221122124</c:v>
                </c:pt>
                <c:pt idx="219">
                  <c:v>72.442244224422453</c:v>
                </c:pt>
                <c:pt idx="220">
                  <c:v>72.772277227722782</c:v>
                </c:pt>
                <c:pt idx="221">
                  <c:v>73.102310231023111</c:v>
                </c:pt>
                <c:pt idx="222">
                  <c:v>73.43234323432344</c:v>
                </c:pt>
                <c:pt idx="223">
                  <c:v>73.762376237623769</c:v>
                </c:pt>
                <c:pt idx="224">
                  <c:v>74.092409240924098</c:v>
                </c:pt>
                <c:pt idx="225">
                  <c:v>74.422442244224428</c:v>
                </c:pt>
                <c:pt idx="226">
                  <c:v>74.752475247524757</c:v>
                </c:pt>
                <c:pt idx="227">
                  <c:v>75.082508250825086</c:v>
                </c:pt>
                <c:pt idx="228">
                  <c:v>75.412541254125415</c:v>
                </c:pt>
                <c:pt idx="229">
                  <c:v>75.742574257425744</c:v>
                </c:pt>
                <c:pt idx="230">
                  <c:v>76.072607260726073</c:v>
                </c:pt>
                <c:pt idx="231">
                  <c:v>76.402640264026402</c:v>
                </c:pt>
                <c:pt idx="232">
                  <c:v>76.732673267326732</c:v>
                </c:pt>
                <c:pt idx="233">
                  <c:v>77.062706270627075</c:v>
                </c:pt>
                <c:pt idx="234">
                  <c:v>77.392739273927404</c:v>
                </c:pt>
                <c:pt idx="235">
                  <c:v>77.722772277227733</c:v>
                </c:pt>
                <c:pt idx="236">
                  <c:v>78.052805280528062</c:v>
                </c:pt>
                <c:pt idx="237">
                  <c:v>78.382838283828391</c:v>
                </c:pt>
                <c:pt idx="238">
                  <c:v>78.712871287128721</c:v>
                </c:pt>
                <c:pt idx="239">
                  <c:v>79.04290429042905</c:v>
                </c:pt>
                <c:pt idx="240">
                  <c:v>79.372937293729379</c:v>
                </c:pt>
                <c:pt idx="241">
                  <c:v>79.702970297029708</c:v>
                </c:pt>
                <c:pt idx="242">
                  <c:v>80.033003300330037</c:v>
                </c:pt>
                <c:pt idx="243">
                  <c:v>80.363036303630366</c:v>
                </c:pt>
                <c:pt idx="244">
                  <c:v>80.693069306930695</c:v>
                </c:pt>
                <c:pt idx="245">
                  <c:v>81.023102310231025</c:v>
                </c:pt>
                <c:pt idx="246">
                  <c:v>81.353135313531354</c:v>
                </c:pt>
                <c:pt idx="247">
                  <c:v>81.683168316831683</c:v>
                </c:pt>
                <c:pt idx="248">
                  <c:v>82.013201320132026</c:v>
                </c:pt>
                <c:pt idx="249">
                  <c:v>82.343234323432355</c:v>
                </c:pt>
                <c:pt idx="250">
                  <c:v>82.673267326732685</c:v>
                </c:pt>
                <c:pt idx="251">
                  <c:v>83.003300330033014</c:v>
                </c:pt>
                <c:pt idx="252">
                  <c:v>83.333333333333343</c:v>
                </c:pt>
                <c:pt idx="253">
                  <c:v>83.663366336633672</c:v>
                </c:pt>
                <c:pt idx="254">
                  <c:v>83.993399339934001</c:v>
                </c:pt>
                <c:pt idx="255">
                  <c:v>84.32343234323433</c:v>
                </c:pt>
                <c:pt idx="256">
                  <c:v>84.653465346534659</c:v>
                </c:pt>
                <c:pt idx="257">
                  <c:v>84.983498349834989</c:v>
                </c:pt>
                <c:pt idx="258">
                  <c:v>85.313531353135318</c:v>
                </c:pt>
                <c:pt idx="259">
                  <c:v>85.643564356435647</c:v>
                </c:pt>
                <c:pt idx="260">
                  <c:v>85.973597359735976</c:v>
                </c:pt>
                <c:pt idx="261">
                  <c:v>86.303630363036305</c:v>
                </c:pt>
                <c:pt idx="262">
                  <c:v>86.633663366336634</c:v>
                </c:pt>
                <c:pt idx="263">
                  <c:v>86.963696369636963</c:v>
                </c:pt>
                <c:pt idx="264">
                  <c:v>87.293729372937293</c:v>
                </c:pt>
                <c:pt idx="265">
                  <c:v>87.623762376237636</c:v>
                </c:pt>
                <c:pt idx="266">
                  <c:v>87.953795379537965</c:v>
                </c:pt>
                <c:pt idx="267">
                  <c:v>88.283828382838294</c:v>
                </c:pt>
                <c:pt idx="268">
                  <c:v>88.613861386138623</c:v>
                </c:pt>
                <c:pt idx="269">
                  <c:v>88.943894389438952</c:v>
                </c:pt>
                <c:pt idx="270">
                  <c:v>89.273927392739282</c:v>
                </c:pt>
                <c:pt idx="271">
                  <c:v>89.603960396039611</c:v>
                </c:pt>
                <c:pt idx="272">
                  <c:v>89.93399339933994</c:v>
                </c:pt>
                <c:pt idx="273">
                  <c:v>90.264026402640269</c:v>
                </c:pt>
                <c:pt idx="274">
                  <c:v>90.594059405940598</c:v>
                </c:pt>
                <c:pt idx="275">
                  <c:v>90.924092409240927</c:v>
                </c:pt>
                <c:pt idx="276">
                  <c:v>91.254125412541256</c:v>
                </c:pt>
                <c:pt idx="277">
                  <c:v>91.584158415841586</c:v>
                </c:pt>
                <c:pt idx="278">
                  <c:v>91.914191419141915</c:v>
                </c:pt>
                <c:pt idx="279">
                  <c:v>92.244224422442244</c:v>
                </c:pt>
                <c:pt idx="280">
                  <c:v>92.574257425742587</c:v>
                </c:pt>
                <c:pt idx="281">
                  <c:v>92.904290429042916</c:v>
                </c:pt>
                <c:pt idx="282">
                  <c:v>93.234323432343245</c:v>
                </c:pt>
                <c:pt idx="283">
                  <c:v>93.564356435643575</c:v>
                </c:pt>
                <c:pt idx="284">
                  <c:v>93.894389438943904</c:v>
                </c:pt>
                <c:pt idx="285">
                  <c:v>94.224422442244233</c:v>
                </c:pt>
                <c:pt idx="286">
                  <c:v>94.554455445544562</c:v>
                </c:pt>
                <c:pt idx="287">
                  <c:v>94.884488448844891</c:v>
                </c:pt>
                <c:pt idx="288">
                  <c:v>95.21452145214522</c:v>
                </c:pt>
                <c:pt idx="289">
                  <c:v>95.544554455445549</c:v>
                </c:pt>
                <c:pt idx="290">
                  <c:v>95.874587458745879</c:v>
                </c:pt>
                <c:pt idx="291">
                  <c:v>96.204620462046208</c:v>
                </c:pt>
                <c:pt idx="292">
                  <c:v>96.534653465346537</c:v>
                </c:pt>
                <c:pt idx="293">
                  <c:v>96.864686468646866</c:v>
                </c:pt>
                <c:pt idx="294">
                  <c:v>97.194719471947195</c:v>
                </c:pt>
                <c:pt idx="295">
                  <c:v>97.524752475247524</c:v>
                </c:pt>
                <c:pt idx="296">
                  <c:v>97.854785478547853</c:v>
                </c:pt>
                <c:pt idx="297">
                  <c:v>98.184818481848197</c:v>
                </c:pt>
                <c:pt idx="298">
                  <c:v>98.514851485148526</c:v>
                </c:pt>
                <c:pt idx="299">
                  <c:v>98.844884488448855</c:v>
                </c:pt>
                <c:pt idx="300">
                  <c:v>99.174917491749184</c:v>
                </c:pt>
                <c:pt idx="301">
                  <c:v>99.504950495049513</c:v>
                </c:pt>
                <c:pt idx="302">
                  <c:v>99.834983498349843</c:v>
                </c:pt>
              </c:numCache>
            </c:numRef>
          </c:xVal>
          <c:yVal>
            <c:numRef>
              <c:f>regression!$G$25:$G$327</c:f>
              <c:numCache>
                <c:formatCode>General</c:formatCode>
                <c:ptCount val="303"/>
                <c:pt idx="0">
                  <c:v>126</c:v>
                </c:pt>
                <c:pt idx="1">
                  <c:v>131</c:v>
                </c:pt>
                <c:pt idx="2">
                  <c:v>141</c:v>
                </c:pt>
                <c:pt idx="3">
                  <c:v>149</c:v>
                </c:pt>
                <c:pt idx="4">
                  <c:v>149</c:v>
                </c:pt>
                <c:pt idx="5">
                  <c:v>157</c:v>
                </c:pt>
                <c:pt idx="6">
                  <c:v>160</c:v>
                </c:pt>
                <c:pt idx="7">
                  <c:v>164</c:v>
                </c:pt>
                <c:pt idx="8">
                  <c:v>166</c:v>
                </c:pt>
                <c:pt idx="9">
                  <c:v>167</c:v>
                </c:pt>
                <c:pt idx="10">
                  <c:v>168</c:v>
                </c:pt>
                <c:pt idx="11">
                  <c:v>169</c:v>
                </c:pt>
                <c:pt idx="12">
                  <c:v>172</c:v>
                </c:pt>
                <c:pt idx="13">
                  <c:v>174</c:v>
                </c:pt>
                <c:pt idx="14">
                  <c:v>175</c:v>
                </c:pt>
                <c:pt idx="15">
                  <c:v>175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177</c:v>
                </c:pt>
                <c:pt idx="20">
                  <c:v>177</c:v>
                </c:pt>
                <c:pt idx="21">
                  <c:v>177</c:v>
                </c:pt>
                <c:pt idx="22">
                  <c:v>178</c:v>
                </c:pt>
                <c:pt idx="23">
                  <c:v>180</c:v>
                </c:pt>
                <c:pt idx="24">
                  <c:v>182</c:v>
                </c:pt>
                <c:pt idx="25">
                  <c:v>183</c:v>
                </c:pt>
                <c:pt idx="26">
                  <c:v>184</c:v>
                </c:pt>
                <c:pt idx="27">
                  <c:v>185</c:v>
                </c:pt>
                <c:pt idx="28">
                  <c:v>186</c:v>
                </c:pt>
                <c:pt idx="29">
                  <c:v>187</c:v>
                </c:pt>
                <c:pt idx="30">
                  <c:v>188</c:v>
                </c:pt>
                <c:pt idx="31">
                  <c:v>188</c:v>
                </c:pt>
                <c:pt idx="32">
                  <c:v>192</c:v>
                </c:pt>
                <c:pt idx="33">
                  <c:v>192</c:v>
                </c:pt>
                <c:pt idx="34">
                  <c:v>193</c:v>
                </c:pt>
                <c:pt idx="35">
                  <c:v>193</c:v>
                </c:pt>
                <c:pt idx="36">
                  <c:v>195</c:v>
                </c:pt>
                <c:pt idx="37">
                  <c:v>196</c:v>
                </c:pt>
                <c:pt idx="38">
                  <c:v>196</c:v>
                </c:pt>
                <c:pt idx="39">
                  <c:v>197</c:v>
                </c:pt>
                <c:pt idx="40">
                  <c:v>197</c:v>
                </c:pt>
                <c:pt idx="41">
                  <c:v>197</c:v>
                </c:pt>
                <c:pt idx="42">
                  <c:v>197</c:v>
                </c:pt>
                <c:pt idx="43">
                  <c:v>197</c:v>
                </c:pt>
                <c:pt idx="44">
                  <c:v>197</c:v>
                </c:pt>
                <c:pt idx="45">
                  <c:v>198</c:v>
                </c:pt>
                <c:pt idx="46">
                  <c:v>198</c:v>
                </c:pt>
                <c:pt idx="47">
                  <c:v>199</c:v>
                </c:pt>
                <c:pt idx="48">
                  <c:v>199</c:v>
                </c:pt>
                <c:pt idx="49">
                  <c:v>199</c:v>
                </c:pt>
                <c:pt idx="50">
                  <c:v>200</c:v>
                </c:pt>
                <c:pt idx="51">
                  <c:v>201</c:v>
                </c:pt>
                <c:pt idx="52">
                  <c:v>201</c:v>
                </c:pt>
                <c:pt idx="53">
                  <c:v>201</c:v>
                </c:pt>
                <c:pt idx="54">
                  <c:v>203</c:v>
                </c:pt>
                <c:pt idx="55">
                  <c:v>203</c:v>
                </c:pt>
                <c:pt idx="56">
                  <c:v>203</c:v>
                </c:pt>
                <c:pt idx="57">
                  <c:v>204</c:v>
                </c:pt>
                <c:pt idx="58">
                  <c:v>204</c:v>
                </c:pt>
                <c:pt idx="59">
                  <c:v>204</c:v>
                </c:pt>
                <c:pt idx="60">
                  <c:v>204</c:v>
                </c:pt>
                <c:pt idx="61">
                  <c:v>204</c:v>
                </c:pt>
                <c:pt idx="62">
                  <c:v>204</c:v>
                </c:pt>
                <c:pt idx="63">
                  <c:v>205</c:v>
                </c:pt>
                <c:pt idx="64">
                  <c:v>205</c:v>
                </c:pt>
                <c:pt idx="65">
                  <c:v>206</c:v>
                </c:pt>
                <c:pt idx="66">
                  <c:v>206</c:v>
                </c:pt>
                <c:pt idx="67">
                  <c:v>207</c:v>
                </c:pt>
                <c:pt idx="68">
                  <c:v>207</c:v>
                </c:pt>
                <c:pt idx="69">
                  <c:v>208</c:v>
                </c:pt>
                <c:pt idx="70">
                  <c:v>208</c:v>
                </c:pt>
                <c:pt idx="71">
                  <c:v>209</c:v>
                </c:pt>
                <c:pt idx="72">
                  <c:v>209</c:v>
                </c:pt>
                <c:pt idx="73">
                  <c:v>210</c:v>
                </c:pt>
                <c:pt idx="74">
                  <c:v>211</c:v>
                </c:pt>
                <c:pt idx="75">
                  <c:v>211</c:v>
                </c:pt>
                <c:pt idx="76">
                  <c:v>211</c:v>
                </c:pt>
                <c:pt idx="77">
                  <c:v>211</c:v>
                </c:pt>
                <c:pt idx="78">
                  <c:v>212</c:v>
                </c:pt>
                <c:pt idx="79">
                  <c:v>212</c:v>
                </c:pt>
                <c:pt idx="80">
                  <c:v>212</c:v>
                </c:pt>
                <c:pt idx="81">
                  <c:v>212</c:v>
                </c:pt>
                <c:pt idx="82">
                  <c:v>212</c:v>
                </c:pt>
                <c:pt idx="83">
                  <c:v>213</c:v>
                </c:pt>
                <c:pt idx="84">
                  <c:v>213</c:v>
                </c:pt>
                <c:pt idx="85">
                  <c:v>214</c:v>
                </c:pt>
                <c:pt idx="86">
                  <c:v>214</c:v>
                </c:pt>
                <c:pt idx="87">
                  <c:v>215</c:v>
                </c:pt>
                <c:pt idx="88">
                  <c:v>216</c:v>
                </c:pt>
                <c:pt idx="89">
                  <c:v>216</c:v>
                </c:pt>
                <c:pt idx="90">
                  <c:v>217</c:v>
                </c:pt>
                <c:pt idx="91">
                  <c:v>218</c:v>
                </c:pt>
                <c:pt idx="92">
                  <c:v>218</c:v>
                </c:pt>
                <c:pt idx="93">
                  <c:v>219</c:v>
                </c:pt>
                <c:pt idx="94">
                  <c:v>219</c:v>
                </c:pt>
                <c:pt idx="95">
                  <c:v>219</c:v>
                </c:pt>
                <c:pt idx="96">
                  <c:v>220</c:v>
                </c:pt>
                <c:pt idx="97">
                  <c:v>220</c:v>
                </c:pt>
                <c:pt idx="98">
                  <c:v>220</c:v>
                </c:pt>
                <c:pt idx="99">
                  <c:v>221</c:v>
                </c:pt>
                <c:pt idx="100">
                  <c:v>221</c:v>
                </c:pt>
                <c:pt idx="101">
                  <c:v>222</c:v>
                </c:pt>
                <c:pt idx="102">
                  <c:v>222</c:v>
                </c:pt>
                <c:pt idx="103">
                  <c:v>223</c:v>
                </c:pt>
                <c:pt idx="104">
                  <c:v>223</c:v>
                </c:pt>
                <c:pt idx="105">
                  <c:v>223</c:v>
                </c:pt>
                <c:pt idx="106">
                  <c:v>224</c:v>
                </c:pt>
                <c:pt idx="107">
                  <c:v>225</c:v>
                </c:pt>
                <c:pt idx="108">
                  <c:v>225</c:v>
                </c:pt>
                <c:pt idx="109">
                  <c:v>226</c:v>
                </c:pt>
                <c:pt idx="110">
                  <c:v>226</c:v>
                </c:pt>
                <c:pt idx="111">
                  <c:v>226</c:v>
                </c:pt>
                <c:pt idx="112">
                  <c:v>226</c:v>
                </c:pt>
                <c:pt idx="113">
                  <c:v>227</c:v>
                </c:pt>
                <c:pt idx="114">
                  <c:v>227</c:v>
                </c:pt>
                <c:pt idx="115">
                  <c:v>228</c:v>
                </c:pt>
                <c:pt idx="116">
                  <c:v>228</c:v>
                </c:pt>
                <c:pt idx="117">
                  <c:v>229</c:v>
                </c:pt>
                <c:pt idx="118">
                  <c:v>229</c:v>
                </c:pt>
                <c:pt idx="119">
                  <c:v>229</c:v>
                </c:pt>
                <c:pt idx="120">
                  <c:v>230</c:v>
                </c:pt>
                <c:pt idx="121">
                  <c:v>230</c:v>
                </c:pt>
                <c:pt idx="122">
                  <c:v>230</c:v>
                </c:pt>
                <c:pt idx="123">
                  <c:v>231</c:v>
                </c:pt>
                <c:pt idx="124">
                  <c:v>231</c:v>
                </c:pt>
                <c:pt idx="125">
                  <c:v>231</c:v>
                </c:pt>
                <c:pt idx="126">
                  <c:v>232</c:v>
                </c:pt>
                <c:pt idx="127">
                  <c:v>232</c:v>
                </c:pt>
                <c:pt idx="128">
                  <c:v>233</c:v>
                </c:pt>
                <c:pt idx="129">
                  <c:v>233</c:v>
                </c:pt>
                <c:pt idx="130">
                  <c:v>233</c:v>
                </c:pt>
                <c:pt idx="131">
                  <c:v>233</c:v>
                </c:pt>
                <c:pt idx="132">
                  <c:v>234</c:v>
                </c:pt>
                <c:pt idx="133">
                  <c:v>234</c:v>
                </c:pt>
                <c:pt idx="134">
                  <c:v>234</c:v>
                </c:pt>
                <c:pt idx="135">
                  <c:v>234</c:v>
                </c:pt>
                <c:pt idx="136">
                  <c:v>234</c:v>
                </c:pt>
                <c:pt idx="137">
                  <c:v>234</c:v>
                </c:pt>
                <c:pt idx="138">
                  <c:v>235</c:v>
                </c:pt>
                <c:pt idx="139">
                  <c:v>235</c:v>
                </c:pt>
                <c:pt idx="140">
                  <c:v>236</c:v>
                </c:pt>
                <c:pt idx="141">
                  <c:v>236</c:v>
                </c:pt>
                <c:pt idx="142">
                  <c:v>236</c:v>
                </c:pt>
                <c:pt idx="143">
                  <c:v>237</c:v>
                </c:pt>
                <c:pt idx="144">
                  <c:v>239</c:v>
                </c:pt>
                <c:pt idx="145">
                  <c:v>239</c:v>
                </c:pt>
                <c:pt idx="146">
                  <c:v>239</c:v>
                </c:pt>
                <c:pt idx="147">
                  <c:v>239</c:v>
                </c:pt>
                <c:pt idx="148">
                  <c:v>240</c:v>
                </c:pt>
                <c:pt idx="149">
                  <c:v>240</c:v>
                </c:pt>
                <c:pt idx="150">
                  <c:v>240</c:v>
                </c:pt>
                <c:pt idx="151">
                  <c:v>240</c:v>
                </c:pt>
                <c:pt idx="152">
                  <c:v>241</c:v>
                </c:pt>
                <c:pt idx="153">
                  <c:v>242</c:v>
                </c:pt>
                <c:pt idx="154">
                  <c:v>243</c:v>
                </c:pt>
                <c:pt idx="155">
                  <c:v>243</c:v>
                </c:pt>
                <c:pt idx="156">
                  <c:v>243</c:v>
                </c:pt>
                <c:pt idx="157">
                  <c:v>243</c:v>
                </c:pt>
                <c:pt idx="158">
                  <c:v>244</c:v>
                </c:pt>
                <c:pt idx="159">
                  <c:v>244</c:v>
                </c:pt>
                <c:pt idx="160">
                  <c:v>244</c:v>
                </c:pt>
                <c:pt idx="161">
                  <c:v>245</c:v>
                </c:pt>
                <c:pt idx="162">
                  <c:v>245</c:v>
                </c:pt>
                <c:pt idx="163">
                  <c:v>245</c:v>
                </c:pt>
                <c:pt idx="164">
                  <c:v>246</c:v>
                </c:pt>
                <c:pt idx="165">
                  <c:v>246</c:v>
                </c:pt>
                <c:pt idx="166">
                  <c:v>246</c:v>
                </c:pt>
                <c:pt idx="167">
                  <c:v>247</c:v>
                </c:pt>
                <c:pt idx="168">
                  <c:v>247</c:v>
                </c:pt>
                <c:pt idx="169">
                  <c:v>248</c:v>
                </c:pt>
                <c:pt idx="170">
                  <c:v>248</c:v>
                </c:pt>
                <c:pt idx="171">
                  <c:v>249</c:v>
                </c:pt>
                <c:pt idx="172">
                  <c:v>249</c:v>
                </c:pt>
                <c:pt idx="173">
                  <c:v>249</c:v>
                </c:pt>
                <c:pt idx="174">
                  <c:v>250</c:v>
                </c:pt>
                <c:pt idx="175">
                  <c:v>250</c:v>
                </c:pt>
                <c:pt idx="176">
                  <c:v>250</c:v>
                </c:pt>
                <c:pt idx="177">
                  <c:v>252</c:v>
                </c:pt>
                <c:pt idx="178">
                  <c:v>253</c:v>
                </c:pt>
                <c:pt idx="179">
                  <c:v>253</c:v>
                </c:pt>
                <c:pt idx="180">
                  <c:v>254</c:v>
                </c:pt>
                <c:pt idx="181">
                  <c:v>254</c:v>
                </c:pt>
                <c:pt idx="182">
                  <c:v>254</c:v>
                </c:pt>
                <c:pt idx="183">
                  <c:v>254</c:v>
                </c:pt>
                <c:pt idx="184">
                  <c:v>254</c:v>
                </c:pt>
                <c:pt idx="185">
                  <c:v>255</c:v>
                </c:pt>
                <c:pt idx="186">
                  <c:v>255</c:v>
                </c:pt>
                <c:pt idx="187">
                  <c:v>256</c:v>
                </c:pt>
                <c:pt idx="188">
                  <c:v>256</c:v>
                </c:pt>
                <c:pt idx="189">
                  <c:v>256</c:v>
                </c:pt>
                <c:pt idx="190">
                  <c:v>257</c:v>
                </c:pt>
                <c:pt idx="191">
                  <c:v>258</c:v>
                </c:pt>
                <c:pt idx="192">
                  <c:v>258</c:v>
                </c:pt>
                <c:pt idx="193">
                  <c:v>258</c:v>
                </c:pt>
                <c:pt idx="194">
                  <c:v>259</c:v>
                </c:pt>
                <c:pt idx="195">
                  <c:v>260</c:v>
                </c:pt>
                <c:pt idx="196">
                  <c:v>260</c:v>
                </c:pt>
                <c:pt idx="197">
                  <c:v>261</c:v>
                </c:pt>
                <c:pt idx="198">
                  <c:v>261</c:v>
                </c:pt>
                <c:pt idx="199">
                  <c:v>262</c:v>
                </c:pt>
                <c:pt idx="200">
                  <c:v>263</c:v>
                </c:pt>
                <c:pt idx="201">
                  <c:v>263</c:v>
                </c:pt>
                <c:pt idx="202">
                  <c:v>263</c:v>
                </c:pt>
                <c:pt idx="203">
                  <c:v>264</c:v>
                </c:pt>
                <c:pt idx="204">
                  <c:v>264</c:v>
                </c:pt>
                <c:pt idx="205">
                  <c:v>265</c:v>
                </c:pt>
                <c:pt idx="206">
                  <c:v>265</c:v>
                </c:pt>
                <c:pt idx="207">
                  <c:v>266</c:v>
                </c:pt>
                <c:pt idx="208">
                  <c:v>266</c:v>
                </c:pt>
                <c:pt idx="209">
                  <c:v>267</c:v>
                </c:pt>
                <c:pt idx="210">
                  <c:v>267</c:v>
                </c:pt>
                <c:pt idx="211">
                  <c:v>268</c:v>
                </c:pt>
                <c:pt idx="212">
                  <c:v>268</c:v>
                </c:pt>
                <c:pt idx="213">
                  <c:v>269</c:v>
                </c:pt>
                <c:pt idx="214">
                  <c:v>269</c:v>
                </c:pt>
                <c:pt idx="215">
                  <c:v>269</c:v>
                </c:pt>
                <c:pt idx="216">
                  <c:v>269</c:v>
                </c:pt>
                <c:pt idx="217">
                  <c:v>269</c:v>
                </c:pt>
                <c:pt idx="218">
                  <c:v>270</c:v>
                </c:pt>
                <c:pt idx="219">
                  <c:v>270</c:v>
                </c:pt>
                <c:pt idx="220">
                  <c:v>271</c:v>
                </c:pt>
                <c:pt idx="221">
                  <c:v>271</c:v>
                </c:pt>
                <c:pt idx="222">
                  <c:v>273</c:v>
                </c:pt>
                <c:pt idx="223">
                  <c:v>273</c:v>
                </c:pt>
                <c:pt idx="224">
                  <c:v>274</c:v>
                </c:pt>
                <c:pt idx="225">
                  <c:v>274</c:v>
                </c:pt>
                <c:pt idx="226">
                  <c:v>274</c:v>
                </c:pt>
                <c:pt idx="227">
                  <c:v>275</c:v>
                </c:pt>
                <c:pt idx="228">
                  <c:v>275</c:v>
                </c:pt>
                <c:pt idx="229">
                  <c:v>276</c:v>
                </c:pt>
                <c:pt idx="230">
                  <c:v>277</c:v>
                </c:pt>
                <c:pt idx="231">
                  <c:v>277</c:v>
                </c:pt>
                <c:pt idx="232">
                  <c:v>278</c:v>
                </c:pt>
                <c:pt idx="233">
                  <c:v>281</c:v>
                </c:pt>
                <c:pt idx="234">
                  <c:v>282</c:v>
                </c:pt>
                <c:pt idx="235">
                  <c:v>282</c:v>
                </c:pt>
                <c:pt idx="236">
                  <c:v>282</c:v>
                </c:pt>
                <c:pt idx="237">
                  <c:v>282</c:v>
                </c:pt>
                <c:pt idx="238">
                  <c:v>283</c:v>
                </c:pt>
                <c:pt idx="239">
                  <c:v>283</c:v>
                </c:pt>
                <c:pt idx="240">
                  <c:v>283</c:v>
                </c:pt>
                <c:pt idx="241">
                  <c:v>284</c:v>
                </c:pt>
                <c:pt idx="242">
                  <c:v>286</c:v>
                </c:pt>
                <c:pt idx="243">
                  <c:v>286</c:v>
                </c:pt>
                <c:pt idx="244">
                  <c:v>288</c:v>
                </c:pt>
                <c:pt idx="245">
                  <c:v>288</c:v>
                </c:pt>
                <c:pt idx="246">
                  <c:v>288</c:v>
                </c:pt>
                <c:pt idx="247">
                  <c:v>289</c:v>
                </c:pt>
                <c:pt idx="248">
                  <c:v>289</c:v>
                </c:pt>
                <c:pt idx="249">
                  <c:v>290</c:v>
                </c:pt>
                <c:pt idx="250">
                  <c:v>293</c:v>
                </c:pt>
                <c:pt idx="251">
                  <c:v>294</c:v>
                </c:pt>
                <c:pt idx="252">
                  <c:v>294</c:v>
                </c:pt>
                <c:pt idx="253">
                  <c:v>295</c:v>
                </c:pt>
                <c:pt idx="254">
                  <c:v>295</c:v>
                </c:pt>
                <c:pt idx="255">
                  <c:v>298</c:v>
                </c:pt>
                <c:pt idx="256">
                  <c:v>298</c:v>
                </c:pt>
                <c:pt idx="257">
                  <c:v>299</c:v>
                </c:pt>
                <c:pt idx="258">
                  <c:v>299</c:v>
                </c:pt>
                <c:pt idx="259">
                  <c:v>300</c:v>
                </c:pt>
                <c:pt idx="260">
                  <c:v>302</c:v>
                </c:pt>
                <c:pt idx="261">
                  <c:v>302</c:v>
                </c:pt>
                <c:pt idx="262">
                  <c:v>303</c:v>
                </c:pt>
                <c:pt idx="263">
                  <c:v>303</c:v>
                </c:pt>
                <c:pt idx="264">
                  <c:v>303</c:v>
                </c:pt>
                <c:pt idx="265">
                  <c:v>304</c:v>
                </c:pt>
                <c:pt idx="266">
                  <c:v>304</c:v>
                </c:pt>
                <c:pt idx="267">
                  <c:v>305</c:v>
                </c:pt>
                <c:pt idx="268">
                  <c:v>306</c:v>
                </c:pt>
                <c:pt idx="269">
                  <c:v>307</c:v>
                </c:pt>
                <c:pt idx="270">
                  <c:v>308</c:v>
                </c:pt>
                <c:pt idx="271">
                  <c:v>308</c:v>
                </c:pt>
                <c:pt idx="272">
                  <c:v>309</c:v>
                </c:pt>
                <c:pt idx="273">
                  <c:v>309</c:v>
                </c:pt>
                <c:pt idx="274">
                  <c:v>309</c:v>
                </c:pt>
                <c:pt idx="275">
                  <c:v>311</c:v>
                </c:pt>
                <c:pt idx="276">
                  <c:v>313</c:v>
                </c:pt>
                <c:pt idx="277">
                  <c:v>315</c:v>
                </c:pt>
                <c:pt idx="278">
                  <c:v>315</c:v>
                </c:pt>
                <c:pt idx="279">
                  <c:v>318</c:v>
                </c:pt>
                <c:pt idx="280">
                  <c:v>318</c:v>
                </c:pt>
                <c:pt idx="281">
                  <c:v>319</c:v>
                </c:pt>
                <c:pt idx="282">
                  <c:v>321</c:v>
                </c:pt>
                <c:pt idx="283">
                  <c:v>322</c:v>
                </c:pt>
                <c:pt idx="284">
                  <c:v>325</c:v>
                </c:pt>
                <c:pt idx="285">
                  <c:v>325</c:v>
                </c:pt>
                <c:pt idx="286">
                  <c:v>326</c:v>
                </c:pt>
                <c:pt idx="287">
                  <c:v>327</c:v>
                </c:pt>
                <c:pt idx="288">
                  <c:v>330</c:v>
                </c:pt>
                <c:pt idx="289">
                  <c:v>330</c:v>
                </c:pt>
                <c:pt idx="290">
                  <c:v>335</c:v>
                </c:pt>
                <c:pt idx="291">
                  <c:v>335</c:v>
                </c:pt>
                <c:pt idx="292">
                  <c:v>340</c:v>
                </c:pt>
                <c:pt idx="293">
                  <c:v>341</c:v>
                </c:pt>
                <c:pt idx="294">
                  <c:v>342</c:v>
                </c:pt>
                <c:pt idx="295">
                  <c:v>353</c:v>
                </c:pt>
                <c:pt idx="296">
                  <c:v>354</c:v>
                </c:pt>
                <c:pt idx="297">
                  <c:v>360</c:v>
                </c:pt>
                <c:pt idx="298">
                  <c:v>394</c:v>
                </c:pt>
                <c:pt idx="299">
                  <c:v>407</c:v>
                </c:pt>
                <c:pt idx="300">
                  <c:v>409</c:v>
                </c:pt>
                <c:pt idx="301">
                  <c:v>417</c:v>
                </c:pt>
                <c:pt idx="302">
                  <c:v>564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2B7-4C93-A1F5-8A5E80F94C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7629039"/>
        <c:axId val="607629519"/>
      </c:scatterChart>
      <c:valAx>
        <c:axId val="60762903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Sample Percentile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07629519"/>
        <c:crosses val="autoZero"/>
        <c:crossBetween val="midCat"/>
      </c:valAx>
      <c:valAx>
        <c:axId val="607629519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chol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07629039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age  Residual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regression!$V$2:$V$304</c:f>
              <c:numCache>
                <c:formatCode>General</c:formatCode>
                <c:ptCount val="303"/>
                <c:pt idx="0">
                  <c:v>63</c:v>
                </c:pt>
                <c:pt idx="1">
                  <c:v>37</c:v>
                </c:pt>
                <c:pt idx="2">
                  <c:v>41</c:v>
                </c:pt>
                <c:pt idx="3">
                  <c:v>56</c:v>
                </c:pt>
                <c:pt idx="4">
                  <c:v>57</c:v>
                </c:pt>
                <c:pt idx="5">
                  <c:v>57</c:v>
                </c:pt>
                <c:pt idx="6">
                  <c:v>56</c:v>
                </c:pt>
                <c:pt idx="7">
                  <c:v>44</c:v>
                </c:pt>
                <c:pt idx="8">
                  <c:v>52</c:v>
                </c:pt>
                <c:pt idx="9">
                  <c:v>57</c:v>
                </c:pt>
                <c:pt idx="10">
                  <c:v>54</c:v>
                </c:pt>
                <c:pt idx="11">
                  <c:v>48</c:v>
                </c:pt>
                <c:pt idx="12">
                  <c:v>49</c:v>
                </c:pt>
                <c:pt idx="13">
                  <c:v>64</c:v>
                </c:pt>
                <c:pt idx="14">
                  <c:v>58</c:v>
                </c:pt>
                <c:pt idx="15">
                  <c:v>50</c:v>
                </c:pt>
                <c:pt idx="16">
                  <c:v>58</c:v>
                </c:pt>
                <c:pt idx="17">
                  <c:v>66</c:v>
                </c:pt>
                <c:pt idx="18">
                  <c:v>43</c:v>
                </c:pt>
                <c:pt idx="19">
                  <c:v>69</c:v>
                </c:pt>
                <c:pt idx="20">
                  <c:v>59</c:v>
                </c:pt>
                <c:pt idx="21">
                  <c:v>44</c:v>
                </c:pt>
                <c:pt idx="22">
                  <c:v>42</c:v>
                </c:pt>
                <c:pt idx="23">
                  <c:v>61</c:v>
                </c:pt>
                <c:pt idx="24">
                  <c:v>40</c:v>
                </c:pt>
                <c:pt idx="25">
                  <c:v>71</c:v>
                </c:pt>
                <c:pt idx="26">
                  <c:v>59</c:v>
                </c:pt>
                <c:pt idx="27">
                  <c:v>51</c:v>
                </c:pt>
                <c:pt idx="28">
                  <c:v>65</c:v>
                </c:pt>
                <c:pt idx="29">
                  <c:v>53</c:v>
                </c:pt>
                <c:pt idx="30">
                  <c:v>41</c:v>
                </c:pt>
                <c:pt idx="31">
                  <c:v>65</c:v>
                </c:pt>
                <c:pt idx="32">
                  <c:v>44</c:v>
                </c:pt>
                <c:pt idx="33">
                  <c:v>54</c:v>
                </c:pt>
                <c:pt idx="34">
                  <c:v>51</c:v>
                </c:pt>
                <c:pt idx="35">
                  <c:v>46</c:v>
                </c:pt>
                <c:pt idx="36">
                  <c:v>54</c:v>
                </c:pt>
                <c:pt idx="37">
                  <c:v>54</c:v>
                </c:pt>
                <c:pt idx="38">
                  <c:v>65</c:v>
                </c:pt>
                <c:pt idx="39">
                  <c:v>65</c:v>
                </c:pt>
                <c:pt idx="40">
                  <c:v>51</c:v>
                </c:pt>
                <c:pt idx="41">
                  <c:v>48</c:v>
                </c:pt>
                <c:pt idx="42">
                  <c:v>45</c:v>
                </c:pt>
                <c:pt idx="43">
                  <c:v>53</c:v>
                </c:pt>
                <c:pt idx="44">
                  <c:v>39</c:v>
                </c:pt>
                <c:pt idx="45">
                  <c:v>52</c:v>
                </c:pt>
                <c:pt idx="46">
                  <c:v>44</c:v>
                </c:pt>
                <c:pt idx="47">
                  <c:v>47</c:v>
                </c:pt>
                <c:pt idx="48">
                  <c:v>53</c:v>
                </c:pt>
                <c:pt idx="49">
                  <c:v>53</c:v>
                </c:pt>
                <c:pt idx="50">
                  <c:v>51</c:v>
                </c:pt>
                <c:pt idx="51">
                  <c:v>66</c:v>
                </c:pt>
                <c:pt idx="52">
                  <c:v>62</c:v>
                </c:pt>
                <c:pt idx="53">
                  <c:v>44</c:v>
                </c:pt>
                <c:pt idx="54">
                  <c:v>63</c:v>
                </c:pt>
                <c:pt idx="55">
                  <c:v>52</c:v>
                </c:pt>
                <c:pt idx="56">
                  <c:v>48</c:v>
                </c:pt>
                <c:pt idx="57">
                  <c:v>45</c:v>
                </c:pt>
                <c:pt idx="58">
                  <c:v>34</c:v>
                </c:pt>
                <c:pt idx="59">
                  <c:v>57</c:v>
                </c:pt>
                <c:pt idx="60">
                  <c:v>71</c:v>
                </c:pt>
                <c:pt idx="61">
                  <c:v>54</c:v>
                </c:pt>
                <c:pt idx="62">
                  <c:v>52</c:v>
                </c:pt>
                <c:pt idx="63">
                  <c:v>41</c:v>
                </c:pt>
                <c:pt idx="64">
                  <c:v>58</c:v>
                </c:pt>
                <c:pt idx="65">
                  <c:v>35</c:v>
                </c:pt>
                <c:pt idx="66">
                  <c:v>51</c:v>
                </c:pt>
                <c:pt idx="67">
                  <c:v>45</c:v>
                </c:pt>
                <c:pt idx="68">
                  <c:v>44</c:v>
                </c:pt>
                <c:pt idx="69">
                  <c:v>62</c:v>
                </c:pt>
                <c:pt idx="70">
                  <c:v>54</c:v>
                </c:pt>
                <c:pt idx="71">
                  <c:v>51</c:v>
                </c:pt>
                <c:pt idx="72">
                  <c:v>29</c:v>
                </c:pt>
                <c:pt idx="73">
                  <c:v>51</c:v>
                </c:pt>
                <c:pt idx="74">
                  <c:v>43</c:v>
                </c:pt>
                <c:pt idx="75">
                  <c:v>55</c:v>
                </c:pt>
                <c:pt idx="76">
                  <c:v>51</c:v>
                </c:pt>
                <c:pt idx="77">
                  <c:v>59</c:v>
                </c:pt>
                <c:pt idx="78">
                  <c:v>52</c:v>
                </c:pt>
                <c:pt idx="79">
                  <c:v>58</c:v>
                </c:pt>
                <c:pt idx="80">
                  <c:v>41</c:v>
                </c:pt>
                <c:pt idx="81">
                  <c:v>45</c:v>
                </c:pt>
                <c:pt idx="82">
                  <c:v>60</c:v>
                </c:pt>
                <c:pt idx="83">
                  <c:v>52</c:v>
                </c:pt>
                <c:pt idx="84">
                  <c:v>42</c:v>
                </c:pt>
                <c:pt idx="85">
                  <c:v>67</c:v>
                </c:pt>
                <c:pt idx="86">
                  <c:v>68</c:v>
                </c:pt>
                <c:pt idx="87">
                  <c:v>46</c:v>
                </c:pt>
                <c:pt idx="88">
                  <c:v>54</c:v>
                </c:pt>
                <c:pt idx="89">
                  <c:v>58</c:v>
                </c:pt>
                <c:pt idx="90">
                  <c:v>48</c:v>
                </c:pt>
                <c:pt idx="91">
                  <c:v>57</c:v>
                </c:pt>
                <c:pt idx="92">
                  <c:v>52</c:v>
                </c:pt>
                <c:pt idx="93">
                  <c:v>54</c:v>
                </c:pt>
                <c:pt idx="94">
                  <c:v>45</c:v>
                </c:pt>
                <c:pt idx="95">
                  <c:v>53</c:v>
                </c:pt>
                <c:pt idx="96">
                  <c:v>62</c:v>
                </c:pt>
                <c:pt idx="97">
                  <c:v>52</c:v>
                </c:pt>
                <c:pt idx="98">
                  <c:v>43</c:v>
                </c:pt>
                <c:pt idx="99">
                  <c:v>53</c:v>
                </c:pt>
                <c:pt idx="100">
                  <c:v>42</c:v>
                </c:pt>
                <c:pt idx="101">
                  <c:v>59</c:v>
                </c:pt>
                <c:pt idx="102">
                  <c:v>63</c:v>
                </c:pt>
                <c:pt idx="103">
                  <c:v>42</c:v>
                </c:pt>
                <c:pt idx="104">
                  <c:v>50</c:v>
                </c:pt>
                <c:pt idx="105">
                  <c:v>68</c:v>
                </c:pt>
                <c:pt idx="106">
                  <c:v>69</c:v>
                </c:pt>
                <c:pt idx="107">
                  <c:v>45</c:v>
                </c:pt>
                <c:pt idx="108">
                  <c:v>50</c:v>
                </c:pt>
                <c:pt idx="109">
                  <c:v>50</c:v>
                </c:pt>
                <c:pt idx="110">
                  <c:v>64</c:v>
                </c:pt>
                <c:pt idx="111">
                  <c:v>57</c:v>
                </c:pt>
                <c:pt idx="112">
                  <c:v>64</c:v>
                </c:pt>
                <c:pt idx="113">
                  <c:v>43</c:v>
                </c:pt>
                <c:pt idx="114">
                  <c:v>55</c:v>
                </c:pt>
                <c:pt idx="115">
                  <c:v>37</c:v>
                </c:pt>
                <c:pt idx="116">
                  <c:v>41</c:v>
                </c:pt>
                <c:pt idx="117">
                  <c:v>56</c:v>
                </c:pt>
                <c:pt idx="118">
                  <c:v>46</c:v>
                </c:pt>
                <c:pt idx="119">
                  <c:v>46</c:v>
                </c:pt>
                <c:pt idx="120">
                  <c:v>64</c:v>
                </c:pt>
                <c:pt idx="121">
                  <c:v>59</c:v>
                </c:pt>
                <c:pt idx="122">
                  <c:v>41</c:v>
                </c:pt>
                <c:pt idx="123">
                  <c:v>54</c:v>
                </c:pt>
                <c:pt idx="124">
                  <c:v>39</c:v>
                </c:pt>
                <c:pt idx="125">
                  <c:v>34</c:v>
                </c:pt>
                <c:pt idx="126">
                  <c:v>47</c:v>
                </c:pt>
                <c:pt idx="127">
                  <c:v>67</c:v>
                </c:pt>
                <c:pt idx="128">
                  <c:v>52</c:v>
                </c:pt>
                <c:pt idx="129">
                  <c:v>74</c:v>
                </c:pt>
                <c:pt idx="130">
                  <c:v>54</c:v>
                </c:pt>
                <c:pt idx="131">
                  <c:v>49</c:v>
                </c:pt>
                <c:pt idx="132">
                  <c:v>42</c:v>
                </c:pt>
                <c:pt idx="133">
                  <c:v>41</c:v>
                </c:pt>
                <c:pt idx="134">
                  <c:v>41</c:v>
                </c:pt>
                <c:pt idx="135">
                  <c:v>49</c:v>
                </c:pt>
                <c:pt idx="136">
                  <c:v>60</c:v>
                </c:pt>
                <c:pt idx="137">
                  <c:v>62</c:v>
                </c:pt>
                <c:pt idx="138">
                  <c:v>57</c:v>
                </c:pt>
                <c:pt idx="139">
                  <c:v>64</c:v>
                </c:pt>
                <c:pt idx="140">
                  <c:v>51</c:v>
                </c:pt>
                <c:pt idx="141">
                  <c:v>43</c:v>
                </c:pt>
                <c:pt idx="142">
                  <c:v>42</c:v>
                </c:pt>
                <c:pt idx="143">
                  <c:v>67</c:v>
                </c:pt>
                <c:pt idx="144">
                  <c:v>76</c:v>
                </c:pt>
                <c:pt idx="145">
                  <c:v>70</c:v>
                </c:pt>
                <c:pt idx="146">
                  <c:v>44</c:v>
                </c:pt>
                <c:pt idx="147">
                  <c:v>60</c:v>
                </c:pt>
                <c:pt idx="148">
                  <c:v>44</c:v>
                </c:pt>
                <c:pt idx="149">
                  <c:v>42</c:v>
                </c:pt>
                <c:pt idx="150">
                  <c:v>66</c:v>
                </c:pt>
                <c:pt idx="151">
                  <c:v>71</c:v>
                </c:pt>
                <c:pt idx="152">
                  <c:v>64</c:v>
                </c:pt>
                <c:pt idx="153">
                  <c:v>66</c:v>
                </c:pt>
                <c:pt idx="154">
                  <c:v>39</c:v>
                </c:pt>
                <c:pt idx="155">
                  <c:v>58</c:v>
                </c:pt>
                <c:pt idx="156">
                  <c:v>47</c:v>
                </c:pt>
                <c:pt idx="157">
                  <c:v>35</c:v>
                </c:pt>
                <c:pt idx="158">
                  <c:v>58</c:v>
                </c:pt>
                <c:pt idx="159">
                  <c:v>56</c:v>
                </c:pt>
                <c:pt idx="160">
                  <c:v>56</c:v>
                </c:pt>
                <c:pt idx="161">
                  <c:v>55</c:v>
                </c:pt>
                <c:pt idx="162">
                  <c:v>41</c:v>
                </c:pt>
                <c:pt idx="163">
                  <c:v>38</c:v>
                </c:pt>
                <c:pt idx="164">
                  <c:v>38</c:v>
                </c:pt>
                <c:pt idx="165">
                  <c:v>67</c:v>
                </c:pt>
                <c:pt idx="166">
                  <c:v>67</c:v>
                </c:pt>
                <c:pt idx="167">
                  <c:v>62</c:v>
                </c:pt>
                <c:pt idx="168">
                  <c:v>63</c:v>
                </c:pt>
                <c:pt idx="169">
                  <c:v>53</c:v>
                </c:pt>
                <c:pt idx="170">
                  <c:v>56</c:v>
                </c:pt>
                <c:pt idx="171">
                  <c:v>48</c:v>
                </c:pt>
                <c:pt idx="172">
                  <c:v>58</c:v>
                </c:pt>
                <c:pt idx="173">
                  <c:v>58</c:v>
                </c:pt>
                <c:pt idx="174">
                  <c:v>60</c:v>
                </c:pt>
                <c:pt idx="175">
                  <c:v>40</c:v>
                </c:pt>
                <c:pt idx="176">
                  <c:v>60</c:v>
                </c:pt>
                <c:pt idx="177">
                  <c:v>64</c:v>
                </c:pt>
                <c:pt idx="178">
                  <c:v>43</c:v>
                </c:pt>
                <c:pt idx="179">
                  <c:v>57</c:v>
                </c:pt>
                <c:pt idx="180">
                  <c:v>55</c:v>
                </c:pt>
                <c:pt idx="181">
                  <c:v>65</c:v>
                </c:pt>
                <c:pt idx="182">
                  <c:v>61</c:v>
                </c:pt>
                <c:pt idx="183">
                  <c:v>58</c:v>
                </c:pt>
                <c:pt idx="184">
                  <c:v>50</c:v>
                </c:pt>
                <c:pt idx="185">
                  <c:v>44</c:v>
                </c:pt>
                <c:pt idx="186">
                  <c:v>60</c:v>
                </c:pt>
                <c:pt idx="187">
                  <c:v>54</c:v>
                </c:pt>
                <c:pt idx="188">
                  <c:v>50</c:v>
                </c:pt>
                <c:pt idx="189">
                  <c:v>41</c:v>
                </c:pt>
                <c:pt idx="190">
                  <c:v>51</c:v>
                </c:pt>
                <c:pt idx="191">
                  <c:v>58</c:v>
                </c:pt>
                <c:pt idx="192">
                  <c:v>54</c:v>
                </c:pt>
                <c:pt idx="193">
                  <c:v>60</c:v>
                </c:pt>
                <c:pt idx="194">
                  <c:v>60</c:v>
                </c:pt>
                <c:pt idx="195">
                  <c:v>59</c:v>
                </c:pt>
                <c:pt idx="196">
                  <c:v>46</c:v>
                </c:pt>
                <c:pt idx="197">
                  <c:v>67</c:v>
                </c:pt>
                <c:pt idx="198">
                  <c:v>62</c:v>
                </c:pt>
                <c:pt idx="199">
                  <c:v>65</c:v>
                </c:pt>
                <c:pt idx="200">
                  <c:v>44</c:v>
                </c:pt>
                <c:pt idx="201">
                  <c:v>60</c:v>
                </c:pt>
                <c:pt idx="202">
                  <c:v>58</c:v>
                </c:pt>
                <c:pt idx="203">
                  <c:v>68</c:v>
                </c:pt>
                <c:pt idx="204">
                  <c:v>62</c:v>
                </c:pt>
                <c:pt idx="205">
                  <c:v>52</c:v>
                </c:pt>
                <c:pt idx="206">
                  <c:v>59</c:v>
                </c:pt>
                <c:pt idx="207">
                  <c:v>60</c:v>
                </c:pt>
                <c:pt idx="208">
                  <c:v>49</c:v>
                </c:pt>
                <c:pt idx="209">
                  <c:v>59</c:v>
                </c:pt>
                <c:pt idx="210">
                  <c:v>57</c:v>
                </c:pt>
                <c:pt idx="211">
                  <c:v>61</c:v>
                </c:pt>
                <c:pt idx="212">
                  <c:v>39</c:v>
                </c:pt>
                <c:pt idx="213">
                  <c:v>61</c:v>
                </c:pt>
                <c:pt idx="214">
                  <c:v>56</c:v>
                </c:pt>
                <c:pt idx="215">
                  <c:v>43</c:v>
                </c:pt>
                <c:pt idx="216">
                  <c:v>62</c:v>
                </c:pt>
                <c:pt idx="217">
                  <c:v>63</c:v>
                </c:pt>
                <c:pt idx="218">
                  <c:v>65</c:v>
                </c:pt>
                <c:pt idx="219">
                  <c:v>48</c:v>
                </c:pt>
                <c:pt idx="220">
                  <c:v>63</c:v>
                </c:pt>
                <c:pt idx="221">
                  <c:v>55</c:v>
                </c:pt>
                <c:pt idx="222">
                  <c:v>65</c:v>
                </c:pt>
                <c:pt idx="223">
                  <c:v>56</c:v>
                </c:pt>
                <c:pt idx="224">
                  <c:v>54</c:v>
                </c:pt>
                <c:pt idx="225">
                  <c:v>70</c:v>
                </c:pt>
                <c:pt idx="226">
                  <c:v>62</c:v>
                </c:pt>
                <c:pt idx="227">
                  <c:v>35</c:v>
                </c:pt>
                <c:pt idx="228">
                  <c:v>59</c:v>
                </c:pt>
                <c:pt idx="229">
                  <c:v>64</c:v>
                </c:pt>
                <c:pt idx="230">
                  <c:v>47</c:v>
                </c:pt>
                <c:pt idx="231">
                  <c:v>57</c:v>
                </c:pt>
                <c:pt idx="232">
                  <c:v>55</c:v>
                </c:pt>
                <c:pt idx="233">
                  <c:v>64</c:v>
                </c:pt>
                <c:pt idx="234">
                  <c:v>70</c:v>
                </c:pt>
                <c:pt idx="235">
                  <c:v>51</c:v>
                </c:pt>
                <c:pt idx="236">
                  <c:v>58</c:v>
                </c:pt>
                <c:pt idx="237">
                  <c:v>60</c:v>
                </c:pt>
                <c:pt idx="238">
                  <c:v>77</c:v>
                </c:pt>
                <c:pt idx="239">
                  <c:v>35</c:v>
                </c:pt>
                <c:pt idx="240">
                  <c:v>70</c:v>
                </c:pt>
                <c:pt idx="241">
                  <c:v>59</c:v>
                </c:pt>
                <c:pt idx="242">
                  <c:v>64</c:v>
                </c:pt>
                <c:pt idx="243">
                  <c:v>57</c:v>
                </c:pt>
                <c:pt idx="244">
                  <c:v>56</c:v>
                </c:pt>
                <c:pt idx="245">
                  <c:v>48</c:v>
                </c:pt>
                <c:pt idx="246">
                  <c:v>56</c:v>
                </c:pt>
                <c:pt idx="247">
                  <c:v>66</c:v>
                </c:pt>
                <c:pt idx="248">
                  <c:v>54</c:v>
                </c:pt>
                <c:pt idx="249">
                  <c:v>69</c:v>
                </c:pt>
                <c:pt idx="250">
                  <c:v>51</c:v>
                </c:pt>
                <c:pt idx="251">
                  <c:v>43</c:v>
                </c:pt>
                <c:pt idx="252">
                  <c:v>62</c:v>
                </c:pt>
                <c:pt idx="253">
                  <c:v>67</c:v>
                </c:pt>
                <c:pt idx="254">
                  <c:v>59</c:v>
                </c:pt>
                <c:pt idx="255">
                  <c:v>45</c:v>
                </c:pt>
                <c:pt idx="256">
                  <c:v>58</c:v>
                </c:pt>
                <c:pt idx="257">
                  <c:v>50</c:v>
                </c:pt>
                <c:pt idx="258">
                  <c:v>62</c:v>
                </c:pt>
                <c:pt idx="259">
                  <c:v>38</c:v>
                </c:pt>
                <c:pt idx="260">
                  <c:v>66</c:v>
                </c:pt>
                <c:pt idx="261">
                  <c:v>52</c:v>
                </c:pt>
                <c:pt idx="262">
                  <c:v>53</c:v>
                </c:pt>
                <c:pt idx="263">
                  <c:v>63</c:v>
                </c:pt>
                <c:pt idx="264">
                  <c:v>54</c:v>
                </c:pt>
                <c:pt idx="265">
                  <c:v>66</c:v>
                </c:pt>
                <c:pt idx="266">
                  <c:v>55</c:v>
                </c:pt>
                <c:pt idx="267">
                  <c:v>49</c:v>
                </c:pt>
                <c:pt idx="268">
                  <c:v>54</c:v>
                </c:pt>
                <c:pt idx="269">
                  <c:v>56</c:v>
                </c:pt>
                <c:pt idx="270">
                  <c:v>46</c:v>
                </c:pt>
                <c:pt idx="271">
                  <c:v>61</c:v>
                </c:pt>
                <c:pt idx="272">
                  <c:v>67</c:v>
                </c:pt>
                <c:pt idx="273">
                  <c:v>58</c:v>
                </c:pt>
                <c:pt idx="274">
                  <c:v>47</c:v>
                </c:pt>
                <c:pt idx="275">
                  <c:v>52</c:v>
                </c:pt>
                <c:pt idx="276">
                  <c:v>58</c:v>
                </c:pt>
                <c:pt idx="277">
                  <c:v>57</c:v>
                </c:pt>
                <c:pt idx="278">
                  <c:v>58</c:v>
                </c:pt>
                <c:pt idx="279">
                  <c:v>61</c:v>
                </c:pt>
                <c:pt idx="280">
                  <c:v>42</c:v>
                </c:pt>
                <c:pt idx="281">
                  <c:v>52</c:v>
                </c:pt>
                <c:pt idx="282">
                  <c:v>59</c:v>
                </c:pt>
                <c:pt idx="283">
                  <c:v>40</c:v>
                </c:pt>
                <c:pt idx="284">
                  <c:v>61</c:v>
                </c:pt>
                <c:pt idx="285">
                  <c:v>46</c:v>
                </c:pt>
                <c:pt idx="286">
                  <c:v>59</c:v>
                </c:pt>
                <c:pt idx="287">
                  <c:v>57</c:v>
                </c:pt>
                <c:pt idx="288">
                  <c:v>57</c:v>
                </c:pt>
                <c:pt idx="289">
                  <c:v>55</c:v>
                </c:pt>
                <c:pt idx="290">
                  <c:v>61</c:v>
                </c:pt>
                <c:pt idx="291">
                  <c:v>58</c:v>
                </c:pt>
                <c:pt idx="292">
                  <c:v>58</c:v>
                </c:pt>
                <c:pt idx="293">
                  <c:v>67</c:v>
                </c:pt>
                <c:pt idx="294">
                  <c:v>44</c:v>
                </c:pt>
                <c:pt idx="295">
                  <c:v>63</c:v>
                </c:pt>
                <c:pt idx="296">
                  <c:v>63</c:v>
                </c:pt>
                <c:pt idx="297">
                  <c:v>59</c:v>
                </c:pt>
                <c:pt idx="298">
                  <c:v>57</c:v>
                </c:pt>
                <c:pt idx="299">
                  <c:v>45</c:v>
                </c:pt>
                <c:pt idx="300">
                  <c:v>68</c:v>
                </c:pt>
                <c:pt idx="301">
                  <c:v>57</c:v>
                </c:pt>
                <c:pt idx="302">
                  <c:v>57</c:v>
                </c:pt>
              </c:numCache>
            </c:numRef>
          </c:xVal>
          <c:yVal>
            <c:numRef>
              <c:f>regression!$AB$27:$AB$329</c:f>
              <c:numCache>
                <c:formatCode>General</c:formatCode>
                <c:ptCount val="303"/>
                <c:pt idx="0">
                  <c:v>-25.566492095944682</c:v>
                </c:pt>
                <c:pt idx="1">
                  <c:v>23.337269400144834</c:v>
                </c:pt>
                <c:pt idx="2">
                  <c:v>-27.101403602823666</c:v>
                </c:pt>
                <c:pt idx="3">
                  <c:v>-9.7115027127591418</c:v>
                </c:pt>
                <c:pt idx="4">
                  <c:v>107.17882903649874</c:v>
                </c:pt>
                <c:pt idx="5">
                  <c:v>-58.891020265893815</c:v>
                </c:pt>
                <c:pt idx="6">
                  <c:v>44.218647984848303</c:v>
                </c:pt>
                <c:pt idx="7">
                  <c:v>30.604516296146272</c:v>
                </c:pt>
                <c:pt idx="8">
                  <c:v>-52.854437896011348</c:v>
                </c:pt>
                <c:pt idx="9">
                  <c:v>-84.925944917090106</c:v>
                </c:pt>
                <c:pt idx="10">
                  <c:v>-8.5620155136674612</c:v>
                </c:pt>
                <c:pt idx="11">
                  <c:v>36.130918641981509</c:v>
                </c:pt>
                <c:pt idx="12">
                  <c:v>26.021250391239391</c:v>
                </c:pt>
                <c:pt idx="13">
                  <c:v>-41.553924067499793</c:v>
                </c:pt>
                <c:pt idx="14">
                  <c:v>28.964386832167776</c:v>
                </c:pt>
                <c:pt idx="15">
                  <c:v>-20.053493208306435</c:v>
                </c:pt>
                <c:pt idx="16">
                  <c:v>92.069160785756623</c:v>
                </c:pt>
                <c:pt idx="17">
                  <c:v>-36.912959173769138</c:v>
                </c:pt>
                <c:pt idx="18">
                  <c:v>9.6094105932995433</c:v>
                </c:pt>
                <c:pt idx="19">
                  <c:v>-25.207039274799229</c:v>
                </c:pt>
                <c:pt idx="20">
                  <c:v>-18.092894441779919</c:v>
                </c:pt>
                <c:pt idx="21">
                  <c:v>-1.4304083550500195</c:v>
                </c:pt>
                <c:pt idx="22">
                  <c:v>-8.2459965047620472</c:v>
                </c:pt>
                <c:pt idx="23">
                  <c:v>-14.364617920058549</c:v>
                </c:pt>
                <c:pt idx="24">
                  <c:v>-33.026660003277783</c:v>
                </c:pt>
                <c:pt idx="25">
                  <c:v>31.503774921323952</c:v>
                </c:pt>
                <c:pt idx="26">
                  <c:v>-43.145281418574342</c:v>
                </c:pt>
                <c:pt idx="27">
                  <c:v>-63.128236807852261</c:v>
                </c:pt>
                <c:pt idx="28">
                  <c:v>157.23163372816924</c:v>
                </c:pt>
                <c:pt idx="29">
                  <c:v>-47.41742261172908</c:v>
                </c:pt>
                <c:pt idx="30">
                  <c:v>-28.014091974832951</c:v>
                </c:pt>
                <c:pt idx="31">
                  <c:v>-78.698516969438202</c:v>
                </c:pt>
                <c:pt idx="32">
                  <c:v>-15.43040835505002</c:v>
                </c:pt>
                <c:pt idx="33">
                  <c:v>28.490371463126962</c:v>
                </c:pt>
                <c:pt idx="34">
                  <c:v>-28.180623784646684</c:v>
                </c:pt>
                <c:pt idx="35">
                  <c:v>-62.091654437969794</c:v>
                </c:pt>
                <c:pt idx="36">
                  <c:v>57.45544681193067</c:v>
                </c:pt>
                <c:pt idx="37">
                  <c:v>-17.596940164863753</c:v>
                </c:pt>
                <c:pt idx="38">
                  <c:v>6.1792467513748193</c:v>
                </c:pt>
                <c:pt idx="39">
                  <c:v>96.161784425776659</c:v>
                </c:pt>
                <c:pt idx="40">
                  <c:v>63.766989238558892</c:v>
                </c:pt>
                <c:pt idx="41">
                  <c:v>6.1309186419815092</c:v>
                </c:pt>
                <c:pt idx="42">
                  <c:v>-22.249272512681785</c:v>
                </c:pt>
                <c:pt idx="43">
                  <c:v>19.58257738827092</c:v>
                </c:pt>
                <c:pt idx="44">
                  <c:v>90.083008247464335</c:v>
                </c:pt>
                <c:pt idx="45">
                  <c:v>83.72717029020933</c:v>
                </c:pt>
                <c:pt idx="46">
                  <c:v>-1.4653330062462828</c:v>
                </c:pt>
                <c:pt idx="47">
                  <c:v>17.612647171766611</c:v>
                </c:pt>
                <c:pt idx="48">
                  <c:v>-28.010437681489805</c:v>
                </c:pt>
                <c:pt idx="49">
                  <c:v>-12.045362332686096</c:v>
                </c:pt>
                <c:pt idx="50">
                  <c:v>13.801913889755156</c:v>
                </c:pt>
                <c:pt idx="51">
                  <c:v>45.191814779819708</c:v>
                </c:pt>
                <c:pt idx="52">
                  <c:v>-23.404436868408141</c:v>
                </c:pt>
                <c:pt idx="53">
                  <c:v>-88.953574122418189</c:v>
                </c:pt>
                <c:pt idx="54">
                  <c:v>-4.5315674447483616</c:v>
                </c:pt>
                <c:pt idx="55">
                  <c:v>-43.121724221465456</c:v>
                </c:pt>
                <c:pt idx="56">
                  <c:v>-15.241141637061446</c:v>
                </c:pt>
                <c:pt idx="57">
                  <c:v>27.512310371002286</c:v>
                </c:pt>
                <c:pt idx="58">
                  <c:v>-38.891816266193274</c:v>
                </c:pt>
                <c:pt idx="59">
                  <c:v>54.550889315541724</c:v>
                </c:pt>
                <c:pt idx="60">
                  <c:v>4.6783981773053824</c:v>
                </c:pt>
                <c:pt idx="61">
                  <c:v>67.949743370160633</c:v>
                </c:pt>
                <c:pt idx="62">
                  <c:v>-54.865844779551423</c:v>
                </c:pt>
                <c:pt idx="63">
                  <c:v>-29.118865928421798</c:v>
                </c:pt>
                <c:pt idx="64">
                  <c:v>-41.000688516635933</c:v>
                </c:pt>
                <c:pt idx="65">
                  <c:v>-43.071333819327947</c:v>
                </c:pt>
                <c:pt idx="66">
                  <c:v>-14.093312156655998</c:v>
                </c:pt>
                <c:pt idx="67">
                  <c:v>-1.5400766057921373</c:v>
                </c:pt>
                <c:pt idx="68">
                  <c:v>-12.395483703853728</c:v>
                </c:pt>
                <c:pt idx="69">
                  <c:v>-44.183482077690371</c:v>
                </c:pt>
                <c:pt idx="70">
                  <c:v>14.507833788725094</c:v>
                </c:pt>
                <c:pt idx="71">
                  <c:v>-7.8723573659382282</c:v>
                </c:pt>
                <c:pt idx="72">
                  <c:v>-13.785384593918224</c:v>
                </c:pt>
                <c:pt idx="73">
                  <c:v>16.766989238558892</c:v>
                </c:pt>
                <c:pt idx="74">
                  <c:v>-18.692800383350857</c:v>
                </c:pt>
                <c:pt idx="75">
                  <c:v>2.3457785611885527</c:v>
                </c:pt>
                <c:pt idx="76">
                  <c:v>3.8193762153533157</c:v>
                </c:pt>
                <c:pt idx="77">
                  <c:v>-32.11035676737805</c:v>
                </c:pt>
                <c:pt idx="78">
                  <c:v>-37.900769430747687</c:v>
                </c:pt>
                <c:pt idx="79">
                  <c:v>-4.8784522374489541</c:v>
                </c:pt>
                <c:pt idx="80">
                  <c:v>22.561460769329642</c:v>
                </c:pt>
                <c:pt idx="81">
                  <c:v>72.866908324447138</c:v>
                </c:pt>
                <c:pt idx="82">
                  <c:v>71.512688656425695</c:v>
                </c:pt>
                <c:pt idx="83">
                  <c:v>50.215411406381236</c:v>
                </c:pt>
                <c:pt idx="84">
                  <c:v>38.486717169783816</c:v>
                </c:pt>
                <c:pt idx="85">
                  <c:v>307.09960885467569</c:v>
                </c:pt>
                <c:pt idx="86">
                  <c:v>18.379463208574691</c:v>
                </c:pt>
                <c:pt idx="87">
                  <c:v>-33.748463368065018</c:v>
                </c:pt>
                <c:pt idx="88">
                  <c:v>-27.457241560078614</c:v>
                </c:pt>
                <c:pt idx="89">
                  <c:v>4.1390100881491776</c:v>
                </c:pt>
                <c:pt idx="90">
                  <c:v>17.351873432699279</c:v>
                </c:pt>
                <c:pt idx="91">
                  <c:v>-42.263080544936798</c:v>
                </c:pt>
                <c:pt idx="92">
                  <c:v>-21.935694081943979</c:v>
                </c:pt>
                <c:pt idx="93">
                  <c:v>42.065924207289555</c:v>
                </c:pt>
                <c:pt idx="94">
                  <c:v>-71.877212233638829</c:v>
                </c:pt>
                <c:pt idx="95">
                  <c:v>-20.859332193164619</c:v>
                </c:pt>
                <c:pt idx="96">
                  <c:v>137.5606384803956</c:v>
                </c:pt>
                <c:pt idx="97">
                  <c:v>-5.8309201283551317</c:v>
                </c:pt>
                <c:pt idx="98">
                  <c:v>81.679259895692098</c:v>
                </c:pt>
                <c:pt idx="99">
                  <c:v>1.58257738827092</c:v>
                </c:pt>
                <c:pt idx="100">
                  <c:v>8.1260637742809081</c:v>
                </c:pt>
                <c:pt idx="101">
                  <c:v>9.1569295580760581</c:v>
                </c:pt>
                <c:pt idx="102">
                  <c:v>-62.549029770346522</c:v>
                </c:pt>
                <c:pt idx="103">
                  <c:v>9.8238527976305079</c:v>
                </c:pt>
                <c:pt idx="104">
                  <c:v>-44.884925394383089</c:v>
                </c:pt>
                <c:pt idx="105">
                  <c:v>-48.027521721664527</c:v>
                </c:pt>
                <c:pt idx="106">
                  <c:v>-34.276888577191812</c:v>
                </c:pt>
                <c:pt idx="107">
                  <c:v>-1.1680163267491537</c:v>
                </c:pt>
                <c:pt idx="108">
                  <c:v>4.9465067916935652</c:v>
                </c:pt>
                <c:pt idx="109">
                  <c:v>16.981431442889857</c:v>
                </c:pt>
                <c:pt idx="110">
                  <c:v>58.201603374126194</c:v>
                </c:pt>
                <c:pt idx="111">
                  <c:v>-126.92594491709011</c:v>
                </c:pt>
                <c:pt idx="112">
                  <c:v>54.34130197891136</c:v>
                </c:pt>
                <c:pt idx="113">
                  <c:v>-18.250890801915318</c:v>
                </c:pt>
                <c:pt idx="114">
                  <c:v>15.363240886786684</c:v>
                </c:pt>
                <c:pt idx="115">
                  <c:v>-9.6278059486588745</c:v>
                </c:pt>
                <c:pt idx="116">
                  <c:v>-17.101403602823666</c:v>
                </c:pt>
                <c:pt idx="117">
                  <c:v>-52.711502712759142</c:v>
                </c:pt>
                <c:pt idx="118">
                  <c:v>-27.56243322854354</c:v>
                </c:pt>
                <c:pt idx="119">
                  <c:v>4.7223154225087285</c:v>
                </c:pt>
                <c:pt idx="120">
                  <c:v>46.376226630107624</c:v>
                </c:pt>
                <c:pt idx="121">
                  <c:v>18.296628162861197</c:v>
                </c:pt>
                <c:pt idx="122">
                  <c:v>40.561460769329642</c:v>
                </c:pt>
                <c:pt idx="123">
                  <c:v>25.949743370160633</c:v>
                </c:pt>
                <c:pt idx="124">
                  <c:v>-22.556338357032786</c:v>
                </c:pt>
                <c:pt idx="125">
                  <c:v>-10.891816266193274</c:v>
                </c:pt>
                <c:pt idx="126">
                  <c:v>-30.096548735123065</c:v>
                </c:pt>
                <c:pt idx="127">
                  <c:v>12.570387645249468</c:v>
                </c:pt>
                <c:pt idx="128">
                  <c:v>-48.528709151704732</c:v>
                </c:pt>
                <c:pt idx="129">
                  <c:v>3.3144687738827656</c:v>
                </c:pt>
                <c:pt idx="130">
                  <c:v>-50.631864816060045</c:v>
                </c:pt>
                <c:pt idx="131">
                  <c:v>30.207280530760897</c:v>
                </c:pt>
                <c:pt idx="132">
                  <c:v>64.823852797630508</c:v>
                </c:pt>
                <c:pt idx="133">
                  <c:v>7.9684456995689175</c:v>
                </c:pt>
                <c:pt idx="134">
                  <c:v>75.712566257654856</c:v>
                </c:pt>
                <c:pt idx="135">
                  <c:v>29.021250391239391</c:v>
                </c:pt>
                <c:pt idx="136">
                  <c:v>-72.150175715727613</c:v>
                </c:pt>
                <c:pt idx="137">
                  <c:v>-45.997451938168865</c:v>
                </c:pt>
                <c:pt idx="138">
                  <c:v>-43.786246312304968</c:v>
                </c:pt>
                <c:pt idx="139">
                  <c:v>6.7832115603468992</c:v>
                </c:pt>
                <c:pt idx="140">
                  <c:v>54.836838540951447</c:v>
                </c:pt>
                <c:pt idx="141">
                  <c:v>72.731646872486522</c:v>
                </c:pt>
                <c:pt idx="142">
                  <c:v>-21.176147202369492</c:v>
                </c:pt>
                <c:pt idx="143">
                  <c:v>-32.068958959247652</c:v>
                </c:pt>
                <c:pt idx="144">
                  <c:v>-74.974717029994054</c:v>
                </c:pt>
                <c:pt idx="145">
                  <c:v>-23.572586967455379</c:v>
                </c:pt>
                <c:pt idx="146">
                  <c:v>10.011501226385519</c:v>
                </c:pt>
                <c:pt idx="147">
                  <c:v>-16.254949669316431</c:v>
                </c:pt>
                <c:pt idx="148">
                  <c:v>-6.3954837038537278</c:v>
                </c:pt>
                <c:pt idx="149">
                  <c:v>-52.211071853565784</c:v>
                </c:pt>
                <c:pt idx="150">
                  <c:v>-36.947883824965459</c:v>
                </c:pt>
                <c:pt idx="151">
                  <c:v>-111.72858675293389</c:v>
                </c:pt>
                <c:pt idx="152">
                  <c:v>-37.763471974677486</c:v>
                </c:pt>
                <c:pt idx="153">
                  <c:v>15.901010686709355</c:v>
                </c:pt>
                <c:pt idx="154">
                  <c:v>-10.510006822296418</c:v>
                </c:pt>
                <c:pt idx="155">
                  <c:v>-52.965763865439669</c:v>
                </c:pt>
                <c:pt idx="156">
                  <c:v>15.240586892723627</c:v>
                </c:pt>
                <c:pt idx="157">
                  <c:v>-30.815454377413886</c:v>
                </c:pt>
                <c:pt idx="158">
                  <c:v>-28.948301539841509</c:v>
                </c:pt>
                <c:pt idx="159">
                  <c:v>-26.746427363955434</c:v>
                </c:pt>
                <c:pt idx="160">
                  <c:v>-5.7115027127591418</c:v>
                </c:pt>
                <c:pt idx="161">
                  <c:v>94.956255956547437</c:v>
                </c:pt>
                <c:pt idx="162">
                  <c:v>-72.066478951627374</c:v>
                </c:pt>
                <c:pt idx="163">
                  <c:v>-54.4003385715543</c:v>
                </c:pt>
                <c:pt idx="164">
                  <c:v>-54.4003385715543</c:v>
                </c:pt>
                <c:pt idx="165">
                  <c:v>19.942447924292424</c:v>
                </c:pt>
                <c:pt idx="166">
                  <c:v>-28.91785347092241</c:v>
                </c:pt>
                <c:pt idx="167">
                  <c:v>11.560638480395596</c:v>
                </c:pt>
                <c:pt idx="168">
                  <c:v>-1.5141051191502584</c:v>
                </c:pt>
                <c:pt idx="169">
                  <c:v>-43.452347262925343</c:v>
                </c:pt>
                <c:pt idx="170">
                  <c:v>8.2535726360445665</c:v>
                </c:pt>
                <c:pt idx="171">
                  <c:v>-5.7992320556259074</c:v>
                </c:pt>
                <c:pt idx="172">
                  <c:v>36.069160785756623</c:v>
                </c:pt>
                <c:pt idx="173">
                  <c:v>-26.372748795678916</c:v>
                </c:pt>
                <c:pt idx="174">
                  <c:v>-46.185100366923905</c:v>
                </c:pt>
                <c:pt idx="175">
                  <c:v>-58.921886049688936</c:v>
                </c:pt>
                <c:pt idx="176">
                  <c:v>-19.539698320368728</c:v>
                </c:pt>
                <c:pt idx="177">
                  <c:v>76.34130197891136</c:v>
                </c:pt>
                <c:pt idx="178">
                  <c:v>-54.28581545311161</c:v>
                </c:pt>
                <c:pt idx="179">
                  <c:v>23.074055082909894</c:v>
                </c:pt>
                <c:pt idx="180">
                  <c:v>105.95625595654744</c:v>
                </c:pt>
                <c:pt idx="181">
                  <c:v>-36.803290923027021</c:v>
                </c:pt>
                <c:pt idx="182">
                  <c:v>76.705231382333977</c:v>
                </c:pt>
                <c:pt idx="183">
                  <c:v>-16.302899493286361</c:v>
                </c:pt>
                <c:pt idx="184">
                  <c:v>-2.1582671618952816</c:v>
                </c:pt>
                <c:pt idx="185">
                  <c:v>59.232456017103289</c:v>
                </c:pt>
                <c:pt idx="186">
                  <c:v>0.81489963307609514</c:v>
                </c:pt>
                <c:pt idx="187">
                  <c:v>21.693863928246572</c:v>
                </c:pt>
                <c:pt idx="188">
                  <c:v>-10.12334251069899</c:v>
                </c:pt>
                <c:pt idx="189">
                  <c:v>-55.031554300431083</c:v>
                </c:pt>
                <c:pt idx="190">
                  <c:v>62.801913889755156</c:v>
                </c:pt>
                <c:pt idx="191">
                  <c:v>-33.558778935200394</c:v>
                </c:pt>
                <c:pt idx="192">
                  <c:v>-55.492166211274906</c:v>
                </c:pt>
                <c:pt idx="193">
                  <c:v>26.762512656281672</c:v>
                </c:pt>
                <c:pt idx="194">
                  <c:v>-69.220025018120168</c:v>
                </c:pt>
                <c:pt idx="195">
                  <c:v>66.784869279033103</c:v>
                </c:pt>
                <c:pt idx="196">
                  <c:v>-9.7195941589268102</c:v>
                </c:pt>
                <c:pt idx="197">
                  <c:v>-4.9353157965205696</c:v>
                </c:pt>
                <c:pt idx="198">
                  <c:v>14.630487782788151</c:v>
                </c:pt>
                <c:pt idx="199">
                  <c:v>-5.6635923182419106</c:v>
                </c:pt>
                <c:pt idx="200">
                  <c:v>-33.360559052657436</c:v>
                </c:pt>
                <c:pt idx="201">
                  <c:v>6.8323619586742552</c:v>
                </c:pt>
                <c:pt idx="202">
                  <c:v>15.964386832167776</c:v>
                </c:pt>
                <c:pt idx="203">
                  <c:v>2.7629303711577222</c:v>
                </c:pt>
                <c:pt idx="204">
                  <c:v>-96.509210821996987</c:v>
                </c:pt>
                <c:pt idx="205">
                  <c:v>12.099230569252313</c:v>
                </c:pt>
                <c:pt idx="206">
                  <c:v>-8.0055828137892036</c:v>
                </c:pt>
                <c:pt idx="207">
                  <c:v>1.7450503306835685</c:v>
                </c:pt>
                <c:pt idx="208">
                  <c:v>-49.943824957564317</c:v>
                </c:pt>
                <c:pt idx="209">
                  <c:v>-76.11035676737805</c:v>
                </c:pt>
                <c:pt idx="210">
                  <c:v>-19.449110684458276</c:v>
                </c:pt>
                <c:pt idx="211">
                  <c:v>8.740156033530269</c:v>
                </c:pt>
                <c:pt idx="212">
                  <c:v>-7.4401575199038632</c:v>
                </c:pt>
                <c:pt idx="213">
                  <c:v>50.652844405539554</c:v>
                </c:pt>
                <c:pt idx="214">
                  <c:v>2.2710349616427266</c:v>
                </c:pt>
                <c:pt idx="215">
                  <c:v>107.27227496545285</c:v>
                </c:pt>
                <c:pt idx="216">
                  <c:v>8.5955631315918595</c:v>
                </c:pt>
                <c:pt idx="217">
                  <c:v>74.485894880849742</c:v>
                </c:pt>
                <c:pt idx="218">
                  <c:v>-4.7509039462325973</c:v>
                </c:pt>
                <c:pt idx="219">
                  <c:v>17.130918641981509</c:v>
                </c:pt>
                <c:pt idx="220">
                  <c:v>147.41604557845722</c:v>
                </c:pt>
                <c:pt idx="221">
                  <c:v>-31.671683764409579</c:v>
                </c:pt>
                <c:pt idx="222">
                  <c:v>22.638618658408518</c:v>
                </c:pt>
                <c:pt idx="223">
                  <c:v>26.00910007767061</c:v>
                </c:pt>
                <c:pt idx="224">
                  <c:v>-2.4572415600786144</c:v>
                </c:pt>
                <c:pt idx="225">
                  <c:v>-92.334169851139507</c:v>
                </c:pt>
                <c:pt idx="226">
                  <c:v>28.630487782788151</c:v>
                </c:pt>
                <c:pt idx="227">
                  <c:v>-24.408469447174639</c:v>
                </c:pt>
                <c:pt idx="228">
                  <c:v>28.784869279033103</c:v>
                </c:pt>
                <c:pt idx="229">
                  <c:v>53.393688955705784</c:v>
                </c:pt>
                <c:pt idx="230">
                  <c:v>9.7174211253554574</c:v>
                </c:pt>
                <c:pt idx="231">
                  <c:v>33.02166810611547</c:v>
                </c:pt>
                <c:pt idx="232">
                  <c:v>36.258466933197838</c:v>
                </c:pt>
                <c:pt idx="233">
                  <c:v>-8.5888487186960845</c:v>
                </c:pt>
                <c:pt idx="234">
                  <c:v>58.718217125654917</c:v>
                </c:pt>
                <c:pt idx="235">
                  <c:v>54.766989238558892</c:v>
                </c:pt>
                <c:pt idx="236">
                  <c:v>51.051698460158491</c:v>
                </c:pt>
                <c:pt idx="237">
                  <c:v>38.779974981879832</c:v>
                </c:pt>
                <c:pt idx="238">
                  <c:v>33.968001696058252</c:v>
                </c:pt>
                <c:pt idx="239">
                  <c:v>58.370575762107592</c:v>
                </c:pt>
                <c:pt idx="240">
                  <c:v>-0.38655682793392998</c:v>
                </c:pt>
                <c:pt idx="241">
                  <c:v>-11.029100581445391</c:v>
                </c:pt>
                <c:pt idx="242">
                  <c:v>-47.6761603466868</c:v>
                </c:pt>
                <c:pt idx="243">
                  <c:v>20.667070152670647</c:v>
                </c:pt>
                <c:pt idx="244">
                  <c:v>-64.15341229419468</c:v>
                </c:pt>
                <c:pt idx="245">
                  <c:v>36.351873432699279</c:v>
                </c:pt>
                <c:pt idx="246">
                  <c:v>160.43960277556607</c:v>
                </c:pt>
                <c:pt idx="247">
                  <c:v>-18.947883824965459</c:v>
                </c:pt>
                <c:pt idx="248">
                  <c:v>24.856376300111833</c:v>
                </c:pt>
                <c:pt idx="249">
                  <c:v>-10.207039274799229</c:v>
                </c:pt>
                <c:pt idx="250">
                  <c:v>53.766989238558892</c:v>
                </c:pt>
                <c:pt idx="251">
                  <c:v>13.272274965452851</c:v>
                </c:pt>
                <c:pt idx="252">
                  <c:v>37.967623410634872</c:v>
                </c:pt>
                <c:pt idx="253">
                  <c:v>45.151995831470117</c:v>
                </c:pt>
                <c:pt idx="254">
                  <c:v>15.819793930229366</c:v>
                </c:pt>
                <c:pt idx="255">
                  <c:v>71.018013812772324</c:v>
                </c:pt>
                <c:pt idx="256">
                  <c:v>9.4412210647996062</c:v>
                </c:pt>
                <c:pt idx="257">
                  <c:v>-43.937312371177512</c:v>
                </c:pt>
                <c:pt idx="258">
                  <c:v>-14.474286170800667</c:v>
                </c:pt>
                <c:pt idx="259">
                  <c:v>5.2625258005990077</c:v>
                </c:pt>
                <c:pt idx="260">
                  <c:v>-40.610748197118767</c:v>
                </c:pt>
                <c:pt idx="261">
                  <c:v>-9.6448899888336541</c:v>
                </c:pt>
                <c:pt idx="262">
                  <c:v>39.007024644108327</c:v>
                </c:pt>
                <c:pt idx="263">
                  <c:v>17.962729113481572</c:v>
                </c:pt>
                <c:pt idx="264">
                  <c:v>-35.457241560078614</c:v>
                </c:pt>
                <c:pt idx="265">
                  <c:v>-43.180245499223304</c:v>
                </c:pt>
                <c:pt idx="266">
                  <c:v>70.188617630805311</c:v>
                </c:pt>
                <c:pt idx="267">
                  <c:v>-88.53684002732507</c:v>
                </c:pt>
                <c:pt idx="268">
                  <c:v>42.100848858485847</c:v>
                </c:pt>
                <c:pt idx="269">
                  <c:v>35.253572636044566</c:v>
                </c:pt>
                <c:pt idx="270">
                  <c:v>14.385179794662037</c:v>
                </c:pt>
                <c:pt idx="271">
                  <c:v>-20.108738478144517</c:v>
                </c:pt>
                <c:pt idx="272">
                  <c:v>-20.91785347092241</c:v>
                </c:pt>
                <c:pt idx="273">
                  <c:v>-9.8609899118508224</c:v>
                </c:pt>
                <c:pt idx="274">
                  <c:v>41.31043619511621</c:v>
                </c:pt>
                <c:pt idx="275">
                  <c:v>-30.290292035388802</c:v>
                </c:pt>
                <c:pt idx="276">
                  <c:v>-35.221643307353702</c:v>
                </c:pt>
                <c:pt idx="277">
                  <c:v>13.364859176020218</c:v>
                </c:pt>
                <c:pt idx="278">
                  <c:v>67.813281343842561</c:v>
                </c:pt>
                <c:pt idx="279">
                  <c:v>-88.922708338623039</c:v>
                </c:pt>
                <c:pt idx="280">
                  <c:v>81.567973355716447</c:v>
                </c:pt>
                <c:pt idx="281">
                  <c:v>-38.900769430747687</c:v>
                </c:pt>
                <c:pt idx="282">
                  <c:v>-32.261462255703265</c:v>
                </c:pt>
                <c:pt idx="283">
                  <c:v>-11.468569584713322</c:v>
                </c:pt>
                <c:pt idx="284">
                  <c:v>-48.329693268862286</c:v>
                </c:pt>
                <c:pt idx="285">
                  <c:v>72.315330492269482</c:v>
                </c:pt>
                <c:pt idx="286">
                  <c:v>-47.889401976660281</c:v>
                </c:pt>
                <c:pt idx="287">
                  <c:v>-21.739914777568629</c:v>
                </c:pt>
                <c:pt idx="288">
                  <c:v>90.213753687695032</c:v>
                </c:pt>
                <c:pt idx="289">
                  <c:v>-41.22977418297404</c:v>
                </c:pt>
                <c:pt idx="290">
                  <c:v>-53.957632989819331</c:v>
                </c:pt>
                <c:pt idx="291">
                  <c:v>71.290115576474392</c:v>
                </c:pt>
                <c:pt idx="292">
                  <c:v>-33.105462470224779</c:v>
                </c:pt>
                <c:pt idx="293">
                  <c:v>-52.429612354750532</c:v>
                </c:pt>
                <c:pt idx="294">
                  <c:v>-63.395483703853728</c:v>
                </c:pt>
                <c:pt idx="295">
                  <c:v>-70.549029770346522</c:v>
                </c:pt>
                <c:pt idx="296">
                  <c:v>-57.293150328432489</c:v>
                </c:pt>
                <c:pt idx="297">
                  <c:v>-81.994175930249128</c:v>
                </c:pt>
                <c:pt idx="298">
                  <c:v>-9.8910202658938147</c:v>
                </c:pt>
                <c:pt idx="299">
                  <c:v>32.529772696600446</c:v>
                </c:pt>
                <c:pt idx="300">
                  <c:v>-70.911340884535605</c:v>
                </c:pt>
                <c:pt idx="301">
                  <c:v>-117.85609561469755</c:v>
                </c:pt>
                <c:pt idx="302">
                  <c:v>-12.856095614697551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A17-4C27-9B74-0DF753544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0154560"/>
        <c:axId val="890143520"/>
      </c:scatterChart>
      <c:valAx>
        <c:axId val="8901545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age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90143520"/>
        <c:crosses val="autoZero"/>
        <c:crossBetween val="midCat"/>
      </c:valAx>
      <c:valAx>
        <c:axId val="89014352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Residuals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90154560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trtbps  Residual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regression!$W$2:$W$304</c:f>
              <c:numCache>
                <c:formatCode>General</c:formatCode>
                <c:ptCount val="303"/>
                <c:pt idx="0">
                  <c:v>145</c:v>
                </c:pt>
                <c:pt idx="1">
                  <c:v>130</c:v>
                </c:pt>
                <c:pt idx="2">
                  <c:v>130</c:v>
                </c:pt>
                <c:pt idx="3">
                  <c:v>120</c:v>
                </c:pt>
                <c:pt idx="4">
                  <c:v>120</c:v>
                </c:pt>
                <c:pt idx="5">
                  <c:v>140</c:v>
                </c:pt>
                <c:pt idx="6">
                  <c:v>140</c:v>
                </c:pt>
                <c:pt idx="7">
                  <c:v>120</c:v>
                </c:pt>
                <c:pt idx="8">
                  <c:v>172</c:v>
                </c:pt>
                <c:pt idx="9">
                  <c:v>150</c:v>
                </c:pt>
                <c:pt idx="10">
                  <c:v>140</c:v>
                </c:pt>
                <c:pt idx="11">
                  <c:v>130</c:v>
                </c:pt>
                <c:pt idx="12">
                  <c:v>130</c:v>
                </c:pt>
                <c:pt idx="13">
                  <c:v>110</c:v>
                </c:pt>
                <c:pt idx="14">
                  <c:v>150</c:v>
                </c:pt>
                <c:pt idx="15">
                  <c:v>120</c:v>
                </c:pt>
                <c:pt idx="16">
                  <c:v>120</c:v>
                </c:pt>
                <c:pt idx="17">
                  <c:v>150</c:v>
                </c:pt>
                <c:pt idx="18">
                  <c:v>150</c:v>
                </c:pt>
                <c:pt idx="19">
                  <c:v>140</c:v>
                </c:pt>
                <c:pt idx="20">
                  <c:v>135</c:v>
                </c:pt>
                <c:pt idx="21">
                  <c:v>130</c:v>
                </c:pt>
                <c:pt idx="22">
                  <c:v>140</c:v>
                </c:pt>
                <c:pt idx="23">
                  <c:v>150</c:v>
                </c:pt>
                <c:pt idx="24">
                  <c:v>140</c:v>
                </c:pt>
                <c:pt idx="25">
                  <c:v>160</c:v>
                </c:pt>
                <c:pt idx="26">
                  <c:v>150</c:v>
                </c:pt>
                <c:pt idx="27">
                  <c:v>110</c:v>
                </c:pt>
                <c:pt idx="28">
                  <c:v>140</c:v>
                </c:pt>
                <c:pt idx="29">
                  <c:v>130</c:v>
                </c:pt>
                <c:pt idx="30">
                  <c:v>105</c:v>
                </c:pt>
                <c:pt idx="31">
                  <c:v>120</c:v>
                </c:pt>
                <c:pt idx="32">
                  <c:v>130</c:v>
                </c:pt>
                <c:pt idx="33">
                  <c:v>125</c:v>
                </c:pt>
                <c:pt idx="34">
                  <c:v>125</c:v>
                </c:pt>
                <c:pt idx="35">
                  <c:v>142</c:v>
                </c:pt>
                <c:pt idx="36">
                  <c:v>135</c:v>
                </c:pt>
                <c:pt idx="37">
                  <c:v>150</c:v>
                </c:pt>
                <c:pt idx="38">
                  <c:v>155</c:v>
                </c:pt>
                <c:pt idx="39">
                  <c:v>160</c:v>
                </c:pt>
                <c:pt idx="40">
                  <c:v>140</c:v>
                </c:pt>
                <c:pt idx="41">
                  <c:v>130</c:v>
                </c:pt>
                <c:pt idx="42">
                  <c:v>104</c:v>
                </c:pt>
                <c:pt idx="43">
                  <c:v>130</c:v>
                </c:pt>
                <c:pt idx="44">
                  <c:v>140</c:v>
                </c:pt>
                <c:pt idx="45">
                  <c:v>120</c:v>
                </c:pt>
                <c:pt idx="46">
                  <c:v>140</c:v>
                </c:pt>
                <c:pt idx="47">
                  <c:v>138</c:v>
                </c:pt>
                <c:pt idx="48">
                  <c:v>128</c:v>
                </c:pt>
                <c:pt idx="49">
                  <c:v>138</c:v>
                </c:pt>
                <c:pt idx="50">
                  <c:v>130</c:v>
                </c:pt>
                <c:pt idx="51">
                  <c:v>120</c:v>
                </c:pt>
                <c:pt idx="52">
                  <c:v>130</c:v>
                </c:pt>
                <c:pt idx="53">
                  <c:v>108</c:v>
                </c:pt>
                <c:pt idx="54">
                  <c:v>135</c:v>
                </c:pt>
                <c:pt idx="55">
                  <c:v>134</c:v>
                </c:pt>
                <c:pt idx="56">
                  <c:v>122</c:v>
                </c:pt>
                <c:pt idx="57">
                  <c:v>115</c:v>
                </c:pt>
                <c:pt idx="58">
                  <c:v>118</c:v>
                </c:pt>
                <c:pt idx="59">
                  <c:v>128</c:v>
                </c:pt>
                <c:pt idx="60">
                  <c:v>110</c:v>
                </c:pt>
                <c:pt idx="61">
                  <c:v>108</c:v>
                </c:pt>
                <c:pt idx="62">
                  <c:v>118</c:v>
                </c:pt>
                <c:pt idx="63">
                  <c:v>135</c:v>
                </c:pt>
                <c:pt idx="64">
                  <c:v>140</c:v>
                </c:pt>
                <c:pt idx="65">
                  <c:v>138</c:v>
                </c:pt>
                <c:pt idx="66">
                  <c:v>100</c:v>
                </c:pt>
                <c:pt idx="67">
                  <c:v>130</c:v>
                </c:pt>
                <c:pt idx="68">
                  <c:v>120</c:v>
                </c:pt>
                <c:pt idx="69">
                  <c:v>124</c:v>
                </c:pt>
                <c:pt idx="70">
                  <c:v>120</c:v>
                </c:pt>
                <c:pt idx="71">
                  <c:v>94</c:v>
                </c:pt>
                <c:pt idx="72">
                  <c:v>130</c:v>
                </c:pt>
                <c:pt idx="73">
                  <c:v>140</c:v>
                </c:pt>
                <c:pt idx="74">
                  <c:v>122</c:v>
                </c:pt>
                <c:pt idx="75">
                  <c:v>135</c:v>
                </c:pt>
                <c:pt idx="76">
                  <c:v>125</c:v>
                </c:pt>
                <c:pt idx="77">
                  <c:v>140</c:v>
                </c:pt>
                <c:pt idx="78">
                  <c:v>128</c:v>
                </c:pt>
                <c:pt idx="79">
                  <c:v>105</c:v>
                </c:pt>
                <c:pt idx="80">
                  <c:v>112</c:v>
                </c:pt>
                <c:pt idx="81">
                  <c:v>128</c:v>
                </c:pt>
                <c:pt idx="82">
                  <c:v>102</c:v>
                </c:pt>
                <c:pt idx="83">
                  <c:v>152</c:v>
                </c:pt>
                <c:pt idx="84">
                  <c:v>102</c:v>
                </c:pt>
                <c:pt idx="85">
                  <c:v>115</c:v>
                </c:pt>
                <c:pt idx="86">
                  <c:v>118</c:v>
                </c:pt>
                <c:pt idx="87">
                  <c:v>101</c:v>
                </c:pt>
                <c:pt idx="88">
                  <c:v>110</c:v>
                </c:pt>
                <c:pt idx="89">
                  <c:v>100</c:v>
                </c:pt>
                <c:pt idx="90">
                  <c:v>124</c:v>
                </c:pt>
                <c:pt idx="91">
                  <c:v>132</c:v>
                </c:pt>
                <c:pt idx="92">
                  <c:v>138</c:v>
                </c:pt>
                <c:pt idx="93">
                  <c:v>132</c:v>
                </c:pt>
                <c:pt idx="94">
                  <c:v>112</c:v>
                </c:pt>
                <c:pt idx="95">
                  <c:v>142</c:v>
                </c:pt>
                <c:pt idx="96">
                  <c:v>140</c:v>
                </c:pt>
                <c:pt idx="97">
                  <c:v>108</c:v>
                </c:pt>
                <c:pt idx="98">
                  <c:v>130</c:v>
                </c:pt>
                <c:pt idx="99">
                  <c:v>130</c:v>
                </c:pt>
                <c:pt idx="100">
                  <c:v>148</c:v>
                </c:pt>
                <c:pt idx="101">
                  <c:v>178</c:v>
                </c:pt>
                <c:pt idx="102">
                  <c:v>140</c:v>
                </c:pt>
                <c:pt idx="103">
                  <c:v>120</c:v>
                </c:pt>
                <c:pt idx="104">
                  <c:v>129</c:v>
                </c:pt>
                <c:pt idx="105">
                  <c:v>120</c:v>
                </c:pt>
                <c:pt idx="106">
                  <c:v>160</c:v>
                </c:pt>
                <c:pt idx="107">
                  <c:v>138</c:v>
                </c:pt>
                <c:pt idx="108">
                  <c:v>120</c:v>
                </c:pt>
                <c:pt idx="109">
                  <c:v>110</c:v>
                </c:pt>
                <c:pt idx="110">
                  <c:v>180</c:v>
                </c:pt>
                <c:pt idx="111">
                  <c:v>150</c:v>
                </c:pt>
                <c:pt idx="112">
                  <c:v>140</c:v>
                </c:pt>
                <c:pt idx="113">
                  <c:v>110</c:v>
                </c:pt>
                <c:pt idx="114">
                  <c:v>130</c:v>
                </c:pt>
                <c:pt idx="115">
                  <c:v>120</c:v>
                </c:pt>
                <c:pt idx="116">
                  <c:v>130</c:v>
                </c:pt>
                <c:pt idx="117">
                  <c:v>120</c:v>
                </c:pt>
                <c:pt idx="118">
                  <c:v>105</c:v>
                </c:pt>
                <c:pt idx="119">
                  <c:v>138</c:v>
                </c:pt>
                <c:pt idx="120">
                  <c:v>130</c:v>
                </c:pt>
                <c:pt idx="121">
                  <c:v>138</c:v>
                </c:pt>
                <c:pt idx="122">
                  <c:v>112</c:v>
                </c:pt>
                <c:pt idx="123">
                  <c:v>108</c:v>
                </c:pt>
                <c:pt idx="124">
                  <c:v>94</c:v>
                </c:pt>
                <c:pt idx="125">
                  <c:v>118</c:v>
                </c:pt>
                <c:pt idx="126">
                  <c:v>112</c:v>
                </c:pt>
                <c:pt idx="127">
                  <c:v>152</c:v>
                </c:pt>
                <c:pt idx="128">
                  <c:v>136</c:v>
                </c:pt>
                <c:pt idx="129">
                  <c:v>120</c:v>
                </c:pt>
                <c:pt idx="130">
                  <c:v>160</c:v>
                </c:pt>
                <c:pt idx="131">
                  <c:v>134</c:v>
                </c:pt>
                <c:pt idx="132">
                  <c:v>120</c:v>
                </c:pt>
                <c:pt idx="133">
                  <c:v>110</c:v>
                </c:pt>
                <c:pt idx="134">
                  <c:v>126</c:v>
                </c:pt>
                <c:pt idx="135">
                  <c:v>130</c:v>
                </c:pt>
                <c:pt idx="136">
                  <c:v>120</c:v>
                </c:pt>
                <c:pt idx="137">
                  <c:v>128</c:v>
                </c:pt>
                <c:pt idx="138">
                  <c:v>110</c:v>
                </c:pt>
                <c:pt idx="139">
                  <c:v>128</c:v>
                </c:pt>
                <c:pt idx="140">
                  <c:v>120</c:v>
                </c:pt>
                <c:pt idx="141">
                  <c:v>115</c:v>
                </c:pt>
                <c:pt idx="142">
                  <c:v>120</c:v>
                </c:pt>
                <c:pt idx="143">
                  <c:v>106</c:v>
                </c:pt>
                <c:pt idx="144">
                  <c:v>140</c:v>
                </c:pt>
                <c:pt idx="145">
                  <c:v>156</c:v>
                </c:pt>
                <c:pt idx="146">
                  <c:v>118</c:v>
                </c:pt>
                <c:pt idx="147">
                  <c:v>150</c:v>
                </c:pt>
                <c:pt idx="148">
                  <c:v>120</c:v>
                </c:pt>
                <c:pt idx="149">
                  <c:v>130</c:v>
                </c:pt>
                <c:pt idx="150">
                  <c:v>160</c:v>
                </c:pt>
                <c:pt idx="151">
                  <c:v>112</c:v>
                </c:pt>
                <c:pt idx="152">
                  <c:v>170</c:v>
                </c:pt>
                <c:pt idx="153">
                  <c:v>146</c:v>
                </c:pt>
                <c:pt idx="154">
                  <c:v>138</c:v>
                </c:pt>
                <c:pt idx="155">
                  <c:v>130</c:v>
                </c:pt>
                <c:pt idx="156">
                  <c:v>130</c:v>
                </c:pt>
                <c:pt idx="157">
                  <c:v>122</c:v>
                </c:pt>
                <c:pt idx="158">
                  <c:v>125</c:v>
                </c:pt>
                <c:pt idx="159">
                  <c:v>130</c:v>
                </c:pt>
                <c:pt idx="160">
                  <c:v>120</c:v>
                </c:pt>
                <c:pt idx="161">
                  <c:v>132</c:v>
                </c:pt>
                <c:pt idx="162">
                  <c:v>120</c:v>
                </c:pt>
                <c:pt idx="163">
                  <c:v>138</c:v>
                </c:pt>
                <c:pt idx="164">
                  <c:v>138</c:v>
                </c:pt>
                <c:pt idx="165">
                  <c:v>160</c:v>
                </c:pt>
                <c:pt idx="166">
                  <c:v>120</c:v>
                </c:pt>
                <c:pt idx="167">
                  <c:v>140</c:v>
                </c:pt>
                <c:pt idx="168">
                  <c:v>130</c:v>
                </c:pt>
                <c:pt idx="169">
                  <c:v>140</c:v>
                </c:pt>
                <c:pt idx="170">
                  <c:v>130</c:v>
                </c:pt>
                <c:pt idx="171">
                  <c:v>110</c:v>
                </c:pt>
                <c:pt idx="172">
                  <c:v>120</c:v>
                </c:pt>
                <c:pt idx="173">
                  <c:v>132</c:v>
                </c:pt>
                <c:pt idx="174">
                  <c:v>130</c:v>
                </c:pt>
                <c:pt idx="175">
                  <c:v>110</c:v>
                </c:pt>
                <c:pt idx="176">
                  <c:v>117</c:v>
                </c:pt>
                <c:pt idx="177">
                  <c:v>140</c:v>
                </c:pt>
                <c:pt idx="178">
                  <c:v>120</c:v>
                </c:pt>
                <c:pt idx="179">
                  <c:v>150</c:v>
                </c:pt>
                <c:pt idx="180">
                  <c:v>132</c:v>
                </c:pt>
                <c:pt idx="181">
                  <c:v>150</c:v>
                </c:pt>
                <c:pt idx="182">
                  <c:v>130</c:v>
                </c:pt>
                <c:pt idx="183">
                  <c:v>112</c:v>
                </c:pt>
                <c:pt idx="184">
                  <c:v>150</c:v>
                </c:pt>
                <c:pt idx="185">
                  <c:v>112</c:v>
                </c:pt>
                <c:pt idx="186">
                  <c:v>130</c:v>
                </c:pt>
                <c:pt idx="187">
                  <c:v>124</c:v>
                </c:pt>
                <c:pt idx="188">
                  <c:v>140</c:v>
                </c:pt>
                <c:pt idx="189">
                  <c:v>110</c:v>
                </c:pt>
                <c:pt idx="190">
                  <c:v>130</c:v>
                </c:pt>
                <c:pt idx="191">
                  <c:v>128</c:v>
                </c:pt>
                <c:pt idx="192">
                  <c:v>120</c:v>
                </c:pt>
                <c:pt idx="193">
                  <c:v>145</c:v>
                </c:pt>
                <c:pt idx="194">
                  <c:v>140</c:v>
                </c:pt>
                <c:pt idx="195">
                  <c:v>170</c:v>
                </c:pt>
                <c:pt idx="196">
                  <c:v>150</c:v>
                </c:pt>
                <c:pt idx="197">
                  <c:v>125</c:v>
                </c:pt>
                <c:pt idx="198">
                  <c:v>120</c:v>
                </c:pt>
                <c:pt idx="199">
                  <c:v>110</c:v>
                </c:pt>
                <c:pt idx="200">
                  <c:v>110</c:v>
                </c:pt>
                <c:pt idx="201">
                  <c:v>125</c:v>
                </c:pt>
                <c:pt idx="202">
                  <c:v>150</c:v>
                </c:pt>
                <c:pt idx="203">
                  <c:v>180</c:v>
                </c:pt>
                <c:pt idx="204">
                  <c:v>160</c:v>
                </c:pt>
                <c:pt idx="205">
                  <c:v>128</c:v>
                </c:pt>
                <c:pt idx="206">
                  <c:v>110</c:v>
                </c:pt>
                <c:pt idx="207">
                  <c:v>150</c:v>
                </c:pt>
                <c:pt idx="208">
                  <c:v>120</c:v>
                </c:pt>
                <c:pt idx="209">
                  <c:v>140</c:v>
                </c:pt>
                <c:pt idx="210">
                  <c:v>128</c:v>
                </c:pt>
                <c:pt idx="211">
                  <c:v>120</c:v>
                </c:pt>
                <c:pt idx="212">
                  <c:v>118</c:v>
                </c:pt>
                <c:pt idx="213">
                  <c:v>145</c:v>
                </c:pt>
                <c:pt idx="214">
                  <c:v>125</c:v>
                </c:pt>
                <c:pt idx="215">
                  <c:v>132</c:v>
                </c:pt>
                <c:pt idx="216">
                  <c:v>130</c:v>
                </c:pt>
                <c:pt idx="217">
                  <c:v>130</c:v>
                </c:pt>
                <c:pt idx="218">
                  <c:v>135</c:v>
                </c:pt>
                <c:pt idx="219">
                  <c:v>130</c:v>
                </c:pt>
                <c:pt idx="220">
                  <c:v>150</c:v>
                </c:pt>
                <c:pt idx="221">
                  <c:v>140</c:v>
                </c:pt>
                <c:pt idx="222">
                  <c:v>138</c:v>
                </c:pt>
                <c:pt idx="223">
                  <c:v>200</c:v>
                </c:pt>
                <c:pt idx="224">
                  <c:v>110</c:v>
                </c:pt>
                <c:pt idx="225">
                  <c:v>145</c:v>
                </c:pt>
                <c:pt idx="226">
                  <c:v>120</c:v>
                </c:pt>
                <c:pt idx="227">
                  <c:v>120</c:v>
                </c:pt>
                <c:pt idx="228">
                  <c:v>170</c:v>
                </c:pt>
                <c:pt idx="229">
                  <c:v>125</c:v>
                </c:pt>
                <c:pt idx="230">
                  <c:v>108</c:v>
                </c:pt>
                <c:pt idx="231">
                  <c:v>165</c:v>
                </c:pt>
                <c:pt idx="232">
                  <c:v>160</c:v>
                </c:pt>
                <c:pt idx="233">
                  <c:v>120</c:v>
                </c:pt>
                <c:pt idx="234">
                  <c:v>130</c:v>
                </c:pt>
                <c:pt idx="235">
                  <c:v>140</c:v>
                </c:pt>
                <c:pt idx="236">
                  <c:v>125</c:v>
                </c:pt>
                <c:pt idx="237">
                  <c:v>140</c:v>
                </c:pt>
                <c:pt idx="238">
                  <c:v>125</c:v>
                </c:pt>
                <c:pt idx="239">
                  <c:v>126</c:v>
                </c:pt>
                <c:pt idx="240">
                  <c:v>160</c:v>
                </c:pt>
                <c:pt idx="241">
                  <c:v>174</c:v>
                </c:pt>
                <c:pt idx="242">
                  <c:v>145</c:v>
                </c:pt>
                <c:pt idx="243">
                  <c:v>152</c:v>
                </c:pt>
                <c:pt idx="244">
                  <c:v>132</c:v>
                </c:pt>
                <c:pt idx="245">
                  <c:v>124</c:v>
                </c:pt>
                <c:pt idx="246">
                  <c:v>134</c:v>
                </c:pt>
                <c:pt idx="247">
                  <c:v>160</c:v>
                </c:pt>
                <c:pt idx="248">
                  <c:v>192</c:v>
                </c:pt>
                <c:pt idx="249">
                  <c:v>140</c:v>
                </c:pt>
                <c:pt idx="250">
                  <c:v>140</c:v>
                </c:pt>
                <c:pt idx="251">
                  <c:v>132</c:v>
                </c:pt>
                <c:pt idx="252">
                  <c:v>138</c:v>
                </c:pt>
                <c:pt idx="253">
                  <c:v>100</c:v>
                </c:pt>
                <c:pt idx="254">
                  <c:v>160</c:v>
                </c:pt>
                <c:pt idx="255">
                  <c:v>142</c:v>
                </c:pt>
                <c:pt idx="256">
                  <c:v>128</c:v>
                </c:pt>
                <c:pt idx="257">
                  <c:v>144</c:v>
                </c:pt>
                <c:pt idx="258">
                  <c:v>150</c:v>
                </c:pt>
                <c:pt idx="259">
                  <c:v>120</c:v>
                </c:pt>
                <c:pt idx="260">
                  <c:v>178</c:v>
                </c:pt>
                <c:pt idx="261">
                  <c:v>112</c:v>
                </c:pt>
                <c:pt idx="262">
                  <c:v>123</c:v>
                </c:pt>
                <c:pt idx="263">
                  <c:v>108</c:v>
                </c:pt>
                <c:pt idx="264">
                  <c:v>110</c:v>
                </c:pt>
                <c:pt idx="265">
                  <c:v>112</c:v>
                </c:pt>
                <c:pt idx="266">
                  <c:v>180</c:v>
                </c:pt>
                <c:pt idx="267">
                  <c:v>118</c:v>
                </c:pt>
                <c:pt idx="268">
                  <c:v>122</c:v>
                </c:pt>
                <c:pt idx="269">
                  <c:v>130</c:v>
                </c:pt>
                <c:pt idx="270">
                  <c:v>120</c:v>
                </c:pt>
                <c:pt idx="271">
                  <c:v>134</c:v>
                </c:pt>
                <c:pt idx="272">
                  <c:v>120</c:v>
                </c:pt>
                <c:pt idx="273">
                  <c:v>100</c:v>
                </c:pt>
                <c:pt idx="274">
                  <c:v>110</c:v>
                </c:pt>
                <c:pt idx="275">
                  <c:v>125</c:v>
                </c:pt>
                <c:pt idx="276">
                  <c:v>146</c:v>
                </c:pt>
                <c:pt idx="277">
                  <c:v>124</c:v>
                </c:pt>
                <c:pt idx="278">
                  <c:v>136</c:v>
                </c:pt>
                <c:pt idx="279">
                  <c:v>138</c:v>
                </c:pt>
                <c:pt idx="280">
                  <c:v>136</c:v>
                </c:pt>
                <c:pt idx="281">
                  <c:v>128</c:v>
                </c:pt>
                <c:pt idx="282">
                  <c:v>126</c:v>
                </c:pt>
                <c:pt idx="283">
                  <c:v>152</c:v>
                </c:pt>
                <c:pt idx="284">
                  <c:v>140</c:v>
                </c:pt>
                <c:pt idx="285">
                  <c:v>140</c:v>
                </c:pt>
                <c:pt idx="286">
                  <c:v>134</c:v>
                </c:pt>
                <c:pt idx="287">
                  <c:v>154</c:v>
                </c:pt>
                <c:pt idx="288">
                  <c:v>110</c:v>
                </c:pt>
                <c:pt idx="289">
                  <c:v>128</c:v>
                </c:pt>
                <c:pt idx="290">
                  <c:v>148</c:v>
                </c:pt>
                <c:pt idx="291">
                  <c:v>114</c:v>
                </c:pt>
                <c:pt idx="292">
                  <c:v>170</c:v>
                </c:pt>
                <c:pt idx="293">
                  <c:v>152</c:v>
                </c:pt>
                <c:pt idx="294">
                  <c:v>120</c:v>
                </c:pt>
                <c:pt idx="295">
                  <c:v>140</c:v>
                </c:pt>
                <c:pt idx="296">
                  <c:v>124</c:v>
                </c:pt>
                <c:pt idx="297">
                  <c:v>164</c:v>
                </c:pt>
                <c:pt idx="298">
                  <c:v>140</c:v>
                </c:pt>
                <c:pt idx="299">
                  <c:v>110</c:v>
                </c:pt>
                <c:pt idx="300">
                  <c:v>144</c:v>
                </c:pt>
                <c:pt idx="301">
                  <c:v>130</c:v>
                </c:pt>
                <c:pt idx="302">
                  <c:v>130</c:v>
                </c:pt>
              </c:numCache>
            </c:numRef>
          </c:xVal>
          <c:yVal>
            <c:numRef>
              <c:f>regression!$AB$27:$AB$329</c:f>
              <c:numCache>
                <c:formatCode>General</c:formatCode>
                <c:ptCount val="303"/>
                <c:pt idx="0">
                  <c:v>-25.566492095944682</c:v>
                </c:pt>
                <c:pt idx="1">
                  <c:v>23.337269400144834</c:v>
                </c:pt>
                <c:pt idx="2">
                  <c:v>-27.101403602823666</c:v>
                </c:pt>
                <c:pt idx="3">
                  <c:v>-9.7115027127591418</c:v>
                </c:pt>
                <c:pt idx="4">
                  <c:v>107.17882903649874</c:v>
                </c:pt>
                <c:pt idx="5">
                  <c:v>-58.891020265893815</c:v>
                </c:pt>
                <c:pt idx="6">
                  <c:v>44.218647984848303</c:v>
                </c:pt>
                <c:pt idx="7">
                  <c:v>30.604516296146272</c:v>
                </c:pt>
                <c:pt idx="8">
                  <c:v>-52.854437896011348</c:v>
                </c:pt>
                <c:pt idx="9">
                  <c:v>-84.925944917090106</c:v>
                </c:pt>
                <c:pt idx="10">
                  <c:v>-8.5620155136674612</c:v>
                </c:pt>
                <c:pt idx="11">
                  <c:v>36.130918641981509</c:v>
                </c:pt>
                <c:pt idx="12">
                  <c:v>26.021250391239391</c:v>
                </c:pt>
                <c:pt idx="13">
                  <c:v>-41.553924067499793</c:v>
                </c:pt>
                <c:pt idx="14">
                  <c:v>28.964386832167776</c:v>
                </c:pt>
                <c:pt idx="15">
                  <c:v>-20.053493208306435</c:v>
                </c:pt>
                <c:pt idx="16">
                  <c:v>92.069160785756623</c:v>
                </c:pt>
                <c:pt idx="17">
                  <c:v>-36.912959173769138</c:v>
                </c:pt>
                <c:pt idx="18">
                  <c:v>9.6094105932995433</c:v>
                </c:pt>
                <c:pt idx="19">
                  <c:v>-25.207039274799229</c:v>
                </c:pt>
                <c:pt idx="20">
                  <c:v>-18.092894441779919</c:v>
                </c:pt>
                <c:pt idx="21">
                  <c:v>-1.4304083550500195</c:v>
                </c:pt>
                <c:pt idx="22">
                  <c:v>-8.2459965047620472</c:v>
                </c:pt>
                <c:pt idx="23">
                  <c:v>-14.364617920058549</c:v>
                </c:pt>
                <c:pt idx="24">
                  <c:v>-33.026660003277783</c:v>
                </c:pt>
                <c:pt idx="25">
                  <c:v>31.503774921323952</c:v>
                </c:pt>
                <c:pt idx="26">
                  <c:v>-43.145281418574342</c:v>
                </c:pt>
                <c:pt idx="27">
                  <c:v>-63.128236807852261</c:v>
                </c:pt>
                <c:pt idx="28">
                  <c:v>157.23163372816924</c:v>
                </c:pt>
                <c:pt idx="29">
                  <c:v>-47.41742261172908</c:v>
                </c:pt>
                <c:pt idx="30">
                  <c:v>-28.014091974832951</c:v>
                </c:pt>
                <c:pt idx="31">
                  <c:v>-78.698516969438202</c:v>
                </c:pt>
                <c:pt idx="32">
                  <c:v>-15.43040835505002</c:v>
                </c:pt>
                <c:pt idx="33">
                  <c:v>28.490371463126962</c:v>
                </c:pt>
                <c:pt idx="34">
                  <c:v>-28.180623784646684</c:v>
                </c:pt>
                <c:pt idx="35">
                  <c:v>-62.091654437969794</c:v>
                </c:pt>
                <c:pt idx="36">
                  <c:v>57.45544681193067</c:v>
                </c:pt>
                <c:pt idx="37">
                  <c:v>-17.596940164863753</c:v>
                </c:pt>
                <c:pt idx="38">
                  <c:v>6.1792467513748193</c:v>
                </c:pt>
                <c:pt idx="39">
                  <c:v>96.161784425776659</c:v>
                </c:pt>
                <c:pt idx="40">
                  <c:v>63.766989238558892</c:v>
                </c:pt>
                <c:pt idx="41">
                  <c:v>6.1309186419815092</c:v>
                </c:pt>
                <c:pt idx="42">
                  <c:v>-22.249272512681785</c:v>
                </c:pt>
                <c:pt idx="43">
                  <c:v>19.58257738827092</c:v>
                </c:pt>
                <c:pt idx="44">
                  <c:v>90.083008247464335</c:v>
                </c:pt>
                <c:pt idx="45">
                  <c:v>83.72717029020933</c:v>
                </c:pt>
                <c:pt idx="46">
                  <c:v>-1.4653330062462828</c:v>
                </c:pt>
                <c:pt idx="47">
                  <c:v>17.612647171766611</c:v>
                </c:pt>
                <c:pt idx="48">
                  <c:v>-28.010437681489805</c:v>
                </c:pt>
                <c:pt idx="49">
                  <c:v>-12.045362332686096</c:v>
                </c:pt>
                <c:pt idx="50">
                  <c:v>13.801913889755156</c:v>
                </c:pt>
                <c:pt idx="51">
                  <c:v>45.191814779819708</c:v>
                </c:pt>
                <c:pt idx="52">
                  <c:v>-23.404436868408141</c:v>
                </c:pt>
                <c:pt idx="53">
                  <c:v>-88.953574122418189</c:v>
                </c:pt>
                <c:pt idx="54">
                  <c:v>-4.5315674447483616</c:v>
                </c:pt>
                <c:pt idx="55">
                  <c:v>-43.121724221465456</c:v>
                </c:pt>
                <c:pt idx="56">
                  <c:v>-15.241141637061446</c:v>
                </c:pt>
                <c:pt idx="57">
                  <c:v>27.512310371002286</c:v>
                </c:pt>
                <c:pt idx="58">
                  <c:v>-38.891816266193274</c:v>
                </c:pt>
                <c:pt idx="59">
                  <c:v>54.550889315541724</c:v>
                </c:pt>
                <c:pt idx="60">
                  <c:v>4.6783981773053824</c:v>
                </c:pt>
                <c:pt idx="61">
                  <c:v>67.949743370160633</c:v>
                </c:pt>
                <c:pt idx="62">
                  <c:v>-54.865844779551423</c:v>
                </c:pt>
                <c:pt idx="63">
                  <c:v>-29.118865928421798</c:v>
                </c:pt>
                <c:pt idx="64">
                  <c:v>-41.000688516635933</c:v>
                </c:pt>
                <c:pt idx="65">
                  <c:v>-43.071333819327947</c:v>
                </c:pt>
                <c:pt idx="66">
                  <c:v>-14.093312156655998</c:v>
                </c:pt>
                <c:pt idx="67">
                  <c:v>-1.5400766057921373</c:v>
                </c:pt>
                <c:pt idx="68">
                  <c:v>-12.395483703853728</c:v>
                </c:pt>
                <c:pt idx="69">
                  <c:v>-44.183482077690371</c:v>
                </c:pt>
                <c:pt idx="70">
                  <c:v>14.507833788725094</c:v>
                </c:pt>
                <c:pt idx="71">
                  <c:v>-7.8723573659382282</c:v>
                </c:pt>
                <c:pt idx="72">
                  <c:v>-13.785384593918224</c:v>
                </c:pt>
                <c:pt idx="73">
                  <c:v>16.766989238558892</c:v>
                </c:pt>
                <c:pt idx="74">
                  <c:v>-18.692800383350857</c:v>
                </c:pt>
                <c:pt idx="75">
                  <c:v>2.3457785611885527</c:v>
                </c:pt>
                <c:pt idx="76">
                  <c:v>3.8193762153533157</c:v>
                </c:pt>
                <c:pt idx="77">
                  <c:v>-32.11035676737805</c:v>
                </c:pt>
                <c:pt idx="78">
                  <c:v>-37.900769430747687</c:v>
                </c:pt>
                <c:pt idx="79">
                  <c:v>-4.8784522374489541</c:v>
                </c:pt>
                <c:pt idx="80">
                  <c:v>22.561460769329642</c:v>
                </c:pt>
                <c:pt idx="81">
                  <c:v>72.866908324447138</c:v>
                </c:pt>
                <c:pt idx="82">
                  <c:v>71.512688656425695</c:v>
                </c:pt>
                <c:pt idx="83">
                  <c:v>50.215411406381236</c:v>
                </c:pt>
                <c:pt idx="84">
                  <c:v>38.486717169783816</c:v>
                </c:pt>
                <c:pt idx="85">
                  <c:v>307.09960885467569</c:v>
                </c:pt>
                <c:pt idx="86">
                  <c:v>18.379463208574691</c:v>
                </c:pt>
                <c:pt idx="87">
                  <c:v>-33.748463368065018</c:v>
                </c:pt>
                <c:pt idx="88">
                  <c:v>-27.457241560078614</c:v>
                </c:pt>
                <c:pt idx="89">
                  <c:v>4.1390100881491776</c:v>
                </c:pt>
                <c:pt idx="90">
                  <c:v>17.351873432699279</c:v>
                </c:pt>
                <c:pt idx="91">
                  <c:v>-42.263080544936798</c:v>
                </c:pt>
                <c:pt idx="92">
                  <c:v>-21.935694081943979</c:v>
                </c:pt>
                <c:pt idx="93">
                  <c:v>42.065924207289555</c:v>
                </c:pt>
                <c:pt idx="94">
                  <c:v>-71.877212233638829</c:v>
                </c:pt>
                <c:pt idx="95">
                  <c:v>-20.859332193164619</c:v>
                </c:pt>
                <c:pt idx="96">
                  <c:v>137.5606384803956</c:v>
                </c:pt>
                <c:pt idx="97">
                  <c:v>-5.8309201283551317</c:v>
                </c:pt>
                <c:pt idx="98">
                  <c:v>81.679259895692098</c:v>
                </c:pt>
                <c:pt idx="99">
                  <c:v>1.58257738827092</c:v>
                </c:pt>
                <c:pt idx="100">
                  <c:v>8.1260637742809081</c:v>
                </c:pt>
                <c:pt idx="101">
                  <c:v>9.1569295580760581</c:v>
                </c:pt>
                <c:pt idx="102">
                  <c:v>-62.549029770346522</c:v>
                </c:pt>
                <c:pt idx="103">
                  <c:v>9.8238527976305079</c:v>
                </c:pt>
                <c:pt idx="104">
                  <c:v>-44.884925394383089</c:v>
                </c:pt>
                <c:pt idx="105">
                  <c:v>-48.027521721664527</c:v>
                </c:pt>
                <c:pt idx="106">
                  <c:v>-34.276888577191812</c:v>
                </c:pt>
                <c:pt idx="107">
                  <c:v>-1.1680163267491537</c:v>
                </c:pt>
                <c:pt idx="108">
                  <c:v>4.9465067916935652</c:v>
                </c:pt>
                <c:pt idx="109">
                  <c:v>16.981431442889857</c:v>
                </c:pt>
                <c:pt idx="110">
                  <c:v>58.201603374126194</c:v>
                </c:pt>
                <c:pt idx="111">
                  <c:v>-126.92594491709011</c:v>
                </c:pt>
                <c:pt idx="112">
                  <c:v>54.34130197891136</c:v>
                </c:pt>
                <c:pt idx="113">
                  <c:v>-18.250890801915318</c:v>
                </c:pt>
                <c:pt idx="114">
                  <c:v>15.363240886786684</c:v>
                </c:pt>
                <c:pt idx="115">
                  <c:v>-9.6278059486588745</c:v>
                </c:pt>
                <c:pt idx="116">
                  <c:v>-17.101403602823666</c:v>
                </c:pt>
                <c:pt idx="117">
                  <c:v>-52.711502712759142</c:v>
                </c:pt>
                <c:pt idx="118">
                  <c:v>-27.56243322854354</c:v>
                </c:pt>
                <c:pt idx="119">
                  <c:v>4.7223154225087285</c:v>
                </c:pt>
                <c:pt idx="120">
                  <c:v>46.376226630107624</c:v>
                </c:pt>
                <c:pt idx="121">
                  <c:v>18.296628162861197</c:v>
                </c:pt>
                <c:pt idx="122">
                  <c:v>40.561460769329642</c:v>
                </c:pt>
                <c:pt idx="123">
                  <c:v>25.949743370160633</c:v>
                </c:pt>
                <c:pt idx="124">
                  <c:v>-22.556338357032786</c:v>
                </c:pt>
                <c:pt idx="125">
                  <c:v>-10.891816266193274</c:v>
                </c:pt>
                <c:pt idx="126">
                  <c:v>-30.096548735123065</c:v>
                </c:pt>
                <c:pt idx="127">
                  <c:v>12.570387645249468</c:v>
                </c:pt>
                <c:pt idx="128">
                  <c:v>-48.528709151704732</c:v>
                </c:pt>
                <c:pt idx="129">
                  <c:v>3.3144687738827656</c:v>
                </c:pt>
                <c:pt idx="130">
                  <c:v>-50.631864816060045</c:v>
                </c:pt>
                <c:pt idx="131">
                  <c:v>30.207280530760897</c:v>
                </c:pt>
                <c:pt idx="132">
                  <c:v>64.823852797630508</c:v>
                </c:pt>
                <c:pt idx="133">
                  <c:v>7.9684456995689175</c:v>
                </c:pt>
                <c:pt idx="134">
                  <c:v>75.712566257654856</c:v>
                </c:pt>
                <c:pt idx="135">
                  <c:v>29.021250391239391</c:v>
                </c:pt>
                <c:pt idx="136">
                  <c:v>-72.150175715727613</c:v>
                </c:pt>
                <c:pt idx="137">
                  <c:v>-45.997451938168865</c:v>
                </c:pt>
                <c:pt idx="138">
                  <c:v>-43.786246312304968</c:v>
                </c:pt>
                <c:pt idx="139">
                  <c:v>6.7832115603468992</c:v>
                </c:pt>
                <c:pt idx="140">
                  <c:v>54.836838540951447</c:v>
                </c:pt>
                <c:pt idx="141">
                  <c:v>72.731646872486522</c:v>
                </c:pt>
                <c:pt idx="142">
                  <c:v>-21.176147202369492</c:v>
                </c:pt>
                <c:pt idx="143">
                  <c:v>-32.068958959247652</c:v>
                </c:pt>
                <c:pt idx="144">
                  <c:v>-74.974717029994054</c:v>
                </c:pt>
                <c:pt idx="145">
                  <c:v>-23.572586967455379</c:v>
                </c:pt>
                <c:pt idx="146">
                  <c:v>10.011501226385519</c:v>
                </c:pt>
                <c:pt idx="147">
                  <c:v>-16.254949669316431</c:v>
                </c:pt>
                <c:pt idx="148">
                  <c:v>-6.3954837038537278</c:v>
                </c:pt>
                <c:pt idx="149">
                  <c:v>-52.211071853565784</c:v>
                </c:pt>
                <c:pt idx="150">
                  <c:v>-36.947883824965459</c:v>
                </c:pt>
                <c:pt idx="151">
                  <c:v>-111.72858675293389</c:v>
                </c:pt>
                <c:pt idx="152">
                  <c:v>-37.763471974677486</c:v>
                </c:pt>
                <c:pt idx="153">
                  <c:v>15.901010686709355</c:v>
                </c:pt>
                <c:pt idx="154">
                  <c:v>-10.510006822296418</c:v>
                </c:pt>
                <c:pt idx="155">
                  <c:v>-52.965763865439669</c:v>
                </c:pt>
                <c:pt idx="156">
                  <c:v>15.240586892723627</c:v>
                </c:pt>
                <c:pt idx="157">
                  <c:v>-30.815454377413886</c:v>
                </c:pt>
                <c:pt idx="158">
                  <c:v>-28.948301539841509</c:v>
                </c:pt>
                <c:pt idx="159">
                  <c:v>-26.746427363955434</c:v>
                </c:pt>
                <c:pt idx="160">
                  <c:v>-5.7115027127591418</c:v>
                </c:pt>
                <c:pt idx="161">
                  <c:v>94.956255956547437</c:v>
                </c:pt>
                <c:pt idx="162">
                  <c:v>-72.066478951627374</c:v>
                </c:pt>
                <c:pt idx="163">
                  <c:v>-54.4003385715543</c:v>
                </c:pt>
                <c:pt idx="164">
                  <c:v>-54.4003385715543</c:v>
                </c:pt>
                <c:pt idx="165">
                  <c:v>19.942447924292424</c:v>
                </c:pt>
                <c:pt idx="166">
                  <c:v>-28.91785347092241</c:v>
                </c:pt>
                <c:pt idx="167">
                  <c:v>11.560638480395596</c:v>
                </c:pt>
                <c:pt idx="168">
                  <c:v>-1.5141051191502584</c:v>
                </c:pt>
                <c:pt idx="169">
                  <c:v>-43.452347262925343</c:v>
                </c:pt>
                <c:pt idx="170">
                  <c:v>8.2535726360445665</c:v>
                </c:pt>
                <c:pt idx="171">
                  <c:v>-5.7992320556259074</c:v>
                </c:pt>
                <c:pt idx="172">
                  <c:v>36.069160785756623</c:v>
                </c:pt>
                <c:pt idx="173">
                  <c:v>-26.372748795678916</c:v>
                </c:pt>
                <c:pt idx="174">
                  <c:v>-46.185100366923905</c:v>
                </c:pt>
                <c:pt idx="175">
                  <c:v>-58.921886049688936</c:v>
                </c:pt>
                <c:pt idx="176">
                  <c:v>-19.539698320368728</c:v>
                </c:pt>
                <c:pt idx="177">
                  <c:v>76.34130197891136</c:v>
                </c:pt>
                <c:pt idx="178">
                  <c:v>-54.28581545311161</c:v>
                </c:pt>
                <c:pt idx="179">
                  <c:v>23.074055082909894</c:v>
                </c:pt>
                <c:pt idx="180">
                  <c:v>105.95625595654744</c:v>
                </c:pt>
                <c:pt idx="181">
                  <c:v>-36.803290923027021</c:v>
                </c:pt>
                <c:pt idx="182">
                  <c:v>76.705231382333977</c:v>
                </c:pt>
                <c:pt idx="183">
                  <c:v>-16.302899493286361</c:v>
                </c:pt>
                <c:pt idx="184">
                  <c:v>-2.1582671618952816</c:v>
                </c:pt>
                <c:pt idx="185">
                  <c:v>59.232456017103289</c:v>
                </c:pt>
                <c:pt idx="186">
                  <c:v>0.81489963307609514</c:v>
                </c:pt>
                <c:pt idx="187">
                  <c:v>21.693863928246572</c:v>
                </c:pt>
                <c:pt idx="188">
                  <c:v>-10.12334251069899</c:v>
                </c:pt>
                <c:pt idx="189">
                  <c:v>-55.031554300431083</c:v>
                </c:pt>
                <c:pt idx="190">
                  <c:v>62.801913889755156</c:v>
                </c:pt>
                <c:pt idx="191">
                  <c:v>-33.558778935200394</c:v>
                </c:pt>
                <c:pt idx="192">
                  <c:v>-55.492166211274906</c:v>
                </c:pt>
                <c:pt idx="193">
                  <c:v>26.762512656281672</c:v>
                </c:pt>
                <c:pt idx="194">
                  <c:v>-69.220025018120168</c:v>
                </c:pt>
                <c:pt idx="195">
                  <c:v>66.784869279033103</c:v>
                </c:pt>
                <c:pt idx="196">
                  <c:v>-9.7195941589268102</c:v>
                </c:pt>
                <c:pt idx="197">
                  <c:v>-4.9353157965205696</c:v>
                </c:pt>
                <c:pt idx="198">
                  <c:v>14.630487782788151</c:v>
                </c:pt>
                <c:pt idx="199">
                  <c:v>-5.6635923182419106</c:v>
                </c:pt>
                <c:pt idx="200">
                  <c:v>-33.360559052657436</c:v>
                </c:pt>
                <c:pt idx="201">
                  <c:v>6.8323619586742552</c:v>
                </c:pt>
                <c:pt idx="202">
                  <c:v>15.964386832167776</c:v>
                </c:pt>
                <c:pt idx="203">
                  <c:v>2.7629303711577222</c:v>
                </c:pt>
                <c:pt idx="204">
                  <c:v>-96.509210821996987</c:v>
                </c:pt>
                <c:pt idx="205">
                  <c:v>12.099230569252313</c:v>
                </c:pt>
                <c:pt idx="206">
                  <c:v>-8.0055828137892036</c:v>
                </c:pt>
                <c:pt idx="207">
                  <c:v>1.7450503306835685</c:v>
                </c:pt>
                <c:pt idx="208">
                  <c:v>-49.943824957564317</c:v>
                </c:pt>
                <c:pt idx="209">
                  <c:v>-76.11035676737805</c:v>
                </c:pt>
                <c:pt idx="210">
                  <c:v>-19.449110684458276</c:v>
                </c:pt>
                <c:pt idx="211">
                  <c:v>8.740156033530269</c:v>
                </c:pt>
                <c:pt idx="212">
                  <c:v>-7.4401575199038632</c:v>
                </c:pt>
                <c:pt idx="213">
                  <c:v>50.652844405539554</c:v>
                </c:pt>
                <c:pt idx="214">
                  <c:v>2.2710349616427266</c:v>
                </c:pt>
                <c:pt idx="215">
                  <c:v>107.27227496545285</c:v>
                </c:pt>
                <c:pt idx="216">
                  <c:v>8.5955631315918595</c:v>
                </c:pt>
                <c:pt idx="217">
                  <c:v>74.485894880849742</c:v>
                </c:pt>
                <c:pt idx="218">
                  <c:v>-4.7509039462325973</c:v>
                </c:pt>
                <c:pt idx="219">
                  <c:v>17.130918641981509</c:v>
                </c:pt>
                <c:pt idx="220">
                  <c:v>147.41604557845722</c:v>
                </c:pt>
                <c:pt idx="221">
                  <c:v>-31.671683764409579</c:v>
                </c:pt>
                <c:pt idx="222">
                  <c:v>22.638618658408518</c:v>
                </c:pt>
                <c:pt idx="223">
                  <c:v>26.00910007767061</c:v>
                </c:pt>
                <c:pt idx="224">
                  <c:v>-2.4572415600786144</c:v>
                </c:pt>
                <c:pt idx="225">
                  <c:v>-92.334169851139507</c:v>
                </c:pt>
                <c:pt idx="226">
                  <c:v>28.630487782788151</c:v>
                </c:pt>
                <c:pt idx="227">
                  <c:v>-24.408469447174639</c:v>
                </c:pt>
                <c:pt idx="228">
                  <c:v>28.784869279033103</c:v>
                </c:pt>
                <c:pt idx="229">
                  <c:v>53.393688955705784</c:v>
                </c:pt>
                <c:pt idx="230">
                  <c:v>9.7174211253554574</c:v>
                </c:pt>
                <c:pt idx="231">
                  <c:v>33.02166810611547</c:v>
                </c:pt>
                <c:pt idx="232">
                  <c:v>36.258466933197838</c:v>
                </c:pt>
                <c:pt idx="233">
                  <c:v>-8.5888487186960845</c:v>
                </c:pt>
                <c:pt idx="234">
                  <c:v>58.718217125654917</c:v>
                </c:pt>
                <c:pt idx="235">
                  <c:v>54.766989238558892</c:v>
                </c:pt>
                <c:pt idx="236">
                  <c:v>51.051698460158491</c:v>
                </c:pt>
                <c:pt idx="237">
                  <c:v>38.779974981879832</c:v>
                </c:pt>
                <c:pt idx="238">
                  <c:v>33.968001696058252</c:v>
                </c:pt>
                <c:pt idx="239">
                  <c:v>58.370575762107592</c:v>
                </c:pt>
                <c:pt idx="240">
                  <c:v>-0.38655682793392998</c:v>
                </c:pt>
                <c:pt idx="241">
                  <c:v>-11.029100581445391</c:v>
                </c:pt>
                <c:pt idx="242">
                  <c:v>-47.6761603466868</c:v>
                </c:pt>
                <c:pt idx="243">
                  <c:v>20.667070152670647</c:v>
                </c:pt>
                <c:pt idx="244">
                  <c:v>-64.15341229419468</c:v>
                </c:pt>
                <c:pt idx="245">
                  <c:v>36.351873432699279</c:v>
                </c:pt>
                <c:pt idx="246">
                  <c:v>160.43960277556607</c:v>
                </c:pt>
                <c:pt idx="247">
                  <c:v>-18.947883824965459</c:v>
                </c:pt>
                <c:pt idx="248">
                  <c:v>24.856376300111833</c:v>
                </c:pt>
                <c:pt idx="249">
                  <c:v>-10.207039274799229</c:v>
                </c:pt>
                <c:pt idx="250">
                  <c:v>53.766989238558892</c:v>
                </c:pt>
                <c:pt idx="251">
                  <c:v>13.272274965452851</c:v>
                </c:pt>
                <c:pt idx="252">
                  <c:v>37.967623410634872</c:v>
                </c:pt>
                <c:pt idx="253">
                  <c:v>45.151995831470117</c:v>
                </c:pt>
                <c:pt idx="254">
                  <c:v>15.819793930229366</c:v>
                </c:pt>
                <c:pt idx="255">
                  <c:v>71.018013812772324</c:v>
                </c:pt>
                <c:pt idx="256">
                  <c:v>9.4412210647996062</c:v>
                </c:pt>
                <c:pt idx="257">
                  <c:v>-43.937312371177512</c:v>
                </c:pt>
                <c:pt idx="258">
                  <c:v>-14.474286170800667</c:v>
                </c:pt>
                <c:pt idx="259">
                  <c:v>5.2625258005990077</c:v>
                </c:pt>
                <c:pt idx="260">
                  <c:v>-40.610748197118767</c:v>
                </c:pt>
                <c:pt idx="261">
                  <c:v>-9.6448899888336541</c:v>
                </c:pt>
                <c:pt idx="262">
                  <c:v>39.007024644108327</c:v>
                </c:pt>
                <c:pt idx="263">
                  <c:v>17.962729113481572</c:v>
                </c:pt>
                <c:pt idx="264">
                  <c:v>-35.457241560078614</c:v>
                </c:pt>
                <c:pt idx="265">
                  <c:v>-43.180245499223304</c:v>
                </c:pt>
                <c:pt idx="266">
                  <c:v>70.188617630805311</c:v>
                </c:pt>
                <c:pt idx="267">
                  <c:v>-88.53684002732507</c:v>
                </c:pt>
                <c:pt idx="268">
                  <c:v>42.100848858485847</c:v>
                </c:pt>
                <c:pt idx="269">
                  <c:v>35.253572636044566</c:v>
                </c:pt>
                <c:pt idx="270">
                  <c:v>14.385179794662037</c:v>
                </c:pt>
                <c:pt idx="271">
                  <c:v>-20.108738478144517</c:v>
                </c:pt>
                <c:pt idx="272">
                  <c:v>-20.91785347092241</c:v>
                </c:pt>
                <c:pt idx="273">
                  <c:v>-9.8609899118508224</c:v>
                </c:pt>
                <c:pt idx="274">
                  <c:v>41.31043619511621</c:v>
                </c:pt>
                <c:pt idx="275">
                  <c:v>-30.290292035388802</c:v>
                </c:pt>
                <c:pt idx="276">
                  <c:v>-35.221643307353702</c:v>
                </c:pt>
                <c:pt idx="277">
                  <c:v>13.364859176020218</c:v>
                </c:pt>
                <c:pt idx="278">
                  <c:v>67.813281343842561</c:v>
                </c:pt>
                <c:pt idx="279">
                  <c:v>-88.922708338623039</c:v>
                </c:pt>
                <c:pt idx="280">
                  <c:v>81.567973355716447</c:v>
                </c:pt>
                <c:pt idx="281">
                  <c:v>-38.900769430747687</c:v>
                </c:pt>
                <c:pt idx="282">
                  <c:v>-32.261462255703265</c:v>
                </c:pt>
                <c:pt idx="283">
                  <c:v>-11.468569584713322</c:v>
                </c:pt>
                <c:pt idx="284">
                  <c:v>-48.329693268862286</c:v>
                </c:pt>
                <c:pt idx="285">
                  <c:v>72.315330492269482</c:v>
                </c:pt>
                <c:pt idx="286">
                  <c:v>-47.889401976660281</c:v>
                </c:pt>
                <c:pt idx="287">
                  <c:v>-21.739914777568629</c:v>
                </c:pt>
                <c:pt idx="288">
                  <c:v>90.213753687695032</c:v>
                </c:pt>
                <c:pt idx="289">
                  <c:v>-41.22977418297404</c:v>
                </c:pt>
                <c:pt idx="290">
                  <c:v>-53.957632989819331</c:v>
                </c:pt>
                <c:pt idx="291">
                  <c:v>71.290115576474392</c:v>
                </c:pt>
                <c:pt idx="292">
                  <c:v>-33.105462470224779</c:v>
                </c:pt>
                <c:pt idx="293">
                  <c:v>-52.429612354750532</c:v>
                </c:pt>
                <c:pt idx="294">
                  <c:v>-63.395483703853728</c:v>
                </c:pt>
                <c:pt idx="295">
                  <c:v>-70.549029770346522</c:v>
                </c:pt>
                <c:pt idx="296">
                  <c:v>-57.293150328432489</c:v>
                </c:pt>
                <c:pt idx="297">
                  <c:v>-81.994175930249128</c:v>
                </c:pt>
                <c:pt idx="298">
                  <c:v>-9.8910202658938147</c:v>
                </c:pt>
                <c:pt idx="299">
                  <c:v>32.529772696600446</c:v>
                </c:pt>
                <c:pt idx="300">
                  <c:v>-70.911340884535605</c:v>
                </c:pt>
                <c:pt idx="301">
                  <c:v>-117.85609561469755</c:v>
                </c:pt>
                <c:pt idx="302">
                  <c:v>-12.856095614697551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96E-4072-A961-DAA5F3172F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0152640"/>
        <c:axId val="890146880"/>
      </c:scatterChart>
      <c:valAx>
        <c:axId val="890152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trtbps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90146880"/>
        <c:crosses val="autoZero"/>
        <c:crossBetween val="midCat"/>
      </c:valAx>
      <c:valAx>
        <c:axId val="89014688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Residuals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90152640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age Line Fit 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chol</c:v>
          </c:tx>
          <c:spPr>
            <a:ln w="19050">
              <a:noFill/>
            </a:ln>
          </c:spPr>
          <c:xVal>
            <c:numRef>
              <c:f>regression!$V$2:$V$304</c:f>
              <c:numCache>
                <c:formatCode>General</c:formatCode>
                <c:ptCount val="303"/>
                <c:pt idx="0">
                  <c:v>63</c:v>
                </c:pt>
                <c:pt idx="1">
                  <c:v>37</c:v>
                </c:pt>
                <c:pt idx="2">
                  <c:v>41</c:v>
                </c:pt>
                <c:pt idx="3">
                  <c:v>56</c:v>
                </c:pt>
                <c:pt idx="4">
                  <c:v>57</c:v>
                </c:pt>
                <c:pt idx="5">
                  <c:v>57</c:v>
                </c:pt>
                <c:pt idx="6">
                  <c:v>56</c:v>
                </c:pt>
                <c:pt idx="7">
                  <c:v>44</c:v>
                </c:pt>
                <c:pt idx="8">
                  <c:v>52</c:v>
                </c:pt>
                <c:pt idx="9">
                  <c:v>57</c:v>
                </c:pt>
                <c:pt idx="10">
                  <c:v>54</c:v>
                </c:pt>
                <c:pt idx="11">
                  <c:v>48</c:v>
                </c:pt>
                <c:pt idx="12">
                  <c:v>49</c:v>
                </c:pt>
                <c:pt idx="13">
                  <c:v>64</c:v>
                </c:pt>
                <c:pt idx="14">
                  <c:v>58</c:v>
                </c:pt>
                <c:pt idx="15">
                  <c:v>50</c:v>
                </c:pt>
                <c:pt idx="16">
                  <c:v>58</c:v>
                </c:pt>
                <c:pt idx="17">
                  <c:v>66</c:v>
                </c:pt>
                <c:pt idx="18">
                  <c:v>43</c:v>
                </c:pt>
                <c:pt idx="19">
                  <c:v>69</c:v>
                </c:pt>
                <c:pt idx="20">
                  <c:v>59</c:v>
                </c:pt>
                <c:pt idx="21">
                  <c:v>44</c:v>
                </c:pt>
                <c:pt idx="22">
                  <c:v>42</c:v>
                </c:pt>
                <c:pt idx="23">
                  <c:v>61</c:v>
                </c:pt>
                <c:pt idx="24">
                  <c:v>40</c:v>
                </c:pt>
                <c:pt idx="25">
                  <c:v>71</c:v>
                </c:pt>
                <c:pt idx="26">
                  <c:v>59</c:v>
                </c:pt>
                <c:pt idx="27">
                  <c:v>51</c:v>
                </c:pt>
                <c:pt idx="28">
                  <c:v>65</c:v>
                </c:pt>
                <c:pt idx="29">
                  <c:v>53</c:v>
                </c:pt>
                <c:pt idx="30">
                  <c:v>41</c:v>
                </c:pt>
                <c:pt idx="31">
                  <c:v>65</c:v>
                </c:pt>
                <c:pt idx="32">
                  <c:v>44</c:v>
                </c:pt>
                <c:pt idx="33">
                  <c:v>54</c:v>
                </c:pt>
                <c:pt idx="34">
                  <c:v>51</c:v>
                </c:pt>
                <c:pt idx="35">
                  <c:v>46</c:v>
                </c:pt>
                <c:pt idx="36">
                  <c:v>54</c:v>
                </c:pt>
                <c:pt idx="37">
                  <c:v>54</c:v>
                </c:pt>
                <c:pt idx="38">
                  <c:v>65</c:v>
                </c:pt>
                <c:pt idx="39">
                  <c:v>65</c:v>
                </c:pt>
                <c:pt idx="40">
                  <c:v>51</c:v>
                </c:pt>
                <c:pt idx="41">
                  <c:v>48</c:v>
                </c:pt>
                <c:pt idx="42">
                  <c:v>45</c:v>
                </c:pt>
                <c:pt idx="43">
                  <c:v>53</c:v>
                </c:pt>
                <c:pt idx="44">
                  <c:v>39</c:v>
                </c:pt>
                <c:pt idx="45">
                  <c:v>52</c:v>
                </c:pt>
                <c:pt idx="46">
                  <c:v>44</c:v>
                </c:pt>
                <c:pt idx="47">
                  <c:v>47</c:v>
                </c:pt>
                <c:pt idx="48">
                  <c:v>53</c:v>
                </c:pt>
                <c:pt idx="49">
                  <c:v>53</c:v>
                </c:pt>
                <c:pt idx="50">
                  <c:v>51</c:v>
                </c:pt>
                <c:pt idx="51">
                  <c:v>66</c:v>
                </c:pt>
                <c:pt idx="52">
                  <c:v>62</c:v>
                </c:pt>
                <c:pt idx="53">
                  <c:v>44</c:v>
                </c:pt>
                <c:pt idx="54">
                  <c:v>63</c:v>
                </c:pt>
                <c:pt idx="55">
                  <c:v>52</c:v>
                </c:pt>
                <c:pt idx="56">
                  <c:v>48</c:v>
                </c:pt>
                <c:pt idx="57">
                  <c:v>45</c:v>
                </c:pt>
                <c:pt idx="58">
                  <c:v>34</c:v>
                </c:pt>
                <c:pt idx="59">
                  <c:v>57</c:v>
                </c:pt>
                <c:pt idx="60">
                  <c:v>71</c:v>
                </c:pt>
                <c:pt idx="61">
                  <c:v>54</c:v>
                </c:pt>
                <c:pt idx="62">
                  <c:v>52</c:v>
                </c:pt>
                <c:pt idx="63">
                  <c:v>41</c:v>
                </c:pt>
                <c:pt idx="64">
                  <c:v>58</c:v>
                </c:pt>
                <c:pt idx="65">
                  <c:v>35</c:v>
                </c:pt>
                <c:pt idx="66">
                  <c:v>51</c:v>
                </c:pt>
                <c:pt idx="67">
                  <c:v>45</c:v>
                </c:pt>
                <c:pt idx="68">
                  <c:v>44</c:v>
                </c:pt>
                <c:pt idx="69">
                  <c:v>62</c:v>
                </c:pt>
                <c:pt idx="70">
                  <c:v>54</c:v>
                </c:pt>
                <c:pt idx="71">
                  <c:v>51</c:v>
                </c:pt>
                <c:pt idx="72">
                  <c:v>29</c:v>
                </c:pt>
                <c:pt idx="73">
                  <c:v>51</c:v>
                </c:pt>
                <c:pt idx="74">
                  <c:v>43</c:v>
                </c:pt>
                <c:pt idx="75">
                  <c:v>55</c:v>
                </c:pt>
                <c:pt idx="76">
                  <c:v>51</c:v>
                </c:pt>
                <c:pt idx="77">
                  <c:v>59</c:v>
                </c:pt>
                <c:pt idx="78">
                  <c:v>52</c:v>
                </c:pt>
                <c:pt idx="79">
                  <c:v>58</c:v>
                </c:pt>
                <c:pt idx="80">
                  <c:v>41</c:v>
                </c:pt>
                <c:pt idx="81">
                  <c:v>45</c:v>
                </c:pt>
                <c:pt idx="82">
                  <c:v>60</c:v>
                </c:pt>
                <c:pt idx="83">
                  <c:v>52</c:v>
                </c:pt>
                <c:pt idx="84">
                  <c:v>42</c:v>
                </c:pt>
                <c:pt idx="85">
                  <c:v>67</c:v>
                </c:pt>
                <c:pt idx="86">
                  <c:v>68</c:v>
                </c:pt>
                <c:pt idx="87">
                  <c:v>46</c:v>
                </c:pt>
                <c:pt idx="88">
                  <c:v>54</c:v>
                </c:pt>
                <c:pt idx="89">
                  <c:v>58</c:v>
                </c:pt>
                <c:pt idx="90">
                  <c:v>48</c:v>
                </c:pt>
                <c:pt idx="91">
                  <c:v>57</c:v>
                </c:pt>
                <c:pt idx="92">
                  <c:v>52</c:v>
                </c:pt>
                <c:pt idx="93">
                  <c:v>54</c:v>
                </c:pt>
                <c:pt idx="94">
                  <c:v>45</c:v>
                </c:pt>
                <c:pt idx="95">
                  <c:v>53</c:v>
                </c:pt>
                <c:pt idx="96">
                  <c:v>62</c:v>
                </c:pt>
                <c:pt idx="97">
                  <c:v>52</c:v>
                </c:pt>
                <c:pt idx="98">
                  <c:v>43</c:v>
                </c:pt>
                <c:pt idx="99">
                  <c:v>53</c:v>
                </c:pt>
                <c:pt idx="100">
                  <c:v>42</c:v>
                </c:pt>
                <c:pt idx="101">
                  <c:v>59</c:v>
                </c:pt>
                <c:pt idx="102">
                  <c:v>63</c:v>
                </c:pt>
                <c:pt idx="103">
                  <c:v>42</c:v>
                </c:pt>
                <c:pt idx="104">
                  <c:v>50</c:v>
                </c:pt>
                <c:pt idx="105">
                  <c:v>68</c:v>
                </c:pt>
                <c:pt idx="106">
                  <c:v>69</c:v>
                </c:pt>
                <c:pt idx="107">
                  <c:v>45</c:v>
                </c:pt>
                <c:pt idx="108">
                  <c:v>50</c:v>
                </c:pt>
                <c:pt idx="109">
                  <c:v>50</c:v>
                </c:pt>
                <c:pt idx="110">
                  <c:v>64</c:v>
                </c:pt>
                <c:pt idx="111">
                  <c:v>57</c:v>
                </c:pt>
                <c:pt idx="112">
                  <c:v>64</c:v>
                </c:pt>
                <c:pt idx="113">
                  <c:v>43</c:v>
                </c:pt>
                <c:pt idx="114">
                  <c:v>55</c:v>
                </c:pt>
                <c:pt idx="115">
                  <c:v>37</c:v>
                </c:pt>
                <c:pt idx="116">
                  <c:v>41</c:v>
                </c:pt>
                <c:pt idx="117">
                  <c:v>56</c:v>
                </c:pt>
                <c:pt idx="118">
                  <c:v>46</c:v>
                </c:pt>
                <c:pt idx="119">
                  <c:v>46</c:v>
                </c:pt>
                <c:pt idx="120">
                  <c:v>64</c:v>
                </c:pt>
                <c:pt idx="121">
                  <c:v>59</c:v>
                </c:pt>
                <c:pt idx="122">
                  <c:v>41</c:v>
                </c:pt>
                <c:pt idx="123">
                  <c:v>54</c:v>
                </c:pt>
                <c:pt idx="124">
                  <c:v>39</c:v>
                </c:pt>
                <c:pt idx="125">
                  <c:v>34</c:v>
                </c:pt>
                <c:pt idx="126">
                  <c:v>47</c:v>
                </c:pt>
                <c:pt idx="127">
                  <c:v>67</c:v>
                </c:pt>
                <c:pt idx="128">
                  <c:v>52</c:v>
                </c:pt>
                <c:pt idx="129">
                  <c:v>74</c:v>
                </c:pt>
                <c:pt idx="130">
                  <c:v>54</c:v>
                </c:pt>
                <c:pt idx="131">
                  <c:v>49</c:v>
                </c:pt>
                <c:pt idx="132">
                  <c:v>42</c:v>
                </c:pt>
                <c:pt idx="133">
                  <c:v>41</c:v>
                </c:pt>
                <c:pt idx="134">
                  <c:v>41</c:v>
                </c:pt>
                <c:pt idx="135">
                  <c:v>49</c:v>
                </c:pt>
                <c:pt idx="136">
                  <c:v>60</c:v>
                </c:pt>
                <c:pt idx="137">
                  <c:v>62</c:v>
                </c:pt>
                <c:pt idx="138">
                  <c:v>57</c:v>
                </c:pt>
                <c:pt idx="139">
                  <c:v>64</c:v>
                </c:pt>
                <c:pt idx="140">
                  <c:v>51</c:v>
                </c:pt>
                <c:pt idx="141">
                  <c:v>43</c:v>
                </c:pt>
                <c:pt idx="142">
                  <c:v>42</c:v>
                </c:pt>
                <c:pt idx="143">
                  <c:v>67</c:v>
                </c:pt>
                <c:pt idx="144">
                  <c:v>76</c:v>
                </c:pt>
                <c:pt idx="145">
                  <c:v>70</c:v>
                </c:pt>
                <c:pt idx="146">
                  <c:v>44</c:v>
                </c:pt>
                <c:pt idx="147">
                  <c:v>60</c:v>
                </c:pt>
                <c:pt idx="148">
                  <c:v>44</c:v>
                </c:pt>
                <c:pt idx="149">
                  <c:v>42</c:v>
                </c:pt>
                <c:pt idx="150">
                  <c:v>66</c:v>
                </c:pt>
                <c:pt idx="151">
                  <c:v>71</c:v>
                </c:pt>
                <c:pt idx="152">
                  <c:v>64</c:v>
                </c:pt>
                <c:pt idx="153">
                  <c:v>66</c:v>
                </c:pt>
                <c:pt idx="154">
                  <c:v>39</c:v>
                </c:pt>
                <c:pt idx="155">
                  <c:v>58</c:v>
                </c:pt>
                <c:pt idx="156">
                  <c:v>47</c:v>
                </c:pt>
                <c:pt idx="157">
                  <c:v>35</c:v>
                </c:pt>
                <c:pt idx="158">
                  <c:v>58</c:v>
                </c:pt>
                <c:pt idx="159">
                  <c:v>56</c:v>
                </c:pt>
                <c:pt idx="160">
                  <c:v>56</c:v>
                </c:pt>
                <c:pt idx="161">
                  <c:v>55</c:v>
                </c:pt>
                <c:pt idx="162">
                  <c:v>41</c:v>
                </c:pt>
                <c:pt idx="163">
                  <c:v>38</c:v>
                </c:pt>
                <c:pt idx="164">
                  <c:v>38</c:v>
                </c:pt>
                <c:pt idx="165">
                  <c:v>67</c:v>
                </c:pt>
                <c:pt idx="166">
                  <c:v>67</c:v>
                </c:pt>
                <c:pt idx="167">
                  <c:v>62</c:v>
                </c:pt>
                <c:pt idx="168">
                  <c:v>63</c:v>
                </c:pt>
                <c:pt idx="169">
                  <c:v>53</c:v>
                </c:pt>
                <c:pt idx="170">
                  <c:v>56</c:v>
                </c:pt>
                <c:pt idx="171">
                  <c:v>48</c:v>
                </c:pt>
                <c:pt idx="172">
                  <c:v>58</c:v>
                </c:pt>
                <c:pt idx="173">
                  <c:v>58</c:v>
                </c:pt>
                <c:pt idx="174">
                  <c:v>60</c:v>
                </c:pt>
                <c:pt idx="175">
                  <c:v>40</c:v>
                </c:pt>
                <c:pt idx="176">
                  <c:v>60</c:v>
                </c:pt>
                <c:pt idx="177">
                  <c:v>64</c:v>
                </c:pt>
                <c:pt idx="178">
                  <c:v>43</c:v>
                </c:pt>
                <c:pt idx="179">
                  <c:v>57</c:v>
                </c:pt>
                <c:pt idx="180">
                  <c:v>55</c:v>
                </c:pt>
                <c:pt idx="181">
                  <c:v>65</c:v>
                </c:pt>
                <c:pt idx="182">
                  <c:v>61</c:v>
                </c:pt>
                <c:pt idx="183">
                  <c:v>58</c:v>
                </c:pt>
                <c:pt idx="184">
                  <c:v>50</c:v>
                </c:pt>
                <c:pt idx="185">
                  <c:v>44</c:v>
                </c:pt>
                <c:pt idx="186">
                  <c:v>60</c:v>
                </c:pt>
                <c:pt idx="187">
                  <c:v>54</c:v>
                </c:pt>
                <c:pt idx="188">
                  <c:v>50</c:v>
                </c:pt>
                <c:pt idx="189">
                  <c:v>41</c:v>
                </c:pt>
                <c:pt idx="190">
                  <c:v>51</c:v>
                </c:pt>
                <c:pt idx="191">
                  <c:v>58</c:v>
                </c:pt>
                <c:pt idx="192">
                  <c:v>54</c:v>
                </c:pt>
                <c:pt idx="193">
                  <c:v>60</c:v>
                </c:pt>
                <c:pt idx="194">
                  <c:v>60</c:v>
                </c:pt>
                <c:pt idx="195">
                  <c:v>59</c:v>
                </c:pt>
                <c:pt idx="196">
                  <c:v>46</c:v>
                </c:pt>
                <c:pt idx="197">
                  <c:v>67</c:v>
                </c:pt>
                <c:pt idx="198">
                  <c:v>62</c:v>
                </c:pt>
                <c:pt idx="199">
                  <c:v>65</c:v>
                </c:pt>
                <c:pt idx="200">
                  <c:v>44</c:v>
                </c:pt>
                <c:pt idx="201">
                  <c:v>60</c:v>
                </c:pt>
                <c:pt idx="202">
                  <c:v>58</c:v>
                </c:pt>
                <c:pt idx="203">
                  <c:v>68</c:v>
                </c:pt>
                <c:pt idx="204">
                  <c:v>62</c:v>
                </c:pt>
                <c:pt idx="205">
                  <c:v>52</c:v>
                </c:pt>
                <c:pt idx="206">
                  <c:v>59</c:v>
                </c:pt>
                <c:pt idx="207">
                  <c:v>60</c:v>
                </c:pt>
                <c:pt idx="208">
                  <c:v>49</c:v>
                </c:pt>
                <c:pt idx="209">
                  <c:v>59</c:v>
                </c:pt>
                <c:pt idx="210">
                  <c:v>57</c:v>
                </c:pt>
                <c:pt idx="211">
                  <c:v>61</c:v>
                </c:pt>
                <c:pt idx="212">
                  <c:v>39</c:v>
                </c:pt>
                <c:pt idx="213">
                  <c:v>61</c:v>
                </c:pt>
                <c:pt idx="214">
                  <c:v>56</c:v>
                </c:pt>
                <c:pt idx="215">
                  <c:v>43</c:v>
                </c:pt>
                <c:pt idx="216">
                  <c:v>62</c:v>
                </c:pt>
                <c:pt idx="217">
                  <c:v>63</c:v>
                </c:pt>
                <c:pt idx="218">
                  <c:v>65</c:v>
                </c:pt>
                <c:pt idx="219">
                  <c:v>48</c:v>
                </c:pt>
                <c:pt idx="220">
                  <c:v>63</c:v>
                </c:pt>
                <c:pt idx="221">
                  <c:v>55</c:v>
                </c:pt>
                <c:pt idx="222">
                  <c:v>65</c:v>
                </c:pt>
                <c:pt idx="223">
                  <c:v>56</c:v>
                </c:pt>
                <c:pt idx="224">
                  <c:v>54</c:v>
                </c:pt>
                <c:pt idx="225">
                  <c:v>70</c:v>
                </c:pt>
                <c:pt idx="226">
                  <c:v>62</c:v>
                </c:pt>
                <c:pt idx="227">
                  <c:v>35</c:v>
                </c:pt>
                <c:pt idx="228">
                  <c:v>59</c:v>
                </c:pt>
                <c:pt idx="229">
                  <c:v>64</c:v>
                </c:pt>
                <c:pt idx="230">
                  <c:v>47</c:v>
                </c:pt>
                <c:pt idx="231">
                  <c:v>57</c:v>
                </c:pt>
                <c:pt idx="232">
                  <c:v>55</c:v>
                </c:pt>
                <c:pt idx="233">
                  <c:v>64</c:v>
                </c:pt>
                <c:pt idx="234">
                  <c:v>70</c:v>
                </c:pt>
                <c:pt idx="235">
                  <c:v>51</c:v>
                </c:pt>
                <c:pt idx="236">
                  <c:v>58</c:v>
                </c:pt>
                <c:pt idx="237">
                  <c:v>60</c:v>
                </c:pt>
                <c:pt idx="238">
                  <c:v>77</c:v>
                </c:pt>
                <c:pt idx="239">
                  <c:v>35</c:v>
                </c:pt>
                <c:pt idx="240">
                  <c:v>70</c:v>
                </c:pt>
                <c:pt idx="241">
                  <c:v>59</c:v>
                </c:pt>
                <c:pt idx="242">
                  <c:v>64</c:v>
                </c:pt>
                <c:pt idx="243">
                  <c:v>57</c:v>
                </c:pt>
                <c:pt idx="244">
                  <c:v>56</c:v>
                </c:pt>
                <c:pt idx="245">
                  <c:v>48</c:v>
                </c:pt>
                <c:pt idx="246">
                  <c:v>56</c:v>
                </c:pt>
                <c:pt idx="247">
                  <c:v>66</c:v>
                </c:pt>
                <c:pt idx="248">
                  <c:v>54</c:v>
                </c:pt>
                <c:pt idx="249">
                  <c:v>69</c:v>
                </c:pt>
                <c:pt idx="250">
                  <c:v>51</c:v>
                </c:pt>
                <c:pt idx="251">
                  <c:v>43</c:v>
                </c:pt>
                <c:pt idx="252">
                  <c:v>62</c:v>
                </c:pt>
                <c:pt idx="253">
                  <c:v>67</c:v>
                </c:pt>
                <c:pt idx="254">
                  <c:v>59</c:v>
                </c:pt>
                <c:pt idx="255">
                  <c:v>45</c:v>
                </c:pt>
                <c:pt idx="256">
                  <c:v>58</c:v>
                </c:pt>
                <c:pt idx="257">
                  <c:v>50</c:v>
                </c:pt>
                <c:pt idx="258">
                  <c:v>62</c:v>
                </c:pt>
                <c:pt idx="259">
                  <c:v>38</c:v>
                </c:pt>
                <c:pt idx="260">
                  <c:v>66</c:v>
                </c:pt>
                <c:pt idx="261">
                  <c:v>52</c:v>
                </c:pt>
                <c:pt idx="262">
                  <c:v>53</c:v>
                </c:pt>
                <c:pt idx="263">
                  <c:v>63</c:v>
                </c:pt>
                <c:pt idx="264">
                  <c:v>54</c:v>
                </c:pt>
                <c:pt idx="265">
                  <c:v>66</c:v>
                </c:pt>
                <c:pt idx="266">
                  <c:v>55</c:v>
                </c:pt>
                <c:pt idx="267">
                  <c:v>49</c:v>
                </c:pt>
                <c:pt idx="268">
                  <c:v>54</c:v>
                </c:pt>
                <c:pt idx="269">
                  <c:v>56</c:v>
                </c:pt>
                <c:pt idx="270">
                  <c:v>46</c:v>
                </c:pt>
                <c:pt idx="271">
                  <c:v>61</c:v>
                </c:pt>
                <c:pt idx="272">
                  <c:v>67</c:v>
                </c:pt>
                <c:pt idx="273">
                  <c:v>58</c:v>
                </c:pt>
                <c:pt idx="274">
                  <c:v>47</c:v>
                </c:pt>
                <c:pt idx="275">
                  <c:v>52</c:v>
                </c:pt>
                <c:pt idx="276">
                  <c:v>58</c:v>
                </c:pt>
                <c:pt idx="277">
                  <c:v>57</c:v>
                </c:pt>
                <c:pt idx="278">
                  <c:v>58</c:v>
                </c:pt>
                <c:pt idx="279">
                  <c:v>61</c:v>
                </c:pt>
                <c:pt idx="280">
                  <c:v>42</c:v>
                </c:pt>
                <c:pt idx="281">
                  <c:v>52</c:v>
                </c:pt>
                <c:pt idx="282">
                  <c:v>59</c:v>
                </c:pt>
                <c:pt idx="283">
                  <c:v>40</c:v>
                </c:pt>
                <c:pt idx="284">
                  <c:v>61</c:v>
                </c:pt>
                <c:pt idx="285">
                  <c:v>46</c:v>
                </c:pt>
                <c:pt idx="286">
                  <c:v>59</c:v>
                </c:pt>
                <c:pt idx="287">
                  <c:v>57</c:v>
                </c:pt>
                <c:pt idx="288">
                  <c:v>57</c:v>
                </c:pt>
                <c:pt idx="289">
                  <c:v>55</c:v>
                </c:pt>
                <c:pt idx="290">
                  <c:v>61</c:v>
                </c:pt>
                <c:pt idx="291">
                  <c:v>58</c:v>
                </c:pt>
                <c:pt idx="292">
                  <c:v>58</c:v>
                </c:pt>
                <c:pt idx="293">
                  <c:v>67</c:v>
                </c:pt>
                <c:pt idx="294">
                  <c:v>44</c:v>
                </c:pt>
                <c:pt idx="295">
                  <c:v>63</c:v>
                </c:pt>
                <c:pt idx="296">
                  <c:v>63</c:v>
                </c:pt>
                <c:pt idx="297">
                  <c:v>59</c:v>
                </c:pt>
                <c:pt idx="298">
                  <c:v>57</c:v>
                </c:pt>
                <c:pt idx="299">
                  <c:v>45</c:v>
                </c:pt>
                <c:pt idx="300">
                  <c:v>68</c:v>
                </c:pt>
                <c:pt idx="301">
                  <c:v>57</c:v>
                </c:pt>
                <c:pt idx="302">
                  <c:v>57</c:v>
                </c:pt>
              </c:numCache>
            </c:numRef>
          </c:xVal>
          <c:yVal>
            <c:numRef>
              <c:f>regression!$X$2:$X$304</c:f>
              <c:numCache>
                <c:formatCode>General</c:formatCode>
                <c:ptCount val="303"/>
                <c:pt idx="0">
                  <c:v>233</c:v>
                </c:pt>
                <c:pt idx="1">
                  <c:v>250</c:v>
                </c:pt>
                <c:pt idx="2">
                  <c:v>204</c:v>
                </c:pt>
                <c:pt idx="3">
                  <c:v>236</c:v>
                </c:pt>
                <c:pt idx="4">
                  <c:v>354</c:v>
                </c:pt>
                <c:pt idx="5">
                  <c:v>192</c:v>
                </c:pt>
                <c:pt idx="6">
                  <c:v>294</c:v>
                </c:pt>
                <c:pt idx="7">
                  <c:v>263</c:v>
                </c:pt>
                <c:pt idx="8">
                  <c:v>199</c:v>
                </c:pt>
                <c:pt idx="9">
                  <c:v>168</c:v>
                </c:pt>
                <c:pt idx="10">
                  <c:v>239</c:v>
                </c:pt>
                <c:pt idx="11">
                  <c:v>275</c:v>
                </c:pt>
                <c:pt idx="12">
                  <c:v>266</c:v>
                </c:pt>
                <c:pt idx="13">
                  <c:v>211</c:v>
                </c:pt>
                <c:pt idx="14">
                  <c:v>283</c:v>
                </c:pt>
                <c:pt idx="15">
                  <c:v>219</c:v>
                </c:pt>
                <c:pt idx="16">
                  <c:v>340</c:v>
                </c:pt>
                <c:pt idx="17">
                  <c:v>226</c:v>
                </c:pt>
                <c:pt idx="18">
                  <c:v>247</c:v>
                </c:pt>
                <c:pt idx="19">
                  <c:v>239</c:v>
                </c:pt>
                <c:pt idx="20">
                  <c:v>234</c:v>
                </c:pt>
                <c:pt idx="21">
                  <c:v>233</c:v>
                </c:pt>
                <c:pt idx="22">
                  <c:v>226</c:v>
                </c:pt>
                <c:pt idx="23">
                  <c:v>243</c:v>
                </c:pt>
                <c:pt idx="24">
                  <c:v>199</c:v>
                </c:pt>
                <c:pt idx="25">
                  <c:v>302</c:v>
                </c:pt>
                <c:pt idx="26">
                  <c:v>212</c:v>
                </c:pt>
                <c:pt idx="27">
                  <c:v>175</c:v>
                </c:pt>
                <c:pt idx="28">
                  <c:v>417</c:v>
                </c:pt>
                <c:pt idx="29">
                  <c:v>197</c:v>
                </c:pt>
                <c:pt idx="30">
                  <c:v>198</c:v>
                </c:pt>
                <c:pt idx="31">
                  <c:v>177</c:v>
                </c:pt>
                <c:pt idx="32">
                  <c:v>219</c:v>
                </c:pt>
                <c:pt idx="33">
                  <c:v>273</c:v>
                </c:pt>
                <c:pt idx="34">
                  <c:v>213</c:v>
                </c:pt>
                <c:pt idx="35">
                  <c:v>177</c:v>
                </c:pt>
                <c:pt idx="36">
                  <c:v>304</c:v>
                </c:pt>
                <c:pt idx="37">
                  <c:v>232</c:v>
                </c:pt>
                <c:pt idx="38">
                  <c:v>269</c:v>
                </c:pt>
                <c:pt idx="39">
                  <c:v>360</c:v>
                </c:pt>
                <c:pt idx="40">
                  <c:v>308</c:v>
                </c:pt>
                <c:pt idx="41">
                  <c:v>245</c:v>
                </c:pt>
                <c:pt idx="42">
                  <c:v>208</c:v>
                </c:pt>
                <c:pt idx="43">
                  <c:v>264</c:v>
                </c:pt>
                <c:pt idx="44">
                  <c:v>321</c:v>
                </c:pt>
                <c:pt idx="45">
                  <c:v>325</c:v>
                </c:pt>
                <c:pt idx="46">
                  <c:v>235</c:v>
                </c:pt>
                <c:pt idx="47">
                  <c:v>257</c:v>
                </c:pt>
                <c:pt idx="48">
                  <c:v>216</c:v>
                </c:pt>
                <c:pt idx="49">
                  <c:v>234</c:v>
                </c:pt>
                <c:pt idx="50">
                  <c:v>256</c:v>
                </c:pt>
                <c:pt idx="51">
                  <c:v>302</c:v>
                </c:pt>
                <c:pt idx="52">
                  <c:v>231</c:v>
                </c:pt>
                <c:pt idx="53">
                  <c:v>141</c:v>
                </c:pt>
                <c:pt idx="54">
                  <c:v>252</c:v>
                </c:pt>
                <c:pt idx="55">
                  <c:v>201</c:v>
                </c:pt>
                <c:pt idx="56">
                  <c:v>222</c:v>
                </c:pt>
                <c:pt idx="57">
                  <c:v>260</c:v>
                </c:pt>
                <c:pt idx="58">
                  <c:v>182</c:v>
                </c:pt>
                <c:pt idx="59">
                  <c:v>303</c:v>
                </c:pt>
                <c:pt idx="60">
                  <c:v>265</c:v>
                </c:pt>
                <c:pt idx="61">
                  <c:v>309</c:v>
                </c:pt>
                <c:pt idx="62">
                  <c:v>186</c:v>
                </c:pt>
                <c:pt idx="63">
                  <c:v>203</c:v>
                </c:pt>
                <c:pt idx="64">
                  <c:v>211</c:v>
                </c:pt>
                <c:pt idx="65">
                  <c:v>183</c:v>
                </c:pt>
                <c:pt idx="66">
                  <c:v>222</c:v>
                </c:pt>
                <c:pt idx="67">
                  <c:v>234</c:v>
                </c:pt>
                <c:pt idx="68">
                  <c:v>220</c:v>
                </c:pt>
                <c:pt idx="69">
                  <c:v>209</c:v>
                </c:pt>
                <c:pt idx="70">
                  <c:v>258</c:v>
                </c:pt>
                <c:pt idx="71">
                  <c:v>227</c:v>
                </c:pt>
                <c:pt idx="72">
                  <c:v>204</c:v>
                </c:pt>
                <c:pt idx="73">
                  <c:v>261</c:v>
                </c:pt>
                <c:pt idx="74">
                  <c:v>213</c:v>
                </c:pt>
                <c:pt idx="75">
                  <c:v>250</c:v>
                </c:pt>
                <c:pt idx="76">
                  <c:v>245</c:v>
                </c:pt>
                <c:pt idx="77">
                  <c:v>221</c:v>
                </c:pt>
                <c:pt idx="78">
                  <c:v>205</c:v>
                </c:pt>
                <c:pt idx="79">
                  <c:v>240</c:v>
                </c:pt>
                <c:pt idx="80">
                  <c:v>250</c:v>
                </c:pt>
                <c:pt idx="81">
                  <c:v>308</c:v>
                </c:pt>
                <c:pt idx="82">
                  <c:v>318</c:v>
                </c:pt>
                <c:pt idx="83">
                  <c:v>298</c:v>
                </c:pt>
                <c:pt idx="84">
                  <c:v>265</c:v>
                </c:pt>
                <c:pt idx="85">
                  <c:v>564</c:v>
                </c:pt>
                <c:pt idx="86">
                  <c:v>277</c:v>
                </c:pt>
                <c:pt idx="87">
                  <c:v>197</c:v>
                </c:pt>
                <c:pt idx="88">
                  <c:v>214</c:v>
                </c:pt>
                <c:pt idx="89">
                  <c:v>248</c:v>
                </c:pt>
                <c:pt idx="90">
                  <c:v>255</c:v>
                </c:pt>
                <c:pt idx="91">
                  <c:v>207</c:v>
                </c:pt>
                <c:pt idx="92">
                  <c:v>223</c:v>
                </c:pt>
                <c:pt idx="93">
                  <c:v>288</c:v>
                </c:pt>
                <c:pt idx="94">
                  <c:v>160</c:v>
                </c:pt>
                <c:pt idx="95">
                  <c:v>226</c:v>
                </c:pt>
                <c:pt idx="96">
                  <c:v>394</c:v>
                </c:pt>
                <c:pt idx="97">
                  <c:v>233</c:v>
                </c:pt>
                <c:pt idx="98">
                  <c:v>315</c:v>
                </c:pt>
                <c:pt idx="99">
                  <c:v>246</c:v>
                </c:pt>
                <c:pt idx="100">
                  <c:v>244</c:v>
                </c:pt>
                <c:pt idx="101">
                  <c:v>270</c:v>
                </c:pt>
                <c:pt idx="102">
                  <c:v>195</c:v>
                </c:pt>
                <c:pt idx="103">
                  <c:v>240</c:v>
                </c:pt>
                <c:pt idx="104">
                  <c:v>196</c:v>
                </c:pt>
                <c:pt idx="105">
                  <c:v>211</c:v>
                </c:pt>
                <c:pt idx="106">
                  <c:v>234</c:v>
                </c:pt>
                <c:pt idx="107">
                  <c:v>236</c:v>
                </c:pt>
                <c:pt idx="108">
                  <c:v>244</c:v>
                </c:pt>
                <c:pt idx="109">
                  <c:v>254</c:v>
                </c:pt>
                <c:pt idx="110">
                  <c:v>325</c:v>
                </c:pt>
                <c:pt idx="111">
                  <c:v>126</c:v>
                </c:pt>
                <c:pt idx="112">
                  <c:v>313</c:v>
                </c:pt>
                <c:pt idx="113">
                  <c:v>211</c:v>
                </c:pt>
                <c:pt idx="114">
                  <c:v>262</c:v>
                </c:pt>
                <c:pt idx="115">
                  <c:v>215</c:v>
                </c:pt>
                <c:pt idx="116">
                  <c:v>214</c:v>
                </c:pt>
                <c:pt idx="117">
                  <c:v>193</c:v>
                </c:pt>
                <c:pt idx="118">
                  <c:v>204</c:v>
                </c:pt>
                <c:pt idx="119">
                  <c:v>243</c:v>
                </c:pt>
                <c:pt idx="120">
                  <c:v>303</c:v>
                </c:pt>
                <c:pt idx="121">
                  <c:v>271</c:v>
                </c:pt>
                <c:pt idx="122">
                  <c:v>268</c:v>
                </c:pt>
                <c:pt idx="123">
                  <c:v>267</c:v>
                </c:pt>
                <c:pt idx="124">
                  <c:v>199</c:v>
                </c:pt>
                <c:pt idx="125">
                  <c:v>210</c:v>
                </c:pt>
                <c:pt idx="126">
                  <c:v>204</c:v>
                </c:pt>
                <c:pt idx="127">
                  <c:v>277</c:v>
                </c:pt>
                <c:pt idx="128">
                  <c:v>196</c:v>
                </c:pt>
                <c:pt idx="129">
                  <c:v>269</c:v>
                </c:pt>
                <c:pt idx="130">
                  <c:v>201</c:v>
                </c:pt>
                <c:pt idx="131">
                  <c:v>271</c:v>
                </c:pt>
                <c:pt idx="132">
                  <c:v>295</c:v>
                </c:pt>
                <c:pt idx="133">
                  <c:v>235</c:v>
                </c:pt>
                <c:pt idx="134">
                  <c:v>306</c:v>
                </c:pt>
                <c:pt idx="135">
                  <c:v>269</c:v>
                </c:pt>
                <c:pt idx="136">
                  <c:v>178</c:v>
                </c:pt>
                <c:pt idx="137">
                  <c:v>208</c:v>
                </c:pt>
                <c:pt idx="138">
                  <c:v>201</c:v>
                </c:pt>
                <c:pt idx="139">
                  <c:v>263</c:v>
                </c:pt>
                <c:pt idx="140">
                  <c:v>295</c:v>
                </c:pt>
                <c:pt idx="141">
                  <c:v>303</c:v>
                </c:pt>
                <c:pt idx="142">
                  <c:v>209</c:v>
                </c:pt>
                <c:pt idx="143">
                  <c:v>223</c:v>
                </c:pt>
                <c:pt idx="144">
                  <c:v>197</c:v>
                </c:pt>
                <c:pt idx="145">
                  <c:v>245</c:v>
                </c:pt>
                <c:pt idx="146">
                  <c:v>242</c:v>
                </c:pt>
                <c:pt idx="147">
                  <c:v>240</c:v>
                </c:pt>
                <c:pt idx="148">
                  <c:v>226</c:v>
                </c:pt>
                <c:pt idx="149">
                  <c:v>180</c:v>
                </c:pt>
                <c:pt idx="150">
                  <c:v>228</c:v>
                </c:pt>
                <c:pt idx="151">
                  <c:v>149</c:v>
                </c:pt>
                <c:pt idx="152">
                  <c:v>227</c:v>
                </c:pt>
                <c:pt idx="153">
                  <c:v>278</c:v>
                </c:pt>
                <c:pt idx="154">
                  <c:v>220</c:v>
                </c:pt>
                <c:pt idx="155">
                  <c:v>197</c:v>
                </c:pt>
                <c:pt idx="156">
                  <c:v>253</c:v>
                </c:pt>
                <c:pt idx="157">
                  <c:v>192</c:v>
                </c:pt>
                <c:pt idx="158">
                  <c:v>220</c:v>
                </c:pt>
                <c:pt idx="159">
                  <c:v>221</c:v>
                </c:pt>
                <c:pt idx="160">
                  <c:v>240</c:v>
                </c:pt>
                <c:pt idx="161">
                  <c:v>342</c:v>
                </c:pt>
                <c:pt idx="162">
                  <c:v>157</c:v>
                </c:pt>
                <c:pt idx="163">
                  <c:v>175</c:v>
                </c:pt>
                <c:pt idx="164">
                  <c:v>175</c:v>
                </c:pt>
                <c:pt idx="165">
                  <c:v>286</c:v>
                </c:pt>
                <c:pt idx="166">
                  <c:v>229</c:v>
                </c:pt>
                <c:pt idx="167">
                  <c:v>268</c:v>
                </c:pt>
                <c:pt idx="168">
                  <c:v>254</c:v>
                </c:pt>
                <c:pt idx="169">
                  <c:v>203</c:v>
                </c:pt>
                <c:pt idx="170">
                  <c:v>256</c:v>
                </c:pt>
                <c:pt idx="171">
                  <c:v>229</c:v>
                </c:pt>
                <c:pt idx="172">
                  <c:v>284</c:v>
                </c:pt>
                <c:pt idx="173">
                  <c:v>224</c:v>
                </c:pt>
                <c:pt idx="174">
                  <c:v>206</c:v>
                </c:pt>
                <c:pt idx="175">
                  <c:v>167</c:v>
                </c:pt>
                <c:pt idx="176">
                  <c:v>230</c:v>
                </c:pt>
                <c:pt idx="177">
                  <c:v>335</c:v>
                </c:pt>
                <c:pt idx="178">
                  <c:v>177</c:v>
                </c:pt>
                <c:pt idx="179">
                  <c:v>276</c:v>
                </c:pt>
                <c:pt idx="180">
                  <c:v>353</c:v>
                </c:pt>
                <c:pt idx="181">
                  <c:v>225</c:v>
                </c:pt>
                <c:pt idx="182">
                  <c:v>330</c:v>
                </c:pt>
                <c:pt idx="183">
                  <c:v>230</c:v>
                </c:pt>
                <c:pt idx="184">
                  <c:v>243</c:v>
                </c:pt>
                <c:pt idx="185">
                  <c:v>290</c:v>
                </c:pt>
                <c:pt idx="186">
                  <c:v>253</c:v>
                </c:pt>
                <c:pt idx="187">
                  <c:v>266</c:v>
                </c:pt>
                <c:pt idx="188">
                  <c:v>233</c:v>
                </c:pt>
                <c:pt idx="189">
                  <c:v>172</c:v>
                </c:pt>
                <c:pt idx="190">
                  <c:v>305</c:v>
                </c:pt>
                <c:pt idx="191">
                  <c:v>216</c:v>
                </c:pt>
                <c:pt idx="192">
                  <c:v>188</c:v>
                </c:pt>
                <c:pt idx="193">
                  <c:v>282</c:v>
                </c:pt>
                <c:pt idx="194">
                  <c:v>185</c:v>
                </c:pt>
                <c:pt idx="195">
                  <c:v>326</c:v>
                </c:pt>
                <c:pt idx="196">
                  <c:v>231</c:v>
                </c:pt>
                <c:pt idx="197">
                  <c:v>254</c:v>
                </c:pt>
                <c:pt idx="198">
                  <c:v>267</c:v>
                </c:pt>
                <c:pt idx="199">
                  <c:v>248</c:v>
                </c:pt>
                <c:pt idx="200">
                  <c:v>197</c:v>
                </c:pt>
                <c:pt idx="201">
                  <c:v>258</c:v>
                </c:pt>
                <c:pt idx="202">
                  <c:v>270</c:v>
                </c:pt>
                <c:pt idx="203">
                  <c:v>274</c:v>
                </c:pt>
                <c:pt idx="204">
                  <c:v>164</c:v>
                </c:pt>
                <c:pt idx="205">
                  <c:v>255</c:v>
                </c:pt>
                <c:pt idx="206">
                  <c:v>239</c:v>
                </c:pt>
                <c:pt idx="207">
                  <c:v>258</c:v>
                </c:pt>
                <c:pt idx="208">
                  <c:v>188</c:v>
                </c:pt>
                <c:pt idx="209">
                  <c:v>177</c:v>
                </c:pt>
                <c:pt idx="210">
                  <c:v>229</c:v>
                </c:pt>
                <c:pt idx="211">
                  <c:v>260</c:v>
                </c:pt>
                <c:pt idx="212">
                  <c:v>219</c:v>
                </c:pt>
                <c:pt idx="213">
                  <c:v>307</c:v>
                </c:pt>
                <c:pt idx="214">
                  <c:v>249</c:v>
                </c:pt>
                <c:pt idx="215">
                  <c:v>341</c:v>
                </c:pt>
                <c:pt idx="216">
                  <c:v>263</c:v>
                </c:pt>
                <c:pt idx="217">
                  <c:v>330</c:v>
                </c:pt>
                <c:pt idx="218">
                  <c:v>254</c:v>
                </c:pt>
                <c:pt idx="219">
                  <c:v>256</c:v>
                </c:pt>
                <c:pt idx="220">
                  <c:v>407</c:v>
                </c:pt>
                <c:pt idx="221">
                  <c:v>217</c:v>
                </c:pt>
                <c:pt idx="222">
                  <c:v>282</c:v>
                </c:pt>
                <c:pt idx="223">
                  <c:v>288</c:v>
                </c:pt>
                <c:pt idx="224">
                  <c:v>239</c:v>
                </c:pt>
                <c:pt idx="225">
                  <c:v>174</c:v>
                </c:pt>
                <c:pt idx="226">
                  <c:v>281</c:v>
                </c:pt>
                <c:pt idx="227">
                  <c:v>198</c:v>
                </c:pt>
                <c:pt idx="228">
                  <c:v>288</c:v>
                </c:pt>
                <c:pt idx="229">
                  <c:v>309</c:v>
                </c:pt>
                <c:pt idx="230">
                  <c:v>243</c:v>
                </c:pt>
                <c:pt idx="231">
                  <c:v>289</c:v>
                </c:pt>
                <c:pt idx="232">
                  <c:v>289</c:v>
                </c:pt>
                <c:pt idx="233">
                  <c:v>246</c:v>
                </c:pt>
                <c:pt idx="234">
                  <c:v>322</c:v>
                </c:pt>
                <c:pt idx="235">
                  <c:v>299</c:v>
                </c:pt>
                <c:pt idx="236">
                  <c:v>300</c:v>
                </c:pt>
                <c:pt idx="237">
                  <c:v>293</c:v>
                </c:pt>
                <c:pt idx="238">
                  <c:v>304</c:v>
                </c:pt>
                <c:pt idx="239">
                  <c:v>282</c:v>
                </c:pt>
                <c:pt idx="240">
                  <c:v>269</c:v>
                </c:pt>
                <c:pt idx="241">
                  <c:v>249</c:v>
                </c:pt>
                <c:pt idx="242">
                  <c:v>212</c:v>
                </c:pt>
                <c:pt idx="243">
                  <c:v>274</c:v>
                </c:pt>
                <c:pt idx="244">
                  <c:v>184</c:v>
                </c:pt>
                <c:pt idx="245">
                  <c:v>274</c:v>
                </c:pt>
                <c:pt idx="246">
                  <c:v>409</c:v>
                </c:pt>
                <c:pt idx="247">
                  <c:v>246</c:v>
                </c:pt>
                <c:pt idx="248">
                  <c:v>283</c:v>
                </c:pt>
                <c:pt idx="249">
                  <c:v>254</c:v>
                </c:pt>
                <c:pt idx="250">
                  <c:v>298</c:v>
                </c:pt>
                <c:pt idx="251">
                  <c:v>247</c:v>
                </c:pt>
                <c:pt idx="252">
                  <c:v>294</c:v>
                </c:pt>
                <c:pt idx="253">
                  <c:v>299</c:v>
                </c:pt>
                <c:pt idx="254">
                  <c:v>273</c:v>
                </c:pt>
                <c:pt idx="255">
                  <c:v>309</c:v>
                </c:pt>
                <c:pt idx="256">
                  <c:v>259</c:v>
                </c:pt>
                <c:pt idx="257">
                  <c:v>200</c:v>
                </c:pt>
                <c:pt idx="258">
                  <c:v>244</c:v>
                </c:pt>
                <c:pt idx="259">
                  <c:v>231</c:v>
                </c:pt>
                <c:pt idx="260">
                  <c:v>228</c:v>
                </c:pt>
                <c:pt idx="261">
                  <c:v>230</c:v>
                </c:pt>
                <c:pt idx="262">
                  <c:v>282</c:v>
                </c:pt>
                <c:pt idx="263">
                  <c:v>269</c:v>
                </c:pt>
                <c:pt idx="264">
                  <c:v>206</c:v>
                </c:pt>
                <c:pt idx="265">
                  <c:v>212</c:v>
                </c:pt>
                <c:pt idx="266">
                  <c:v>327</c:v>
                </c:pt>
                <c:pt idx="267">
                  <c:v>149</c:v>
                </c:pt>
                <c:pt idx="268">
                  <c:v>286</c:v>
                </c:pt>
                <c:pt idx="269">
                  <c:v>283</c:v>
                </c:pt>
                <c:pt idx="270">
                  <c:v>249</c:v>
                </c:pt>
                <c:pt idx="271">
                  <c:v>234</c:v>
                </c:pt>
                <c:pt idx="272">
                  <c:v>237</c:v>
                </c:pt>
                <c:pt idx="273">
                  <c:v>234</c:v>
                </c:pt>
                <c:pt idx="274">
                  <c:v>275</c:v>
                </c:pt>
                <c:pt idx="275">
                  <c:v>212</c:v>
                </c:pt>
                <c:pt idx="276">
                  <c:v>218</c:v>
                </c:pt>
                <c:pt idx="277">
                  <c:v>261</c:v>
                </c:pt>
                <c:pt idx="278">
                  <c:v>319</c:v>
                </c:pt>
                <c:pt idx="279">
                  <c:v>166</c:v>
                </c:pt>
                <c:pt idx="280">
                  <c:v>315</c:v>
                </c:pt>
                <c:pt idx="281">
                  <c:v>204</c:v>
                </c:pt>
                <c:pt idx="282">
                  <c:v>218</c:v>
                </c:pt>
                <c:pt idx="283">
                  <c:v>223</c:v>
                </c:pt>
                <c:pt idx="284">
                  <c:v>207</c:v>
                </c:pt>
                <c:pt idx="285">
                  <c:v>311</c:v>
                </c:pt>
                <c:pt idx="286">
                  <c:v>204</c:v>
                </c:pt>
                <c:pt idx="287">
                  <c:v>232</c:v>
                </c:pt>
                <c:pt idx="288">
                  <c:v>335</c:v>
                </c:pt>
                <c:pt idx="289">
                  <c:v>205</c:v>
                </c:pt>
                <c:pt idx="290">
                  <c:v>203</c:v>
                </c:pt>
                <c:pt idx="291">
                  <c:v>318</c:v>
                </c:pt>
                <c:pt idx="292">
                  <c:v>225</c:v>
                </c:pt>
                <c:pt idx="293">
                  <c:v>212</c:v>
                </c:pt>
                <c:pt idx="294">
                  <c:v>169</c:v>
                </c:pt>
                <c:pt idx="295">
                  <c:v>187</c:v>
                </c:pt>
                <c:pt idx="296">
                  <c:v>197</c:v>
                </c:pt>
                <c:pt idx="297">
                  <c:v>176</c:v>
                </c:pt>
                <c:pt idx="298">
                  <c:v>241</c:v>
                </c:pt>
                <c:pt idx="299">
                  <c:v>264</c:v>
                </c:pt>
                <c:pt idx="300">
                  <c:v>193</c:v>
                </c:pt>
                <c:pt idx="301">
                  <c:v>131</c:v>
                </c:pt>
                <c:pt idx="302">
                  <c:v>236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EC8-4152-92D3-C36B4902F908}"/>
            </c:ext>
          </c:extLst>
        </c:ser>
        <c:ser>
          <c:idx val="1"/>
          <c:order val="1"/>
          <c:tx>
            <c:v>Predicted chol</c:v>
          </c:tx>
          <c:spPr>
            <a:ln w="19050">
              <a:noFill/>
            </a:ln>
          </c:spPr>
          <c:xVal>
            <c:numRef>
              <c:f>regression!$V$2:$V$304</c:f>
              <c:numCache>
                <c:formatCode>General</c:formatCode>
                <c:ptCount val="303"/>
                <c:pt idx="0">
                  <c:v>63</c:v>
                </c:pt>
                <c:pt idx="1">
                  <c:v>37</c:v>
                </c:pt>
                <c:pt idx="2">
                  <c:v>41</c:v>
                </c:pt>
                <c:pt idx="3">
                  <c:v>56</c:v>
                </c:pt>
                <c:pt idx="4">
                  <c:v>57</c:v>
                </c:pt>
                <c:pt idx="5">
                  <c:v>57</c:v>
                </c:pt>
                <c:pt idx="6">
                  <c:v>56</c:v>
                </c:pt>
                <c:pt idx="7">
                  <c:v>44</c:v>
                </c:pt>
                <c:pt idx="8">
                  <c:v>52</c:v>
                </c:pt>
                <c:pt idx="9">
                  <c:v>57</c:v>
                </c:pt>
                <c:pt idx="10">
                  <c:v>54</c:v>
                </c:pt>
                <c:pt idx="11">
                  <c:v>48</c:v>
                </c:pt>
                <c:pt idx="12">
                  <c:v>49</c:v>
                </c:pt>
                <c:pt idx="13">
                  <c:v>64</c:v>
                </c:pt>
                <c:pt idx="14">
                  <c:v>58</c:v>
                </c:pt>
                <c:pt idx="15">
                  <c:v>50</c:v>
                </c:pt>
                <c:pt idx="16">
                  <c:v>58</c:v>
                </c:pt>
                <c:pt idx="17">
                  <c:v>66</c:v>
                </c:pt>
                <c:pt idx="18">
                  <c:v>43</c:v>
                </c:pt>
                <c:pt idx="19">
                  <c:v>69</c:v>
                </c:pt>
                <c:pt idx="20">
                  <c:v>59</c:v>
                </c:pt>
                <c:pt idx="21">
                  <c:v>44</c:v>
                </c:pt>
                <c:pt idx="22">
                  <c:v>42</c:v>
                </c:pt>
                <c:pt idx="23">
                  <c:v>61</c:v>
                </c:pt>
                <c:pt idx="24">
                  <c:v>40</c:v>
                </c:pt>
                <c:pt idx="25">
                  <c:v>71</c:v>
                </c:pt>
                <c:pt idx="26">
                  <c:v>59</c:v>
                </c:pt>
                <c:pt idx="27">
                  <c:v>51</c:v>
                </c:pt>
                <c:pt idx="28">
                  <c:v>65</c:v>
                </c:pt>
                <c:pt idx="29">
                  <c:v>53</c:v>
                </c:pt>
                <c:pt idx="30">
                  <c:v>41</c:v>
                </c:pt>
                <c:pt idx="31">
                  <c:v>65</c:v>
                </c:pt>
                <c:pt idx="32">
                  <c:v>44</c:v>
                </c:pt>
                <c:pt idx="33">
                  <c:v>54</c:v>
                </c:pt>
                <c:pt idx="34">
                  <c:v>51</c:v>
                </c:pt>
                <c:pt idx="35">
                  <c:v>46</c:v>
                </c:pt>
                <c:pt idx="36">
                  <c:v>54</c:v>
                </c:pt>
                <c:pt idx="37">
                  <c:v>54</c:v>
                </c:pt>
                <c:pt idx="38">
                  <c:v>65</c:v>
                </c:pt>
                <c:pt idx="39">
                  <c:v>65</c:v>
                </c:pt>
                <c:pt idx="40">
                  <c:v>51</c:v>
                </c:pt>
                <c:pt idx="41">
                  <c:v>48</c:v>
                </c:pt>
                <c:pt idx="42">
                  <c:v>45</c:v>
                </c:pt>
                <c:pt idx="43">
                  <c:v>53</c:v>
                </c:pt>
                <c:pt idx="44">
                  <c:v>39</c:v>
                </c:pt>
                <c:pt idx="45">
                  <c:v>52</c:v>
                </c:pt>
                <c:pt idx="46">
                  <c:v>44</c:v>
                </c:pt>
                <c:pt idx="47">
                  <c:v>47</c:v>
                </c:pt>
                <c:pt idx="48">
                  <c:v>53</c:v>
                </c:pt>
                <c:pt idx="49">
                  <c:v>53</c:v>
                </c:pt>
                <c:pt idx="50">
                  <c:v>51</c:v>
                </c:pt>
                <c:pt idx="51">
                  <c:v>66</c:v>
                </c:pt>
                <c:pt idx="52">
                  <c:v>62</c:v>
                </c:pt>
                <c:pt idx="53">
                  <c:v>44</c:v>
                </c:pt>
                <c:pt idx="54">
                  <c:v>63</c:v>
                </c:pt>
                <c:pt idx="55">
                  <c:v>52</c:v>
                </c:pt>
                <c:pt idx="56">
                  <c:v>48</c:v>
                </c:pt>
                <c:pt idx="57">
                  <c:v>45</c:v>
                </c:pt>
                <c:pt idx="58">
                  <c:v>34</c:v>
                </c:pt>
                <c:pt idx="59">
                  <c:v>57</c:v>
                </c:pt>
                <c:pt idx="60">
                  <c:v>71</c:v>
                </c:pt>
                <c:pt idx="61">
                  <c:v>54</c:v>
                </c:pt>
                <c:pt idx="62">
                  <c:v>52</c:v>
                </c:pt>
                <c:pt idx="63">
                  <c:v>41</c:v>
                </c:pt>
                <c:pt idx="64">
                  <c:v>58</c:v>
                </c:pt>
                <c:pt idx="65">
                  <c:v>35</c:v>
                </c:pt>
                <c:pt idx="66">
                  <c:v>51</c:v>
                </c:pt>
                <c:pt idx="67">
                  <c:v>45</c:v>
                </c:pt>
                <c:pt idx="68">
                  <c:v>44</c:v>
                </c:pt>
                <c:pt idx="69">
                  <c:v>62</c:v>
                </c:pt>
                <c:pt idx="70">
                  <c:v>54</c:v>
                </c:pt>
                <c:pt idx="71">
                  <c:v>51</c:v>
                </c:pt>
                <c:pt idx="72">
                  <c:v>29</c:v>
                </c:pt>
                <c:pt idx="73">
                  <c:v>51</c:v>
                </c:pt>
                <c:pt idx="74">
                  <c:v>43</c:v>
                </c:pt>
                <c:pt idx="75">
                  <c:v>55</c:v>
                </c:pt>
                <c:pt idx="76">
                  <c:v>51</c:v>
                </c:pt>
                <c:pt idx="77">
                  <c:v>59</c:v>
                </c:pt>
                <c:pt idx="78">
                  <c:v>52</c:v>
                </c:pt>
                <c:pt idx="79">
                  <c:v>58</c:v>
                </c:pt>
                <c:pt idx="80">
                  <c:v>41</c:v>
                </c:pt>
                <c:pt idx="81">
                  <c:v>45</c:v>
                </c:pt>
                <c:pt idx="82">
                  <c:v>60</c:v>
                </c:pt>
                <c:pt idx="83">
                  <c:v>52</c:v>
                </c:pt>
                <c:pt idx="84">
                  <c:v>42</c:v>
                </c:pt>
                <c:pt idx="85">
                  <c:v>67</c:v>
                </c:pt>
                <c:pt idx="86">
                  <c:v>68</c:v>
                </c:pt>
                <c:pt idx="87">
                  <c:v>46</c:v>
                </c:pt>
                <c:pt idx="88">
                  <c:v>54</c:v>
                </c:pt>
                <c:pt idx="89">
                  <c:v>58</c:v>
                </c:pt>
                <c:pt idx="90">
                  <c:v>48</c:v>
                </c:pt>
                <c:pt idx="91">
                  <c:v>57</c:v>
                </c:pt>
                <c:pt idx="92">
                  <c:v>52</c:v>
                </c:pt>
                <c:pt idx="93">
                  <c:v>54</c:v>
                </c:pt>
                <c:pt idx="94">
                  <c:v>45</c:v>
                </c:pt>
                <c:pt idx="95">
                  <c:v>53</c:v>
                </c:pt>
                <c:pt idx="96">
                  <c:v>62</c:v>
                </c:pt>
                <c:pt idx="97">
                  <c:v>52</c:v>
                </c:pt>
                <c:pt idx="98">
                  <c:v>43</c:v>
                </c:pt>
                <c:pt idx="99">
                  <c:v>53</c:v>
                </c:pt>
                <c:pt idx="100">
                  <c:v>42</c:v>
                </c:pt>
                <c:pt idx="101">
                  <c:v>59</c:v>
                </c:pt>
                <c:pt idx="102">
                  <c:v>63</c:v>
                </c:pt>
                <c:pt idx="103">
                  <c:v>42</c:v>
                </c:pt>
                <c:pt idx="104">
                  <c:v>50</c:v>
                </c:pt>
                <c:pt idx="105">
                  <c:v>68</c:v>
                </c:pt>
                <c:pt idx="106">
                  <c:v>69</c:v>
                </c:pt>
                <c:pt idx="107">
                  <c:v>45</c:v>
                </c:pt>
                <c:pt idx="108">
                  <c:v>50</c:v>
                </c:pt>
                <c:pt idx="109">
                  <c:v>50</c:v>
                </c:pt>
                <c:pt idx="110">
                  <c:v>64</c:v>
                </c:pt>
                <c:pt idx="111">
                  <c:v>57</c:v>
                </c:pt>
                <c:pt idx="112">
                  <c:v>64</c:v>
                </c:pt>
                <c:pt idx="113">
                  <c:v>43</c:v>
                </c:pt>
                <c:pt idx="114">
                  <c:v>55</c:v>
                </c:pt>
                <c:pt idx="115">
                  <c:v>37</c:v>
                </c:pt>
                <c:pt idx="116">
                  <c:v>41</c:v>
                </c:pt>
                <c:pt idx="117">
                  <c:v>56</c:v>
                </c:pt>
                <c:pt idx="118">
                  <c:v>46</c:v>
                </c:pt>
                <c:pt idx="119">
                  <c:v>46</c:v>
                </c:pt>
                <c:pt idx="120">
                  <c:v>64</c:v>
                </c:pt>
                <c:pt idx="121">
                  <c:v>59</c:v>
                </c:pt>
                <c:pt idx="122">
                  <c:v>41</c:v>
                </c:pt>
                <c:pt idx="123">
                  <c:v>54</c:v>
                </c:pt>
                <c:pt idx="124">
                  <c:v>39</c:v>
                </c:pt>
                <c:pt idx="125">
                  <c:v>34</c:v>
                </c:pt>
                <c:pt idx="126">
                  <c:v>47</c:v>
                </c:pt>
                <c:pt idx="127">
                  <c:v>67</c:v>
                </c:pt>
                <c:pt idx="128">
                  <c:v>52</c:v>
                </c:pt>
                <c:pt idx="129">
                  <c:v>74</c:v>
                </c:pt>
                <c:pt idx="130">
                  <c:v>54</c:v>
                </c:pt>
                <c:pt idx="131">
                  <c:v>49</c:v>
                </c:pt>
                <c:pt idx="132">
                  <c:v>42</c:v>
                </c:pt>
                <c:pt idx="133">
                  <c:v>41</c:v>
                </c:pt>
                <c:pt idx="134">
                  <c:v>41</c:v>
                </c:pt>
                <c:pt idx="135">
                  <c:v>49</c:v>
                </c:pt>
                <c:pt idx="136">
                  <c:v>60</c:v>
                </c:pt>
                <c:pt idx="137">
                  <c:v>62</c:v>
                </c:pt>
                <c:pt idx="138">
                  <c:v>57</c:v>
                </c:pt>
                <c:pt idx="139">
                  <c:v>64</c:v>
                </c:pt>
                <c:pt idx="140">
                  <c:v>51</c:v>
                </c:pt>
                <c:pt idx="141">
                  <c:v>43</c:v>
                </c:pt>
                <c:pt idx="142">
                  <c:v>42</c:v>
                </c:pt>
                <c:pt idx="143">
                  <c:v>67</c:v>
                </c:pt>
                <c:pt idx="144">
                  <c:v>76</c:v>
                </c:pt>
                <c:pt idx="145">
                  <c:v>70</c:v>
                </c:pt>
                <c:pt idx="146">
                  <c:v>44</c:v>
                </c:pt>
                <c:pt idx="147">
                  <c:v>60</c:v>
                </c:pt>
                <c:pt idx="148">
                  <c:v>44</c:v>
                </c:pt>
                <c:pt idx="149">
                  <c:v>42</c:v>
                </c:pt>
                <c:pt idx="150">
                  <c:v>66</c:v>
                </c:pt>
                <c:pt idx="151">
                  <c:v>71</c:v>
                </c:pt>
                <c:pt idx="152">
                  <c:v>64</c:v>
                </c:pt>
                <c:pt idx="153">
                  <c:v>66</c:v>
                </c:pt>
                <c:pt idx="154">
                  <c:v>39</c:v>
                </c:pt>
                <c:pt idx="155">
                  <c:v>58</c:v>
                </c:pt>
                <c:pt idx="156">
                  <c:v>47</c:v>
                </c:pt>
                <c:pt idx="157">
                  <c:v>35</c:v>
                </c:pt>
                <c:pt idx="158">
                  <c:v>58</c:v>
                </c:pt>
                <c:pt idx="159">
                  <c:v>56</c:v>
                </c:pt>
                <c:pt idx="160">
                  <c:v>56</c:v>
                </c:pt>
                <c:pt idx="161">
                  <c:v>55</c:v>
                </c:pt>
                <c:pt idx="162">
                  <c:v>41</c:v>
                </c:pt>
                <c:pt idx="163">
                  <c:v>38</c:v>
                </c:pt>
                <c:pt idx="164">
                  <c:v>38</c:v>
                </c:pt>
                <c:pt idx="165">
                  <c:v>67</c:v>
                </c:pt>
                <c:pt idx="166">
                  <c:v>67</c:v>
                </c:pt>
                <c:pt idx="167">
                  <c:v>62</c:v>
                </c:pt>
                <c:pt idx="168">
                  <c:v>63</c:v>
                </c:pt>
                <c:pt idx="169">
                  <c:v>53</c:v>
                </c:pt>
                <c:pt idx="170">
                  <c:v>56</c:v>
                </c:pt>
                <c:pt idx="171">
                  <c:v>48</c:v>
                </c:pt>
                <c:pt idx="172">
                  <c:v>58</c:v>
                </c:pt>
                <c:pt idx="173">
                  <c:v>58</c:v>
                </c:pt>
                <c:pt idx="174">
                  <c:v>60</c:v>
                </c:pt>
                <c:pt idx="175">
                  <c:v>40</c:v>
                </c:pt>
                <c:pt idx="176">
                  <c:v>60</c:v>
                </c:pt>
                <c:pt idx="177">
                  <c:v>64</c:v>
                </c:pt>
                <c:pt idx="178">
                  <c:v>43</c:v>
                </c:pt>
                <c:pt idx="179">
                  <c:v>57</c:v>
                </c:pt>
                <c:pt idx="180">
                  <c:v>55</c:v>
                </c:pt>
                <c:pt idx="181">
                  <c:v>65</c:v>
                </c:pt>
                <c:pt idx="182">
                  <c:v>61</c:v>
                </c:pt>
                <c:pt idx="183">
                  <c:v>58</c:v>
                </c:pt>
                <c:pt idx="184">
                  <c:v>50</c:v>
                </c:pt>
                <c:pt idx="185">
                  <c:v>44</c:v>
                </c:pt>
                <c:pt idx="186">
                  <c:v>60</c:v>
                </c:pt>
                <c:pt idx="187">
                  <c:v>54</c:v>
                </c:pt>
                <c:pt idx="188">
                  <c:v>50</c:v>
                </c:pt>
                <c:pt idx="189">
                  <c:v>41</c:v>
                </c:pt>
                <c:pt idx="190">
                  <c:v>51</c:v>
                </c:pt>
                <c:pt idx="191">
                  <c:v>58</c:v>
                </c:pt>
                <c:pt idx="192">
                  <c:v>54</c:v>
                </c:pt>
                <c:pt idx="193">
                  <c:v>60</c:v>
                </c:pt>
                <c:pt idx="194">
                  <c:v>60</c:v>
                </c:pt>
                <c:pt idx="195">
                  <c:v>59</c:v>
                </c:pt>
                <c:pt idx="196">
                  <c:v>46</c:v>
                </c:pt>
                <c:pt idx="197">
                  <c:v>67</c:v>
                </c:pt>
                <c:pt idx="198">
                  <c:v>62</c:v>
                </c:pt>
                <c:pt idx="199">
                  <c:v>65</c:v>
                </c:pt>
                <c:pt idx="200">
                  <c:v>44</c:v>
                </c:pt>
                <c:pt idx="201">
                  <c:v>60</c:v>
                </c:pt>
                <c:pt idx="202">
                  <c:v>58</c:v>
                </c:pt>
                <c:pt idx="203">
                  <c:v>68</c:v>
                </c:pt>
                <c:pt idx="204">
                  <c:v>62</c:v>
                </c:pt>
                <c:pt idx="205">
                  <c:v>52</c:v>
                </c:pt>
                <c:pt idx="206">
                  <c:v>59</c:v>
                </c:pt>
                <c:pt idx="207">
                  <c:v>60</c:v>
                </c:pt>
                <c:pt idx="208">
                  <c:v>49</c:v>
                </c:pt>
                <c:pt idx="209">
                  <c:v>59</c:v>
                </c:pt>
                <c:pt idx="210">
                  <c:v>57</c:v>
                </c:pt>
                <c:pt idx="211">
                  <c:v>61</c:v>
                </c:pt>
                <c:pt idx="212">
                  <c:v>39</c:v>
                </c:pt>
                <c:pt idx="213">
                  <c:v>61</c:v>
                </c:pt>
                <c:pt idx="214">
                  <c:v>56</c:v>
                </c:pt>
                <c:pt idx="215">
                  <c:v>43</c:v>
                </c:pt>
                <c:pt idx="216">
                  <c:v>62</c:v>
                </c:pt>
                <c:pt idx="217">
                  <c:v>63</c:v>
                </c:pt>
                <c:pt idx="218">
                  <c:v>65</c:v>
                </c:pt>
                <c:pt idx="219">
                  <c:v>48</c:v>
                </c:pt>
                <c:pt idx="220">
                  <c:v>63</c:v>
                </c:pt>
                <c:pt idx="221">
                  <c:v>55</c:v>
                </c:pt>
                <c:pt idx="222">
                  <c:v>65</c:v>
                </c:pt>
                <c:pt idx="223">
                  <c:v>56</c:v>
                </c:pt>
                <c:pt idx="224">
                  <c:v>54</c:v>
                </c:pt>
                <c:pt idx="225">
                  <c:v>70</c:v>
                </c:pt>
                <c:pt idx="226">
                  <c:v>62</c:v>
                </c:pt>
                <c:pt idx="227">
                  <c:v>35</c:v>
                </c:pt>
                <c:pt idx="228">
                  <c:v>59</c:v>
                </c:pt>
                <c:pt idx="229">
                  <c:v>64</c:v>
                </c:pt>
                <c:pt idx="230">
                  <c:v>47</c:v>
                </c:pt>
                <c:pt idx="231">
                  <c:v>57</c:v>
                </c:pt>
                <c:pt idx="232">
                  <c:v>55</c:v>
                </c:pt>
                <c:pt idx="233">
                  <c:v>64</c:v>
                </c:pt>
                <c:pt idx="234">
                  <c:v>70</c:v>
                </c:pt>
                <c:pt idx="235">
                  <c:v>51</c:v>
                </c:pt>
                <c:pt idx="236">
                  <c:v>58</c:v>
                </c:pt>
                <c:pt idx="237">
                  <c:v>60</c:v>
                </c:pt>
                <c:pt idx="238">
                  <c:v>77</c:v>
                </c:pt>
                <c:pt idx="239">
                  <c:v>35</c:v>
                </c:pt>
                <c:pt idx="240">
                  <c:v>70</c:v>
                </c:pt>
                <c:pt idx="241">
                  <c:v>59</c:v>
                </c:pt>
                <c:pt idx="242">
                  <c:v>64</c:v>
                </c:pt>
                <c:pt idx="243">
                  <c:v>57</c:v>
                </c:pt>
                <c:pt idx="244">
                  <c:v>56</c:v>
                </c:pt>
                <c:pt idx="245">
                  <c:v>48</c:v>
                </c:pt>
                <c:pt idx="246">
                  <c:v>56</c:v>
                </c:pt>
                <c:pt idx="247">
                  <c:v>66</c:v>
                </c:pt>
                <c:pt idx="248">
                  <c:v>54</c:v>
                </c:pt>
                <c:pt idx="249">
                  <c:v>69</c:v>
                </c:pt>
                <c:pt idx="250">
                  <c:v>51</c:v>
                </c:pt>
                <c:pt idx="251">
                  <c:v>43</c:v>
                </c:pt>
                <c:pt idx="252">
                  <c:v>62</c:v>
                </c:pt>
                <c:pt idx="253">
                  <c:v>67</c:v>
                </c:pt>
                <c:pt idx="254">
                  <c:v>59</c:v>
                </c:pt>
                <c:pt idx="255">
                  <c:v>45</c:v>
                </c:pt>
                <c:pt idx="256">
                  <c:v>58</c:v>
                </c:pt>
                <c:pt idx="257">
                  <c:v>50</c:v>
                </c:pt>
                <c:pt idx="258">
                  <c:v>62</c:v>
                </c:pt>
                <c:pt idx="259">
                  <c:v>38</c:v>
                </c:pt>
                <c:pt idx="260">
                  <c:v>66</c:v>
                </c:pt>
                <c:pt idx="261">
                  <c:v>52</c:v>
                </c:pt>
                <c:pt idx="262">
                  <c:v>53</c:v>
                </c:pt>
                <c:pt idx="263">
                  <c:v>63</c:v>
                </c:pt>
                <c:pt idx="264">
                  <c:v>54</c:v>
                </c:pt>
                <c:pt idx="265">
                  <c:v>66</c:v>
                </c:pt>
                <c:pt idx="266">
                  <c:v>55</c:v>
                </c:pt>
                <c:pt idx="267">
                  <c:v>49</c:v>
                </c:pt>
                <c:pt idx="268">
                  <c:v>54</c:v>
                </c:pt>
                <c:pt idx="269">
                  <c:v>56</c:v>
                </c:pt>
                <c:pt idx="270">
                  <c:v>46</c:v>
                </c:pt>
                <c:pt idx="271">
                  <c:v>61</c:v>
                </c:pt>
                <c:pt idx="272">
                  <c:v>67</c:v>
                </c:pt>
                <c:pt idx="273">
                  <c:v>58</c:v>
                </c:pt>
                <c:pt idx="274">
                  <c:v>47</c:v>
                </c:pt>
                <c:pt idx="275">
                  <c:v>52</c:v>
                </c:pt>
                <c:pt idx="276">
                  <c:v>58</c:v>
                </c:pt>
                <c:pt idx="277">
                  <c:v>57</c:v>
                </c:pt>
                <c:pt idx="278">
                  <c:v>58</c:v>
                </c:pt>
                <c:pt idx="279">
                  <c:v>61</c:v>
                </c:pt>
                <c:pt idx="280">
                  <c:v>42</c:v>
                </c:pt>
                <c:pt idx="281">
                  <c:v>52</c:v>
                </c:pt>
                <c:pt idx="282">
                  <c:v>59</c:v>
                </c:pt>
                <c:pt idx="283">
                  <c:v>40</c:v>
                </c:pt>
                <c:pt idx="284">
                  <c:v>61</c:v>
                </c:pt>
                <c:pt idx="285">
                  <c:v>46</c:v>
                </c:pt>
                <c:pt idx="286">
                  <c:v>59</c:v>
                </c:pt>
                <c:pt idx="287">
                  <c:v>57</c:v>
                </c:pt>
                <c:pt idx="288">
                  <c:v>57</c:v>
                </c:pt>
                <c:pt idx="289">
                  <c:v>55</c:v>
                </c:pt>
                <c:pt idx="290">
                  <c:v>61</c:v>
                </c:pt>
                <c:pt idx="291">
                  <c:v>58</c:v>
                </c:pt>
                <c:pt idx="292">
                  <c:v>58</c:v>
                </c:pt>
                <c:pt idx="293">
                  <c:v>67</c:v>
                </c:pt>
                <c:pt idx="294">
                  <c:v>44</c:v>
                </c:pt>
                <c:pt idx="295">
                  <c:v>63</c:v>
                </c:pt>
                <c:pt idx="296">
                  <c:v>63</c:v>
                </c:pt>
                <c:pt idx="297">
                  <c:v>59</c:v>
                </c:pt>
                <c:pt idx="298">
                  <c:v>57</c:v>
                </c:pt>
                <c:pt idx="299">
                  <c:v>45</c:v>
                </c:pt>
                <c:pt idx="300">
                  <c:v>68</c:v>
                </c:pt>
                <c:pt idx="301">
                  <c:v>57</c:v>
                </c:pt>
                <c:pt idx="302">
                  <c:v>57</c:v>
                </c:pt>
              </c:numCache>
            </c:numRef>
          </c:xVal>
          <c:yVal>
            <c:numRef>
              <c:f>regression!$AA$27:$AA$329</c:f>
              <c:numCache>
                <c:formatCode>General</c:formatCode>
                <c:ptCount val="303"/>
                <c:pt idx="0">
                  <c:v>258.56649209594468</c:v>
                </c:pt>
                <c:pt idx="1">
                  <c:v>226.66273059985517</c:v>
                </c:pt>
                <c:pt idx="2">
                  <c:v>231.10140360282367</c:v>
                </c:pt>
                <c:pt idx="3">
                  <c:v>245.71150271275914</c:v>
                </c:pt>
                <c:pt idx="4">
                  <c:v>246.82117096350126</c:v>
                </c:pt>
                <c:pt idx="5">
                  <c:v>250.89102026589381</c:v>
                </c:pt>
                <c:pt idx="6">
                  <c:v>249.7813520151517</c:v>
                </c:pt>
                <c:pt idx="7">
                  <c:v>232.39548370385373</c:v>
                </c:pt>
                <c:pt idx="8">
                  <c:v>251.85443789601135</c:v>
                </c:pt>
                <c:pt idx="9">
                  <c:v>252.92594491709011</c:v>
                </c:pt>
                <c:pt idx="10">
                  <c:v>247.56201551366746</c:v>
                </c:pt>
                <c:pt idx="11">
                  <c:v>238.86908135801849</c:v>
                </c:pt>
                <c:pt idx="12">
                  <c:v>239.97874960876061</c:v>
                </c:pt>
                <c:pt idx="13">
                  <c:v>252.55392406749979</c:v>
                </c:pt>
                <c:pt idx="14">
                  <c:v>254.03561316783222</c:v>
                </c:pt>
                <c:pt idx="15">
                  <c:v>239.05349320830643</c:v>
                </c:pt>
                <c:pt idx="16">
                  <c:v>247.93083921424338</c:v>
                </c:pt>
                <c:pt idx="17">
                  <c:v>262.91295917376914</c:v>
                </c:pt>
                <c:pt idx="18">
                  <c:v>237.39058940670046</c:v>
                </c:pt>
                <c:pt idx="19">
                  <c:v>264.20703927479923</c:v>
                </c:pt>
                <c:pt idx="20">
                  <c:v>252.09289444177992</c:v>
                </c:pt>
                <c:pt idx="21">
                  <c:v>234.43040835505002</c:v>
                </c:pt>
                <c:pt idx="22">
                  <c:v>234.24599650476205</c:v>
                </c:pt>
                <c:pt idx="23">
                  <c:v>257.36461792005855</c:v>
                </c:pt>
                <c:pt idx="24">
                  <c:v>232.02666000327778</c:v>
                </c:pt>
                <c:pt idx="25">
                  <c:v>270.49622507867605</c:v>
                </c:pt>
                <c:pt idx="26">
                  <c:v>255.14528141857434</c:v>
                </c:pt>
                <c:pt idx="27">
                  <c:v>238.12823680785226</c:v>
                </c:pt>
                <c:pt idx="28">
                  <c:v>259.76836627183076</c:v>
                </c:pt>
                <c:pt idx="29">
                  <c:v>244.41742261172908</c:v>
                </c:pt>
                <c:pt idx="30">
                  <c:v>226.01409197483295</c:v>
                </c:pt>
                <c:pt idx="31">
                  <c:v>255.6985169694382</c:v>
                </c:pt>
                <c:pt idx="32">
                  <c:v>234.43040835505002</c:v>
                </c:pt>
                <c:pt idx="33">
                  <c:v>244.50962853687304</c:v>
                </c:pt>
                <c:pt idx="34">
                  <c:v>241.18062378464668</c:v>
                </c:pt>
                <c:pt idx="35">
                  <c:v>239.09165443796979</c:v>
                </c:pt>
                <c:pt idx="36">
                  <c:v>246.54455318806933</c:v>
                </c:pt>
                <c:pt idx="37">
                  <c:v>249.59694016486375</c:v>
                </c:pt>
                <c:pt idx="38">
                  <c:v>262.82075324862518</c:v>
                </c:pt>
                <c:pt idx="39">
                  <c:v>263.83821557422334</c:v>
                </c:pt>
                <c:pt idx="40">
                  <c:v>244.23301076144111</c:v>
                </c:pt>
                <c:pt idx="41">
                  <c:v>238.86908135801849</c:v>
                </c:pt>
                <c:pt idx="42">
                  <c:v>230.24927251268178</c:v>
                </c:pt>
                <c:pt idx="43">
                  <c:v>244.41742261172908</c:v>
                </c:pt>
                <c:pt idx="44">
                  <c:v>230.91699175253567</c:v>
                </c:pt>
                <c:pt idx="45">
                  <c:v>241.27282970979067</c:v>
                </c:pt>
                <c:pt idx="46">
                  <c:v>236.46533300624628</c:v>
                </c:pt>
                <c:pt idx="47">
                  <c:v>239.38735282823339</c:v>
                </c:pt>
                <c:pt idx="48">
                  <c:v>244.0104376814898</c:v>
                </c:pt>
                <c:pt idx="49">
                  <c:v>246.0453623326861</c:v>
                </c:pt>
                <c:pt idx="50">
                  <c:v>242.19808611024484</c:v>
                </c:pt>
                <c:pt idx="51">
                  <c:v>256.80818522018029</c:v>
                </c:pt>
                <c:pt idx="52">
                  <c:v>254.40443686840814</c:v>
                </c:pt>
                <c:pt idx="53">
                  <c:v>229.95357412241819</c:v>
                </c:pt>
                <c:pt idx="54">
                  <c:v>256.53156744474836</c:v>
                </c:pt>
                <c:pt idx="55">
                  <c:v>244.12172422146546</c:v>
                </c:pt>
                <c:pt idx="56">
                  <c:v>237.24114163706145</c:v>
                </c:pt>
                <c:pt idx="57">
                  <c:v>232.48768962899771</c:v>
                </c:pt>
                <c:pt idx="58">
                  <c:v>220.89181626619327</c:v>
                </c:pt>
                <c:pt idx="59">
                  <c:v>248.44911068445828</c:v>
                </c:pt>
                <c:pt idx="60">
                  <c:v>260.32160182269462</c:v>
                </c:pt>
                <c:pt idx="61">
                  <c:v>241.05025662983937</c:v>
                </c:pt>
                <c:pt idx="62">
                  <c:v>240.86584477955142</c:v>
                </c:pt>
                <c:pt idx="63">
                  <c:v>232.1188659284218</c:v>
                </c:pt>
                <c:pt idx="64">
                  <c:v>252.00068851663593</c:v>
                </c:pt>
                <c:pt idx="65">
                  <c:v>226.07133381932795</c:v>
                </c:pt>
                <c:pt idx="66">
                  <c:v>236.093312156656</c:v>
                </c:pt>
                <c:pt idx="67">
                  <c:v>235.54007660579214</c:v>
                </c:pt>
                <c:pt idx="68">
                  <c:v>232.39548370385373</c:v>
                </c:pt>
                <c:pt idx="69">
                  <c:v>253.18348207769037</c:v>
                </c:pt>
                <c:pt idx="70">
                  <c:v>243.49216621127491</c:v>
                </c:pt>
                <c:pt idx="71">
                  <c:v>234.87235736593823</c:v>
                </c:pt>
                <c:pt idx="72">
                  <c:v>217.78538459391822</c:v>
                </c:pt>
                <c:pt idx="73">
                  <c:v>244.23301076144111</c:v>
                </c:pt>
                <c:pt idx="74">
                  <c:v>231.69280038335086</c:v>
                </c:pt>
                <c:pt idx="75">
                  <c:v>247.65422143881145</c:v>
                </c:pt>
                <c:pt idx="76">
                  <c:v>241.18062378464668</c:v>
                </c:pt>
                <c:pt idx="77">
                  <c:v>253.11035676737805</c:v>
                </c:pt>
                <c:pt idx="78">
                  <c:v>242.90076943074769</c:v>
                </c:pt>
                <c:pt idx="79">
                  <c:v>244.87845223744895</c:v>
                </c:pt>
                <c:pt idx="80">
                  <c:v>227.43853923067036</c:v>
                </c:pt>
                <c:pt idx="81">
                  <c:v>235.13309167555286</c:v>
                </c:pt>
                <c:pt idx="82">
                  <c:v>246.48731134357431</c:v>
                </c:pt>
                <c:pt idx="83">
                  <c:v>247.78458859361876</c:v>
                </c:pt>
                <c:pt idx="84">
                  <c:v>226.51328283021618</c:v>
                </c:pt>
                <c:pt idx="85">
                  <c:v>256.90039114532431</c:v>
                </c:pt>
                <c:pt idx="86">
                  <c:v>258.62053679142531</c:v>
                </c:pt>
                <c:pt idx="87">
                  <c:v>230.74846336806502</c:v>
                </c:pt>
                <c:pt idx="88">
                  <c:v>241.45724156007861</c:v>
                </c:pt>
                <c:pt idx="89">
                  <c:v>243.86098991185082</c:v>
                </c:pt>
                <c:pt idx="90">
                  <c:v>237.64812656730072</c:v>
                </c:pt>
                <c:pt idx="91">
                  <c:v>249.2630805449368</c:v>
                </c:pt>
                <c:pt idx="92">
                  <c:v>244.93569408194398</c:v>
                </c:pt>
                <c:pt idx="93">
                  <c:v>245.93407579271044</c:v>
                </c:pt>
                <c:pt idx="94">
                  <c:v>231.87721223363883</c:v>
                </c:pt>
                <c:pt idx="95">
                  <c:v>246.85933219316462</c:v>
                </c:pt>
                <c:pt idx="96">
                  <c:v>256.4393615196044</c:v>
                </c:pt>
                <c:pt idx="97">
                  <c:v>238.83092012835513</c:v>
                </c:pt>
                <c:pt idx="98">
                  <c:v>233.3207401043079</c:v>
                </c:pt>
                <c:pt idx="99">
                  <c:v>244.41742261172908</c:v>
                </c:pt>
                <c:pt idx="100">
                  <c:v>235.87393622571909</c:v>
                </c:pt>
                <c:pt idx="101">
                  <c:v>260.84307044192394</c:v>
                </c:pt>
                <c:pt idx="102">
                  <c:v>257.54902977034652</c:v>
                </c:pt>
                <c:pt idx="103">
                  <c:v>230.17614720236949</c:v>
                </c:pt>
                <c:pt idx="104">
                  <c:v>240.88492539438309</c:v>
                </c:pt>
                <c:pt idx="105">
                  <c:v>259.02752172166453</c:v>
                </c:pt>
                <c:pt idx="106">
                  <c:v>268.27688857719181</c:v>
                </c:pt>
                <c:pt idx="107">
                  <c:v>237.16801632674915</c:v>
                </c:pt>
                <c:pt idx="108">
                  <c:v>239.05349320830643</c:v>
                </c:pt>
                <c:pt idx="109">
                  <c:v>237.01856855711014</c:v>
                </c:pt>
                <c:pt idx="110">
                  <c:v>266.79839662587381</c:v>
                </c:pt>
                <c:pt idx="111">
                  <c:v>252.92594491709011</c:v>
                </c:pt>
                <c:pt idx="112">
                  <c:v>258.65869802108864</c:v>
                </c:pt>
                <c:pt idx="113">
                  <c:v>229.25089080191532</c:v>
                </c:pt>
                <c:pt idx="114">
                  <c:v>246.63675911321332</c:v>
                </c:pt>
                <c:pt idx="115">
                  <c:v>224.62780594865887</c:v>
                </c:pt>
                <c:pt idx="116">
                  <c:v>231.10140360282367</c:v>
                </c:pt>
                <c:pt idx="117">
                  <c:v>245.71150271275914</c:v>
                </c:pt>
                <c:pt idx="118">
                  <c:v>231.56243322854354</c:v>
                </c:pt>
                <c:pt idx="119">
                  <c:v>238.27768457749127</c:v>
                </c:pt>
                <c:pt idx="120">
                  <c:v>256.62377336989238</c:v>
                </c:pt>
                <c:pt idx="121">
                  <c:v>252.7033718371388</c:v>
                </c:pt>
                <c:pt idx="122">
                  <c:v>227.43853923067036</c:v>
                </c:pt>
                <c:pt idx="123">
                  <c:v>241.05025662983937</c:v>
                </c:pt>
                <c:pt idx="124">
                  <c:v>221.55633835703279</c:v>
                </c:pt>
                <c:pt idx="125">
                  <c:v>220.89181626619327</c:v>
                </c:pt>
                <c:pt idx="126">
                  <c:v>234.09654873512306</c:v>
                </c:pt>
                <c:pt idx="127">
                  <c:v>264.42961235475053</c:v>
                </c:pt>
                <c:pt idx="128">
                  <c:v>244.52870915170473</c:v>
                </c:pt>
                <c:pt idx="129">
                  <c:v>265.68553122611723</c:v>
                </c:pt>
                <c:pt idx="130">
                  <c:v>251.63186481606004</c:v>
                </c:pt>
                <c:pt idx="131">
                  <c:v>240.7927194692391</c:v>
                </c:pt>
                <c:pt idx="132">
                  <c:v>230.17614720236949</c:v>
                </c:pt>
                <c:pt idx="133">
                  <c:v>227.03155430043108</c:v>
                </c:pt>
                <c:pt idx="134">
                  <c:v>230.28743374234514</c:v>
                </c:pt>
                <c:pt idx="135">
                  <c:v>239.97874960876061</c:v>
                </c:pt>
                <c:pt idx="136">
                  <c:v>250.15017571572761</c:v>
                </c:pt>
                <c:pt idx="137">
                  <c:v>253.99745193816887</c:v>
                </c:pt>
                <c:pt idx="138">
                  <c:v>244.78624631230497</c:v>
                </c:pt>
                <c:pt idx="139">
                  <c:v>256.2167884396531</c:v>
                </c:pt>
                <c:pt idx="140">
                  <c:v>240.16316145904855</c:v>
                </c:pt>
                <c:pt idx="141">
                  <c:v>230.26835312751348</c:v>
                </c:pt>
                <c:pt idx="142">
                  <c:v>230.17614720236949</c:v>
                </c:pt>
                <c:pt idx="143">
                  <c:v>255.06895895924765</c:v>
                </c:pt>
                <c:pt idx="144">
                  <c:v>271.97471702999405</c:v>
                </c:pt>
                <c:pt idx="145">
                  <c:v>268.57258696745538</c:v>
                </c:pt>
                <c:pt idx="146">
                  <c:v>231.98849877361448</c:v>
                </c:pt>
                <c:pt idx="147">
                  <c:v>256.25494966931643</c:v>
                </c:pt>
                <c:pt idx="148">
                  <c:v>232.39548370385373</c:v>
                </c:pt>
                <c:pt idx="149">
                  <c:v>232.21107185356578</c:v>
                </c:pt>
                <c:pt idx="150">
                  <c:v>264.94788382496546</c:v>
                </c:pt>
                <c:pt idx="151">
                  <c:v>260.72858675293389</c:v>
                </c:pt>
                <c:pt idx="152">
                  <c:v>264.76347197467749</c:v>
                </c:pt>
                <c:pt idx="153">
                  <c:v>262.09898931329064</c:v>
                </c:pt>
                <c:pt idx="154">
                  <c:v>230.51000682229642</c:v>
                </c:pt>
                <c:pt idx="155">
                  <c:v>249.96576386543967</c:v>
                </c:pt>
                <c:pt idx="156">
                  <c:v>237.75941310727637</c:v>
                </c:pt>
                <c:pt idx="157">
                  <c:v>222.81545437741389</c:v>
                </c:pt>
                <c:pt idx="158">
                  <c:v>248.94830153984151</c:v>
                </c:pt>
                <c:pt idx="159">
                  <c:v>247.74642736395543</c:v>
                </c:pt>
                <c:pt idx="160">
                  <c:v>245.71150271275914</c:v>
                </c:pt>
                <c:pt idx="161">
                  <c:v>247.04374404345256</c:v>
                </c:pt>
                <c:pt idx="162">
                  <c:v>229.06647895162737</c:v>
                </c:pt>
                <c:pt idx="163">
                  <c:v>229.4003385715543</c:v>
                </c:pt>
                <c:pt idx="164">
                  <c:v>229.4003385715543</c:v>
                </c:pt>
                <c:pt idx="165">
                  <c:v>266.05755207570758</c:v>
                </c:pt>
                <c:pt idx="166">
                  <c:v>257.91785347092241</c:v>
                </c:pt>
                <c:pt idx="167">
                  <c:v>256.4393615196044</c:v>
                </c:pt>
                <c:pt idx="168">
                  <c:v>255.51410511915026</c:v>
                </c:pt>
                <c:pt idx="169">
                  <c:v>246.45234726292534</c:v>
                </c:pt>
                <c:pt idx="170">
                  <c:v>247.74642736395543</c:v>
                </c:pt>
                <c:pt idx="171">
                  <c:v>234.79923205562591</c:v>
                </c:pt>
                <c:pt idx="172">
                  <c:v>247.93083921424338</c:v>
                </c:pt>
                <c:pt idx="173">
                  <c:v>250.37274879567892</c:v>
                </c:pt>
                <c:pt idx="174">
                  <c:v>252.1851003669239</c:v>
                </c:pt>
                <c:pt idx="175">
                  <c:v>225.92188604968894</c:v>
                </c:pt>
                <c:pt idx="176">
                  <c:v>249.53969832036873</c:v>
                </c:pt>
                <c:pt idx="177">
                  <c:v>258.65869802108864</c:v>
                </c:pt>
                <c:pt idx="178">
                  <c:v>231.28581545311161</c:v>
                </c:pt>
                <c:pt idx="179">
                  <c:v>252.92594491709011</c:v>
                </c:pt>
                <c:pt idx="180">
                  <c:v>247.04374404345256</c:v>
                </c:pt>
                <c:pt idx="181">
                  <c:v>261.80329092302702</c:v>
                </c:pt>
                <c:pt idx="182">
                  <c:v>253.29476861766602</c:v>
                </c:pt>
                <c:pt idx="183">
                  <c:v>246.30289949328636</c:v>
                </c:pt>
                <c:pt idx="184">
                  <c:v>245.15826716189528</c:v>
                </c:pt>
                <c:pt idx="185">
                  <c:v>230.76754398289671</c:v>
                </c:pt>
                <c:pt idx="186">
                  <c:v>252.1851003669239</c:v>
                </c:pt>
                <c:pt idx="187">
                  <c:v>244.30613607175343</c:v>
                </c:pt>
                <c:pt idx="188">
                  <c:v>243.12334251069899</c:v>
                </c:pt>
                <c:pt idx="189">
                  <c:v>227.03155430043108</c:v>
                </c:pt>
                <c:pt idx="190">
                  <c:v>242.19808611024484</c:v>
                </c:pt>
                <c:pt idx="191">
                  <c:v>249.55877893520039</c:v>
                </c:pt>
                <c:pt idx="192">
                  <c:v>243.49216621127491</c:v>
                </c:pt>
                <c:pt idx="193">
                  <c:v>255.23748734371833</c:v>
                </c:pt>
                <c:pt idx="194">
                  <c:v>254.22002501812017</c:v>
                </c:pt>
                <c:pt idx="195">
                  <c:v>259.2151307209669</c:v>
                </c:pt>
                <c:pt idx="196">
                  <c:v>240.71959415892681</c:v>
                </c:pt>
                <c:pt idx="197">
                  <c:v>258.93531579652057</c:v>
                </c:pt>
                <c:pt idx="198">
                  <c:v>252.36951221721185</c:v>
                </c:pt>
                <c:pt idx="199">
                  <c:v>253.66359231824191</c:v>
                </c:pt>
                <c:pt idx="200">
                  <c:v>230.36055905265744</c:v>
                </c:pt>
                <c:pt idx="201">
                  <c:v>251.16763804132574</c:v>
                </c:pt>
                <c:pt idx="202">
                  <c:v>254.03561316783222</c:v>
                </c:pt>
                <c:pt idx="203">
                  <c:v>271.23706962884228</c:v>
                </c:pt>
                <c:pt idx="204">
                  <c:v>260.50921082199699</c:v>
                </c:pt>
                <c:pt idx="205">
                  <c:v>242.90076943074769</c:v>
                </c:pt>
                <c:pt idx="206">
                  <c:v>247.0055828137892</c:v>
                </c:pt>
                <c:pt idx="207">
                  <c:v>256.25494966931643</c:v>
                </c:pt>
                <c:pt idx="208">
                  <c:v>237.94382495756432</c:v>
                </c:pt>
                <c:pt idx="209">
                  <c:v>253.11035676737805</c:v>
                </c:pt>
                <c:pt idx="210">
                  <c:v>248.44911068445828</c:v>
                </c:pt>
                <c:pt idx="211">
                  <c:v>251.25984396646973</c:v>
                </c:pt>
                <c:pt idx="212">
                  <c:v>226.44015751990386</c:v>
                </c:pt>
                <c:pt idx="213">
                  <c:v>256.34715559446045</c:v>
                </c:pt>
                <c:pt idx="214">
                  <c:v>246.72896503835727</c:v>
                </c:pt>
                <c:pt idx="215">
                  <c:v>233.72772503454715</c:v>
                </c:pt>
                <c:pt idx="216">
                  <c:v>254.40443686840814</c:v>
                </c:pt>
                <c:pt idx="217">
                  <c:v>255.51410511915026</c:v>
                </c:pt>
                <c:pt idx="218">
                  <c:v>258.7509039462326</c:v>
                </c:pt>
                <c:pt idx="219">
                  <c:v>238.86908135801849</c:v>
                </c:pt>
                <c:pt idx="220">
                  <c:v>259.58395442154278</c:v>
                </c:pt>
                <c:pt idx="221">
                  <c:v>248.67168376440958</c:v>
                </c:pt>
                <c:pt idx="222">
                  <c:v>259.36138134159148</c:v>
                </c:pt>
                <c:pt idx="223">
                  <c:v>261.99089992232939</c:v>
                </c:pt>
                <c:pt idx="224">
                  <c:v>241.45724156007861</c:v>
                </c:pt>
                <c:pt idx="225">
                  <c:v>266.33416985113951</c:v>
                </c:pt>
                <c:pt idx="226">
                  <c:v>252.36951221721185</c:v>
                </c:pt>
                <c:pt idx="227">
                  <c:v>222.40846944717464</c:v>
                </c:pt>
                <c:pt idx="228">
                  <c:v>259.2151307209669</c:v>
                </c:pt>
                <c:pt idx="229">
                  <c:v>255.60631104429422</c:v>
                </c:pt>
                <c:pt idx="230">
                  <c:v>233.28257887464454</c:v>
                </c:pt>
                <c:pt idx="231">
                  <c:v>255.97833189388453</c:v>
                </c:pt>
                <c:pt idx="232">
                  <c:v>252.74153306680216</c:v>
                </c:pt>
                <c:pt idx="233">
                  <c:v>254.58884871869608</c:v>
                </c:pt>
                <c:pt idx="234">
                  <c:v>263.28178287434508</c:v>
                </c:pt>
                <c:pt idx="235">
                  <c:v>244.23301076144111</c:v>
                </c:pt>
                <c:pt idx="236">
                  <c:v>248.94830153984151</c:v>
                </c:pt>
                <c:pt idx="237">
                  <c:v>254.22002501812017</c:v>
                </c:pt>
                <c:pt idx="238">
                  <c:v>270.03199830394175</c:v>
                </c:pt>
                <c:pt idx="239">
                  <c:v>223.62942423789241</c:v>
                </c:pt>
                <c:pt idx="240">
                  <c:v>269.38655682793393</c:v>
                </c:pt>
                <c:pt idx="241">
                  <c:v>260.02910058144539</c:v>
                </c:pt>
                <c:pt idx="242">
                  <c:v>259.6761603466868</c:v>
                </c:pt>
                <c:pt idx="243">
                  <c:v>253.33292984732935</c:v>
                </c:pt>
                <c:pt idx="244">
                  <c:v>248.15341229419468</c:v>
                </c:pt>
                <c:pt idx="245">
                  <c:v>237.64812656730072</c:v>
                </c:pt>
                <c:pt idx="246">
                  <c:v>248.56039722443393</c:v>
                </c:pt>
                <c:pt idx="247">
                  <c:v>264.94788382496546</c:v>
                </c:pt>
                <c:pt idx="248">
                  <c:v>258.14362369988817</c:v>
                </c:pt>
                <c:pt idx="249">
                  <c:v>264.20703927479923</c:v>
                </c:pt>
                <c:pt idx="250">
                  <c:v>244.23301076144111</c:v>
                </c:pt>
                <c:pt idx="251">
                  <c:v>233.72772503454715</c:v>
                </c:pt>
                <c:pt idx="252">
                  <c:v>256.03237658936513</c:v>
                </c:pt>
                <c:pt idx="253">
                  <c:v>253.84800416852988</c:v>
                </c:pt>
                <c:pt idx="254">
                  <c:v>257.18020606977063</c:v>
                </c:pt>
                <c:pt idx="255">
                  <c:v>237.98198618722768</c:v>
                </c:pt>
                <c:pt idx="256">
                  <c:v>249.55877893520039</c:v>
                </c:pt>
                <c:pt idx="257">
                  <c:v>243.93731237117751</c:v>
                </c:pt>
                <c:pt idx="258">
                  <c:v>258.47428617080067</c:v>
                </c:pt>
                <c:pt idx="259">
                  <c:v>225.73747419940099</c:v>
                </c:pt>
                <c:pt idx="260">
                  <c:v>268.61074819711877</c:v>
                </c:pt>
                <c:pt idx="261">
                  <c:v>239.64488998883365</c:v>
                </c:pt>
                <c:pt idx="262">
                  <c:v>242.99297535589167</c:v>
                </c:pt>
                <c:pt idx="263">
                  <c:v>251.03727088651843</c:v>
                </c:pt>
                <c:pt idx="264">
                  <c:v>241.45724156007861</c:v>
                </c:pt>
                <c:pt idx="265">
                  <c:v>255.1802454992233</c:v>
                </c:pt>
                <c:pt idx="266">
                  <c:v>256.81138236919469</c:v>
                </c:pt>
                <c:pt idx="267">
                  <c:v>237.53684002732507</c:v>
                </c:pt>
                <c:pt idx="268">
                  <c:v>243.89915114151415</c:v>
                </c:pt>
                <c:pt idx="269">
                  <c:v>247.74642736395543</c:v>
                </c:pt>
                <c:pt idx="270">
                  <c:v>234.61482020533796</c:v>
                </c:pt>
                <c:pt idx="271">
                  <c:v>254.10873847814452</c:v>
                </c:pt>
                <c:pt idx="272">
                  <c:v>257.91785347092241</c:v>
                </c:pt>
                <c:pt idx="273">
                  <c:v>243.86098991185082</c:v>
                </c:pt>
                <c:pt idx="274">
                  <c:v>233.68956380488379</c:v>
                </c:pt>
                <c:pt idx="275">
                  <c:v>242.2902920353888</c:v>
                </c:pt>
                <c:pt idx="276">
                  <c:v>253.2216433073537</c:v>
                </c:pt>
                <c:pt idx="277">
                  <c:v>247.63514082397978</c:v>
                </c:pt>
                <c:pt idx="278">
                  <c:v>251.18671865615744</c:v>
                </c:pt>
                <c:pt idx="279">
                  <c:v>254.92270833862304</c:v>
                </c:pt>
                <c:pt idx="280">
                  <c:v>233.43202664428355</c:v>
                </c:pt>
                <c:pt idx="281">
                  <c:v>242.90076943074769</c:v>
                </c:pt>
                <c:pt idx="282">
                  <c:v>250.26146225570326</c:v>
                </c:pt>
                <c:pt idx="283">
                  <c:v>234.46856958471332</c:v>
                </c:pt>
                <c:pt idx="284">
                  <c:v>255.32969326886229</c:v>
                </c:pt>
                <c:pt idx="285">
                  <c:v>238.68466950773052</c:v>
                </c:pt>
                <c:pt idx="286">
                  <c:v>251.88940197666028</c:v>
                </c:pt>
                <c:pt idx="287">
                  <c:v>253.73991477756863</c:v>
                </c:pt>
                <c:pt idx="288">
                  <c:v>244.78624631230497</c:v>
                </c:pt>
                <c:pt idx="289">
                  <c:v>246.22977418297404</c:v>
                </c:pt>
                <c:pt idx="290">
                  <c:v>256.95763298981933</c:v>
                </c:pt>
                <c:pt idx="291">
                  <c:v>246.70988442352561</c:v>
                </c:pt>
                <c:pt idx="292">
                  <c:v>258.10546247022478</c:v>
                </c:pt>
                <c:pt idx="293">
                  <c:v>264.42961235475053</c:v>
                </c:pt>
                <c:pt idx="294">
                  <c:v>232.39548370385373</c:v>
                </c:pt>
                <c:pt idx="295">
                  <c:v>257.54902977034652</c:v>
                </c:pt>
                <c:pt idx="296">
                  <c:v>254.29315032843249</c:v>
                </c:pt>
                <c:pt idx="297">
                  <c:v>257.99417593024913</c:v>
                </c:pt>
                <c:pt idx="298">
                  <c:v>250.89102026589381</c:v>
                </c:pt>
                <c:pt idx="299">
                  <c:v>231.47022730339955</c:v>
                </c:pt>
                <c:pt idx="300">
                  <c:v>263.9113408845356</c:v>
                </c:pt>
                <c:pt idx="301">
                  <c:v>248.85609561469755</c:v>
                </c:pt>
                <c:pt idx="302">
                  <c:v>248.85609561469755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EC8-4152-92D3-C36B4902F9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0154560"/>
        <c:axId val="660045263"/>
      </c:scatterChart>
      <c:valAx>
        <c:axId val="8901545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age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60045263"/>
        <c:crosses val="autoZero"/>
        <c:crossBetween val="midCat"/>
      </c:valAx>
      <c:valAx>
        <c:axId val="660045263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chol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90154560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trtbps Line Fit 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chol</c:v>
          </c:tx>
          <c:spPr>
            <a:ln w="19050">
              <a:noFill/>
            </a:ln>
          </c:spPr>
          <c:xVal>
            <c:numRef>
              <c:f>regression!$W$2:$W$304</c:f>
              <c:numCache>
                <c:formatCode>General</c:formatCode>
                <c:ptCount val="303"/>
                <c:pt idx="0">
                  <c:v>145</c:v>
                </c:pt>
                <c:pt idx="1">
                  <c:v>130</c:v>
                </c:pt>
                <c:pt idx="2">
                  <c:v>130</c:v>
                </c:pt>
                <c:pt idx="3">
                  <c:v>120</c:v>
                </c:pt>
                <c:pt idx="4">
                  <c:v>120</c:v>
                </c:pt>
                <c:pt idx="5">
                  <c:v>140</c:v>
                </c:pt>
                <c:pt idx="6">
                  <c:v>140</c:v>
                </c:pt>
                <c:pt idx="7">
                  <c:v>120</c:v>
                </c:pt>
                <c:pt idx="8">
                  <c:v>172</c:v>
                </c:pt>
                <c:pt idx="9">
                  <c:v>150</c:v>
                </c:pt>
                <c:pt idx="10">
                  <c:v>140</c:v>
                </c:pt>
                <c:pt idx="11">
                  <c:v>130</c:v>
                </c:pt>
                <c:pt idx="12">
                  <c:v>130</c:v>
                </c:pt>
                <c:pt idx="13">
                  <c:v>110</c:v>
                </c:pt>
                <c:pt idx="14">
                  <c:v>150</c:v>
                </c:pt>
                <c:pt idx="15">
                  <c:v>120</c:v>
                </c:pt>
                <c:pt idx="16">
                  <c:v>120</c:v>
                </c:pt>
                <c:pt idx="17">
                  <c:v>150</c:v>
                </c:pt>
                <c:pt idx="18">
                  <c:v>150</c:v>
                </c:pt>
                <c:pt idx="19">
                  <c:v>140</c:v>
                </c:pt>
                <c:pt idx="20">
                  <c:v>135</c:v>
                </c:pt>
                <c:pt idx="21">
                  <c:v>130</c:v>
                </c:pt>
                <c:pt idx="22">
                  <c:v>140</c:v>
                </c:pt>
                <c:pt idx="23">
                  <c:v>150</c:v>
                </c:pt>
                <c:pt idx="24">
                  <c:v>140</c:v>
                </c:pt>
                <c:pt idx="25">
                  <c:v>160</c:v>
                </c:pt>
                <c:pt idx="26">
                  <c:v>150</c:v>
                </c:pt>
                <c:pt idx="27">
                  <c:v>110</c:v>
                </c:pt>
                <c:pt idx="28">
                  <c:v>140</c:v>
                </c:pt>
                <c:pt idx="29">
                  <c:v>130</c:v>
                </c:pt>
                <c:pt idx="30">
                  <c:v>105</c:v>
                </c:pt>
                <c:pt idx="31">
                  <c:v>120</c:v>
                </c:pt>
                <c:pt idx="32">
                  <c:v>130</c:v>
                </c:pt>
                <c:pt idx="33">
                  <c:v>125</c:v>
                </c:pt>
                <c:pt idx="34">
                  <c:v>125</c:v>
                </c:pt>
                <c:pt idx="35">
                  <c:v>142</c:v>
                </c:pt>
                <c:pt idx="36">
                  <c:v>135</c:v>
                </c:pt>
                <c:pt idx="37">
                  <c:v>150</c:v>
                </c:pt>
                <c:pt idx="38">
                  <c:v>155</c:v>
                </c:pt>
                <c:pt idx="39">
                  <c:v>160</c:v>
                </c:pt>
                <c:pt idx="40">
                  <c:v>140</c:v>
                </c:pt>
                <c:pt idx="41">
                  <c:v>130</c:v>
                </c:pt>
                <c:pt idx="42">
                  <c:v>104</c:v>
                </c:pt>
                <c:pt idx="43">
                  <c:v>130</c:v>
                </c:pt>
                <c:pt idx="44">
                  <c:v>140</c:v>
                </c:pt>
                <c:pt idx="45">
                  <c:v>120</c:v>
                </c:pt>
                <c:pt idx="46">
                  <c:v>140</c:v>
                </c:pt>
                <c:pt idx="47">
                  <c:v>138</c:v>
                </c:pt>
                <c:pt idx="48">
                  <c:v>128</c:v>
                </c:pt>
                <c:pt idx="49">
                  <c:v>138</c:v>
                </c:pt>
                <c:pt idx="50">
                  <c:v>130</c:v>
                </c:pt>
                <c:pt idx="51">
                  <c:v>120</c:v>
                </c:pt>
                <c:pt idx="52">
                  <c:v>130</c:v>
                </c:pt>
                <c:pt idx="53">
                  <c:v>108</c:v>
                </c:pt>
                <c:pt idx="54">
                  <c:v>135</c:v>
                </c:pt>
                <c:pt idx="55">
                  <c:v>134</c:v>
                </c:pt>
                <c:pt idx="56">
                  <c:v>122</c:v>
                </c:pt>
                <c:pt idx="57">
                  <c:v>115</c:v>
                </c:pt>
                <c:pt idx="58">
                  <c:v>118</c:v>
                </c:pt>
                <c:pt idx="59">
                  <c:v>128</c:v>
                </c:pt>
                <c:pt idx="60">
                  <c:v>110</c:v>
                </c:pt>
                <c:pt idx="61">
                  <c:v>108</c:v>
                </c:pt>
                <c:pt idx="62">
                  <c:v>118</c:v>
                </c:pt>
                <c:pt idx="63">
                  <c:v>135</c:v>
                </c:pt>
                <c:pt idx="64">
                  <c:v>140</c:v>
                </c:pt>
                <c:pt idx="65">
                  <c:v>138</c:v>
                </c:pt>
                <c:pt idx="66">
                  <c:v>100</c:v>
                </c:pt>
                <c:pt idx="67">
                  <c:v>130</c:v>
                </c:pt>
                <c:pt idx="68">
                  <c:v>120</c:v>
                </c:pt>
                <c:pt idx="69">
                  <c:v>124</c:v>
                </c:pt>
                <c:pt idx="70">
                  <c:v>120</c:v>
                </c:pt>
                <c:pt idx="71">
                  <c:v>94</c:v>
                </c:pt>
                <c:pt idx="72">
                  <c:v>130</c:v>
                </c:pt>
                <c:pt idx="73">
                  <c:v>140</c:v>
                </c:pt>
                <c:pt idx="74">
                  <c:v>122</c:v>
                </c:pt>
                <c:pt idx="75">
                  <c:v>135</c:v>
                </c:pt>
                <c:pt idx="76">
                  <c:v>125</c:v>
                </c:pt>
                <c:pt idx="77">
                  <c:v>140</c:v>
                </c:pt>
                <c:pt idx="78">
                  <c:v>128</c:v>
                </c:pt>
                <c:pt idx="79">
                  <c:v>105</c:v>
                </c:pt>
                <c:pt idx="80">
                  <c:v>112</c:v>
                </c:pt>
                <c:pt idx="81">
                  <c:v>128</c:v>
                </c:pt>
                <c:pt idx="82">
                  <c:v>102</c:v>
                </c:pt>
                <c:pt idx="83">
                  <c:v>152</c:v>
                </c:pt>
                <c:pt idx="84">
                  <c:v>102</c:v>
                </c:pt>
                <c:pt idx="85">
                  <c:v>115</c:v>
                </c:pt>
                <c:pt idx="86">
                  <c:v>118</c:v>
                </c:pt>
                <c:pt idx="87">
                  <c:v>101</c:v>
                </c:pt>
                <c:pt idx="88">
                  <c:v>110</c:v>
                </c:pt>
                <c:pt idx="89">
                  <c:v>100</c:v>
                </c:pt>
                <c:pt idx="90">
                  <c:v>124</c:v>
                </c:pt>
                <c:pt idx="91">
                  <c:v>132</c:v>
                </c:pt>
                <c:pt idx="92">
                  <c:v>138</c:v>
                </c:pt>
                <c:pt idx="93">
                  <c:v>132</c:v>
                </c:pt>
                <c:pt idx="94">
                  <c:v>112</c:v>
                </c:pt>
                <c:pt idx="95">
                  <c:v>142</c:v>
                </c:pt>
                <c:pt idx="96">
                  <c:v>140</c:v>
                </c:pt>
                <c:pt idx="97">
                  <c:v>108</c:v>
                </c:pt>
                <c:pt idx="98">
                  <c:v>130</c:v>
                </c:pt>
                <c:pt idx="99">
                  <c:v>130</c:v>
                </c:pt>
                <c:pt idx="100">
                  <c:v>148</c:v>
                </c:pt>
                <c:pt idx="101">
                  <c:v>178</c:v>
                </c:pt>
                <c:pt idx="102">
                  <c:v>140</c:v>
                </c:pt>
                <c:pt idx="103">
                  <c:v>120</c:v>
                </c:pt>
                <c:pt idx="104">
                  <c:v>129</c:v>
                </c:pt>
                <c:pt idx="105">
                  <c:v>120</c:v>
                </c:pt>
                <c:pt idx="106">
                  <c:v>160</c:v>
                </c:pt>
                <c:pt idx="107">
                  <c:v>138</c:v>
                </c:pt>
                <c:pt idx="108">
                  <c:v>120</c:v>
                </c:pt>
                <c:pt idx="109">
                  <c:v>110</c:v>
                </c:pt>
                <c:pt idx="110">
                  <c:v>180</c:v>
                </c:pt>
                <c:pt idx="111">
                  <c:v>150</c:v>
                </c:pt>
                <c:pt idx="112">
                  <c:v>140</c:v>
                </c:pt>
                <c:pt idx="113">
                  <c:v>110</c:v>
                </c:pt>
                <c:pt idx="114">
                  <c:v>130</c:v>
                </c:pt>
                <c:pt idx="115">
                  <c:v>120</c:v>
                </c:pt>
                <c:pt idx="116">
                  <c:v>130</c:v>
                </c:pt>
                <c:pt idx="117">
                  <c:v>120</c:v>
                </c:pt>
                <c:pt idx="118">
                  <c:v>105</c:v>
                </c:pt>
                <c:pt idx="119">
                  <c:v>138</c:v>
                </c:pt>
                <c:pt idx="120">
                  <c:v>130</c:v>
                </c:pt>
                <c:pt idx="121">
                  <c:v>138</c:v>
                </c:pt>
                <c:pt idx="122">
                  <c:v>112</c:v>
                </c:pt>
                <c:pt idx="123">
                  <c:v>108</c:v>
                </c:pt>
                <c:pt idx="124">
                  <c:v>94</c:v>
                </c:pt>
                <c:pt idx="125">
                  <c:v>118</c:v>
                </c:pt>
                <c:pt idx="126">
                  <c:v>112</c:v>
                </c:pt>
                <c:pt idx="127">
                  <c:v>152</c:v>
                </c:pt>
                <c:pt idx="128">
                  <c:v>136</c:v>
                </c:pt>
                <c:pt idx="129">
                  <c:v>120</c:v>
                </c:pt>
                <c:pt idx="130">
                  <c:v>160</c:v>
                </c:pt>
                <c:pt idx="131">
                  <c:v>134</c:v>
                </c:pt>
                <c:pt idx="132">
                  <c:v>120</c:v>
                </c:pt>
                <c:pt idx="133">
                  <c:v>110</c:v>
                </c:pt>
                <c:pt idx="134">
                  <c:v>126</c:v>
                </c:pt>
                <c:pt idx="135">
                  <c:v>130</c:v>
                </c:pt>
                <c:pt idx="136">
                  <c:v>120</c:v>
                </c:pt>
                <c:pt idx="137">
                  <c:v>128</c:v>
                </c:pt>
                <c:pt idx="138">
                  <c:v>110</c:v>
                </c:pt>
                <c:pt idx="139">
                  <c:v>128</c:v>
                </c:pt>
                <c:pt idx="140">
                  <c:v>120</c:v>
                </c:pt>
                <c:pt idx="141">
                  <c:v>115</c:v>
                </c:pt>
                <c:pt idx="142">
                  <c:v>120</c:v>
                </c:pt>
                <c:pt idx="143">
                  <c:v>106</c:v>
                </c:pt>
                <c:pt idx="144">
                  <c:v>140</c:v>
                </c:pt>
                <c:pt idx="145">
                  <c:v>156</c:v>
                </c:pt>
                <c:pt idx="146">
                  <c:v>118</c:v>
                </c:pt>
                <c:pt idx="147">
                  <c:v>150</c:v>
                </c:pt>
                <c:pt idx="148">
                  <c:v>120</c:v>
                </c:pt>
                <c:pt idx="149">
                  <c:v>130</c:v>
                </c:pt>
                <c:pt idx="150">
                  <c:v>160</c:v>
                </c:pt>
                <c:pt idx="151">
                  <c:v>112</c:v>
                </c:pt>
                <c:pt idx="152">
                  <c:v>170</c:v>
                </c:pt>
                <c:pt idx="153">
                  <c:v>146</c:v>
                </c:pt>
                <c:pt idx="154">
                  <c:v>138</c:v>
                </c:pt>
                <c:pt idx="155">
                  <c:v>130</c:v>
                </c:pt>
                <c:pt idx="156">
                  <c:v>130</c:v>
                </c:pt>
                <c:pt idx="157">
                  <c:v>122</c:v>
                </c:pt>
                <c:pt idx="158">
                  <c:v>125</c:v>
                </c:pt>
                <c:pt idx="159">
                  <c:v>130</c:v>
                </c:pt>
                <c:pt idx="160">
                  <c:v>120</c:v>
                </c:pt>
                <c:pt idx="161">
                  <c:v>132</c:v>
                </c:pt>
                <c:pt idx="162">
                  <c:v>120</c:v>
                </c:pt>
                <c:pt idx="163">
                  <c:v>138</c:v>
                </c:pt>
                <c:pt idx="164">
                  <c:v>138</c:v>
                </c:pt>
                <c:pt idx="165">
                  <c:v>160</c:v>
                </c:pt>
                <c:pt idx="166">
                  <c:v>120</c:v>
                </c:pt>
                <c:pt idx="167">
                  <c:v>140</c:v>
                </c:pt>
                <c:pt idx="168">
                  <c:v>130</c:v>
                </c:pt>
                <c:pt idx="169">
                  <c:v>140</c:v>
                </c:pt>
                <c:pt idx="170">
                  <c:v>130</c:v>
                </c:pt>
                <c:pt idx="171">
                  <c:v>110</c:v>
                </c:pt>
                <c:pt idx="172">
                  <c:v>120</c:v>
                </c:pt>
                <c:pt idx="173">
                  <c:v>132</c:v>
                </c:pt>
                <c:pt idx="174">
                  <c:v>130</c:v>
                </c:pt>
                <c:pt idx="175">
                  <c:v>110</c:v>
                </c:pt>
                <c:pt idx="176">
                  <c:v>117</c:v>
                </c:pt>
                <c:pt idx="177">
                  <c:v>140</c:v>
                </c:pt>
                <c:pt idx="178">
                  <c:v>120</c:v>
                </c:pt>
                <c:pt idx="179">
                  <c:v>150</c:v>
                </c:pt>
                <c:pt idx="180">
                  <c:v>132</c:v>
                </c:pt>
                <c:pt idx="181">
                  <c:v>150</c:v>
                </c:pt>
                <c:pt idx="182">
                  <c:v>130</c:v>
                </c:pt>
                <c:pt idx="183">
                  <c:v>112</c:v>
                </c:pt>
                <c:pt idx="184">
                  <c:v>150</c:v>
                </c:pt>
                <c:pt idx="185">
                  <c:v>112</c:v>
                </c:pt>
                <c:pt idx="186">
                  <c:v>130</c:v>
                </c:pt>
                <c:pt idx="187">
                  <c:v>124</c:v>
                </c:pt>
                <c:pt idx="188">
                  <c:v>140</c:v>
                </c:pt>
                <c:pt idx="189">
                  <c:v>110</c:v>
                </c:pt>
                <c:pt idx="190">
                  <c:v>130</c:v>
                </c:pt>
                <c:pt idx="191">
                  <c:v>128</c:v>
                </c:pt>
                <c:pt idx="192">
                  <c:v>120</c:v>
                </c:pt>
                <c:pt idx="193">
                  <c:v>145</c:v>
                </c:pt>
                <c:pt idx="194">
                  <c:v>140</c:v>
                </c:pt>
                <c:pt idx="195">
                  <c:v>170</c:v>
                </c:pt>
                <c:pt idx="196">
                  <c:v>150</c:v>
                </c:pt>
                <c:pt idx="197">
                  <c:v>125</c:v>
                </c:pt>
                <c:pt idx="198">
                  <c:v>120</c:v>
                </c:pt>
                <c:pt idx="199">
                  <c:v>110</c:v>
                </c:pt>
                <c:pt idx="200">
                  <c:v>110</c:v>
                </c:pt>
                <c:pt idx="201">
                  <c:v>125</c:v>
                </c:pt>
                <c:pt idx="202">
                  <c:v>150</c:v>
                </c:pt>
                <c:pt idx="203">
                  <c:v>180</c:v>
                </c:pt>
                <c:pt idx="204">
                  <c:v>160</c:v>
                </c:pt>
                <c:pt idx="205">
                  <c:v>128</c:v>
                </c:pt>
                <c:pt idx="206">
                  <c:v>110</c:v>
                </c:pt>
                <c:pt idx="207">
                  <c:v>150</c:v>
                </c:pt>
                <c:pt idx="208">
                  <c:v>120</c:v>
                </c:pt>
                <c:pt idx="209">
                  <c:v>140</c:v>
                </c:pt>
                <c:pt idx="210">
                  <c:v>128</c:v>
                </c:pt>
                <c:pt idx="211">
                  <c:v>120</c:v>
                </c:pt>
                <c:pt idx="212">
                  <c:v>118</c:v>
                </c:pt>
                <c:pt idx="213">
                  <c:v>145</c:v>
                </c:pt>
                <c:pt idx="214">
                  <c:v>125</c:v>
                </c:pt>
                <c:pt idx="215">
                  <c:v>132</c:v>
                </c:pt>
                <c:pt idx="216">
                  <c:v>130</c:v>
                </c:pt>
                <c:pt idx="217">
                  <c:v>130</c:v>
                </c:pt>
                <c:pt idx="218">
                  <c:v>135</c:v>
                </c:pt>
                <c:pt idx="219">
                  <c:v>130</c:v>
                </c:pt>
                <c:pt idx="220">
                  <c:v>150</c:v>
                </c:pt>
                <c:pt idx="221">
                  <c:v>140</c:v>
                </c:pt>
                <c:pt idx="222">
                  <c:v>138</c:v>
                </c:pt>
                <c:pt idx="223">
                  <c:v>200</c:v>
                </c:pt>
                <c:pt idx="224">
                  <c:v>110</c:v>
                </c:pt>
                <c:pt idx="225">
                  <c:v>145</c:v>
                </c:pt>
                <c:pt idx="226">
                  <c:v>120</c:v>
                </c:pt>
                <c:pt idx="227">
                  <c:v>120</c:v>
                </c:pt>
                <c:pt idx="228">
                  <c:v>170</c:v>
                </c:pt>
                <c:pt idx="229">
                  <c:v>125</c:v>
                </c:pt>
                <c:pt idx="230">
                  <c:v>108</c:v>
                </c:pt>
                <c:pt idx="231">
                  <c:v>165</c:v>
                </c:pt>
                <c:pt idx="232">
                  <c:v>160</c:v>
                </c:pt>
                <c:pt idx="233">
                  <c:v>120</c:v>
                </c:pt>
                <c:pt idx="234">
                  <c:v>130</c:v>
                </c:pt>
                <c:pt idx="235">
                  <c:v>140</c:v>
                </c:pt>
                <c:pt idx="236">
                  <c:v>125</c:v>
                </c:pt>
                <c:pt idx="237">
                  <c:v>140</c:v>
                </c:pt>
                <c:pt idx="238">
                  <c:v>125</c:v>
                </c:pt>
                <c:pt idx="239">
                  <c:v>126</c:v>
                </c:pt>
                <c:pt idx="240">
                  <c:v>160</c:v>
                </c:pt>
                <c:pt idx="241">
                  <c:v>174</c:v>
                </c:pt>
                <c:pt idx="242">
                  <c:v>145</c:v>
                </c:pt>
                <c:pt idx="243">
                  <c:v>152</c:v>
                </c:pt>
                <c:pt idx="244">
                  <c:v>132</c:v>
                </c:pt>
                <c:pt idx="245">
                  <c:v>124</c:v>
                </c:pt>
                <c:pt idx="246">
                  <c:v>134</c:v>
                </c:pt>
                <c:pt idx="247">
                  <c:v>160</c:v>
                </c:pt>
                <c:pt idx="248">
                  <c:v>192</c:v>
                </c:pt>
                <c:pt idx="249">
                  <c:v>140</c:v>
                </c:pt>
                <c:pt idx="250">
                  <c:v>140</c:v>
                </c:pt>
                <c:pt idx="251">
                  <c:v>132</c:v>
                </c:pt>
                <c:pt idx="252">
                  <c:v>138</c:v>
                </c:pt>
                <c:pt idx="253">
                  <c:v>100</c:v>
                </c:pt>
                <c:pt idx="254">
                  <c:v>160</c:v>
                </c:pt>
                <c:pt idx="255">
                  <c:v>142</c:v>
                </c:pt>
                <c:pt idx="256">
                  <c:v>128</c:v>
                </c:pt>
                <c:pt idx="257">
                  <c:v>144</c:v>
                </c:pt>
                <c:pt idx="258">
                  <c:v>150</c:v>
                </c:pt>
                <c:pt idx="259">
                  <c:v>120</c:v>
                </c:pt>
                <c:pt idx="260">
                  <c:v>178</c:v>
                </c:pt>
                <c:pt idx="261">
                  <c:v>112</c:v>
                </c:pt>
                <c:pt idx="262">
                  <c:v>123</c:v>
                </c:pt>
                <c:pt idx="263">
                  <c:v>108</c:v>
                </c:pt>
                <c:pt idx="264">
                  <c:v>110</c:v>
                </c:pt>
                <c:pt idx="265">
                  <c:v>112</c:v>
                </c:pt>
                <c:pt idx="266">
                  <c:v>180</c:v>
                </c:pt>
                <c:pt idx="267">
                  <c:v>118</c:v>
                </c:pt>
                <c:pt idx="268">
                  <c:v>122</c:v>
                </c:pt>
                <c:pt idx="269">
                  <c:v>130</c:v>
                </c:pt>
                <c:pt idx="270">
                  <c:v>120</c:v>
                </c:pt>
                <c:pt idx="271">
                  <c:v>134</c:v>
                </c:pt>
                <c:pt idx="272">
                  <c:v>120</c:v>
                </c:pt>
                <c:pt idx="273">
                  <c:v>100</c:v>
                </c:pt>
                <c:pt idx="274">
                  <c:v>110</c:v>
                </c:pt>
                <c:pt idx="275">
                  <c:v>125</c:v>
                </c:pt>
                <c:pt idx="276">
                  <c:v>146</c:v>
                </c:pt>
                <c:pt idx="277">
                  <c:v>124</c:v>
                </c:pt>
                <c:pt idx="278">
                  <c:v>136</c:v>
                </c:pt>
                <c:pt idx="279">
                  <c:v>138</c:v>
                </c:pt>
                <c:pt idx="280">
                  <c:v>136</c:v>
                </c:pt>
                <c:pt idx="281">
                  <c:v>128</c:v>
                </c:pt>
                <c:pt idx="282">
                  <c:v>126</c:v>
                </c:pt>
                <c:pt idx="283">
                  <c:v>152</c:v>
                </c:pt>
                <c:pt idx="284">
                  <c:v>140</c:v>
                </c:pt>
                <c:pt idx="285">
                  <c:v>140</c:v>
                </c:pt>
                <c:pt idx="286">
                  <c:v>134</c:v>
                </c:pt>
                <c:pt idx="287">
                  <c:v>154</c:v>
                </c:pt>
                <c:pt idx="288">
                  <c:v>110</c:v>
                </c:pt>
                <c:pt idx="289">
                  <c:v>128</c:v>
                </c:pt>
                <c:pt idx="290">
                  <c:v>148</c:v>
                </c:pt>
                <c:pt idx="291">
                  <c:v>114</c:v>
                </c:pt>
                <c:pt idx="292">
                  <c:v>170</c:v>
                </c:pt>
                <c:pt idx="293">
                  <c:v>152</c:v>
                </c:pt>
                <c:pt idx="294">
                  <c:v>120</c:v>
                </c:pt>
                <c:pt idx="295">
                  <c:v>140</c:v>
                </c:pt>
                <c:pt idx="296">
                  <c:v>124</c:v>
                </c:pt>
                <c:pt idx="297">
                  <c:v>164</c:v>
                </c:pt>
                <c:pt idx="298">
                  <c:v>140</c:v>
                </c:pt>
                <c:pt idx="299">
                  <c:v>110</c:v>
                </c:pt>
                <c:pt idx="300">
                  <c:v>144</c:v>
                </c:pt>
                <c:pt idx="301">
                  <c:v>130</c:v>
                </c:pt>
                <c:pt idx="302">
                  <c:v>130</c:v>
                </c:pt>
              </c:numCache>
            </c:numRef>
          </c:xVal>
          <c:yVal>
            <c:numRef>
              <c:f>regression!$X$2:$X$304</c:f>
              <c:numCache>
                <c:formatCode>General</c:formatCode>
                <c:ptCount val="303"/>
                <c:pt idx="0">
                  <c:v>233</c:v>
                </c:pt>
                <c:pt idx="1">
                  <c:v>250</c:v>
                </c:pt>
                <c:pt idx="2">
                  <c:v>204</c:v>
                </c:pt>
                <c:pt idx="3">
                  <c:v>236</c:v>
                </c:pt>
                <c:pt idx="4">
                  <c:v>354</c:v>
                </c:pt>
                <c:pt idx="5">
                  <c:v>192</c:v>
                </c:pt>
                <c:pt idx="6">
                  <c:v>294</c:v>
                </c:pt>
                <c:pt idx="7">
                  <c:v>263</c:v>
                </c:pt>
                <c:pt idx="8">
                  <c:v>199</c:v>
                </c:pt>
                <c:pt idx="9">
                  <c:v>168</c:v>
                </c:pt>
                <c:pt idx="10">
                  <c:v>239</c:v>
                </c:pt>
                <c:pt idx="11">
                  <c:v>275</c:v>
                </c:pt>
                <c:pt idx="12">
                  <c:v>266</c:v>
                </c:pt>
                <c:pt idx="13">
                  <c:v>211</c:v>
                </c:pt>
                <c:pt idx="14">
                  <c:v>283</c:v>
                </c:pt>
                <c:pt idx="15">
                  <c:v>219</c:v>
                </c:pt>
                <c:pt idx="16">
                  <c:v>340</c:v>
                </c:pt>
                <c:pt idx="17">
                  <c:v>226</c:v>
                </c:pt>
                <c:pt idx="18">
                  <c:v>247</c:v>
                </c:pt>
                <c:pt idx="19">
                  <c:v>239</c:v>
                </c:pt>
                <c:pt idx="20">
                  <c:v>234</c:v>
                </c:pt>
                <c:pt idx="21">
                  <c:v>233</c:v>
                </c:pt>
                <c:pt idx="22">
                  <c:v>226</c:v>
                </c:pt>
                <c:pt idx="23">
                  <c:v>243</c:v>
                </c:pt>
                <c:pt idx="24">
                  <c:v>199</c:v>
                </c:pt>
                <c:pt idx="25">
                  <c:v>302</c:v>
                </c:pt>
                <c:pt idx="26">
                  <c:v>212</c:v>
                </c:pt>
                <c:pt idx="27">
                  <c:v>175</c:v>
                </c:pt>
                <c:pt idx="28">
                  <c:v>417</c:v>
                </c:pt>
                <c:pt idx="29">
                  <c:v>197</c:v>
                </c:pt>
                <c:pt idx="30">
                  <c:v>198</c:v>
                </c:pt>
                <c:pt idx="31">
                  <c:v>177</c:v>
                </c:pt>
                <c:pt idx="32">
                  <c:v>219</c:v>
                </c:pt>
                <c:pt idx="33">
                  <c:v>273</c:v>
                </c:pt>
                <c:pt idx="34">
                  <c:v>213</c:v>
                </c:pt>
                <c:pt idx="35">
                  <c:v>177</c:v>
                </c:pt>
                <c:pt idx="36">
                  <c:v>304</c:v>
                </c:pt>
                <c:pt idx="37">
                  <c:v>232</c:v>
                </c:pt>
                <c:pt idx="38">
                  <c:v>269</c:v>
                </c:pt>
                <c:pt idx="39">
                  <c:v>360</c:v>
                </c:pt>
                <c:pt idx="40">
                  <c:v>308</c:v>
                </c:pt>
                <c:pt idx="41">
                  <c:v>245</c:v>
                </c:pt>
                <c:pt idx="42">
                  <c:v>208</c:v>
                </c:pt>
                <c:pt idx="43">
                  <c:v>264</c:v>
                </c:pt>
                <c:pt idx="44">
                  <c:v>321</c:v>
                </c:pt>
                <c:pt idx="45">
                  <c:v>325</c:v>
                </c:pt>
                <c:pt idx="46">
                  <c:v>235</c:v>
                </c:pt>
                <c:pt idx="47">
                  <c:v>257</c:v>
                </c:pt>
                <c:pt idx="48">
                  <c:v>216</c:v>
                </c:pt>
                <c:pt idx="49">
                  <c:v>234</c:v>
                </c:pt>
                <c:pt idx="50">
                  <c:v>256</c:v>
                </c:pt>
                <c:pt idx="51">
                  <c:v>302</c:v>
                </c:pt>
                <c:pt idx="52">
                  <c:v>231</c:v>
                </c:pt>
                <c:pt idx="53">
                  <c:v>141</c:v>
                </c:pt>
                <c:pt idx="54">
                  <c:v>252</c:v>
                </c:pt>
                <c:pt idx="55">
                  <c:v>201</c:v>
                </c:pt>
                <c:pt idx="56">
                  <c:v>222</c:v>
                </c:pt>
                <c:pt idx="57">
                  <c:v>260</c:v>
                </c:pt>
                <c:pt idx="58">
                  <c:v>182</c:v>
                </c:pt>
                <c:pt idx="59">
                  <c:v>303</c:v>
                </c:pt>
                <c:pt idx="60">
                  <c:v>265</c:v>
                </c:pt>
                <c:pt idx="61">
                  <c:v>309</c:v>
                </c:pt>
                <c:pt idx="62">
                  <c:v>186</c:v>
                </c:pt>
                <c:pt idx="63">
                  <c:v>203</c:v>
                </c:pt>
                <c:pt idx="64">
                  <c:v>211</c:v>
                </c:pt>
                <c:pt idx="65">
                  <c:v>183</c:v>
                </c:pt>
                <c:pt idx="66">
                  <c:v>222</c:v>
                </c:pt>
                <c:pt idx="67">
                  <c:v>234</c:v>
                </c:pt>
                <c:pt idx="68">
                  <c:v>220</c:v>
                </c:pt>
                <c:pt idx="69">
                  <c:v>209</c:v>
                </c:pt>
                <c:pt idx="70">
                  <c:v>258</c:v>
                </c:pt>
                <c:pt idx="71">
                  <c:v>227</c:v>
                </c:pt>
                <c:pt idx="72">
                  <c:v>204</c:v>
                </c:pt>
                <c:pt idx="73">
                  <c:v>261</c:v>
                </c:pt>
                <c:pt idx="74">
                  <c:v>213</c:v>
                </c:pt>
                <c:pt idx="75">
                  <c:v>250</c:v>
                </c:pt>
                <c:pt idx="76">
                  <c:v>245</c:v>
                </c:pt>
                <c:pt idx="77">
                  <c:v>221</c:v>
                </c:pt>
                <c:pt idx="78">
                  <c:v>205</c:v>
                </c:pt>
                <c:pt idx="79">
                  <c:v>240</c:v>
                </c:pt>
                <c:pt idx="80">
                  <c:v>250</c:v>
                </c:pt>
                <c:pt idx="81">
                  <c:v>308</c:v>
                </c:pt>
                <c:pt idx="82">
                  <c:v>318</c:v>
                </c:pt>
                <c:pt idx="83">
                  <c:v>298</c:v>
                </c:pt>
                <c:pt idx="84">
                  <c:v>265</c:v>
                </c:pt>
                <c:pt idx="85">
                  <c:v>564</c:v>
                </c:pt>
                <c:pt idx="86">
                  <c:v>277</c:v>
                </c:pt>
                <c:pt idx="87">
                  <c:v>197</c:v>
                </c:pt>
                <c:pt idx="88">
                  <c:v>214</c:v>
                </c:pt>
                <c:pt idx="89">
                  <c:v>248</c:v>
                </c:pt>
                <c:pt idx="90">
                  <c:v>255</c:v>
                </c:pt>
                <c:pt idx="91">
                  <c:v>207</c:v>
                </c:pt>
                <c:pt idx="92">
                  <c:v>223</c:v>
                </c:pt>
                <c:pt idx="93">
                  <c:v>288</c:v>
                </c:pt>
                <c:pt idx="94">
                  <c:v>160</c:v>
                </c:pt>
                <c:pt idx="95">
                  <c:v>226</c:v>
                </c:pt>
                <c:pt idx="96">
                  <c:v>394</c:v>
                </c:pt>
                <c:pt idx="97">
                  <c:v>233</c:v>
                </c:pt>
                <c:pt idx="98">
                  <c:v>315</c:v>
                </c:pt>
                <c:pt idx="99">
                  <c:v>246</c:v>
                </c:pt>
                <c:pt idx="100">
                  <c:v>244</c:v>
                </c:pt>
                <c:pt idx="101">
                  <c:v>270</c:v>
                </c:pt>
                <c:pt idx="102">
                  <c:v>195</c:v>
                </c:pt>
                <c:pt idx="103">
                  <c:v>240</c:v>
                </c:pt>
                <c:pt idx="104">
                  <c:v>196</c:v>
                </c:pt>
                <c:pt idx="105">
                  <c:v>211</c:v>
                </c:pt>
                <c:pt idx="106">
                  <c:v>234</c:v>
                </c:pt>
                <c:pt idx="107">
                  <c:v>236</c:v>
                </c:pt>
                <c:pt idx="108">
                  <c:v>244</c:v>
                </c:pt>
                <c:pt idx="109">
                  <c:v>254</c:v>
                </c:pt>
                <c:pt idx="110">
                  <c:v>325</c:v>
                </c:pt>
                <c:pt idx="111">
                  <c:v>126</c:v>
                </c:pt>
                <c:pt idx="112">
                  <c:v>313</c:v>
                </c:pt>
                <c:pt idx="113">
                  <c:v>211</c:v>
                </c:pt>
                <c:pt idx="114">
                  <c:v>262</c:v>
                </c:pt>
                <c:pt idx="115">
                  <c:v>215</c:v>
                </c:pt>
                <c:pt idx="116">
                  <c:v>214</c:v>
                </c:pt>
                <c:pt idx="117">
                  <c:v>193</c:v>
                </c:pt>
                <c:pt idx="118">
                  <c:v>204</c:v>
                </c:pt>
                <c:pt idx="119">
                  <c:v>243</c:v>
                </c:pt>
                <c:pt idx="120">
                  <c:v>303</c:v>
                </c:pt>
                <c:pt idx="121">
                  <c:v>271</c:v>
                </c:pt>
                <c:pt idx="122">
                  <c:v>268</c:v>
                </c:pt>
                <c:pt idx="123">
                  <c:v>267</c:v>
                </c:pt>
                <c:pt idx="124">
                  <c:v>199</c:v>
                </c:pt>
                <c:pt idx="125">
                  <c:v>210</c:v>
                </c:pt>
                <c:pt idx="126">
                  <c:v>204</c:v>
                </c:pt>
                <c:pt idx="127">
                  <c:v>277</c:v>
                </c:pt>
                <c:pt idx="128">
                  <c:v>196</c:v>
                </c:pt>
                <c:pt idx="129">
                  <c:v>269</c:v>
                </c:pt>
                <c:pt idx="130">
                  <c:v>201</c:v>
                </c:pt>
                <c:pt idx="131">
                  <c:v>271</c:v>
                </c:pt>
                <c:pt idx="132">
                  <c:v>295</c:v>
                </c:pt>
                <c:pt idx="133">
                  <c:v>235</c:v>
                </c:pt>
                <c:pt idx="134">
                  <c:v>306</c:v>
                </c:pt>
                <c:pt idx="135">
                  <c:v>269</c:v>
                </c:pt>
                <c:pt idx="136">
                  <c:v>178</c:v>
                </c:pt>
                <c:pt idx="137">
                  <c:v>208</c:v>
                </c:pt>
                <c:pt idx="138">
                  <c:v>201</c:v>
                </c:pt>
                <c:pt idx="139">
                  <c:v>263</c:v>
                </c:pt>
                <c:pt idx="140">
                  <c:v>295</c:v>
                </c:pt>
                <c:pt idx="141">
                  <c:v>303</c:v>
                </c:pt>
                <c:pt idx="142">
                  <c:v>209</c:v>
                </c:pt>
                <c:pt idx="143">
                  <c:v>223</c:v>
                </c:pt>
                <c:pt idx="144">
                  <c:v>197</c:v>
                </c:pt>
                <c:pt idx="145">
                  <c:v>245</c:v>
                </c:pt>
                <c:pt idx="146">
                  <c:v>242</c:v>
                </c:pt>
                <c:pt idx="147">
                  <c:v>240</c:v>
                </c:pt>
                <c:pt idx="148">
                  <c:v>226</c:v>
                </c:pt>
                <c:pt idx="149">
                  <c:v>180</c:v>
                </c:pt>
                <c:pt idx="150">
                  <c:v>228</c:v>
                </c:pt>
                <c:pt idx="151">
                  <c:v>149</c:v>
                </c:pt>
                <c:pt idx="152">
                  <c:v>227</c:v>
                </c:pt>
                <c:pt idx="153">
                  <c:v>278</c:v>
                </c:pt>
                <c:pt idx="154">
                  <c:v>220</c:v>
                </c:pt>
                <c:pt idx="155">
                  <c:v>197</c:v>
                </c:pt>
                <c:pt idx="156">
                  <c:v>253</c:v>
                </c:pt>
                <c:pt idx="157">
                  <c:v>192</c:v>
                </c:pt>
                <c:pt idx="158">
                  <c:v>220</c:v>
                </c:pt>
                <c:pt idx="159">
                  <c:v>221</c:v>
                </c:pt>
                <c:pt idx="160">
                  <c:v>240</c:v>
                </c:pt>
                <c:pt idx="161">
                  <c:v>342</c:v>
                </c:pt>
                <c:pt idx="162">
                  <c:v>157</c:v>
                </c:pt>
                <c:pt idx="163">
                  <c:v>175</c:v>
                </c:pt>
                <c:pt idx="164">
                  <c:v>175</c:v>
                </c:pt>
                <c:pt idx="165">
                  <c:v>286</c:v>
                </c:pt>
                <c:pt idx="166">
                  <c:v>229</c:v>
                </c:pt>
                <c:pt idx="167">
                  <c:v>268</c:v>
                </c:pt>
                <c:pt idx="168">
                  <c:v>254</c:v>
                </c:pt>
                <c:pt idx="169">
                  <c:v>203</c:v>
                </c:pt>
                <c:pt idx="170">
                  <c:v>256</c:v>
                </c:pt>
                <c:pt idx="171">
                  <c:v>229</c:v>
                </c:pt>
                <c:pt idx="172">
                  <c:v>284</c:v>
                </c:pt>
                <c:pt idx="173">
                  <c:v>224</c:v>
                </c:pt>
                <c:pt idx="174">
                  <c:v>206</c:v>
                </c:pt>
                <c:pt idx="175">
                  <c:v>167</c:v>
                </c:pt>
                <c:pt idx="176">
                  <c:v>230</c:v>
                </c:pt>
                <c:pt idx="177">
                  <c:v>335</c:v>
                </c:pt>
                <c:pt idx="178">
                  <c:v>177</c:v>
                </c:pt>
                <c:pt idx="179">
                  <c:v>276</c:v>
                </c:pt>
                <c:pt idx="180">
                  <c:v>353</c:v>
                </c:pt>
                <c:pt idx="181">
                  <c:v>225</c:v>
                </c:pt>
                <c:pt idx="182">
                  <c:v>330</c:v>
                </c:pt>
                <c:pt idx="183">
                  <c:v>230</c:v>
                </c:pt>
                <c:pt idx="184">
                  <c:v>243</c:v>
                </c:pt>
                <c:pt idx="185">
                  <c:v>290</c:v>
                </c:pt>
                <c:pt idx="186">
                  <c:v>253</c:v>
                </c:pt>
                <c:pt idx="187">
                  <c:v>266</c:v>
                </c:pt>
                <c:pt idx="188">
                  <c:v>233</c:v>
                </c:pt>
                <c:pt idx="189">
                  <c:v>172</c:v>
                </c:pt>
                <c:pt idx="190">
                  <c:v>305</c:v>
                </c:pt>
                <c:pt idx="191">
                  <c:v>216</c:v>
                </c:pt>
                <c:pt idx="192">
                  <c:v>188</c:v>
                </c:pt>
                <c:pt idx="193">
                  <c:v>282</c:v>
                </c:pt>
                <c:pt idx="194">
                  <c:v>185</c:v>
                </c:pt>
                <c:pt idx="195">
                  <c:v>326</c:v>
                </c:pt>
                <c:pt idx="196">
                  <c:v>231</c:v>
                </c:pt>
                <c:pt idx="197">
                  <c:v>254</c:v>
                </c:pt>
                <c:pt idx="198">
                  <c:v>267</c:v>
                </c:pt>
                <c:pt idx="199">
                  <c:v>248</c:v>
                </c:pt>
                <c:pt idx="200">
                  <c:v>197</c:v>
                </c:pt>
                <c:pt idx="201">
                  <c:v>258</c:v>
                </c:pt>
                <c:pt idx="202">
                  <c:v>270</c:v>
                </c:pt>
                <c:pt idx="203">
                  <c:v>274</c:v>
                </c:pt>
                <c:pt idx="204">
                  <c:v>164</c:v>
                </c:pt>
                <c:pt idx="205">
                  <c:v>255</c:v>
                </c:pt>
                <c:pt idx="206">
                  <c:v>239</c:v>
                </c:pt>
                <c:pt idx="207">
                  <c:v>258</c:v>
                </c:pt>
                <c:pt idx="208">
                  <c:v>188</c:v>
                </c:pt>
                <c:pt idx="209">
                  <c:v>177</c:v>
                </c:pt>
                <c:pt idx="210">
                  <c:v>229</c:v>
                </c:pt>
                <c:pt idx="211">
                  <c:v>260</c:v>
                </c:pt>
                <c:pt idx="212">
                  <c:v>219</c:v>
                </c:pt>
                <c:pt idx="213">
                  <c:v>307</c:v>
                </c:pt>
                <c:pt idx="214">
                  <c:v>249</c:v>
                </c:pt>
                <c:pt idx="215">
                  <c:v>341</c:v>
                </c:pt>
                <c:pt idx="216">
                  <c:v>263</c:v>
                </c:pt>
                <c:pt idx="217">
                  <c:v>330</c:v>
                </c:pt>
                <c:pt idx="218">
                  <c:v>254</c:v>
                </c:pt>
                <c:pt idx="219">
                  <c:v>256</c:v>
                </c:pt>
                <c:pt idx="220">
                  <c:v>407</c:v>
                </c:pt>
                <c:pt idx="221">
                  <c:v>217</c:v>
                </c:pt>
                <c:pt idx="222">
                  <c:v>282</c:v>
                </c:pt>
                <c:pt idx="223">
                  <c:v>288</c:v>
                </c:pt>
                <c:pt idx="224">
                  <c:v>239</c:v>
                </c:pt>
                <c:pt idx="225">
                  <c:v>174</c:v>
                </c:pt>
                <c:pt idx="226">
                  <c:v>281</c:v>
                </c:pt>
                <c:pt idx="227">
                  <c:v>198</c:v>
                </c:pt>
                <c:pt idx="228">
                  <c:v>288</c:v>
                </c:pt>
                <c:pt idx="229">
                  <c:v>309</c:v>
                </c:pt>
                <c:pt idx="230">
                  <c:v>243</c:v>
                </c:pt>
                <c:pt idx="231">
                  <c:v>289</c:v>
                </c:pt>
                <c:pt idx="232">
                  <c:v>289</c:v>
                </c:pt>
                <c:pt idx="233">
                  <c:v>246</c:v>
                </c:pt>
                <c:pt idx="234">
                  <c:v>322</c:v>
                </c:pt>
                <c:pt idx="235">
                  <c:v>299</c:v>
                </c:pt>
                <c:pt idx="236">
                  <c:v>300</c:v>
                </c:pt>
                <c:pt idx="237">
                  <c:v>293</c:v>
                </c:pt>
                <c:pt idx="238">
                  <c:v>304</c:v>
                </c:pt>
                <c:pt idx="239">
                  <c:v>282</c:v>
                </c:pt>
                <c:pt idx="240">
                  <c:v>269</c:v>
                </c:pt>
                <c:pt idx="241">
                  <c:v>249</c:v>
                </c:pt>
                <c:pt idx="242">
                  <c:v>212</c:v>
                </c:pt>
                <c:pt idx="243">
                  <c:v>274</c:v>
                </c:pt>
                <c:pt idx="244">
                  <c:v>184</c:v>
                </c:pt>
                <c:pt idx="245">
                  <c:v>274</c:v>
                </c:pt>
                <c:pt idx="246">
                  <c:v>409</c:v>
                </c:pt>
                <c:pt idx="247">
                  <c:v>246</c:v>
                </c:pt>
                <c:pt idx="248">
                  <c:v>283</c:v>
                </c:pt>
                <c:pt idx="249">
                  <c:v>254</c:v>
                </c:pt>
                <c:pt idx="250">
                  <c:v>298</c:v>
                </c:pt>
                <c:pt idx="251">
                  <c:v>247</c:v>
                </c:pt>
                <c:pt idx="252">
                  <c:v>294</c:v>
                </c:pt>
                <c:pt idx="253">
                  <c:v>299</c:v>
                </c:pt>
                <c:pt idx="254">
                  <c:v>273</c:v>
                </c:pt>
                <c:pt idx="255">
                  <c:v>309</c:v>
                </c:pt>
                <c:pt idx="256">
                  <c:v>259</c:v>
                </c:pt>
                <c:pt idx="257">
                  <c:v>200</c:v>
                </c:pt>
                <c:pt idx="258">
                  <c:v>244</c:v>
                </c:pt>
                <c:pt idx="259">
                  <c:v>231</c:v>
                </c:pt>
                <c:pt idx="260">
                  <c:v>228</c:v>
                </c:pt>
                <c:pt idx="261">
                  <c:v>230</c:v>
                </c:pt>
                <c:pt idx="262">
                  <c:v>282</c:v>
                </c:pt>
                <c:pt idx="263">
                  <c:v>269</c:v>
                </c:pt>
                <c:pt idx="264">
                  <c:v>206</c:v>
                </c:pt>
                <c:pt idx="265">
                  <c:v>212</c:v>
                </c:pt>
                <c:pt idx="266">
                  <c:v>327</c:v>
                </c:pt>
                <c:pt idx="267">
                  <c:v>149</c:v>
                </c:pt>
                <c:pt idx="268">
                  <c:v>286</c:v>
                </c:pt>
                <c:pt idx="269">
                  <c:v>283</c:v>
                </c:pt>
                <c:pt idx="270">
                  <c:v>249</c:v>
                </c:pt>
                <c:pt idx="271">
                  <c:v>234</c:v>
                </c:pt>
                <c:pt idx="272">
                  <c:v>237</c:v>
                </c:pt>
                <c:pt idx="273">
                  <c:v>234</c:v>
                </c:pt>
                <c:pt idx="274">
                  <c:v>275</c:v>
                </c:pt>
                <c:pt idx="275">
                  <c:v>212</c:v>
                </c:pt>
                <c:pt idx="276">
                  <c:v>218</c:v>
                </c:pt>
                <c:pt idx="277">
                  <c:v>261</c:v>
                </c:pt>
                <c:pt idx="278">
                  <c:v>319</c:v>
                </c:pt>
                <c:pt idx="279">
                  <c:v>166</c:v>
                </c:pt>
                <c:pt idx="280">
                  <c:v>315</c:v>
                </c:pt>
                <c:pt idx="281">
                  <c:v>204</c:v>
                </c:pt>
                <c:pt idx="282">
                  <c:v>218</c:v>
                </c:pt>
                <c:pt idx="283">
                  <c:v>223</c:v>
                </c:pt>
                <c:pt idx="284">
                  <c:v>207</c:v>
                </c:pt>
                <c:pt idx="285">
                  <c:v>311</c:v>
                </c:pt>
                <c:pt idx="286">
                  <c:v>204</c:v>
                </c:pt>
                <c:pt idx="287">
                  <c:v>232</c:v>
                </c:pt>
                <c:pt idx="288">
                  <c:v>335</c:v>
                </c:pt>
                <c:pt idx="289">
                  <c:v>205</c:v>
                </c:pt>
                <c:pt idx="290">
                  <c:v>203</c:v>
                </c:pt>
                <c:pt idx="291">
                  <c:v>318</c:v>
                </c:pt>
                <c:pt idx="292">
                  <c:v>225</c:v>
                </c:pt>
                <c:pt idx="293">
                  <c:v>212</c:v>
                </c:pt>
                <c:pt idx="294">
                  <c:v>169</c:v>
                </c:pt>
                <c:pt idx="295">
                  <c:v>187</c:v>
                </c:pt>
                <c:pt idx="296">
                  <c:v>197</c:v>
                </c:pt>
                <c:pt idx="297">
                  <c:v>176</c:v>
                </c:pt>
                <c:pt idx="298">
                  <c:v>241</c:v>
                </c:pt>
                <c:pt idx="299">
                  <c:v>264</c:v>
                </c:pt>
                <c:pt idx="300">
                  <c:v>193</c:v>
                </c:pt>
                <c:pt idx="301">
                  <c:v>131</c:v>
                </c:pt>
                <c:pt idx="302">
                  <c:v>236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A10-4FA5-99E6-F40984803B27}"/>
            </c:ext>
          </c:extLst>
        </c:ser>
        <c:ser>
          <c:idx val="1"/>
          <c:order val="1"/>
          <c:tx>
            <c:v>Predicted chol</c:v>
          </c:tx>
          <c:spPr>
            <a:ln w="19050">
              <a:noFill/>
            </a:ln>
          </c:spPr>
          <c:xVal>
            <c:numRef>
              <c:f>regression!$W$2:$W$304</c:f>
              <c:numCache>
                <c:formatCode>General</c:formatCode>
                <c:ptCount val="303"/>
                <c:pt idx="0">
                  <c:v>145</c:v>
                </c:pt>
                <c:pt idx="1">
                  <c:v>130</c:v>
                </c:pt>
                <c:pt idx="2">
                  <c:v>130</c:v>
                </c:pt>
                <c:pt idx="3">
                  <c:v>120</c:v>
                </c:pt>
                <c:pt idx="4">
                  <c:v>120</c:v>
                </c:pt>
                <c:pt idx="5">
                  <c:v>140</c:v>
                </c:pt>
                <c:pt idx="6">
                  <c:v>140</c:v>
                </c:pt>
                <c:pt idx="7">
                  <c:v>120</c:v>
                </c:pt>
                <c:pt idx="8">
                  <c:v>172</c:v>
                </c:pt>
                <c:pt idx="9">
                  <c:v>150</c:v>
                </c:pt>
                <c:pt idx="10">
                  <c:v>140</c:v>
                </c:pt>
                <c:pt idx="11">
                  <c:v>130</c:v>
                </c:pt>
                <c:pt idx="12">
                  <c:v>130</c:v>
                </c:pt>
                <c:pt idx="13">
                  <c:v>110</c:v>
                </c:pt>
                <c:pt idx="14">
                  <c:v>150</c:v>
                </c:pt>
                <c:pt idx="15">
                  <c:v>120</c:v>
                </c:pt>
                <c:pt idx="16">
                  <c:v>120</c:v>
                </c:pt>
                <c:pt idx="17">
                  <c:v>150</c:v>
                </c:pt>
                <c:pt idx="18">
                  <c:v>150</c:v>
                </c:pt>
                <c:pt idx="19">
                  <c:v>140</c:v>
                </c:pt>
                <c:pt idx="20">
                  <c:v>135</c:v>
                </c:pt>
                <c:pt idx="21">
                  <c:v>130</c:v>
                </c:pt>
                <c:pt idx="22">
                  <c:v>140</c:v>
                </c:pt>
                <c:pt idx="23">
                  <c:v>150</c:v>
                </c:pt>
                <c:pt idx="24">
                  <c:v>140</c:v>
                </c:pt>
                <c:pt idx="25">
                  <c:v>160</c:v>
                </c:pt>
                <c:pt idx="26">
                  <c:v>150</c:v>
                </c:pt>
                <c:pt idx="27">
                  <c:v>110</c:v>
                </c:pt>
                <c:pt idx="28">
                  <c:v>140</c:v>
                </c:pt>
                <c:pt idx="29">
                  <c:v>130</c:v>
                </c:pt>
                <c:pt idx="30">
                  <c:v>105</c:v>
                </c:pt>
                <c:pt idx="31">
                  <c:v>120</c:v>
                </c:pt>
                <c:pt idx="32">
                  <c:v>130</c:v>
                </c:pt>
                <c:pt idx="33">
                  <c:v>125</c:v>
                </c:pt>
                <c:pt idx="34">
                  <c:v>125</c:v>
                </c:pt>
                <c:pt idx="35">
                  <c:v>142</c:v>
                </c:pt>
                <c:pt idx="36">
                  <c:v>135</c:v>
                </c:pt>
                <c:pt idx="37">
                  <c:v>150</c:v>
                </c:pt>
                <c:pt idx="38">
                  <c:v>155</c:v>
                </c:pt>
                <c:pt idx="39">
                  <c:v>160</c:v>
                </c:pt>
                <c:pt idx="40">
                  <c:v>140</c:v>
                </c:pt>
                <c:pt idx="41">
                  <c:v>130</c:v>
                </c:pt>
                <c:pt idx="42">
                  <c:v>104</c:v>
                </c:pt>
                <c:pt idx="43">
                  <c:v>130</c:v>
                </c:pt>
                <c:pt idx="44">
                  <c:v>140</c:v>
                </c:pt>
                <c:pt idx="45">
                  <c:v>120</c:v>
                </c:pt>
                <c:pt idx="46">
                  <c:v>140</c:v>
                </c:pt>
                <c:pt idx="47">
                  <c:v>138</c:v>
                </c:pt>
                <c:pt idx="48">
                  <c:v>128</c:v>
                </c:pt>
                <c:pt idx="49">
                  <c:v>138</c:v>
                </c:pt>
                <c:pt idx="50">
                  <c:v>130</c:v>
                </c:pt>
                <c:pt idx="51">
                  <c:v>120</c:v>
                </c:pt>
                <c:pt idx="52">
                  <c:v>130</c:v>
                </c:pt>
                <c:pt idx="53">
                  <c:v>108</c:v>
                </c:pt>
                <c:pt idx="54">
                  <c:v>135</c:v>
                </c:pt>
                <c:pt idx="55">
                  <c:v>134</c:v>
                </c:pt>
                <c:pt idx="56">
                  <c:v>122</c:v>
                </c:pt>
                <c:pt idx="57">
                  <c:v>115</c:v>
                </c:pt>
                <c:pt idx="58">
                  <c:v>118</c:v>
                </c:pt>
                <c:pt idx="59">
                  <c:v>128</c:v>
                </c:pt>
                <c:pt idx="60">
                  <c:v>110</c:v>
                </c:pt>
                <c:pt idx="61">
                  <c:v>108</c:v>
                </c:pt>
                <c:pt idx="62">
                  <c:v>118</c:v>
                </c:pt>
                <c:pt idx="63">
                  <c:v>135</c:v>
                </c:pt>
                <c:pt idx="64">
                  <c:v>140</c:v>
                </c:pt>
                <c:pt idx="65">
                  <c:v>138</c:v>
                </c:pt>
                <c:pt idx="66">
                  <c:v>100</c:v>
                </c:pt>
                <c:pt idx="67">
                  <c:v>130</c:v>
                </c:pt>
                <c:pt idx="68">
                  <c:v>120</c:v>
                </c:pt>
                <c:pt idx="69">
                  <c:v>124</c:v>
                </c:pt>
                <c:pt idx="70">
                  <c:v>120</c:v>
                </c:pt>
                <c:pt idx="71">
                  <c:v>94</c:v>
                </c:pt>
                <c:pt idx="72">
                  <c:v>130</c:v>
                </c:pt>
                <c:pt idx="73">
                  <c:v>140</c:v>
                </c:pt>
                <c:pt idx="74">
                  <c:v>122</c:v>
                </c:pt>
                <c:pt idx="75">
                  <c:v>135</c:v>
                </c:pt>
                <c:pt idx="76">
                  <c:v>125</c:v>
                </c:pt>
                <c:pt idx="77">
                  <c:v>140</c:v>
                </c:pt>
                <c:pt idx="78">
                  <c:v>128</c:v>
                </c:pt>
                <c:pt idx="79">
                  <c:v>105</c:v>
                </c:pt>
                <c:pt idx="80">
                  <c:v>112</c:v>
                </c:pt>
                <c:pt idx="81">
                  <c:v>128</c:v>
                </c:pt>
                <c:pt idx="82">
                  <c:v>102</c:v>
                </c:pt>
                <c:pt idx="83">
                  <c:v>152</c:v>
                </c:pt>
                <c:pt idx="84">
                  <c:v>102</c:v>
                </c:pt>
                <c:pt idx="85">
                  <c:v>115</c:v>
                </c:pt>
                <c:pt idx="86">
                  <c:v>118</c:v>
                </c:pt>
                <c:pt idx="87">
                  <c:v>101</c:v>
                </c:pt>
                <c:pt idx="88">
                  <c:v>110</c:v>
                </c:pt>
                <c:pt idx="89">
                  <c:v>100</c:v>
                </c:pt>
                <c:pt idx="90">
                  <c:v>124</c:v>
                </c:pt>
                <c:pt idx="91">
                  <c:v>132</c:v>
                </c:pt>
                <c:pt idx="92">
                  <c:v>138</c:v>
                </c:pt>
                <c:pt idx="93">
                  <c:v>132</c:v>
                </c:pt>
                <c:pt idx="94">
                  <c:v>112</c:v>
                </c:pt>
                <c:pt idx="95">
                  <c:v>142</c:v>
                </c:pt>
                <c:pt idx="96">
                  <c:v>140</c:v>
                </c:pt>
                <c:pt idx="97">
                  <c:v>108</c:v>
                </c:pt>
                <c:pt idx="98">
                  <c:v>130</c:v>
                </c:pt>
                <c:pt idx="99">
                  <c:v>130</c:v>
                </c:pt>
                <c:pt idx="100">
                  <c:v>148</c:v>
                </c:pt>
                <c:pt idx="101">
                  <c:v>178</c:v>
                </c:pt>
                <c:pt idx="102">
                  <c:v>140</c:v>
                </c:pt>
                <c:pt idx="103">
                  <c:v>120</c:v>
                </c:pt>
                <c:pt idx="104">
                  <c:v>129</c:v>
                </c:pt>
                <c:pt idx="105">
                  <c:v>120</c:v>
                </c:pt>
                <c:pt idx="106">
                  <c:v>160</c:v>
                </c:pt>
                <c:pt idx="107">
                  <c:v>138</c:v>
                </c:pt>
                <c:pt idx="108">
                  <c:v>120</c:v>
                </c:pt>
                <c:pt idx="109">
                  <c:v>110</c:v>
                </c:pt>
                <c:pt idx="110">
                  <c:v>180</c:v>
                </c:pt>
                <c:pt idx="111">
                  <c:v>150</c:v>
                </c:pt>
                <c:pt idx="112">
                  <c:v>140</c:v>
                </c:pt>
                <c:pt idx="113">
                  <c:v>110</c:v>
                </c:pt>
                <c:pt idx="114">
                  <c:v>130</c:v>
                </c:pt>
                <c:pt idx="115">
                  <c:v>120</c:v>
                </c:pt>
                <c:pt idx="116">
                  <c:v>130</c:v>
                </c:pt>
                <c:pt idx="117">
                  <c:v>120</c:v>
                </c:pt>
                <c:pt idx="118">
                  <c:v>105</c:v>
                </c:pt>
                <c:pt idx="119">
                  <c:v>138</c:v>
                </c:pt>
                <c:pt idx="120">
                  <c:v>130</c:v>
                </c:pt>
                <c:pt idx="121">
                  <c:v>138</c:v>
                </c:pt>
                <c:pt idx="122">
                  <c:v>112</c:v>
                </c:pt>
                <c:pt idx="123">
                  <c:v>108</c:v>
                </c:pt>
                <c:pt idx="124">
                  <c:v>94</c:v>
                </c:pt>
                <c:pt idx="125">
                  <c:v>118</c:v>
                </c:pt>
                <c:pt idx="126">
                  <c:v>112</c:v>
                </c:pt>
                <c:pt idx="127">
                  <c:v>152</c:v>
                </c:pt>
                <c:pt idx="128">
                  <c:v>136</c:v>
                </c:pt>
                <c:pt idx="129">
                  <c:v>120</c:v>
                </c:pt>
                <c:pt idx="130">
                  <c:v>160</c:v>
                </c:pt>
                <c:pt idx="131">
                  <c:v>134</c:v>
                </c:pt>
                <c:pt idx="132">
                  <c:v>120</c:v>
                </c:pt>
                <c:pt idx="133">
                  <c:v>110</c:v>
                </c:pt>
                <c:pt idx="134">
                  <c:v>126</c:v>
                </c:pt>
                <c:pt idx="135">
                  <c:v>130</c:v>
                </c:pt>
                <c:pt idx="136">
                  <c:v>120</c:v>
                </c:pt>
                <c:pt idx="137">
                  <c:v>128</c:v>
                </c:pt>
                <c:pt idx="138">
                  <c:v>110</c:v>
                </c:pt>
                <c:pt idx="139">
                  <c:v>128</c:v>
                </c:pt>
                <c:pt idx="140">
                  <c:v>120</c:v>
                </c:pt>
                <c:pt idx="141">
                  <c:v>115</c:v>
                </c:pt>
                <c:pt idx="142">
                  <c:v>120</c:v>
                </c:pt>
                <c:pt idx="143">
                  <c:v>106</c:v>
                </c:pt>
                <c:pt idx="144">
                  <c:v>140</c:v>
                </c:pt>
                <c:pt idx="145">
                  <c:v>156</c:v>
                </c:pt>
                <c:pt idx="146">
                  <c:v>118</c:v>
                </c:pt>
                <c:pt idx="147">
                  <c:v>150</c:v>
                </c:pt>
                <c:pt idx="148">
                  <c:v>120</c:v>
                </c:pt>
                <c:pt idx="149">
                  <c:v>130</c:v>
                </c:pt>
                <c:pt idx="150">
                  <c:v>160</c:v>
                </c:pt>
                <c:pt idx="151">
                  <c:v>112</c:v>
                </c:pt>
                <c:pt idx="152">
                  <c:v>170</c:v>
                </c:pt>
                <c:pt idx="153">
                  <c:v>146</c:v>
                </c:pt>
                <c:pt idx="154">
                  <c:v>138</c:v>
                </c:pt>
                <c:pt idx="155">
                  <c:v>130</c:v>
                </c:pt>
                <c:pt idx="156">
                  <c:v>130</c:v>
                </c:pt>
                <c:pt idx="157">
                  <c:v>122</c:v>
                </c:pt>
                <c:pt idx="158">
                  <c:v>125</c:v>
                </c:pt>
                <c:pt idx="159">
                  <c:v>130</c:v>
                </c:pt>
                <c:pt idx="160">
                  <c:v>120</c:v>
                </c:pt>
                <c:pt idx="161">
                  <c:v>132</c:v>
                </c:pt>
                <c:pt idx="162">
                  <c:v>120</c:v>
                </c:pt>
                <c:pt idx="163">
                  <c:v>138</c:v>
                </c:pt>
                <c:pt idx="164">
                  <c:v>138</c:v>
                </c:pt>
                <c:pt idx="165">
                  <c:v>160</c:v>
                </c:pt>
                <c:pt idx="166">
                  <c:v>120</c:v>
                </c:pt>
                <c:pt idx="167">
                  <c:v>140</c:v>
                </c:pt>
                <c:pt idx="168">
                  <c:v>130</c:v>
                </c:pt>
                <c:pt idx="169">
                  <c:v>140</c:v>
                </c:pt>
                <c:pt idx="170">
                  <c:v>130</c:v>
                </c:pt>
                <c:pt idx="171">
                  <c:v>110</c:v>
                </c:pt>
                <c:pt idx="172">
                  <c:v>120</c:v>
                </c:pt>
                <c:pt idx="173">
                  <c:v>132</c:v>
                </c:pt>
                <c:pt idx="174">
                  <c:v>130</c:v>
                </c:pt>
                <c:pt idx="175">
                  <c:v>110</c:v>
                </c:pt>
                <c:pt idx="176">
                  <c:v>117</c:v>
                </c:pt>
                <c:pt idx="177">
                  <c:v>140</c:v>
                </c:pt>
                <c:pt idx="178">
                  <c:v>120</c:v>
                </c:pt>
                <c:pt idx="179">
                  <c:v>150</c:v>
                </c:pt>
                <c:pt idx="180">
                  <c:v>132</c:v>
                </c:pt>
                <c:pt idx="181">
                  <c:v>150</c:v>
                </c:pt>
                <c:pt idx="182">
                  <c:v>130</c:v>
                </c:pt>
                <c:pt idx="183">
                  <c:v>112</c:v>
                </c:pt>
                <c:pt idx="184">
                  <c:v>150</c:v>
                </c:pt>
                <c:pt idx="185">
                  <c:v>112</c:v>
                </c:pt>
                <c:pt idx="186">
                  <c:v>130</c:v>
                </c:pt>
                <c:pt idx="187">
                  <c:v>124</c:v>
                </c:pt>
                <c:pt idx="188">
                  <c:v>140</c:v>
                </c:pt>
                <c:pt idx="189">
                  <c:v>110</c:v>
                </c:pt>
                <c:pt idx="190">
                  <c:v>130</c:v>
                </c:pt>
                <c:pt idx="191">
                  <c:v>128</c:v>
                </c:pt>
                <c:pt idx="192">
                  <c:v>120</c:v>
                </c:pt>
                <c:pt idx="193">
                  <c:v>145</c:v>
                </c:pt>
                <c:pt idx="194">
                  <c:v>140</c:v>
                </c:pt>
                <c:pt idx="195">
                  <c:v>170</c:v>
                </c:pt>
                <c:pt idx="196">
                  <c:v>150</c:v>
                </c:pt>
                <c:pt idx="197">
                  <c:v>125</c:v>
                </c:pt>
                <c:pt idx="198">
                  <c:v>120</c:v>
                </c:pt>
                <c:pt idx="199">
                  <c:v>110</c:v>
                </c:pt>
                <c:pt idx="200">
                  <c:v>110</c:v>
                </c:pt>
                <c:pt idx="201">
                  <c:v>125</c:v>
                </c:pt>
                <c:pt idx="202">
                  <c:v>150</c:v>
                </c:pt>
                <c:pt idx="203">
                  <c:v>180</c:v>
                </c:pt>
                <c:pt idx="204">
                  <c:v>160</c:v>
                </c:pt>
                <c:pt idx="205">
                  <c:v>128</c:v>
                </c:pt>
                <c:pt idx="206">
                  <c:v>110</c:v>
                </c:pt>
                <c:pt idx="207">
                  <c:v>150</c:v>
                </c:pt>
                <c:pt idx="208">
                  <c:v>120</c:v>
                </c:pt>
                <c:pt idx="209">
                  <c:v>140</c:v>
                </c:pt>
                <c:pt idx="210">
                  <c:v>128</c:v>
                </c:pt>
                <c:pt idx="211">
                  <c:v>120</c:v>
                </c:pt>
                <c:pt idx="212">
                  <c:v>118</c:v>
                </c:pt>
                <c:pt idx="213">
                  <c:v>145</c:v>
                </c:pt>
                <c:pt idx="214">
                  <c:v>125</c:v>
                </c:pt>
                <c:pt idx="215">
                  <c:v>132</c:v>
                </c:pt>
                <c:pt idx="216">
                  <c:v>130</c:v>
                </c:pt>
                <c:pt idx="217">
                  <c:v>130</c:v>
                </c:pt>
                <c:pt idx="218">
                  <c:v>135</c:v>
                </c:pt>
                <c:pt idx="219">
                  <c:v>130</c:v>
                </c:pt>
                <c:pt idx="220">
                  <c:v>150</c:v>
                </c:pt>
                <c:pt idx="221">
                  <c:v>140</c:v>
                </c:pt>
                <c:pt idx="222">
                  <c:v>138</c:v>
                </c:pt>
                <c:pt idx="223">
                  <c:v>200</c:v>
                </c:pt>
                <c:pt idx="224">
                  <c:v>110</c:v>
                </c:pt>
                <c:pt idx="225">
                  <c:v>145</c:v>
                </c:pt>
                <c:pt idx="226">
                  <c:v>120</c:v>
                </c:pt>
                <c:pt idx="227">
                  <c:v>120</c:v>
                </c:pt>
                <c:pt idx="228">
                  <c:v>170</c:v>
                </c:pt>
                <c:pt idx="229">
                  <c:v>125</c:v>
                </c:pt>
                <c:pt idx="230">
                  <c:v>108</c:v>
                </c:pt>
                <c:pt idx="231">
                  <c:v>165</c:v>
                </c:pt>
                <c:pt idx="232">
                  <c:v>160</c:v>
                </c:pt>
                <c:pt idx="233">
                  <c:v>120</c:v>
                </c:pt>
                <c:pt idx="234">
                  <c:v>130</c:v>
                </c:pt>
                <c:pt idx="235">
                  <c:v>140</c:v>
                </c:pt>
                <c:pt idx="236">
                  <c:v>125</c:v>
                </c:pt>
                <c:pt idx="237">
                  <c:v>140</c:v>
                </c:pt>
                <c:pt idx="238">
                  <c:v>125</c:v>
                </c:pt>
                <c:pt idx="239">
                  <c:v>126</c:v>
                </c:pt>
                <c:pt idx="240">
                  <c:v>160</c:v>
                </c:pt>
                <c:pt idx="241">
                  <c:v>174</c:v>
                </c:pt>
                <c:pt idx="242">
                  <c:v>145</c:v>
                </c:pt>
                <c:pt idx="243">
                  <c:v>152</c:v>
                </c:pt>
                <c:pt idx="244">
                  <c:v>132</c:v>
                </c:pt>
                <c:pt idx="245">
                  <c:v>124</c:v>
                </c:pt>
                <c:pt idx="246">
                  <c:v>134</c:v>
                </c:pt>
                <c:pt idx="247">
                  <c:v>160</c:v>
                </c:pt>
                <c:pt idx="248">
                  <c:v>192</c:v>
                </c:pt>
                <c:pt idx="249">
                  <c:v>140</c:v>
                </c:pt>
                <c:pt idx="250">
                  <c:v>140</c:v>
                </c:pt>
                <c:pt idx="251">
                  <c:v>132</c:v>
                </c:pt>
                <c:pt idx="252">
                  <c:v>138</c:v>
                </c:pt>
                <c:pt idx="253">
                  <c:v>100</c:v>
                </c:pt>
                <c:pt idx="254">
                  <c:v>160</c:v>
                </c:pt>
                <c:pt idx="255">
                  <c:v>142</c:v>
                </c:pt>
                <c:pt idx="256">
                  <c:v>128</c:v>
                </c:pt>
                <c:pt idx="257">
                  <c:v>144</c:v>
                </c:pt>
                <c:pt idx="258">
                  <c:v>150</c:v>
                </c:pt>
                <c:pt idx="259">
                  <c:v>120</c:v>
                </c:pt>
                <c:pt idx="260">
                  <c:v>178</c:v>
                </c:pt>
                <c:pt idx="261">
                  <c:v>112</c:v>
                </c:pt>
                <c:pt idx="262">
                  <c:v>123</c:v>
                </c:pt>
                <c:pt idx="263">
                  <c:v>108</c:v>
                </c:pt>
                <c:pt idx="264">
                  <c:v>110</c:v>
                </c:pt>
                <c:pt idx="265">
                  <c:v>112</c:v>
                </c:pt>
                <c:pt idx="266">
                  <c:v>180</c:v>
                </c:pt>
                <c:pt idx="267">
                  <c:v>118</c:v>
                </c:pt>
                <c:pt idx="268">
                  <c:v>122</c:v>
                </c:pt>
                <c:pt idx="269">
                  <c:v>130</c:v>
                </c:pt>
                <c:pt idx="270">
                  <c:v>120</c:v>
                </c:pt>
                <c:pt idx="271">
                  <c:v>134</c:v>
                </c:pt>
                <c:pt idx="272">
                  <c:v>120</c:v>
                </c:pt>
                <c:pt idx="273">
                  <c:v>100</c:v>
                </c:pt>
                <c:pt idx="274">
                  <c:v>110</c:v>
                </c:pt>
                <c:pt idx="275">
                  <c:v>125</c:v>
                </c:pt>
                <c:pt idx="276">
                  <c:v>146</c:v>
                </c:pt>
                <c:pt idx="277">
                  <c:v>124</c:v>
                </c:pt>
                <c:pt idx="278">
                  <c:v>136</c:v>
                </c:pt>
                <c:pt idx="279">
                  <c:v>138</c:v>
                </c:pt>
                <c:pt idx="280">
                  <c:v>136</c:v>
                </c:pt>
                <c:pt idx="281">
                  <c:v>128</c:v>
                </c:pt>
                <c:pt idx="282">
                  <c:v>126</c:v>
                </c:pt>
                <c:pt idx="283">
                  <c:v>152</c:v>
                </c:pt>
                <c:pt idx="284">
                  <c:v>140</c:v>
                </c:pt>
                <c:pt idx="285">
                  <c:v>140</c:v>
                </c:pt>
                <c:pt idx="286">
                  <c:v>134</c:v>
                </c:pt>
                <c:pt idx="287">
                  <c:v>154</c:v>
                </c:pt>
                <c:pt idx="288">
                  <c:v>110</c:v>
                </c:pt>
                <c:pt idx="289">
                  <c:v>128</c:v>
                </c:pt>
                <c:pt idx="290">
                  <c:v>148</c:v>
                </c:pt>
                <c:pt idx="291">
                  <c:v>114</c:v>
                </c:pt>
                <c:pt idx="292">
                  <c:v>170</c:v>
                </c:pt>
                <c:pt idx="293">
                  <c:v>152</c:v>
                </c:pt>
                <c:pt idx="294">
                  <c:v>120</c:v>
                </c:pt>
                <c:pt idx="295">
                  <c:v>140</c:v>
                </c:pt>
                <c:pt idx="296">
                  <c:v>124</c:v>
                </c:pt>
                <c:pt idx="297">
                  <c:v>164</c:v>
                </c:pt>
                <c:pt idx="298">
                  <c:v>140</c:v>
                </c:pt>
                <c:pt idx="299">
                  <c:v>110</c:v>
                </c:pt>
                <c:pt idx="300">
                  <c:v>144</c:v>
                </c:pt>
                <c:pt idx="301">
                  <c:v>130</c:v>
                </c:pt>
                <c:pt idx="302">
                  <c:v>130</c:v>
                </c:pt>
              </c:numCache>
            </c:numRef>
          </c:xVal>
          <c:yVal>
            <c:numRef>
              <c:f>regression!$AA$27:$AA$329</c:f>
              <c:numCache>
                <c:formatCode>General</c:formatCode>
                <c:ptCount val="303"/>
                <c:pt idx="0">
                  <c:v>258.56649209594468</c:v>
                </c:pt>
                <c:pt idx="1">
                  <c:v>226.66273059985517</c:v>
                </c:pt>
                <c:pt idx="2">
                  <c:v>231.10140360282367</c:v>
                </c:pt>
                <c:pt idx="3">
                  <c:v>245.71150271275914</c:v>
                </c:pt>
                <c:pt idx="4">
                  <c:v>246.82117096350126</c:v>
                </c:pt>
                <c:pt idx="5">
                  <c:v>250.89102026589381</c:v>
                </c:pt>
                <c:pt idx="6">
                  <c:v>249.7813520151517</c:v>
                </c:pt>
                <c:pt idx="7">
                  <c:v>232.39548370385373</c:v>
                </c:pt>
                <c:pt idx="8">
                  <c:v>251.85443789601135</c:v>
                </c:pt>
                <c:pt idx="9">
                  <c:v>252.92594491709011</c:v>
                </c:pt>
                <c:pt idx="10">
                  <c:v>247.56201551366746</c:v>
                </c:pt>
                <c:pt idx="11">
                  <c:v>238.86908135801849</c:v>
                </c:pt>
                <c:pt idx="12">
                  <c:v>239.97874960876061</c:v>
                </c:pt>
                <c:pt idx="13">
                  <c:v>252.55392406749979</c:v>
                </c:pt>
                <c:pt idx="14">
                  <c:v>254.03561316783222</c:v>
                </c:pt>
                <c:pt idx="15">
                  <c:v>239.05349320830643</c:v>
                </c:pt>
                <c:pt idx="16">
                  <c:v>247.93083921424338</c:v>
                </c:pt>
                <c:pt idx="17">
                  <c:v>262.91295917376914</c:v>
                </c:pt>
                <c:pt idx="18">
                  <c:v>237.39058940670046</c:v>
                </c:pt>
                <c:pt idx="19">
                  <c:v>264.20703927479923</c:v>
                </c:pt>
                <c:pt idx="20">
                  <c:v>252.09289444177992</c:v>
                </c:pt>
                <c:pt idx="21">
                  <c:v>234.43040835505002</c:v>
                </c:pt>
                <c:pt idx="22">
                  <c:v>234.24599650476205</c:v>
                </c:pt>
                <c:pt idx="23">
                  <c:v>257.36461792005855</c:v>
                </c:pt>
                <c:pt idx="24">
                  <c:v>232.02666000327778</c:v>
                </c:pt>
                <c:pt idx="25">
                  <c:v>270.49622507867605</c:v>
                </c:pt>
                <c:pt idx="26">
                  <c:v>255.14528141857434</c:v>
                </c:pt>
                <c:pt idx="27">
                  <c:v>238.12823680785226</c:v>
                </c:pt>
                <c:pt idx="28">
                  <c:v>259.76836627183076</c:v>
                </c:pt>
                <c:pt idx="29">
                  <c:v>244.41742261172908</c:v>
                </c:pt>
                <c:pt idx="30">
                  <c:v>226.01409197483295</c:v>
                </c:pt>
                <c:pt idx="31">
                  <c:v>255.6985169694382</c:v>
                </c:pt>
                <c:pt idx="32">
                  <c:v>234.43040835505002</c:v>
                </c:pt>
                <c:pt idx="33">
                  <c:v>244.50962853687304</c:v>
                </c:pt>
                <c:pt idx="34">
                  <c:v>241.18062378464668</c:v>
                </c:pt>
                <c:pt idx="35">
                  <c:v>239.09165443796979</c:v>
                </c:pt>
                <c:pt idx="36">
                  <c:v>246.54455318806933</c:v>
                </c:pt>
                <c:pt idx="37">
                  <c:v>249.59694016486375</c:v>
                </c:pt>
                <c:pt idx="38">
                  <c:v>262.82075324862518</c:v>
                </c:pt>
                <c:pt idx="39">
                  <c:v>263.83821557422334</c:v>
                </c:pt>
                <c:pt idx="40">
                  <c:v>244.23301076144111</c:v>
                </c:pt>
                <c:pt idx="41">
                  <c:v>238.86908135801849</c:v>
                </c:pt>
                <c:pt idx="42">
                  <c:v>230.24927251268178</c:v>
                </c:pt>
                <c:pt idx="43">
                  <c:v>244.41742261172908</c:v>
                </c:pt>
                <c:pt idx="44">
                  <c:v>230.91699175253567</c:v>
                </c:pt>
                <c:pt idx="45">
                  <c:v>241.27282970979067</c:v>
                </c:pt>
                <c:pt idx="46">
                  <c:v>236.46533300624628</c:v>
                </c:pt>
                <c:pt idx="47">
                  <c:v>239.38735282823339</c:v>
                </c:pt>
                <c:pt idx="48">
                  <c:v>244.0104376814898</c:v>
                </c:pt>
                <c:pt idx="49">
                  <c:v>246.0453623326861</c:v>
                </c:pt>
                <c:pt idx="50">
                  <c:v>242.19808611024484</c:v>
                </c:pt>
                <c:pt idx="51">
                  <c:v>256.80818522018029</c:v>
                </c:pt>
                <c:pt idx="52">
                  <c:v>254.40443686840814</c:v>
                </c:pt>
                <c:pt idx="53">
                  <c:v>229.95357412241819</c:v>
                </c:pt>
                <c:pt idx="54">
                  <c:v>256.53156744474836</c:v>
                </c:pt>
                <c:pt idx="55">
                  <c:v>244.12172422146546</c:v>
                </c:pt>
                <c:pt idx="56">
                  <c:v>237.24114163706145</c:v>
                </c:pt>
                <c:pt idx="57">
                  <c:v>232.48768962899771</c:v>
                </c:pt>
                <c:pt idx="58">
                  <c:v>220.89181626619327</c:v>
                </c:pt>
                <c:pt idx="59">
                  <c:v>248.44911068445828</c:v>
                </c:pt>
                <c:pt idx="60">
                  <c:v>260.32160182269462</c:v>
                </c:pt>
                <c:pt idx="61">
                  <c:v>241.05025662983937</c:v>
                </c:pt>
                <c:pt idx="62">
                  <c:v>240.86584477955142</c:v>
                </c:pt>
                <c:pt idx="63">
                  <c:v>232.1188659284218</c:v>
                </c:pt>
                <c:pt idx="64">
                  <c:v>252.00068851663593</c:v>
                </c:pt>
                <c:pt idx="65">
                  <c:v>226.07133381932795</c:v>
                </c:pt>
                <c:pt idx="66">
                  <c:v>236.093312156656</c:v>
                </c:pt>
                <c:pt idx="67">
                  <c:v>235.54007660579214</c:v>
                </c:pt>
                <c:pt idx="68">
                  <c:v>232.39548370385373</c:v>
                </c:pt>
                <c:pt idx="69">
                  <c:v>253.18348207769037</c:v>
                </c:pt>
                <c:pt idx="70">
                  <c:v>243.49216621127491</c:v>
                </c:pt>
                <c:pt idx="71">
                  <c:v>234.87235736593823</c:v>
                </c:pt>
                <c:pt idx="72">
                  <c:v>217.78538459391822</c:v>
                </c:pt>
                <c:pt idx="73">
                  <c:v>244.23301076144111</c:v>
                </c:pt>
                <c:pt idx="74">
                  <c:v>231.69280038335086</c:v>
                </c:pt>
                <c:pt idx="75">
                  <c:v>247.65422143881145</c:v>
                </c:pt>
                <c:pt idx="76">
                  <c:v>241.18062378464668</c:v>
                </c:pt>
                <c:pt idx="77">
                  <c:v>253.11035676737805</c:v>
                </c:pt>
                <c:pt idx="78">
                  <c:v>242.90076943074769</c:v>
                </c:pt>
                <c:pt idx="79">
                  <c:v>244.87845223744895</c:v>
                </c:pt>
                <c:pt idx="80">
                  <c:v>227.43853923067036</c:v>
                </c:pt>
                <c:pt idx="81">
                  <c:v>235.13309167555286</c:v>
                </c:pt>
                <c:pt idx="82">
                  <c:v>246.48731134357431</c:v>
                </c:pt>
                <c:pt idx="83">
                  <c:v>247.78458859361876</c:v>
                </c:pt>
                <c:pt idx="84">
                  <c:v>226.51328283021618</c:v>
                </c:pt>
                <c:pt idx="85">
                  <c:v>256.90039114532431</c:v>
                </c:pt>
                <c:pt idx="86">
                  <c:v>258.62053679142531</c:v>
                </c:pt>
                <c:pt idx="87">
                  <c:v>230.74846336806502</c:v>
                </c:pt>
                <c:pt idx="88">
                  <c:v>241.45724156007861</c:v>
                </c:pt>
                <c:pt idx="89">
                  <c:v>243.86098991185082</c:v>
                </c:pt>
                <c:pt idx="90">
                  <c:v>237.64812656730072</c:v>
                </c:pt>
                <c:pt idx="91">
                  <c:v>249.2630805449368</c:v>
                </c:pt>
                <c:pt idx="92">
                  <c:v>244.93569408194398</c:v>
                </c:pt>
                <c:pt idx="93">
                  <c:v>245.93407579271044</c:v>
                </c:pt>
                <c:pt idx="94">
                  <c:v>231.87721223363883</c:v>
                </c:pt>
                <c:pt idx="95">
                  <c:v>246.85933219316462</c:v>
                </c:pt>
                <c:pt idx="96">
                  <c:v>256.4393615196044</c:v>
                </c:pt>
                <c:pt idx="97">
                  <c:v>238.83092012835513</c:v>
                </c:pt>
                <c:pt idx="98">
                  <c:v>233.3207401043079</c:v>
                </c:pt>
                <c:pt idx="99">
                  <c:v>244.41742261172908</c:v>
                </c:pt>
                <c:pt idx="100">
                  <c:v>235.87393622571909</c:v>
                </c:pt>
                <c:pt idx="101">
                  <c:v>260.84307044192394</c:v>
                </c:pt>
                <c:pt idx="102">
                  <c:v>257.54902977034652</c:v>
                </c:pt>
                <c:pt idx="103">
                  <c:v>230.17614720236949</c:v>
                </c:pt>
                <c:pt idx="104">
                  <c:v>240.88492539438309</c:v>
                </c:pt>
                <c:pt idx="105">
                  <c:v>259.02752172166453</c:v>
                </c:pt>
                <c:pt idx="106">
                  <c:v>268.27688857719181</c:v>
                </c:pt>
                <c:pt idx="107">
                  <c:v>237.16801632674915</c:v>
                </c:pt>
                <c:pt idx="108">
                  <c:v>239.05349320830643</c:v>
                </c:pt>
                <c:pt idx="109">
                  <c:v>237.01856855711014</c:v>
                </c:pt>
                <c:pt idx="110">
                  <c:v>266.79839662587381</c:v>
                </c:pt>
                <c:pt idx="111">
                  <c:v>252.92594491709011</c:v>
                </c:pt>
                <c:pt idx="112">
                  <c:v>258.65869802108864</c:v>
                </c:pt>
                <c:pt idx="113">
                  <c:v>229.25089080191532</c:v>
                </c:pt>
                <c:pt idx="114">
                  <c:v>246.63675911321332</c:v>
                </c:pt>
                <c:pt idx="115">
                  <c:v>224.62780594865887</c:v>
                </c:pt>
                <c:pt idx="116">
                  <c:v>231.10140360282367</c:v>
                </c:pt>
                <c:pt idx="117">
                  <c:v>245.71150271275914</c:v>
                </c:pt>
                <c:pt idx="118">
                  <c:v>231.56243322854354</c:v>
                </c:pt>
                <c:pt idx="119">
                  <c:v>238.27768457749127</c:v>
                </c:pt>
                <c:pt idx="120">
                  <c:v>256.62377336989238</c:v>
                </c:pt>
                <c:pt idx="121">
                  <c:v>252.7033718371388</c:v>
                </c:pt>
                <c:pt idx="122">
                  <c:v>227.43853923067036</c:v>
                </c:pt>
                <c:pt idx="123">
                  <c:v>241.05025662983937</c:v>
                </c:pt>
                <c:pt idx="124">
                  <c:v>221.55633835703279</c:v>
                </c:pt>
                <c:pt idx="125">
                  <c:v>220.89181626619327</c:v>
                </c:pt>
                <c:pt idx="126">
                  <c:v>234.09654873512306</c:v>
                </c:pt>
                <c:pt idx="127">
                  <c:v>264.42961235475053</c:v>
                </c:pt>
                <c:pt idx="128">
                  <c:v>244.52870915170473</c:v>
                </c:pt>
                <c:pt idx="129">
                  <c:v>265.68553122611723</c:v>
                </c:pt>
                <c:pt idx="130">
                  <c:v>251.63186481606004</c:v>
                </c:pt>
                <c:pt idx="131">
                  <c:v>240.7927194692391</c:v>
                </c:pt>
                <c:pt idx="132">
                  <c:v>230.17614720236949</c:v>
                </c:pt>
                <c:pt idx="133">
                  <c:v>227.03155430043108</c:v>
                </c:pt>
                <c:pt idx="134">
                  <c:v>230.28743374234514</c:v>
                </c:pt>
                <c:pt idx="135">
                  <c:v>239.97874960876061</c:v>
                </c:pt>
                <c:pt idx="136">
                  <c:v>250.15017571572761</c:v>
                </c:pt>
                <c:pt idx="137">
                  <c:v>253.99745193816887</c:v>
                </c:pt>
                <c:pt idx="138">
                  <c:v>244.78624631230497</c:v>
                </c:pt>
                <c:pt idx="139">
                  <c:v>256.2167884396531</c:v>
                </c:pt>
                <c:pt idx="140">
                  <c:v>240.16316145904855</c:v>
                </c:pt>
                <c:pt idx="141">
                  <c:v>230.26835312751348</c:v>
                </c:pt>
                <c:pt idx="142">
                  <c:v>230.17614720236949</c:v>
                </c:pt>
                <c:pt idx="143">
                  <c:v>255.06895895924765</c:v>
                </c:pt>
                <c:pt idx="144">
                  <c:v>271.97471702999405</c:v>
                </c:pt>
                <c:pt idx="145">
                  <c:v>268.57258696745538</c:v>
                </c:pt>
                <c:pt idx="146">
                  <c:v>231.98849877361448</c:v>
                </c:pt>
                <c:pt idx="147">
                  <c:v>256.25494966931643</c:v>
                </c:pt>
                <c:pt idx="148">
                  <c:v>232.39548370385373</c:v>
                </c:pt>
                <c:pt idx="149">
                  <c:v>232.21107185356578</c:v>
                </c:pt>
                <c:pt idx="150">
                  <c:v>264.94788382496546</c:v>
                </c:pt>
                <c:pt idx="151">
                  <c:v>260.72858675293389</c:v>
                </c:pt>
                <c:pt idx="152">
                  <c:v>264.76347197467749</c:v>
                </c:pt>
                <c:pt idx="153">
                  <c:v>262.09898931329064</c:v>
                </c:pt>
                <c:pt idx="154">
                  <c:v>230.51000682229642</c:v>
                </c:pt>
                <c:pt idx="155">
                  <c:v>249.96576386543967</c:v>
                </c:pt>
                <c:pt idx="156">
                  <c:v>237.75941310727637</c:v>
                </c:pt>
                <c:pt idx="157">
                  <c:v>222.81545437741389</c:v>
                </c:pt>
                <c:pt idx="158">
                  <c:v>248.94830153984151</c:v>
                </c:pt>
                <c:pt idx="159">
                  <c:v>247.74642736395543</c:v>
                </c:pt>
                <c:pt idx="160">
                  <c:v>245.71150271275914</c:v>
                </c:pt>
                <c:pt idx="161">
                  <c:v>247.04374404345256</c:v>
                </c:pt>
                <c:pt idx="162">
                  <c:v>229.06647895162737</c:v>
                </c:pt>
                <c:pt idx="163">
                  <c:v>229.4003385715543</c:v>
                </c:pt>
                <c:pt idx="164">
                  <c:v>229.4003385715543</c:v>
                </c:pt>
                <c:pt idx="165">
                  <c:v>266.05755207570758</c:v>
                </c:pt>
                <c:pt idx="166">
                  <c:v>257.91785347092241</c:v>
                </c:pt>
                <c:pt idx="167">
                  <c:v>256.4393615196044</c:v>
                </c:pt>
                <c:pt idx="168">
                  <c:v>255.51410511915026</c:v>
                </c:pt>
                <c:pt idx="169">
                  <c:v>246.45234726292534</c:v>
                </c:pt>
                <c:pt idx="170">
                  <c:v>247.74642736395543</c:v>
                </c:pt>
                <c:pt idx="171">
                  <c:v>234.79923205562591</c:v>
                </c:pt>
                <c:pt idx="172">
                  <c:v>247.93083921424338</c:v>
                </c:pt>
                <c:pt idx="173">
                  <c:v>250.37274879567892</c:v>
                </c:pt>
                <c:pt idx="174">
                  <c:v>252.1851003669239</c:v>
                </c:pt>
                <c:pt idx="175">
                  <c:v>225.92188604968894</c:v>
                </c:pt>
                <c:pt idx="176">
                  <c:v>249.53969832036873</c:v>
                </c:pt>
                <c:pt idx="177">
                  <c:v>258.65869802108864</c:v>
                </c:pt>
                <c:pt idx="178">
                  <c:v>231.28581545311161</c:v>
                </c:pt>
                <c:pt idx="179">
                  <c:v>252.92594491709011</c:v>
                </c:pt>
                <c:pt idx="180">
                  <c:v>247.04374404345256</c:v>
                </c:pt>
                <c:pt idx="181">
                  <c:v>261.80329092302702</c:v>
                </c:pt>
                <c:pt idx="182">
                  <c:v>253.29476861766602</c:v>
                </c:pt>
                <c:pt idx="183">
                  <c:v>246.30289949328636</c:v>
                </c:pt>
                <c:pt idx="184">
                  <c:v>245.15826716189528</c:v>
                </c:pt>
                <c:pt idx="185">
                  <c:v>230.76754398289671</c:v>
                </c:pt>
                <c:pt idx="186">
                  <c:v>252.1851003669239</c:v>
                </c:pt>
                <c:pt idx="187">
                  <c:v>244.30613607175343</c:v>
                </c:pt>
                <c:pt idx="188">
                  <c:v>243.12334251069899</c:v>
                </c:pt>
                <c:pt idx="189">
                  <c:v>227.03155430043108</c:v>
                </c:pt>
                <c:pt idx="190">
                  <c:v>242.19808611024484</c:v>
                </c:pt>
                <c:pt idx="191">
                  <c:v>249.55877893520039</c:v>
                </c:pt>
                <c:pt idx="192">
                  <c:v>243.49216621127491</c:v>
                </c:pt>
                <c:pt idx="193">
                  <c:v>255.23748734371833</c:v>
                </c:pt>
                <c:pt idx="194">
                  <c:v>254.22002501812017</c:v>
                </c:pt>
                <c:pt idx="195">
                  <c:v>259.2151307209669</c:v>
                </c:pt>
                <c:pt idx="196">
                  <c:v>240.71959415892681</c:v>
                </c:pt>
                <c:pt idx="197">
                  <c:v>258.93531579652057</c:v>
                </c:pt>
                <c:pt idx="198">
                  <c:v>252.36951221721185</c:v>
                </c:pt>
                <c:pt idx="199">
                  <c:v>253.66359231824191</c:v>
                </c:pt>
                <c:pt idx="200">
                  <c:v>230.36055905265744</c:v>
                </c:pt>
                <c:pt idx="201">
                  <c:v>251.16763804132574</c:v>
                </c:pt>
                <c:pt idx="202">
                  <c:v>254.03561316783222</c:v>
                </c:pt>
                <c:pt idx="203">
                  <c:v>271.23706962884228</c:v>
                </c:pt>
                <c:pt idx="204">
                  <c:v>260.50921082199699</c:v>
                </c:pt>
                <c:pt idx="205">
                  <c:v>242.90076943074769</c:v>
                </c:pt>
                <c:pt idx="206">
                  <c:v>247.0055828137892</c:v>
                </c:pt>
                <c:pt idx="207">
                  <c:v>256.25494966931643</c:v>
                </c:pt>
                <c:pt idx="208">
                  <c:v>237.94382495756432</c:v>
                </c:pt>
                <c:pt idx="209">
                  <c:v>253.11035676737805</c:v>
                </c:pt>
                <c:pt idx="210">
                  <c:v>248.44911068445828</c:v>
                </c:pt>
                <c:pt idx="211">
                  <c:v>251.25984396646973</c:v>
                </c:pt>
                <c:pt idx="212">
                  <c:v>226.44015751990386</c:v>
                </c:pt>
                <c:pt idx="213">
                  <c:v>256.34715559446045</c:v>
                </c:pt>
                <c:pt idx="214">
                  <c:v>246.72896503835727</c:v>
                </c:pt>
                <c:pt idx="215">
                  <c:v>233.72772503454715</c:v>
                </c:pt>
                <c:pt idx="216">
                  <c:v>254.40443686840814</c:v>
                </c:pt>
                <c:pt idx="217">
                  <c:v>255.51410511915026</c:v>
                </c:pt>
                <c:pt idx="218">
                  <c:v>258.7509039462326</c:v>
                </c:pt>
                <c:pt idx="219">
                  <c:v>238.86908135801849</c:v>
                </c:pt>
                <c:pt idx="220">
                  <c:v>259.58395442154278</c:v>
                </c:pt>
                <c:pt idx="221">
                  <c:v>248.67168376440958</c:v>
                </c:pt>
                <c:pt idx="222">
                  <c:v>259.36138134159148</c:v>
                </c:pt>
                <c:pt idx="223">
                  <c:v>261.99089992232939</c:v>
                </c:pt>
                <c:pt idx="224">
                  <c:v>241.45724156007861</c:v>
                </c:pt>
                <c:pt idx="225">
                  <c:v>266.33416985113951</c:v>
                </c:pt>
                <c:pt idx="226">
                  <c:v>252.36951221721185</c:v>
                </c:pt>
                <c:pt idx="227">
                  <c:v>222.40846944717464</c:v>
                </c:pt>
                <c:pt idx="228">
                  <c:v>259.2151307209669</c:v>
                </c:pt>
                <c:pt idx="229">
                  <c:v>255.60631104429422</c:v>
                </c:pt>
                <c:pt idx="230">
                  <c:v>233.28257887464454</c:v>
                </c:pt>
                <c:pt idx="231">
                  <c:v>255.97833189388453</c:v>
                </c:pt>
                <c:pt idx="232">
                  <c:v>252.74153306680216</c:v>
                </c:pt>
                <c:pt idx="233">
                  <c:v>254.58884871869608</c:v>
                </c:pt>
                <c:pt idx="234">
                  <c:v>263.28178287434508</c:v>
                </c:pt>
                <c:pt idx="235">
                  <c:v>244.23301076144111</c:v>
                </c:pt>
                <c:pt idx="236">
                  <c:v>248.94830153984151</c:v>
                </c:pt>
                <c:pt idx="237">
                  <c:v>254.22002501812017</c:v>
                </c:pt>
                <c:pt idx="238">
                  <c:v>270.03199830394175</c:v>
                </c:pt>
                <c:pt idx="239">
                  <c:v>223.62942423789241</c:v>
                </c:pt>
                <c:pt idx="240">
                  <c:v>269.38655682793393</c:v>
                </c:pt>
                <c:pt idx="241">
                  <c:v>260.02910058144539</c:v>
                </c:pt>
                <c:pt idx="242">
                  <c:v>259.6761603466868</c:v>
                </c:pt>
                <c:pt idx="243">
                  <c:v>253.33292984732935</c:v>
                </c:pt>
                <c:pt idx="244">
                  <c:v>248.15341229419468</c:v>
                </c:pt>
                <c:pt idx="245">
                  <c:v>237.64812656730072</c:v>
                </c:pt>
                <c:pt idx="246">
                  <c:v>248.56039722443393</c:v>
                </c:pt>
                <c:pt idx="247">
                  <c:v>264.94788382496546</c:v>
                </c:pt>
                <c:pt idx="248">
                  <c:v>258.14362369988817</c:v>
                </c:pt>
                <c:pt idx="249">
                  <c:v>264.20703927479923</c:v>
                </c:pt>
                <c:pt idx="250">
                  <c:v>244.23301076144111</c:v>
                </c:pt>
                <c:pt idx="251">
                  <c:v>233.72772503454715</c:v>
                </c:pt>
                <c:pt idx="252">
                  <c:v>256.03237658936513</c:v>
                </c:pt>
                <c:pt idx="253">
                  <c:v>253.84800416852988</c:v>
                </c:pt>
                <c:pt idx="254">
                  <c:v>257.18020606977063</c:v>
                </c:pt>
                <c:pt idx="255">
                  <c:v>237.98198618722768</c:v>
                </c:pt>
                <c:pt idx="256">
                  <c:v>249.55877893520039</c:v>
                </c:pt>
                <c:pt idx="257">
                  <c:v>243.93731237117751</c:v>
                </c:pt>
                <c:pt idx="258">
                  <c:v>258.47428617080067</c:v>
                </c:pt>
                <c:pt idx="259">
                  <c:v>225.73747419940099</c:v>
                </c:pt>
                <c:pt idx="260">
                  <c:v>268.61074819711877</c:v>
                </c:pt>
                <c:pt idx="261">
                  <c:v>239.64488998883365</c:v>
                </c:pt>
                <c:pt idx="262">
                  <c:v>242.99297535589167</c:v>
                </c:pt>
                <c:pt idx="263">
                  <c:v>251.03727088651843</c:v>
                </c:pt>
                <c:pt idx="264">
                  <c:v>241.45724156007861</c:v>
                </c:pt>
                <c:pt idx="265">
                  <c:v>255.1802454992233</c:v>
                </c:pt>
                <c:pt idx="266">
                  <c:v>256.81138236919469</c:v>
                </c:pt>
                <c:pt idx="267">
                  <c:v>237.53684002732507</c:v>
                </c:pt>
                <c:pt idx="268">
                  <c:v>243.89915114151415</c:v>
                </c:pt>
                <c:pt idx="269">
                  <c:v>247.74642736395543</c:v>
                </c:pt>
                <c:pt idx="270">
                  <c:v>234.61482020533796</c:v>
                </c:pt>
                <c:pt idx="271">
                  <c:v>254.10873847814452</c:v>
                </c:pt>
                <c:pt idx="272">
                  <c:v>257.91785347092241</c:v>
                </c:pt>
                <c:pt idx="273">
                  <c:v>243.86098991185082</c:v>
                </c:pt>
                <c:pt idx="274">
                  <c:v>233.68956380488379</c:v>
                </c:pt>
                <c:pt idx="275">
                  <c:v>242.2902920353888</c:v>
                </c:pt>
                <c:pt idx="276">
                  <c:v>253.2216433073537</c:v>
                </c:pt>
                <c:pt idx="277">
                  <c:v>247.63514082397978</c:v>
                </c:pt>
                <c:pt idx="278">
                  <c:v>251.18671865615744</c:v>
                </c:pt>
                <c:pt idx="279">
                  <c:v>254.92270833862304</c:v>
                </c:pt>
                <c:pt idx="280">
                  <c:v>233.43202664428355</c:v>
                </c:pt>
                <c:pt idx="281">
                  <c:v>242.90076943074769</c:v>
                </c:pt>
                <c:pt idx="282">
                  <c:v>250.26146225570326</c:v>
                </c:pt>
                <c:pt idx="283">
                  <c:v>234.46856958471332</c:v>
                </c:pt>
                <c:pt idx="284">
                  <c:v>255.32969326886229</c:v>
                </c:pt>
                <c:pt idx="285">
                  <c:v>238.68466950773052</c:v>
                </c:pt>
                <c:pt idx="286">
                  <c:v>251.88940197666028</c:v>
                </c:pt>
                <c:pt idx="287">
                  <c:v>253.73991477756863</c:v>
                </c:pt>
                <c:pt idx="288">
                  <c:v>244.78624631230497</c:v>
                </c:pt>
                <c:pt idx="289">
                  <c:v>246.22977418297404</c:v>
                </c:pt>
                <c:pt idx="290">
                  <c:v>256.95763298981933</c:v>
                </c:pt>
                <c:pt idx="291">
                  <c:v>246.70988442352561</c:v>
                </c:pt>
                <c:pt idx="292">
                  <c:v>258.10546247022478</c:v>
                </c:pt>
                <c:pt idx="293">
                  <c:v>264.42961235475053</c:v>
                </c:pt>
                <c:pt idx="294">
                  <c:v>232.39548370385373</c:v>
                </c:pt>
                <c:pt idx="295">
                  <c:v>257.54902977034652</c:v>
                </c:pt>
                <c:pt idx="296">
                  <c:v>254.29315032843249</c:v>
                </c:pt>
                <c:pt idx="297">
                  <c:v>257.99417593024913</c:v>
                </c:pt>
                <c:pt idx="298">
                  <c:v>250.89102026589381</c:v>
                </c:pt>
                <c:pt idx="299">
                  <c:v>231.47022730339955</c:v>
                </c:pt>
                <c:pt idx="300">
                  <c:v>263.9113408845356</c:v>
                </c:pt>
                <c:pt idx="301">
                  <c:v>248.85609561469755</c:v>
                </c:pt>
                <c:pt idx="302">
                  <c:v>248.85609561469755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A10-4FA5-99E6-F40984803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3133200"/>
        <c:axId val="983130320"/>
      </c:scatterChart>
      <c:valAx>
        <c:axId val="9831332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trtbps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83130320"/>
        <c:crosses val="autoZero"/>
        <c:crossBetween val="midCat"/>
      </c:valAx>
      <c:valAx>
        <c:axId val="98313032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chol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83133200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Normal Probability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regression!$AE$27:$AE$329</c:f>
              <c:numCache>
                <c:formatCode>General</c:formatCode>
                <c:ptCount val="303"/>
                <c:pt idx="0">
                  <c:v>0.16501650165016502</c:v>
                </c:pt>
                <c:pt idx="1">
                  <c:v>0.49504950495049505</c:v>
                </c:pt>
                <c:pt idx="2">
                  <c:v>0.82508250825082508</c:v>
                </c:pt>
                <c:pt idx="3">
                  <c:v>1.1551155115511551</c:v>
                </c:pt>
                <c:pt idx="4">
                  <c:v>1.4851485148514851</c:v>
                </c:pt>
                <c:pt idx="5">
                  <c:v>1.8151815181518152</c:v>
                </c:pt>
                <c:pt idx="6">
                  <c:v>2.1452145214521452</c:v>
                </c:pt>
                <c:pt idx="7">
                  <c:v>2.4752475247524752</c:v>
                </c:pt>
                <c:pt idx="8">
                  <c:v>2.8052805280528053</c:v>
                </c:pt>
                <c:pt idx="9">
                  <c:v>3.1353135313531353</c:v>
                </c:pt>
                <c:pt idx="10">
                  <c:v>3.4653465346534653</c:v>
                </c:pt>
                <c:pt idx="11">
                  <c:v>3.7953795379537953</c:v>
                </c:pt>
                <c:pt idx="12">
                  <c:v>4.1254125412541249</c:v>
                </c:pt>
                <c:pt idx="13">
                  <c:v>4.4554455445544559</c:v>
                </c:pt>
                <c:pt idx="14">
                  <c:v>4.785478547854785</c:v>
                </c:pt>
                <c:pt idx="15">
                  <c:v>5.1155115511551159</c:v>
                </c:pt>
                <c:pt idx="16">
                  <c:v>5.4455445544554451</c:v>
                </c:pt>
                <c:pt idx="17">
                  <c:v>5.775577557755776</c:v>
                </c:pt>
                <c:pt idx="18">
                  <c:v>6.1056105610561051</c:v>
                </c:pt>
                <c:pt idx="19">
                  <c:v>6.435643564356436</c:v>
                </c:pt>
                <c:pt idx="20">
                  <c:v>6.7656765676567652</c:v>
                </c:pt>
                <c:pt idx="21">
                  <c:v>7.0957095709570961</c:v>
                </c:pt>
                <c:pt idx="22">
                  <c:v>7.4257425742574252</c:v>
                </c:pt>
                <c:pt idx="23">
                  <c:v>7.7557755775577562</c:v>
                </c:pt>
                <c:pt idx="24">
                  <c:v>8.0858085808580853</c:v>
                </c:pt>
                <c:pt idx="25">
                  <c:v>8.4158415841584144</c:v>
                </c:pt>
                <c:pt idx="26">
                  <c:v>8.7458745874587454</c:v>
                </c:pt>
                <c:pt idx="27">
                  <c:v>9.0759075907590763</c:v>
                </c:pt>
                <c:pt idx="28">
                  <c:v>9.4059405940594054</c:v>
                </c:pt>
                <c:pt idx="29">
                  <c:v>9.7359735973597346</c:v>
                </c:pt>
                <c:pt idx="30">
                  <c:v>10.066006600660065</c:v>
                </c:pt>
                <c:pt idx="31">
                  <c:v>10.396039603960396</c:v>
                </c:pt>
                <c:pt idx="32">
                  <c:v>10.726072607260726</c:v>
                </c:pt>
                <c:pt idx="33">
                  <c:v>11.056105610561055</c:v>
                </c:pt>
                <c:pt idx="34">
                  <c:v>11.386138613861386</c:v>
                </c:pt>
                <c:pt idx="35">
                  <c:v>11.716171617161717</c:v>
                </c:pt>
                <c:pt idx="36">
                  <c:v>12.046204620462046</c:v>
                </c:pt>
                <c:pt idx="37">
                  <c:v>12.376237623762375</c:v>
                </c:pt>
                <c:pt idx="38">
                  <c:v>12.706270627062706</c:v>
                </c:pt>
                <c:pt idx="39">
                  <c:v>13.036303630363037</c:v>
                </c:pt>
                <c:pt idx="40">
                  <c:v>13.366336633663366</c:v>
                </c:pt>
                <c:pt idx="41">
                  <c:v>13.696369636963695</c:v>
                </c:pt>
                <c:pt idx="42">
                  <c:v>14.026402640264026</c:v>
                </c:pt>
                <c:pt idx="43">
                  <c:v>14.356435643564357</c:v>
                </c:pt>
                <c:pt idx="44">
                  <c:v>14.686468646864686</c:v>
                </c:pt>
                <c:pt idx="45">
                  <c:v>15.016501650165015</c:v>
                </c:pt>
                <c:pt idx="46">
                  <c:v>15.346534653465346</c:v>
                </c:pt>
                <c:pt idx="47">
                  <c:v>15.676567656765677</c:v>
                </c:pt>
                <c:pt idx="48">
                  <c:v>16.006600660066006</c:v>
                </c:pt>
                <c:pt idx="49">
                  <c:v>16.336633663366335</c:v>
                </c:pt>
                <c:pt idx="50">
                  <c:v>16.666666666666664</c:v>
                </c:pt>
                <c:pt idx="51">
                  <c:v>16.996699669966997</c:v>
                </c:pt>
                <c:pt idx="52">
                  <c:v>17.326732673267326</c:v>
                </c:pt>
                <c:pt idx="53">
                  <c:v>17.656765676567655</c:v>
                </c:pt>
                <c:pt idx="54">
                  <c:v>17.986798679867988</c:v>
                </c:pt>
                <c:pt idx="55">
                  <c:v>18.316831683168317</c:v>
                </c:pt>
                <c:pt idx="56">
                  <c:v>18.646864686468646</c:v>
                </c:pt>
                <c:pt idx="57">
                  <c:v>18.976897689768975</c:v>
                </c:pt>
                <c:pt idx="58">
                  <c:v>19.306930693069305</c:v>
                </c:pt>
                <c:pt idx="59">
                  <c:v>19.636963696369637</c:v>
                </c:pt>
                <c:pt idx="60">
                  <c:v>19.966996699669966</c:v>
                </c:pt>
                <c:pt idx="61">
                  <c:v>20.297029702970296</c:v>
                </c:pt>
                <c:pt idx="62">
                  <c:v>20.627062706270628</c:v>
                </c:pt>
                <c:pt idx="63">
                  <c:v>20.957095709570957</c:v>
                </c:pt>
                <c:pt idx="64">
                  <c:v>21.287128712871286</c:v>
                </c:pt>
                <c:pt idx="65">
                  <c:v>21.617161716171616</c:v>
                </c:pt>
                <c:pt idx="66">
                  <c:v>21.947194719471945</c:v>
                </c:pt>
                <c:pt idx="67">
                  <c:v>22.277227722772277</c:v>
                </c:pt>
                <c:pt idx="68">
                  <c:v>22.607260726072607</c:v>
                </c:pt>
                <c:pt idx="69">
                  <c:v>22.937293729372936</c:v>
                </c:pt>
                <c:pt idx="70">
                  <c:v>23.267326732673268</c:v>
                </c:pt>
                <c:pt idx="71">
                  <c:v>23.597359735973598</c:v>
                </c:pt>
                <c:pt idx="72">
                  <c:v>23.927392739273927</c:v>
                </c:pt>
                <c:pt idx="73">
                  <c:v>24.257425742574256</c:v>
                </c:pt>
                <c:pt idx="74">
                  <c:v>24.587458745874585</c:v>
                </c:pt>
                <c:pt idx="75">
                  <c:v>24.917491749174918</c:v>
                </c:pt>
                <c:pt idx="76">
                  <c:v>25.247524752475247</c:v>
                </c:pt>
                <c:pt idx="77">
                  <c:v>25.577557755775576</c:v>
                </c:pt>
                <c:pt idx="78">
                  <c:v>25.907590759075909</c:v>
                </c:pt>
                <c:pt idx="79">
                  <c:v>26.237623762376238</c:v>
                </c:pt>
                <c:pt idx="80">
                  <c:v>26.567656765676567</c:v>
                </c:pt>
                <c:pt idx="81">
                  <c:v>26.897689768976896</c:v>
                </c:pt>
                <c:pt idx="82">
                  <c:v>27.227722772277225</c:v>
                </c:pt>
                <c:pt idx="83">
                  <c:v>27.557755775577558</c:v>
                </c:pt>
                <c:pt idx="84">
                  <c:v>27.887788778877887</c:v>
                </c:pt>
                <c:pt idx="85">
                  <c:v>28.217821782178216</c:v>
                </c:pt>
                <c:pt idx="86">
                  <c:v>28.547854785478549</c:v>
                </c:pt>
                <c:pt idx="87">
                  <c:v>28.877887788778878</c:v>
                </c:pt>
                <c:pt idx="88">
                  <c:v>29.207920792079207</c:v>
                </c:pt>
                <c:pt idx="89">
                  <c:v>29.537953795379536</c:v>
                </c:pt>
                <c:pt idx="90">
                  <c:v>29.867986798679866</c:v>
                </c:pt>
                <c:pt idx="91">
                  <c:v>30.198019801980198</c:v>
                </c:pt>
                <c:pt idx="92">
                  <c:v>30.528052805280527</c:v>
                </c:pt>
                <c:pt idx="93">
                  <c:v>30.858085808580856</c:v>
                </c:pt>
                <c:pt idx="94">
                  <c:v>31.188118811881189</c:v>
                </c:pt>
                <c:pt idx="95">
                  <c:v>31.518151815181518</c:v>
                </c:pt>
                <c:pt idx="96">
                  <c:v>31.848184818481847</c:v>
                </c:pt>
                <c:pt idx="97">
                  <c:v>32.178217821782177</c:v>
                </c:pt>
                <c:pt idx="98">
                  <c:v>32.508250825082506</c:v>
                </c:pt>
                <c:pt idx="99">
                  <c:v>32.838283828382835</c:v>
                </c:pt>
                <c:pt idx="100">
                  <c:v>33.168316831683164</c:v>
                </c:pt>
                <c:pt idx="101">
                  <c:v>33.4983498349835</c:v>
                </c:pt>
                <c:pt idx="102">
                  <c:v>33.828382838283829</c:v>
                </c:pt>
                <c:pt idx="103">
                  <c:v>34.158415841584159</c:v>
                </c:pt>
                <c:pt idx="104">
                  <c:v>34.488448844884488</c:v>
                </c:pt>
                <c:pt idx="105">
                  <c:v>34.818481848184817</c:v>
                </c:pt>
                <c:pt idx="106">
                  <c:v>35.148514851485146</c:v>
                </c:pt>
                <c:pt idx="107">
                  <c:v>35.478547854785475</c:v>
                </c:pt>
                <c:pt idx="108">
                  <c:v>35.808580858085811</c:v>
                </c:pt>
                <c:pt idx="109">
                  <c:v>36.138613861386141</c:v>
                </c:pt>
                <c:pt idx="110">
                  <c:v>36.46864686468647</c:v>
                </c:pt>
                <c:pt idx="111">
                  <c:v>36.798679867986799</c:v>
                </c:pt>
                <c:pt idx="112">
                  <c:v>37.128712871287128</c:v>
                </c:pt>
                <c:pt idx="113">
                  <c:v>37.458745874587457</c:v>
                </c:pt>
                <c:pt idx="114">
                  <c:v>37.788778877887786</c:v>
                </c:pt>
                <c:pt idx="115">
                  <c:v>38.118811881188115</c:v>
                </c:pt>
                <c:pt idx="116">
                  <c:v>38.448844884488445</c:v>
                </c:pt>
                <c:pt idx="117">
                  <c:v>38.778877887788781</c:v>
                </c:pt>
                <c:pt idx="118">
                  <c:v>39.10891089108911</c:v>
                </c:pt>
                <c:pt idx="119">
                  <c:v>39.438943894389439</c:v>
                </c:pt>
                <c:pt idx="120">
                  <c:v>39.768976897689768</c:v>
                </c:pt>
                <c:pt idx="121">
                  <c:v>40.099009900990097</c:v>
                </c:pt>
                <c:pt idx="122">
                  <c:v>40.429042904290426</c:v>
                </c:pt>
                <c:pt idx="123">
                  <c:v>40.759075907590756</c:v>
                </c:pt>
                <c:pt idx="124">
                  <c:v>41.089108910891092</c:v>
                </c:pt>
                <c:pt idx="125">
                  <c:v>41.419141914191421</c:v>
                </c:pt>
                <c:pt idx="126">
                  <c:v>41.74917491749175</c:v>
                </c:pt>
                <c:pt idx="127">
                  <c:v>42.079207920792079</c:v>
                </c:pt>
                <c:pt idx="128">
                  <c:v>42.409240924092408</c:v>
                </c:pt>
                <c:pt idx="129">
                  <c:v>42.739273927392738</c:v>
                </c:pt>
                <c:pt idx="130">
                  <c:v>43.069306930693067</c:v>
                </c:pt>
                <c:pt idx="131">
                  <c:v>43.399339933993396</c:v>
                </c:pt>
                <c:pt idx="132">
                  <c:v>43.729372937293725</c:v>
                </c:pt>
                <c:pt idx="133">
                  <c:v>44.059405940594061</c:v>
                </c:pt>
                <c:pt idx="134">
                  <c:v>44.38943894389439</c:v>
                </c:pt>
                <c:pt idx="135">
                  <c:v>44.71947194719472</c:v>
                </c:pt>
                <c:pt idx="136">
                  <c:v>45.049504950495049</c:v>
                </c:pt>
                <c:pt idx="137">
                  <c:v>45.379537953795378</c:v>
                </c:pt>
                <c:pt idx="138">
                  <c:v>45.709570957095707</c:v>
                </c:pt>
                <c:pt idx="139">
                  <c:v>46.039603960396036</c:v>
                </c:pt>
                <c:pt idx="140">
                  <c:v>46.369636963696372</c:v>
                </c:pt>
                <c:pt idx="141">
                  <c:v>46.699669966996701</c:v>
                </c:pt>
                <c:pt idx="142">
                  <c:v>47.029702970297031</c:v>
                </c:pt>
                <c:pt idx="143">
                  <c:v>47.35973597359736</c:v>
                </c:pt>
                <c:pt idx="144">
                  <c:v>47.689768976897689</c:v>
                </c:pt>
                <c:pt idx="145">
                  <c:v>48.019801980198018</c:v>
                </c:pt>
                <c:pt idx="146">
                  <c:v>48.349834983498347</c:v>
                </c:pt>
                <c:pt idx="147">
                  <c:v>48.679867986798676</c:v>
                </c:pt>
                <c:pt idx="148">
                  <c:v>49.009900990099005</c:v>
                </c:pt>
                <c:pt idx="149">
                  <c:v>49.339933993399342</c:v>
                </c:pt>
                <c:pt idx="150">
                  <c:v>49.669966996699671</c:v>
                </c:pt>
                <c:pt idx="151">
                  <c:v>50</c:v>
                </c:pt>
                <c:pt idx="152">
                  <c:v>50.330033003300329</c:v>
                </c:pt>
                <c:pt idx="153">
                  <c:v>50.660066006600658</c:v>
                </c:pt>
                <c:pt idx="154">
                  <c:v>50.990099009900987</c:v>
                </c:pt>
                <c:pt idx="155">
                  <c:v>51.320132013201317</c:v>
                </c:pt>
                <c:pt idx="156">
                  <c:v>51.650165016501653</c:v>
                </c:pt>
                <c:pt idx="157">
                  <c:v>51.980198019801982</c:v>
                </c:pt>
                <c:pt idx="158">
                  <c:v>52.310231023102311</c:v>
                </c:pt>
                <c:pt idx="159">
                  <c:v>52.64026402640264</c:v>
                </c:pt>
                <c:pt idx="160">
                  <c:v>52.970297029702969</c:v>
                </c:pt>
                <c:pt idx="161">
                  <c:v>53.300330033003299</c:v>
                </c:pt>
                <c:pt idx="162">
                  <c:v>53.630363036303628</c:v>
                </c:pt>
                <c:pt idx="163">
                  <c:v>53.960396039603957</c:v>
                </c:pt>
                <c:pt idx="164">
                  <c:v>54.290429042904286</c:v>
                </c:pt>
                <c:pt idx="165">
                  <c:v>54.620462046204622</c:v>
                </c:pt>
                <c:pt idx="166">
                  <c:v>54.950495049504951</c:v>
                </c:pt>
                <c:pt idx="167">
                  <c:v>55.28052805280528</c:v>
                </c:pt>
                <c:pt idx="168">
                  <c:v>55.61056105610561</c:v>
                </c:pt>
                <c:pt idx="169">
                  <c:v>55.940594059405939</c:v>
                </c:pt>
                <c:pt idx="170">
                  <c:v>56.270627062706268</c:v>
                </c:pt>
                <c:pt idx="171">
                  <c:v>56.600660066006597</c:v>
                </c:pt>
                <c:pt idx="172">
                  <c:v>56.930693069306933</c:v>
                </c:pt>
                <c:pt idx="173">
                  <c:v>57.260726072607262</c:v>
                </c:pt>
                <c:pt idx="174">
                  <c:v>57.590759075907592</c:v>
                </c:pt>
                <c:pt idx="175">
                  <c:v>57.920792079207921</c:v>
                </c:pt>
                <c:pt idx="176">
                  <c:v>58.25082508250825</c:v>
                </c:pt>
                <c:pt idx="177">
                  <c:v>58.580858085808579</c:v>
                </c:pt>
                <c:pt idx="178">
                  <c:v>58.910891089108908</c:v>
                </c:pt>
                <c:pt idx="179">
                  <c:v>59.240924092409237</c:v>
                </c:pt>
                <c:pt idx="180">
                  <c:v>59.570957095709566</c:v>
                </c:pt>
                <c:pt idx="181">
                  <c:v>59.900990099009903</c:v>
                </c:pt>
                <c:pt idx="182">
                  <c:v>60.231023102310232</c:v>
                </c:pt>
                <c:pt idx="183">
                  <c:v>60.561056105610561</c:v>
                </c:pt>
                <c:pt idx="184">
                  <c:v>60.89108910891089</c:v>
                </c:pt>
                <c:pt idx="185">
                  <c:v>61.221122112211219</c:v>
                </c:pt>
                <c:pt idx="186">
                  <c:v>61.551155115511548</c:v>
                </c:pt>
                <c:pt idx="187">
                  <c:v>61.881188118811878</c:v>
                </c:pt>
                <c:pt idx="188">
                  <c:v>62.211221122112214</c:v>
                </c:pt>
                <c:pt idx="189">
                  <c:v>62.541254125412543</c:v>
                </c:pt>
                <c:pt idx="190">
                  <c:v>62.871287128712872</c:v>
                </c:pt>
                <c:pt idx="191">
                  <c:v>63.201320132013201</c:v>
                </c:pt>
                <c:pt idx="192">
                  <c:v>63.53135313531353</c:v>
                </c:pt>
                <c:pt idx="193">
                  <c:v>63.861386138613859</c:v>
                </c:pt>
                <c:pt idx="194">
                  <c:v>64.191419141914196</c:v>
                </c:pt>
                <c:pt idx="195">
                  <c:v>64.521452145214525</c:v>
                </c:pt>
                <c:pt idx="196">
                  <c:v>64.851485148514854</c:v>
                </c:pt>
                <c:pt idx="197">
                  <c:v>65.181518151815183</c:v>
                </c:pt>
                <c:pt idx="198">
                  <c:v>65.511551155115512</c:v>
                </c:pt>
                <c:pt idx="199">
                  <c:v>65.841584158415841</c:v>
                </c:pt>
                <c:pt idx="200">
                  <c:v>66.171617161716171</c:v>
                </c:pt>
                <c:pt idx="201">
                  <c:v>66.501650165016514</c:v>
                </c:pt>
                <c:pt idx="202">
                  <c:v>66.831683168316843</c:v>
                </c:pt>
                <c:pt idx="203">
                  <c:v>67.161716171617172</c:v>
                </c:pt>
                <c:pt idx="204">
                  <c:v>67.491749174917501</c:v>
                </c:pt>
                <c:pt idx="205">
                  <c:v>67.821782178217831</c:v>
                </c:pt>
                <c:pt idx="206">
                  <c:v>68.15181518151816</c:v>
                </c:pt>
                <c:pt idx="207">
                  <c:v>68.481848184818489</c:v>
                </c:pt>
                <c:pt idx="208">
                  <c:v>68.811881188118818</c:v>
                </c:pt>
                <c:pt idx="209">
                  <c:v>69.141914191419147</c:v>
                </c:pt>
                <c:pt idx="210">
                  <c:v>69.471947194719476</c:v>
                </c:pt>
                <c:pt idx="211">
                  <c:v>69.801980198019805</c:v>
                </c:pt>
                <c:pt idx="212">
                  <c:v>70.132013201320134</c:v>
                </c:pt>
                <c:pt idx="213">
                  <c:v>70.462046204620464</c:v>
                </c:pt>
                <c:pt idx="214">
                  <c:v>70.792079207920793</c:v>
                </c:pt>
                <c:pt idx="215">
                  <c:v>71.122112211221122</c:v>
                </c:pt>
                <c:pt idx="216">
                  <c:v>71.452145214521465</c:v>
                </c:pt>
                <c:pt idx="217">
                  <c:v>71.782178217821794</c:v>
                </c:pt>
                <c:pt idx="218">
                  <c:v>72.112211221122124</c:v>
                </c:pt>
                <c:pt idx="219">
                  <c:v>72.442244224422453</c:v>
                </c:pt>
                <c:pt idx="220">
                  <c:v>72.772277227722782</c:v>
                </c:pt>
                <c:pt idx="221">
                  <c:v>73.102310231023111</c:v>
                </c:pt>
                <c:pt idx="222">
                  <c:v>73.43234323432344</c:v>
                </c:pt>
                <c:pt idx="223">
                  <c:v>73.762376237623769</c:v>
                </c:pt>
                <c:pt idx="224">
                  <c:v>74.092409240924098</c:v>
                </c:pt>
                <c:pt idx="225">
                  <c:v>74.422442244224428</c:v>
                </c:pt>
                <c:pt idx="226">
                  <c:v>74.752475247524757</c:v>
                </c:pt>
                <c:pt idx="227">
                  <c:v>75.082508250825086</c:v>
                </c:pt>
                <c:pt idx="228">
                  <c:v>75.412541254125415</c:v>
                </c:pt>
                <c:pt idx="229">
                  <c:v>75.742574257425744</c:v>
                </c:pt>
                <c:pt idx="230">
                  <c:v>76.072607260726073</c:v>
                </c:pt>
                <c:pt idx="231">
                  <c:v>76.402640264026402</c:v>
                </c:pt>
                <c:pt idx="232">
                  <c:v>76.732673267326732</c:v>
                </c:pt>
                <c:pt idx="233">
                  <c:v>77.062706270627075</c:v>
                </c:pt>
                <c:pt idx="234">
                  <c:v>77.392739273927404</c:v>
                </c:pt>
                <c:pt idx="235">
                  <c:v>77.722772277227733</c:v>
                </c:pt>
                <c:pt idx="236">
                  <c:v>78.052805280528062</c:v>
                </c:pt>
                <c:pt idx="237">
                  <c:v>78.382838283828391</c:v>
                </c:pt>
                <c:pt idx="238">
                  <c:v>78.712871287128721</c:v>
                </c:pt>
                <c:pt idx="239">
                  <c:v>79.04290429042905</c:v>
                </c:pt>
                <c:pt idx="240">
                  <c:v>79.372937293729379</c:v>
                </c:pt>
                <c:pt idx="241">
                  <c:v>79.702970297029708</c:v>
                </c:pt>
                <c:pt idx="242">
                  <c:v>80.033003300330037</c:v>
                </c:pt>
                <c:pt idx="243">
                  <c:v>80.363036303630366</c:v>
                </c:pt>
                <c:pt idx="244">
                  <c:v>80.693069306930695</c:v>
                </c:pt>
                <c:pt idx="245">
                  <c:v>81.023102310231025</c:v>
                </c:pt>
                <c:pt idx="246">
                  <c:v>81.353135313531354</c:v>
                </c:pt>
                <c:pt idx="247">
                  <c:v>81.683168316831683</c:v>
                </c:pt>
                <c:pt idx="248">
                  <c:v>82.013201320132026</c:v>
                </c:pt>
                <c:pt idx="249">
                  <c:v>82.343234323432355</c:v>
                </c:pt>
                <c:pt idx="250">
                  <c:v>82.673267326732685</c:v>
                </c:pt>
                <c:pt idx="251">
                  <c:v>83.003300330033014</c:v>
                </c:pt>
                <c:pt idx="252">
                  <c:v>83.333333333333343</c:v>
                </c:pt>
                <c:pt idx="253">
                  <c:v>83.663366336633672</c:v>
                </c:pt>
                <c:pt idx="254">
                  <c:v>83.993399339934001</c:v>
                </c:pt>
                <c:pt idx="255">
                  <c:v>84.32343234323433</c:v>
                </c:pt>
                <c:pt idx="256">
                  <c:v>84.653465346534659</c:v>
                </c:pt>
                <c:pt idx="257">
                  <c:v>84.983498349834989</c:v>
                </c:pt>
                <c:pt idx="258">
                  <c:v>85.313531353135318</c:v>
                </c:pt>
                <c:pt idx="259">
                  <c:v>85.643564356435647</c:v>
                </c:pt>
                <c:pt idx="260">
                  <c:v>85.973597359735976</c:v>
                </c:pt>
                <c:pt idx="261">
                  <c:v>86.303630363036305</c:v>
                </c:pt>
                <c:pt idx="262">
                  <c:v>86.633663366336634</c:v>
                </c:pt>
                <c:pt idx="263">
                  <c:v>86.963696369636963</c:v>
                </c:pt>
                <c:pt idx="264">
                  <c:v>87.293729372937293</c:v>
                </c:pt>
                <c:pt idx="265">
                  <c:v>87.623762376237636</c:v>
                </c:pt>
                <c:pt idx="266">
                  <c:v>87.953795379537965</c:v>
                </c:pt>
                <c:pt idx="267">
                  <c:v>88.283828382838294</c:v>
                </c:pt>
                <c:pt idx="268">
                  <c:v>88.613861386138623</c:v>
                </c:pt>
                <c:pt idx="269">
                  <c:v>88.943894389438952</c:v>
                </c:pt>
                <c:pt idx="270">
                  <c:v>89.273927392739282</c:v>
                </c:pt>
                <c:pt idx="271">
                  <c:v>89.603960396039611</c:v>
                </c:pt>
                <c:pt idx="272">
                  <c:v>89.93399339933994</c:v>
                </c:pt>
                <c:pt idx="273">
                  <c:v>90.264026402640269</c:v>
                </c:pt>
                <c:pt idx="274">
                  <c:v>90.594059405940598</c:v>
                </c:pt>
                <c:pt idx="275">
                  <c:v>90.924092409240927</c:v>
                </c:pt>
                <c:pt idx="276">
                  <c:v>91.254125412541256</c:v>
                </c:pt>
                <c:pt idx="277">
                  <c:v>91.584158415841586</c:v>
                </c:pt>
                <c:pt idx="278">
                  <c:v>91.914191419141915</c:v>
                </c:pt>
                <c:pt idx="279">
                  <c:v>92.244224422442244</c:v>
                </c:pt>
                <c:pt idx="280">
                  <c:v>92.574257425742587</c:v>
                </c:pt>
                <c:pt idx="281">
                  <c:v>92.904290429042916</c:v>
                </c:pt>
                <c:pt idx="282">
                  <c:v>93.234323432343245</c:v>
                </c:pt>
                <c:pt idx="283">
                  <c:v>93.564356435643575</c:v>
                </c:pt>
                <c:pt idx="284">
                  <c:v>93.894389438943904</c:v>
                </c:pt>
                <c:pt idx="285">
                  <c:v>94.224422442244233</c:v>
                </c:pt>
                <c:pt idx="286">
                  <c:v>94.554455445544562</c:v>
                </c:pt>
                <c:pt idx="287">
                  <c:v>94.884488448844891</c:v>
                </c:pt>
                <c:pt idx="288">
                  <c:v>95.21452145214522</c:v>
                </c:pt>
                <c:pt idx="289">
                  <c:v>95.544554455445549</c:v>
                </c:pt>
                <c:pt idx="290">
                  <c:v>95.874587458745879</c:v>
                </c:pt>
                <c:pt idx="291">
                  <c:v>96.204620462046208</c:v>
                </c:pt>
                <c:pt idx="292">
                  <c:v>96.534653465346537</c:v>
                </c:pt>
                <c:pt idx="293">
                  <c:v>96.864686468646866</c:v>
                </c:pt>
                <c:pt idx="294">
                  <c:v>97.194719471947195</c:v>
                </c:pt>
                <c:pt idx="295">
                  <c:v>97.524752475247524</c:v>
                </c:pt>
                <c:pt idx="296">
                  <c:v>97.854785478547853</c:v>
                </c:pt>
                <c:pt idx="297">
                  <c:v>98.184818481848197</c:v>
                </c:pt>
                <c:pt idx="298">
                  <c:v>98.514851485148526</c:v>
                </c:pt>
                <c:pt idx="299">
                  <c:v>98.844884488448855</c:v>
                </c:pt>
                <c:pt idx="300">
                  <c:v>99.174917491749184</c:v>
                </c:pt>
                <c:pt idx="301">
                  <c:v>99.504950495049513</c:v>
                </c:pt>
                <c:pt idx="302">
                  <c:v>99.834983498349843</c:v>
                </c:pt>
              </c:numCache>
            </c:numRef>
          </c:xVal>
          <c:yVal>
            <c:numRef>
              <c:f>regression!$AF$27:$AF$329</c:f>
              <c:numCache>
                <c:formatCode>General</c:formatCode>
                <c:ptCount val="303"/>
                <c:pt idx="0">
                  <c:v>126</c:v>
                </c:pt>
                <c:pt idx="1">
                  <c:v>131</c:v>
                </c:pt>
                <c:pt idx="2">
                  <c:v>141</c:v>
                </c:pt>
                <c:pt idx="3">
                  <c:v>149</c:v>
                </c:pt>
                <c:pt idx="4">
                  <c:v>149</c:v>
                </c:pt>
                <c:pt idx="5">
                  <c:v>157</c:v>
                </c:pt>
                <c:pt idx="6">
                  <c:v>160</c:v>
                </c:pt>
                <c:pt idx="7">
                  <c:v>164</c:v>
                </c:pt>
                <c:pt idx="8">
                  <c:v>166</c:v>
                </c:pt>
                <c:pt idx="9">
                  <c:v>167</c:v>
                </c:pt>
                <c:pt idx="10">
                  <c:v>168</c:v>
                </c:pt>
                <c:pt idx="11">
                  <c:v>169</c:v>
                </c:pt>
                <c:pt idx="12">
                  <c:v>172</c:v>
                </c:pt>
                <c:pt idx="13">
                  <c:v>174</c:v>
                </c:pt>
                <c:pt idx="14">
                  <c:v>175</c:v>
                </c:pt>
                <c:pt idx="15">
                  <c:v>175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177</c:v>
                </c:pt>
                <c:pt idx="20">
                  <c:v>177</c:v>
                </c:pt>
                <c:pt idx="21">
                  <c:v>177</c:v>
                </c:pt>
                <c:pt idx="22">
                  <c:v>178</c:v>
                </c:pt>
                <c:pt idx="23">
                  <c:v>180</c:v>
                </c:pt>
                <c:pt idx="24">
                  <c:v>182</c:v>
                </c:pt>
                <c:pt idx="25">
                  <c:v>183</c:v>
                </c:pt>
                <c:pt idx="26">
                  <c:v>184</c:v>
                </c:pt>
                <c:pt idx="27">
                  <c:v>185</c:v>
                </c:pt>
                <c:pt idx="28">
                  <c:v>186</c:v>
                </c:pt>
                <c:pt idx="29">
                  <c:v>187</c:v>
                </c:pt>
                <c:pt idx="30">
                  <c:v>188</c:v>
                </c:pt>
                <c:pt idx="31">
                  <c:v>188</c:v>
                </c:pt>
                <c:pt idx="32">
                  <c:v>192</c:v>
                </c:pt>
                <c:pt idx="33">
                  <c:v>192</c:v>
                </c:pt>
                <c:pt idx="34">
                  <c:v>193</c:v>
                </c:pt>
                <c:pt idx="35">
                  <c:v>193</c:v>
                </c:pt>
                <c:pt idx="36">
                  <c:v>195</c:v>
                </c:pt>
                <c:pt idx="37">
                  <c:v>196</c:v>
                </c:pt>
                <c:pt idx="38">
                  <c:v>196</c:v>
                </c:pt>
                <c:pt idx="39">
                  <c:v>197</c:v>
                </c:pt>
                <c:pt idx="40">
                  <c:v>197</c:v>
                </c:pt>
                <c:pt idx="41">
                  <c:v>197</c:v>
                </c:pt>
                <c:pt idx="42">
                  <c:v>197</c:v>
                </c:pt>
                <c:pt idx="43">
                  <c:v>197</c:v>
                </c:pt>
                <c:pt idx="44">
                  <c:v>197</c:v>
                </c:pt>
                <c:pt idx="45">
                  <c:v>198</c:v>
                </c:pt>
                <c:pt idx="46">
                  <c:v>198</c:v>
                </c:pt>
                <c:pt idx="47">
                  <c:v>199</c:v>
                </c:pt>
                <c:pt idx="48">
                  <c:v>199</c:v>
                </c:pt>
                <c:pt idx="49">
                  <c:v>199</c:v>
                </c:pt>
                <c:pt idx="50">
                  <c:v>200</c:v>
                </c:pt>
                <c:pt idx="51">
                  <c:v>201</c:v>
                </c:pt>
                <c:pt idx="52">
                  <c:v>201</c:v>
                </c:pt>
                <c:pt idx="53">
                  <c:v>201</c:v>
                </c:pt>
                <c:pt idx="54">
                  <c:v>203</c:v>
                </c:pt>
                <c:pt idx="55">
                  <c:v>203</c:v>
                </c:pt>
                <c:pt idx="56">
                  <c:v>203</c:v>
                </c:pt>
                <c:pt idx="57">
                  <c:v>204</c:v>
                </c:pt>
                <c:pt idx="58">
                  <c:v>204</c:v>
                </c:pt>
                <c:pt idx="59">
                  <c:v>204</c:v>
                </c:pt>
                <c:pt idx="60">
                  <c:v>204</c:v>
                </c:pt>
                <c:pt idx="61">
                  <c:v>204</c:v>
                </c:pt>
                <c:pt idx="62">
                  <c:v>204</c:v>
                </c:pt>
                <c:pt idx="63">
                  <c:v>205</c:v>
                </c:pt>
                <c:pt idx="64">
                  <c:v>205</c:v>
                </c:pt>
                <c:pt idx="65">
                  <c:v>206</c:v>
                </c:pt>
                <c:pt idx="66">
                  <c:v>206</c:v>
                </c:pt>
                <c:pt idx="67">
                  <c:v>207</c:v>
                </c:pt>
                <c:pt idx="68">
                  <c:v>207</c:v>
                </c:pt>
                <c:pt idx="69">
                  <c:v>208</c:v>
                </c:pt>
                <c:pt idx="70">
                  <c:v>208</c:v>
                </c:pt>
                <c:pt idx="71">
                  <c:v>209</c:v>
                </c:pt>
                <c:pt idx="72">
                  <c:v>209</c:v>
                </c:pt>
                <c:pt idx="73">
                  <c:v>210</c:v>
                </c:pt>
                <c:pt idx="74">
                  <c:v>211</c:v>
                </c:pt>
                <c:pt idx="75">
                  <c:v>211</c:v>
                </c:pt>
                <c:pt idx="76">
                  <c:v>211</c:v>
                </c:pt>
                <c:pt idx="77">
                  <c:v>211</c:v>
                </c:pt>
                <c:pt idx="78">
                  <c:v>212</c:v>
                </c:pt>
                <c:pt idx="79">
                  <c:v>212</c:v>
                </c:pt>
                <c:pt idx="80">
                  <c:v>212</c:v>
                </c:pt>
                <c:pt idx="81">
                  <c:v>212</c:v>
                </c:pt>
                <c:pt idx="82">
                  <c:v>212</c:v>
                </c:pt>
                <c:pt idx="83">
                  <c:v>213</c:v>
                </c:pt>
                <c:pt idx="84">
                  <c:v>213</c:v>
                </c:pt>
                <c:pt idx="85">
                  <c:v>214</c:v>
                </c:pt>
                <c:pt idx="86">
                  <c:v>214</c:v>
                </c:pt>
                <c:pt idx="87">
                  <c:v>215</c:v>
                </c:pt>
                <c:pt idx="88">
                  <c:v>216</c:v>
                </c:pt>
                <c:pt idx="89">
                  <c:v>216</c:v>
                </c:pt>
                <c:pt idx="90">
                  <c:v>217</c:v>
                </c:pt>
                <c:pt idx="91">
                  <c:v>218</c:v>
                </c:pt>
                <c:pt idx="92">
                  <c:v>218</c:v>
                </c:pt>
                <c:pt idx="93">
                  <c:v>219</c:v>
                </c:pt>
                <c:pt idx="94">
                  <c:v>219</c:v>
                </c:pt>
                <c:pt idx="95">
                  <c:v>219</c:v>
                </c:pt>
                <c:pt idx="96">
                  <c:v>220</c:v>
                </c:pt>
                <c:pt idx="97">
                  <c:v>220</c:v>
                </c:pt>
                <c:pt idx="98">
                  <c:v>220</c:v>
                </c:pt>
                <c:pt idx="99">
                  <c:v>221</c:v>
                </c:pt>
                <c:pt idx="100">
                  <c:v>221</c:v>
                </c:pt>
                <c:pt idx="101">
                  <c:v>222</c:v>
                </c:pt>
                <c:pt idx="102">
                  <c:v>222</c:v>
                </c:pt>
                <c:pt idx="103">
                  <c:v>223</c:v>
                </c:pt>
                <c:pt idx="104">
                  <c:v>223</c:v>
                </c:pt>
                <c:pt idx="105">
                  <c:v>223</c:v>
                </c:pt>
                <c:pt idx="106">
                  <c:v>224</c:v>
                </c:pt>
                <c:pt idx="107">
                  <c:v>225</c:v>
                </c:pt>
                <c:pt idx="108">
                  <c:v>225</c:v>
                </c:pt>
                <c:pt idx="109">
                  <c:v>226</c:v>
                </c:pt>
                <c:pt idx="110">
                  <c:v>226</c:v>
                </c:pt>
                <c:pt idx="111">
                  <c:v>226</c:v>
                </c:pt>
                <c:pt idx="112">
                  <c:v>226</c:v>
                </c:pt>
                <c:pt idx="113">
                  <c:v>227</c:v>
                </c:pt>
                <c:pt idx="114">
                  <c:v>227</c:v>
                </c:pt>
                <c:pt idx="115">
                  <c:v>228</c:v>
                </c:pt>
                <c:pt idx="116">
                  <c:v>228</c:v>
                </c:pt>
                <c:pt idx="117">
                  <c:v>229</c:v>
                </c:pt>
                <c:pt idx="118">
                  <c:v>229</c:v>
                </c:pt>
                <c:pt idx="119">
                  <c:v>229</c:v>
                </c:pt>
                <c:pt idx="120">
                  <c:v>230</c:v>
                </c:pt>
                <c:pt idx="121">
                  <c:v>230</c:v>
                </c:pt>
                <c:pt idx="122">
                  <c:v>230</c:v>
                </c:pt>
                <c:pt idx="123">
                  <c:v>231</c:v>
                </c:pt>
                <c:pt idx="124">
                  <c:v>231</c:v>
                </c:pt>
                <c:pt idx="125">
                  <c:v>231</c:v>
                </c:pt>
                <c:pt idx="126">
                  <c:v>232</c:v>
                </c:pt>
                <c:pt idx="127">
                  <c:v>232</c:v>
                </c:pt>
                <c:pt idx="128">
                  <c:v>233</c:v>
                </c:pt>
                <c:pt idx="129">
                  <c:v>233</c:v>
                </c:pt>
                <c:pt idx="130">
                  <c:v>233</c:v>
                </c:pt>
                <c:pt idx="131">
                  <c:v>233</c:v>
                </c:pt>
                <c:pt idx="132">
                  <c:v>234</c:v>
                </c:pt>
                <c:pt idx="133">
                  <c:v>234</c:v>
                </c:pt>
                <c:pt idx="134">
                  <c:v>234</c:v>
                </c:pt>
                <c:pt idx="135">
                  <c:v>234</c:v>
                </c:pt>
                <c:pt idx="136">
                  <c:v>234</c:v>
                </c:pt>
                <c:pt idx="137">
                  <c:v>234</c:v>
                </c:pt>
                <c:pt idx="138">
                  <c:v>235</c:v>
                </c:pt>
                <c:pt idx="139">
                  <c:v>235</c:v>
                </c:pt>
                <c:pt idx="140">
                  <c:v>236</c:v>
                </c:pt>
                <c:pt idx="141">
                  <c:v>236</c:v>
                </c:pt>
                <c:pt idx="142">
                  <c:v>236</c:v>
                </c:pt>
                <c:pt idx="143">
                  <c:v>237</c:v>
                </c:pt>
                <c:pt idx="144">
                  <c:v>239</c:v>
                </c:pt>
                <c:pt idx="145">
                  <c:v>239</c:v>
                </c:pt>
                <c:pt idx="146">
                  <c:v>239</c:v>
                </c:pt>
                <c:pt idx="147">
                  <c:v>239</c:v>
                </c:pt>
                <c:pt idx="148">
                  <c:v>240</c:v>
                </c:pt>
                <c:pt idx="149">
                  <c:v>240</c:v>
                </c:pt>
                <c:pt idx="150">
                  <c:v>240</c:v>
                </c:pt>
                <c:pt idx="151">
                  <c:v>240</c:v>
                </c:pt>
                <c:pt idx="152">
                  <c:v>241</c:v>
                </c:pt>
                <c:pt idx="153">
                  <c:v>242</c:v>
                </c:pt>
                <c:pt idx="154">
                  <c:v>243</c:v>
                </c:pt>
                <c:pt idx="155">
                  <c:v>243</c:v>
                </c:pt>
                <c:pt idx="156">
                  <c:v>243</c:v>
                </c:pt>
                <c:pt idx="157">
                  <c:v>243</c:v>
                </c:pt>
                <c:pt idx="158">
                  <c:v>244</c:v>
                </c:pt>
                <c:pt idx="159">
                  <c:v>244</c:v>
                </c:pt>
                <c:pt idx="160">
                  <c:v>244</c:v>
                </c:pt>
                <c:pt idx="161">
                  <c:v>245</c:v>
                </c:pt>
                <c:pt idx="162">
                  <c:v>245</c:v>
                </c:pt>
                <c:pt idx="163">
                  <c:v>245</c:v>
                </c:pt>
                <c:pt idx="164">
                  <c:v>246</c:v>
                </c:pt>
                <c:pt idx="165">
                  <c:v>246</c:v>
                </c:pt>
                <c:pt idx="166">
                  <c:v>246</c:v>
                </c:pt>
                <c:pt idx="167">
                  <c:v>247</c:v>
                </c:pt>
                <c:pt idx="168">
                  <c:v>247</c:v>
                </c:pt>
                <c:pt idx="169">
                  <c:v>248</c:v>
                </c:pt>
                <c:pt idx="170">
                  <c:v>248</c:v>
                </c:pt>
                <c:pt idx="171">
                  <c:v>249</c:v>
                </c:pt>
                <c:pt idx="172">
                  <c:v>249</c:v>
                </c:pt>
                <c:pt idx="173">
                  <c:v>249</c:v>
                </c:pt>
                <c:pt idx="174">
                  <c:v>250</c:v>
                </c:pt>
                <c:pt idx="175">
                  <c:v>250</c:v>
                </c:pt>
                <c:pt idx="176">
                  <c:v>250</c:v>
                </c:pt>
                <c:pt idx="177">
                  <c:v>252</c:v>
                </c:pt>
                <c:pt idx="178">
                  <c:v>253</c:v>
                </c:pt>
                <c:pt idx="179">
                  <c:v>253</c:v>
                </c:pt>
                <c:pt idx="180">
                  <c:v>254</c:v>
                </c:pt>
                <c:pt idx="181">
                  <c:v>254</c:v>
                </c:pt>
                <c:pt idx="182">
                  <c:v>254</c:v>
                </c:pt>
                <c:pt idx="183">
                  <c:v>254</c:v>
                </c:pt>
                <c:pt idx="184">
                  <c:v>254</c:v>
                </c:pt>
                <c:pt idx="185">
                  <c:v>255</c:v>
                </c:pt>
                <c:pt idx="186">
                  <c:v>255</c:v>
                </c:pt>
                <c:pt idx="187">
                  <c:v>256</c:v>
                </c:pt>
                <c:pt idx="188">
                  <c:v>256</c:v>
                </c:pt>
                <c:pt idx="189">
                  <c:v>256</c:v>
                </c:pt>
                <c:pt idx="190">
                  <c:v>257</c:v>
                </c:pt>
                <c:pt idx="191">
                  <c:v>258</c:v>
                </c:pt>
                <c:pt idx="192">
                  <c:v>258</c:v>
                </c:pt>
                <c:pt idx="193">
                  <c:v>258</c:v>
                </c:pt>
                <c:pt idx="194">
                  <c:v>259</c:v>
                </c:pt>
                <c:pt idx="195">
                  <c:v>260</c:v>
                </c:pt>
                <c:pt idx="196">
                  <c:v>260</c:v>
                </c:pt>
                <c:pt idx="197">
                  <c:v>261</c:v>
                </c:pt>
                <c:pt idx="198">
                  <c:v>261</c:v>
                </c:pt>
                <c:pt idx="199">
                  <c:v>262</c:v>
                </c:pt>
                <c:pt idx="200">
                  <c:v>263</c:v>
                </c:pt>
                <c:pt idx="201">
                  <c:v>263</c:v>
                </c:pt>
                <c:pt idx="202">
                  <c:v>263</c:v>
                </c:pt>
                <c:pt idx="203">
                  <c:v>264</c:v>
                </c:pt>
                <c:pt idx="204">
                  <c:v>264</c:v>
                </c:pt>
                <c:pt idx="205">
                  <c:v>265</c:v>
                </c:pt>
                <c:pt idx="206">
                  <c:v>265</c:v>
                </c:pt>
                <c:pt idx="207">
                  <c:v>266</c:v>
                </c:pt>
                <c:pt idx="208">
                  <c:v>266</c:v>
                </c:pt>
                <c:pt idx="209">
                  <c:v>267</c:v>
                </c:pt>
                <c:pt idx="210">
                  <c:v>267</c:v>
                </c:pt>
                <c:pt idx="211">
                  <c:v>268</c:v>
                </c:pt>
                <c:pt idx="212">
                  <c:v>268</c:v>
                </c:pt>
                <c:pt idx="213">
                  <c:v>269</c:v>
                </c:pt>
                <c:pt idx="214">
                  <c:v>269</c:v>
                </c:pt>
                <c:pt idx="215">
                  <c:v>269</c:v>
                </c:pt>
                <c:pt idx="216">
                  <c:v>269</c:v>
                </c:pt>
                <c:pt idx="217">
                  <c:v>269</c:v>
                </c:pt>
                <c:pt idx="218">
                  <c:v>270</c:v>
                </c:pt>
                <c:pt idx="219">
                  <c:v>270</c:v>
                </c:pt>
                <c:pt idx="220">
                  <c:v>271</c:v>
                </c:pt>
                <c:pt idx="221">
                  <c:v>271</c:v>
                </c:pt>
                <c:pt idx="222">
                  <c:v>273</c:v>
                </c:pt>
                <c:pt idx="223">
                  <c:v>273</c:v>
                </c:pt>
                <c:pt idx="224">
                  <c:v>274</c:v>
                </c:pt>
                <c:pt idx="225">
                  <c:v>274</c:v>
                </c:pt>
                <c:pt idx="226">
                  <c:v>274</c:v>
                </c:pt>
                <c:pt idx="227">
                  <c:v>275</c:v>
                </c:pt>
                <c:pt idx="228">
                  <c:v>275</c:v>
                </c:pt>
                <c:pt idx="229">
                  <c:v>276</c:v>
                </c:pt>
                <c:pt idx="230">
                  <c:v>277</c:v>
                </c:pt>
                <c:pt idx="231">
                  <c:v>277</c:v>
                </c:pt>
                <c:pt idx="232">
                  <c:v>278</c:v>
                </c:pt>
                <c:pt idx="233">
                  <c:v>281</c:v>
                </c:pt>
                <c:pt idx="234">
                  <c:v>282</c:v>
                </c:pt>
                <c:pt idx="235">
                  <c:v>282</c:v>
                </c:pt>
                <c:pt idx="236">
                  <c:v>282</c:v>
                </c:pt>
                <c:pt idx="237">
                  <c:v>282</c:v>
                </c:pt>
                <c:pt idx="238">
                  <c:v>283</c:v>
                </c:pt>
                <c:pt idx="239">
                  <c:v>283</c:v>
                </c:pt>
                <c:pt idx="240">
                  <c:v>283</c:v>
                </c:pt>
                <c:pt idx="241">
                  <c:v>284</c:v>
                </c:pt>
                <c:pt idx="242">
                  <c:v>286</c:v>
                </c:pt>
                <c:pt idx="243">
                  <c:v>286</c:v>
                </c:pt>
                <c:pt idx="244">
                  <c:v>288</c:v>
                </c:pt>
                <c:pt idx="245">
                  <c:v>288</c:v>
                </c:pt>
                <c:pt idx="246">
                  <c:v>288</c:v>
                </c:pt>
                <c:pt idx="247">
                  <c:v>289</c:v>
                </c:pt>
                <c:pt idx="248">
                  <c:v>289</c:v>
                </c:pt>
                <c:pt idx="249">
                  <c:v>290</c:v>
                </c:pt>
                <c:pt idx="250">
                  <c:v>293</c:v>
                </c:pt>
                <c:pt idx="251">
                  <c:v>294</c:v>
                </c:pt>
                <c:pt idx="252">
                  <c:v>294</c:v>
                </c:pt>
                <c:pt idx="253">
                  <c:v>295</c:v>
                </c:pt>
                <c:pt idx="254">
                  <c:v>295</c:v>
                </c:pt>
                <c:pt idx="255">
                  <c:v>298</c:v>
                </c:pt>
                <c:pt idx="256">
                  <c:v>298</c:v>
                </c:pt>
                <c:pt idx="257">
                  <c:v>299</c:v>
                </c:pt>
                <c:pt idx="258">
                  <c:v>299</c:v>
                </c:pt>
                <c:pt idx="259">
                  <c:v>300</c:v>
                </c:pt>
                <c:pt idx="260">
                  <c:v>302</c:v>
                </c:pt>
                <c:pt idx="261">
                  <c:v>302</c:v>
                </c:pt>
                <c:pt idx="262">
                  <c:v>303</c:v>
                </c:pt>
                <c:pt idx="263">
                  <c:v>303</c:v>
                </c:pt>
                <c:pt idx="264">
                  <c:v>303</c:v>
                </c:pt>
                <c:pt idx="265">
                  <c:v>304</c:v>
                </c:pt>
                <c:pt idx="266">
                  <c:v>304</c:v>
                </c:pt>
                <c:pt idx="267">
                  <c:v>305</c:v>
                </c:pt>
                <c:pt idx="268">
                  <c:v>306</c:v>
                </c:pt>
                <c:pt idx="269">
                  <c:v>307</c:v>
                </c:pt>
                <c:pt idx="270">
                  <c:v>308</c:v>
                </c:pt>
                <c:pt idx="271">
                  <c:v>308</c:v>
                </c:pt>
                <c:pt idx="272">
                  <c:v>309</c:v>
                </c:pt>
                <c:pt idx="273">
                  <c:v>309</c:v>
                </c:pt>
                <c:pt idx="274">
                  <c:v>309</c:v>
                </c:pt>
                <c:pt idx="275">
                  <c:v>311</c:v>
                </c:pt>
                <c:pt idx="276">
                  <c:v>313</c:v>
                </c:pt>
                <c:pt idx="277">
                  <c:v>315</c:v>
                </c:pt>
                <c:pt idx="278">
                  <c:v>315</c:v>
                </c:pt>
                <c:pt idx="279">
                  <c:v>318</c:v>
                </c:pt>
                <c:pt idx="280">
                  <c:v>318</c:v>
                </c:pt>
                <c:pt idx="281">
                  <c:v>319</c:v>
                </c:pt>
                <c:pt idx="282">
                  <c:v>321</c:v>
                </c:pt>
                <c:pt idx="283">
                  <c:v>322</c:v>
                </c:pt>
                <c:pt idx="284">
                  <c:v>325</c:v>
                </c:pt>
                <c:pt idx="285">
                  <c:v>325</c:v>
                </c:pt>
                <c:pt idx="286">
                  <c:v>326</c:v>
                </c:pt>
                <c:pt idx="287">
                  <c:v>327</c:v>
                </c:pt>
                <c:pt idx="288">
                  <c:v>330</c:v>
                </c:pt>
                <c:pt idx="289">
                  <c:v>330</c:v>
                </c:pt>
                <c:pt idx="290">
                  <c:v>335</c:v>
                </c:pt>
                <c:pt idx="291">
                  <c:v>335</c:v>
                </c:pt>
                <c:pt idx="292">
                  <c:v>340</c:v>
                </c:pt>
                <c:pt idx="293">
                  <c:v>341</c:v>
                </c:pt>
                <c:pt idx="294">
                  <c:v>342</c:v>
                </c:pt>
                <c:pt idx="295">
                  <c:v>353</c:v>
                </c:pt>
                <c:pt idx="296">
                  <c:v>354</c:v>
                </c:pt>
                <c:pt idx="297">
                  <c:v>360</c:v>
                </c:pt>
                <c:pt idx="298">
                  <c:v>394</c:v>
                </c:pt>
                <c:pt idx="299">
                  <c:v>407</c:v>
                </c:pt>
                <c:pt idx="300">
                  <c:v>409</c:v>
                </c:pt>
                <c:pt idx="301">
                  <c:v>417</c:v>
                </c:pt>
                <c:pt idx="302">
                  <c:v>564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F44-4B39-8F3C-06A44450C8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3124560"/>
        <c:axId val="983137520"/>
      </c:scatterChart>
      <c:valAx>
        <c:axId val="9831245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Sample Percentile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83137520"/>
        <c:crosses val="autoZero"/>
        <c:crossBetween val="midCat"/>
      </c:valAx>
      <c:valAx>
        <c:axId val="98313752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chol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83124560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Average Correlation between age and maximum heart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592825896762905"/>
          <c:y val="0.25083333333333335"/>
          <c:w val="0.8408495188101488"/>
          <c:h val="0.58989209682123067"/>
        </c:manualLayout>
      </c:layout>
      <c:scatterChart>
        <c:scatterStyle val="lineMarker"/>
        <c:varyColors val="0"/>
        <c:ser>
          <c:idx val="0"/>
          <c:order val="0"/>
          <c:tx>
            <c:strRef>
              <c:f>Sheet5!$E$3</c:f>
              <c:strCache>
                <c:ptCount val="1"/>
                <c:pt idx="0">
                  <c:v>Average of thalachh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strRef>
              <c:f>Sheet5!$D$4:$D$13</c:f>
              <c:strCache>
                <c:ptCount val="10"/>
                <c:pt idx="0">
                  <c:v>29-33</c:v>
                </c:pt>
                <c:pt idx="1">
                  <c:v>34-38</c:v>
                </c:pt>
                <c:pt idx="2">
                  <c:v>39-43</c:v>
                </c:pt>
                <c:pt idx="3">
                  <c:v>44-48</c:v>
                </c:pt>
                <c:pt idx="4">
                  <c:v>49-53</c:v>
                </c:pt>
                <c:pt idx="5">
                  <c:v>54-58</c:v>
                </c:pt>
                <c:pt idx="6">
                  <c:v>59-63</c:v>
                </c:pt>
                <c:pt idx="7">
                  <c:v>64-68</c:v>
                </c:pt>
                <c:pt idx="8">
                  <c:v>69-73</c:v>
                </c:pt>
                <c:pt idx="9">
                  <c:v>74-78</c:v>
                </c:pt>
              </c:strCache>
            </c:strRef>
          </c:xVal>
          <c:yVal>
            <c:numRef>
              <c:f>Sheet5!$E$4:$E$13</c:f>
              <c:numCache>
                <c:formatCode>General</c:formatCode>
                <c:ptCount val="10"/>
                <c:pt idx="0">
                  <c:v>202</c:v>
                </c:pt>
                <c:pt idx="1">
                  <c:v>172.09090909090909</c:v>
                </c:pt>
                <c:pt idx="2">
                  <c:v>160.42424242424244</c:v>
                </c:pt>
                <c:pt idx="3">
                  <c:v>159.65789473684211</c:v>
                </c:pt>
                <c:pt idx="4">
                  <c:v>152.88888888888889</c:v>
                </c:pt>
                <c:pt idx="5">
                  <c:v>145.32394366197184</c:v>
                </c:pt>
                <c:pt idx="6">
                  <c:v>145.43396226415095</c:v>
                </c:pt>
                <c:pt idx="7">
                  <c:v>138.10526315789474</c:v>
                </c:pt>
                <c:pt idx="8">
                  <c:v>133.4</c:v>
                </c:pt>
                <c:pt idx="9">
                  <c:v>133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A0-4107-B765-82D298D196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7584207"/>
        <c:axId val="1957584687"/>
      </c:scatterChart>
      <c:valAx>
        <c:axId val="19575842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Age Group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7584687"/>
        <c:crosses val="autoZero"/>
        <c:crossBetween val="midCat"/>
      </c:valAx>
      <c:valAx>
        <c:axId val="19575846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Avg heart rate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75842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Age Distrbution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 b="1">
              <a:solidFill>
                <a:schemeClr val="tx1"/>
              </a:solidFill>
              <a:latin typeface="Times New Roman" panose="02020603050405020304" pitchFamily="18" charset="0"/>
              <a:ea typeface="Times New Roman" panose="02020603050405020304" pitchFamily="18" charset="0"/>
              <a:cs typeface="Times New Roman" panose="02020603050405020304" pitchFamily="18" charset="0"/>
            </a:defRPr>
          </a:pPr>
          <a:r>
            <a:rPr lang="en-US" sz="1400" b="1" i="0" u="none" strike="noStrike" baseline="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Age Distrbution</a:t>
          </a:r>
        </a:p>
      </cx:txPr>
    </cx:title>
    <cx:plotArea>
      <cx:plotAreaRegion>
        <cx:series layoutId="clusteredColumn" uniqueId="{03EF2CD5-9840-4367-B181-036D4E43973A}">
          <cx:tx>
            <cx:txData>
              <cx:f>_xlchart.v1.0</cx:f>
              <cx:v>age</cx:v>
            </cx:txData>
          </cx:tx>
          <cx:spPr>
            <a:gradFill flip="none" rotWithShape="1">
              <a:gsLst>
                <a:gs pos="0">
                  <a:schemeClr val="accent6">
                    <a:lumMod val="0"/>
                    <a:lumOff val="100000"/>
                  </a:schemeClr>
                </a:gs>
                <a:gs pos="35000">
                  <a:schemeClr val="accent6">
                    <a:lumMod val="0"/>
                    <a:lumOff val="100000"/>
                  </a:schemeClr>
                </a:gs>
                <a:gs pos="100000">
                  <a:schemeClr val="accent6">
                    <a:lumMod val="100000"/>
                  </a:schemeClr>
                </a:gs>
              </a:gsLst>
              <a:path path="circle">
                <a:fillToRect l="50000" t="-80000" r="50000" b="180000"/>
              </a:path>
              <a:tileRect/>
            </a:gradFill>
            <a:ln>
              <a:solidFill>
                <a:schemeClr val="accent6">
                  <a:lumMod val="50000"/>
                </a:schemeClr>
              </a:solidFill>
            </a:ln>
          </cx:spPr>
          <cx:dataId val="0"/>
          <cx:layoutPr>
            <cx:binning intervalClosed="r"/>
          </cx:layoutPr>
        </cx:series>
      </cx:plotAreaRegion>
      <cx:axis id="0">
        <cx:catScaling gapWidth="0.100000001"/>
        <cx:tickLabels/>
        <cx:txPr>
          <a:bodyPr vertOverflow="overflow" horzOverflow="overflow" wrap="square" lIns="0" tIns="0" rIns="0" bIns="0"/>
          <a:lstStyle/>
          <a:p>
            <a:pPr algn="ctr" rtl="0">
              <a:defRPr sz="900" b="0" i="0">
                <a:solidFill>
                  <a:schemeClr val="tx1"/>
                </a:solidFill>
                <a:latin typeface="Times New Roman" panose="02020603050405020304" pitchFamily="18" charset="0"/>
                <a:ea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IN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</cx:txPr>
      </cx:axis>
      <cx:axis id="1">
        <cx:valScaling/>
        <cx:majorGridlines/>
        <cx:tickLabels/>
        <cx:txPr>
          <a:bodyPr vertOverflow="overflow" horzOverflow="overflow" wrap="square" lIns="0" tIns="0" rIns="0" bIns="0"/>
          <a:lstStyle/>
          <a:p>
            <a:pPr algn="ctr" rtl="0">
              <a:defRPr sz="900" b="0" i="0">
                <a:solidFill>
                  <a:schemeClr val="tx1"/>
                </a:solidFill>
                <a:latin typeface="Times New Roman" panose="02020603050405020304" pitchFamily="18" charset="0"/>
                <a:ea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IN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</cx:txPr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.xml"/><Relationship Id="rId1" Type="http://schemas.microsoft.com/office/2014/relationships/chartEx" Target="../charts/chartEx1.xml"/><Relationship Id="rId4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200025</xdr:colOff>
      <xdr:row>1</xdr:row>
      <xdr:rowOff>38100</xdr:rowOff>
    </xdr:from>
    <xdr:to>
      <xdr:col>8</xdr:col>
      <xdr:colOff>114300</xdr:colOff>
      <xdr:row>13</xdr:row>
      <xdr:rowOff>123825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C4D98257-404A-495A-A421-2CC7DCDC854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143500" y="285750"/>
              <a:ext cx="4133850" cy="24003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IN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3</xdr:col>
      <xdr:colOff>342900</xdr:colOff>
      <xdr:row>17</xdr:row>
      <xdr:rowOff>52387</xdr:rowOff>
    </xdr:from>
    <xdr:to>
      <xdr:col>8</xdr:col>
      <xdr:colOff>76200</xdr:colOff>
      <xdr:row>30</xdr:row>
      <xdr:rowOff>114300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4891462-B47C-73E8-E672-B80BD1FA60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7</xdr:col>
      <xdr:colOff>333375</xdr:colOff>
      <xdr:row>31</xdr:row>
      <xdr:rowOff>9526</xdr:rowOff>
    </xdr:from>
    <xdr:to>
      <xdr:col>13</xdr:col>
      <xdr:colOff>145939</xdr:colOff>
      <xdr:row>43</xdr:row>
      <xdr:rowOff>47626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3C736CD6-91F6-7BB4-445B-43F8D58B17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6825" y="6172201"/>
          <a:ext cx="3470164" cy="2419350"/>
        </a:xfrm>
        <a:prstGeom prst="rect">
          <a:avLst/>
        </a:prstGeom>
      </xdr:spPr>
    </xdr:pic>
    <xdr:clientData/>
  </xdr:twoCellAnchor>
  <xdr:twoCellAnchor editAs="oneCell">
    <xdr:from>
      <xdr:col>3</xdr:col>
      <xdr:colOff>180975</xdr:colOff>
      <xdr:row>30</xdr:row>
      <xdr:rowOff>171450</xdr:rowOff>
    </xdr:from>
    <xdr:to>
      <xdr:col>7</xdr:col>
      <xdr:colOff>217124</xdr:colOff>
      <xdr:row>42</xdr:row>
      <xdr:rowOff>188360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6C3B3CE8-2425-FA14-F6A8-5635110DCC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124450" y="6143625"/>
          <a:ext cx="3646124" cy="239816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561974</xdr:colOff>
      <xdr:row>0</xdr:row>
      <xdr:rowOff>0</xdr:rowOff>
    </xdr:from>
    <xdr:to>
      <xdr:col>18</xdr:col>
      <xdr:colOff>361949</xdr:colOff>
      <xdr:row>16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A790E27-7FAB-178C-065B-C379404E9B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590549</xdr:colOff>
      <xdr:row>0</xdr:row>
      <xdr:rowOff>0</xdr:rowOff>
    </xdr:from>
    <xdr:to>
      <xdr:col>20</xdr:col>
      <xdr:colOff>85724</xdr:colOff>
      <xdr:row>16</xdr:row>
      <xdr:rowOff>133350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5C44ACA-DB14-3AA4-AA24-D9053B0C57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342900</xdr:colOff>
      <xdr:row>17</xdr:row>
      <xdr:rowOff>123825</xdr:rowOff>
    </xdr:from>
    <xdr:to>
      <xdr:col>15</xdr:col>
      <xdr:colOff>438150</xdr:colOff>
      <xdr:row>31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E6D2DA1-D756-0008-C8D6-47CDAB3554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29</xdr:col>
      <xdr:colOff>200025</xdr:colOff>
      <xdr:row>0</xdr:row>
      <xdr:rowOff>0</xdr:rowOff>
    </xdr:from>
    <xdr:to>
      <xdr:col>35</xdr:col>
      <xdr:colOff>200025</xdr:colOff>
      <xdr:row>10</xdr:row>
      <xdr:rowOff>9525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2534A70-B43E-79F0-BCCC-2F4D445883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36</xdr:col>
      <xdr:colOff>276225</xdr:colOff>
      <xdr:row>0</xdr:row>
      <xdr:rowOff>0</xdr:rowOff>
    </xdr:from>
    <xdr:to>
      <xdr:col>42</xdr:col>
      <xdr:colOff>276225</xdr:colOff>
      <xdr:row>9</xdr:row>
      <xdr:rowOff>190500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7647265-BDEE-B629-41A8-8852A7AA4D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34</xdr:col>
      <xdr:colOff>514350</xdr:colOff>
      <xdr:row>4</xdr:row>
      <xdr:rowOff>66675</xdr:rowOff>
    </xdr:from>
    <xdr:to>
      <xdr:col>40</xdr:col>
      <xdr:colOff>514350</xdr:colOff>
      <xdr:row>14</xdr:row>
      <xdr:rowOff>76200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9411AF94-7ED1-9030-5566-4BD5B3AAEC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35</xdr:col>
      <xdr:colOff>190500</xdr:colOff>
      <xdr:row>12</xdr:row>
      <xdr:rowOff>38100</xdr:rowOff>
    </xdr:from>
    <xdr:to>
      <xdr:col>41</xdr:col>
      <xdr:colOff>190500</xdr:colOff>
      <xdr:row>22</xdr:row>
      <xdr:rowOff>57150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25C9FF75-ADF6-0EF6-DF23-329DA76F91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36</xdr:col>
      <xdr:colOff>0</xdr:colOff>
      <xdr:row>20</xdr:row>
      <xdr:rowOff>114300</xdr:rowOff>
    </xdr:from>
    <xdr:to>
      <xdr:col>42</xdr:col>
      <xdr:colOff>0</xdr:colOff>
      <xdr:row>30</xdr:row>
      <xdr:rowOff>152400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CB8CE0DB-09B6-F3D3-D5C7-14F19ADEFB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4</xdr:row>
      <xdr:rowOff>33337</xdr:rowOff>
    </xdr:from>
    <xdr:to>
      <xdr:col>12</xdr:col>
      <xdr:colOff>333375</xdr:colOff>
      <xdr:row>18</xdr:row>
      <xdr:rowOff>109537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86D5E22-7340-C5A1-F64F-09DFC6E521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umud" refreshedDate="45507.460007407404" createdVersion="8" refreshedVersion="8" minRefreshableVersion="3" recordCount="303" xr:uid="{86064990-4BB5-4034-A4DB-E9C4ED429AB4}">
  <cacheSource type="worksheet">
    <worksheetSource ref="A1:N304" sheet="orginal data"/>
  </cacheSource>
  <cacheFields count="14">
    <cacheField name="age" numFmtId="0">
      <sharedItems containsSemiMixedTypes="0" containsString="0" containsNumber="1" containsInteger="1" minValue="29" maxValue="77" count="41">
        <n v="63"/>
        <n v="37"/>
        <n v="41"/>
        <n v="56"/>
        <n v="57"/>
        <n v="44"/>
        <n v="52"/>
        <n v="54"/>
        <n v="48"/>
        <n v="49"/>
        <n v="64"/>
        <n v="58"/>
        <n v="50"/>
        <n v="66"/>
        <n v="43"/>
        <n v="69"/>
        <n v="59"/>
        <n v="42"/>
        <n v="61"/>
        <n v="40"/>
        <n v="71"/>
        <n v="51"/>
        <n v="65"/>
        <n v="53"/>
        <n v="46"/>
        <n v="45"/>
        <n v="39"/>
        <n v="47"/>
        <n v="62"/>
        <n v="34"/>
        <n v="35"/>
        <n v="29"/>
        <n v="55"/>
        <n v="60"/>
        <n v="67"/>
        <n v="68"/>
        <n v="74"/>
        <n v="76"/>
        <n v="70"/>
        <n v="38"/>
        <n v="77"/>
      </sharedItems>
      <fieldGroup base="0">
        <rangePr startNum="29" endNum="77" groupInterval="5"/>
        <groupItems count="12">
          <s v="&lt;29"/>
          <s v="29-33"/>
          <s v="34-38"/>
          <s v="39-43"/>
          <s v="44-48"/>
          <s v="49-53"/>
          <s v="54-58"/>
          <s v="59-63"/>
          <s v="64-68"/>
          <s v="69-73"/>
          <s v="74-78"/>
          <s v="&gt;79"/>
        </groupItems>
      </fieldGroup>
    </cacheField>
    <cacheField name="sex" numFmtId="0">
      <sharedItems containsSemiMixedTypes="0" containsString="0" containsNumber="1" containsInteger="1" minValue="0" maxValue="1" count="2">
        <n v="1"/>
        <n v="0"/>
      </sharedItems>
    </cacheField>
    <cacheField name="cp" numFmtId="0">
      <sharedItems containsSemiMixedTypes="0" containsString="0" containsNumber="1" containsInteger="1" minValue="0" maxValue="3"/>
    </cacheField>
    <cacheField name="trtbps" numFmtId="0">
      <sharedItems containsSemiMixedTypes="0" containsString="0" containsNumber="1" containsInteger="1" minValue="94" maxValue="200"/>
    </cacheField>
    <cacheField name="chol" numFmtId="0">
      <sharedItems containsSemiMixedTypes="0" containsString="0" containsNumber="1" containsInteger="1" minValue="126" maxValue="564" count="152">
        <n v="233"/>
        <n v="250"/>
        <n v="204"/>
        <n v="236"/>
        <n v="354"/>
        <n v="192"/>
        <n v="294"/>
        <n v="263"/>
        <n v="199"/>
        <n v="168"/>
        <n v="239"/>
        <n v="275"/>
        <n v="266"/>
        <n v="211"/>
        <n v="283"/>
        <n v="219"/>
        <n v="340"/>
        <n v="226"/>
        <n v="247"/>
        <n v="234"/>
        <n v="243"/>
        <n v="302"/>
        <n v="212"/>
        <n v="175"/>
        <n v="417"/>
        <n v="197"/>
        <n v="198"/>
        <n v="177"/>
        <n v="273"/>
        <n v="213"/>
        <n v="304"/>
        <n v="232"/>
        <n v="269"/>
        <n v="360"/>
        <n v="308"/>
        <n v="245"/>
        <n v="208"/>
        <n v="264"/>
        <n v="321"/>
        <n v="325"/>
        <n v="235"/>
        <n v="257"/>
        <n v="216"/>
        <n v="256"/>
        <n v="231"/>
        <n v="141"/>
        <n v="252"/>
        <n v="201"/>
        <n v="222"/>
        <n v="260"/>
        <n v="182"/>
        <n v="303"/>
        <n v="265"/>
        <n v="309"/>
        <n v="186"/>
        <n v="203"/>
        <n v="183"/>
        <n v="220"/>
        <n v="209"/>
        <n v="258"/>
        <n v="227"/>
        <n v="261"/>
        <n v="221"/>
        <n v="205"/>
        <n v="240"/>
        <n v="318"/>
        <n v="298"/>
        <n v="564"/>
        <n v="277"/>
        <n v="214"/>
        <n v="248"/>
        <n v="255"/>
        <n v="207"/>
        <n v="223"/>
        <n v="288"/>
        <n v="160"/>
        <n v="394"/>
        <n v="315"/>
        <n v="246"/>
        <n v="244"/>
        <n v="270"/>
        <n v="195"/>
        <n v="196"/>
        <n v="254"/>
        <n v="126"/>
        <n v="313"/>
        <n v="262"/>
        <n v="215"/>
        <n v="193"/>
        <n v="271"/>
        <n v="268"/>
        <n v="267"/>
        <n v="210"/>
        <n v="295"/>
        <n v="306"/>
        <n v="178"/>
        <n v="242"/>
        <n v="180"/>
        <n v="228"/>
        <n v="149"/>
        <n v="278"/>
        <n v="253"/>
        <n v="342"/>
        <n v="157"/>
        <n v="286"/>
        <n v="229"/>
        <n v="284"/>
        <n v="224"/>
        <n v="206"/>
        <n v="167"/>
        <n v="230"/>
        <n v="335"/>
        <n v="276"/>
        <n v="353"/>
        <n v="225"/>
        <n v="330"/>
        <n v="290"/>
        <n v="172"/>
        <n v="305"/>
        <n v="188"/>
        <n v="282"/>
        <n v="185"/>
        <n v="326"/>
        <n v="274"/>
        <n v="164"/>
        <n v="307"/>
        <n v="249"/>
        <n v="341"/>
        <n v="407"/>
        <n v="217"/>
        <n v="174"/>
        <n v="281"/>
        <n v="289"/>
        <n v="322"/>
        <n v="299"/>
        <n v="300"/>
        <n v="293"/>
        <n v="184"/>
        <n v="409"/>
        <n v="259"/>
        <n v="200"/>
        <n v="327"/>
        <n v="237"/>
        <n v="218"/>
        <n v="319"/>
        <n v="166"/>
        <n v="311"/>
        <n v="169"/>
        <n v="187"/>
        <n v="176"/>
        <n v="241"/>
        <n v="131"/>
      </sharedItems>
    </cacheField>
    <cacheField name="fbs" numFmtId="0">
      <sharedItems containsSemiMixedTypes="0" containsString="0" containsNumber="1" containsInteger="1" minValue="0" maxValue="1"/>
    </cacheField>
    <cacheField name="restecg" numFmtId="0">
      <sharedItems containsSemiMixedTypes="0" containsString="0" containsNumber="1" containsInteger="1" minValue="0" maxValue="2"/>
    </cacheField>
    <cacheField name="thalachh" numFmtId="0">
      <sharedItems containsSemiMixedTypes="0" containsString="0" containsNumber="1" containsInteger="1" minValue="71" maxValue="202"/>
    </cacheField>
    <cacheField name="exng" numFmtId="0">
      <sharedItems containsSemiMixedTypes="0" containsString="0" containsNumber="1" containsInteger="1" minValue="0" maxValue="1"/>
    </cacheField>
    <cacheField name="oldpeak" numFmtId="0">
      <sharedItems containsSemiMixedTypes="0" containsString="0" containsNumber="1" minValue="0" maxValue="6.2"/>
    </cacheField>
    <cacheField name="slp" numFmtId="0">
      <sharedItems containsSemiMixedTypes="0" containsString="0" containsNumber="1" containsInteger="1" minValue="0" maxValue="2"/>
    </cacheField>
    <cacheField name="caa" numFmtId="0">
      <sharedItems containsSemiMixedTypes="0" containsString="0" containsNumber="1" containsInteger="1" minValue="0" maxValue="4"/>
    </cacheField>
    <cacheField name="thall" numFmtId="0">
      <sharedItems containsSemiMixedTypes="0" containsString="0" containsNumber="1" containsInteger="1" minValue="0" maxValue="3"/>
    </cacheField>
    <cacheField name="output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3">
  <r>
    <x v="0"/>
    <x v="0"/>
    <n v="3"/>
    <n v="145"/>
    <x v="0"/>
    <n v="1"/>
    <n v="0"/>
    <n v="150"/>
    <n v="0"/>
    <n v="2.2999999999999998"/>
    <n v="0"/>
    <n v="0"/>
    <n v="1"/>
    <x v="0"/>
  </r>
  <r>
    <x v="1"/>
    <x v="0"/>
    <n v="2"/>
    <n v="130"/>
    <x v="1"/>
    <n v="0"/>
    <n v="1"/>
    <n v="187"/>
    <n v="0"/>
    <n v="3.5"/>
    <n v="0"/>
    <n v="0"/>
    <n v="2"/>
    <x v="0"/>
  </r>
  <r>
    <x v="2"/>
    <x v="1"/>
    <n v="1"/>
    <n v="130"/>
    <x v="2"/>
    <n v="0"/>
    <n v="0"/>
    <n v="172"/>
    <n v="0"/>
    <n v="1.4"/>
    <n v="2"/>
    <n v="0"/>
    <n v="2"/>
    <x v="0"/>
  </r>
  <r>
    <x v="3"/>
    <x v="0"/>
    <n v="1"/>
    <n v="120"/>
    <x v="3"/>
    <n v="0"/>
    <n v="1"/>
    <n v="178"/>
    <n v="0"/>
    <n v="0.8"/>
    <n v="2"/>
    <n v="0"/>
    <n v="2"/>
    <x v="0"/>
  </r>
  <r>
    <x v="4"/>
    <x v="1"/>
    <n v="0"/>
    <n v="120"/>
    <x v="4"/>
    <n v="0"/>
    <n v="1"/>
    <n v="163"/>
    <n v="1"/>
    <n v="0.6"/>
    <n v="2"/>
    <n v="0"/>
    <n v="2"/>
    <x v="0"/>
  </r>
  <r>
    <x v="4"/>
    <x v="0"/>
    <n v="0"/>
    <n v="140"/>
    <x v="5"/>
    <n v="0"/>
    <n v="1"/>
    <n v="148"/>
    <n v="0"/>
    <n v="0.4"/>
    <n v="1"/>
    <n v="0"/>
    <n v="1"/>
    <x v="0"/>
  </r>
  <r>
    <x v="3"/>
    <x v="1"/>
    <n v="1"/>
    <n v="140"/>
    <x v="6"/>
    <n v="0"/>
    <n v="0"/>
    <n v="153"/>
    <n v="0"/>
    <n v="1.3"/>
    <n v="1"/>
    <n v="0"/>
    <n v="2"/>
    <x v="0"/>
  </r>
  <r>
    <x v="5"/>
    <x v="0"/>
    <n v="1"/>
    <n v="120"/>
    <x v="7"/>
    <n v="0"/>
    <n v="1"/>
    <n v="173"/>
    <n v="0"/>
    <n v="0"/>
    <n v="2"/>
    <n v="0"/>
    <n v="3"/>
    <x v="0"/>
  </r>
  <r>
    <x v="6"/>
    <x v="0"/>
    <n v="2"/>
    <n v="172"/>
    <x v="8"/>
    <n v="1"/>
    <n v="1"/>
    <n v="162"/>
    <n v="0"/>
    <n v="0.5"/>
    <n v="2"/>
    <n v="0"/>
    <n v="3"/>
    <x v="0"/>
  </r>
  <r>
    <x v="4"/>
    <x v="0"/>
    <n v="2"/>
    <n v="150"/>
    <x v="9"/>
    <n v="0"/>
    <n v="1"/>
    <n v="174"/>
    <n v="0"/>
    <n v="1.6"/>
    <n v="2"/>
    <n v="0"/>
    <n v="2"/>
    <x v="0"/>
  </r>
  <r>
    <x v="7"/>
    <x v="0"/>
    <n v="0"/>
    <n v="140"/>
    <x v="10"/>
    <n v="0"/>
    <n v="1"/>
    <n v="160"/>
    <n v="0"/>
    <n v="1.2"/>
    <n v="2"/>
    <n v="0"/>
    <n v="2"/>
    <x v="0"/>
  </r>
  <r>
    <x v="8"/>
    <x v="1"/>
    <n v="2"/>
    <n v="130"/>
    <x v="11"/>
    <n v="0"/>
    <n v="1"/>
    <n v="139"/>
    <n v="0"/>
    <n v="0.2"/>
    <n v="2"/>
    <n v="0"/>
    <n v="2"/>
    <x v="0"/>
  </r>
  <r>
    <x v="9"/>
    <x v="0"/>
    <n v="1"/>
    <n v="130"/>
    <x v="12"/>
    <n v="0"/>
    <n v="1"/>
    <n v="171"/>
    <n v="0"/>
    <n v="0.6"/>
    <n v="2"/>
    <n v="0"/>
    <n v="2"/>
    <x v="0"/>
  </r>
  <r>
    <x v="10"/>
    <x v="0"/>
    <n v="3"/>
    <n v="110"/>
    <x v="13"/>
    <n v="0"/>
    <n v="0"/>
    <n v="144"/>
    <n v="1"/>
    <n v="1.8"/>
    <n v="1"/>
    <n v="0"/>
    <n v="2"/>
    <x v="0"/>
  </r>
  <r>
    <x v="11"/>
    <x v="1"/>
    <n v="3"/>
    <n v="150"/>
    <x v="14"/>
    <n v="1"/>
    <n v="0"/>
    <n v="162"/>
    <n v="0"/>
    <n v="1"/>
    <n v="2"/>
    <n v="0"/>
    <n v="2"/>
    <x v="0"/>
  </r>
  <r>
    <x v="12"/>
    <x v="1"/>
    <n v="2"/>
    <n v="120"/>
    <x v="15"/>
    <n v="0"/>
    <n v="1"/>
    <n v="158"/>
    <n v="0"/>
    <n v="1.6"/>
    <n v="1"/>
    <n v="0"/>
    <n v="2"/>
    <x v="0"/>
  </r>
  <r>
    <x v="11"/>
    <x v="1"/>
    <n v="2"/>
    <n v="120"/>
    <x v="16"/>
    <n v="0"/>
    <n v="1"/>
    <n v="172"/>
    <n v="0"/>
    <n v="0"/>
    <n v="2"/>
    <n v="0"/>
    <n v="2"/>
    <x v="0"/>
  </r>
  <r>
    <x v="13"/>
    <x v="1"/>
    <n v="3"/>
    <n v="150"/>
    <x v="17"/>
    <n v="0"/>
    <n v="1"/>
    <n v="114"/>
    <n v="0"/>
    <n v="2.6"/>
    <n v="0"/>
    <n v="0"/>
    <n v="2"/>
    <x v="0"/>
  </r>
  <r>
    <x v="14"/>
    <x v="0"/>
    <n v="0"/>
    <n v="150"/>
    <x v="18"/>
    <n v="0"/>
    <n v="1"/>
    <n v="171"/>
    <n v="0"/>
    <n v="1.5"/>
    <n v="2"/>
    <n v="0"/>
    <n v="2"/>
    <x v="0"/>
  </r>
  <r>
    <x v="15"/>
    <x v="1"/>
    <n v="3"/>
    <n v="140"/>
    <x v="10"/>
    <n v="0"/>
    <n v="1"/>
    <n v="151"/>
    <n v="0"/>
    <n v="1.8"/>
    <n v="2"/>
    <n v="2"/>
    <n v="2"/>
    <x v="0"/>
  </r>
  <r>
    <x v="16"/>
    <x v="0"/>
    <n v="0"/>
    <n v="135"/>
    <x v="19"/>
    <n v="0"/>
    <n v="1"/>
    <n v="161"/>
    <n v="0"/>
    <n v="0.5"/>
    <n v="1"/>
    <n v="0"/>
    <n v="3"/>
    <x v="0"/>
  </r>
  <r>
    <x v="5"/>
    <x v="0"/>
    <n v="2"/>
    <n v="130"/>
    <x v="0"/>
    <n v="0"/>
    <n v="1"/>
    <n v="179"/>
    <n v="1"/>
    <n v="0.4"/>
    <n v="2"/>
    <n v="0"/>
    <n v="2"/>
    <x v="0"/>
  </r>
  <r>
    <x v="17"/>
    <x v="0"/>
    <n v="0"/>
    <n v="140"/>
    <x v="17"/>
    <n v="0"/>
    <n v="1"/>
    <n v="178"/>
    <n v="0"/>
    <n v="0"/>
    <n v="2"/>
    <n v="0"/>
    <n v="2"/>
    <x v="0"/>
  </r>
  <r>
    <x v="18"/>
    <x v="0"/>
    <n v="2"/>
    <n v="150"/>
    <x v="20"/>
    <n v="1"/>
    <n v="1"/>
    <n v="137"/>
    <n v="1"/>
    <n v="1"/>
    <n v="1"/>
    <n v="0"/>
    <n v="2"/>
    <x v="0"/>
  </r>
  <r>
    <x v="19"/>
    <x v="0"/>
    <n v="3"/>
    <n v="140"/>
    <x v="8"/>
    <n v="0"/>
    <n v="1"/>
    <n v="178"/>
    <n v="1"/>
    <n v="1.4"/>
    <n v="2"/>
    <n v="0"/>
    <n v="3"/>
    <x v="0"/>
  </r>
  <r>
    <x v="20"/>
    <x v="1"/>
    <n v="1"/>
    <n v="160"/>
    <x v="21"/>
    <n v="0"/>
    <n v="1"/>
    <n v="162"/>
    <n v="0"/>
    <n v="0.4"/>
    <n v="2"/>
    <n v="2"/>
    <n v="2"/>
    <x v="0"/>
  </r>
  <r>
    <x v="16"/>
    <x v="0"/>
    <n v="2"/>
    <n v="150"/>
    <x v="22"/>
    <n v="1"/>
    <n v="1"/>
    <n v="157"/>
    <n v="0"/>
    <n v="1.6"/>
    <n v="2"/>
    <n v="0"/>
    <n v="2"/>
    <x v="0"/>
  </r>
  <r>
    <x v="21"/>
    <x v="0"/>
    <n v="2"/>
    <n v="110"/>
    <x v="23"/>
    <n v="0"/>
    <n v="1"/>
    <n v="123"/>
    <n v="0"/>
    <n v="0.6"/>
    <n v="2"/>
    <n v="0"/>
    <n v="2"/>
    <x v="0"/>
  </r>
  <r>
    <x v="22"/>
    <x v="1"/>
    <n v="2"/>
    <n v="140"/>
    <x v="24"/>
    <n v="1"/>
    <n v="0"/>
    <n v="157"/>
    <n v="0"/>
    <n v="0.8"/>
    <n v="2"/>
    <n v="1"/>
    <n v="2"/>
    <x v="0"/>
  </r>
  <r>
    <x v="23"/>
    <x v="0"/>
    <n v="2"/>
    <n v="130"/>
    <x v="25"/>
    <n v="1"/>
    <n v="0"/>
    <n v="152"/>
    <n v="0"/>
    <n v="1.2"/>
    <n v="0"/>
    <n v="0"/>
    <n v="2"/>
    <x v="0"/>
  </r>
  <r>
    <x v="2"/>
    <x v="1"/>
    <n v="1"/>
    <n v="105"/>
    <x v="26"/>
    <n v="0"/>
    <n v="1"/>
    <n v="168"/>
    <n v="0"/>
    <n v="0"/>
    <n v="2"/>
    <n v="1"/>
    <n v="2"/>
    <x v="0"/>
  </r>
  <r>
    <x v="22"/>
    <x v="0"/>
    <n v="0"/>
    <n v="120"/>
    <x v="27"/>
    <n v="0"/>
    <n v="1"/>
    <n v="140"/>
    <n v="0"/>
    <n v="0.4"/>
    <n v="2"/>
    <n v="0"/>
    <n v="3"/>
    <x v="0"/>
  </r>
  <r>
    <x v="5"/>
    <x v="0"/>
    <n v="1"/>
    <n v="130"/>
    <x v="15"/>
    <n v="0"/>
    <n v="0"/>
    <n v="188"/>
    <n v="0"/>
    <n v="0"/>
    <n v="2"/>
    <n v="0"/>
    <n v="2"/>
    <x v="0"/>
  </r>
  <r>
    <x v="7"/>
    <x v="0"/>
    <n v="2"/>
    <n v="125"/>
    <x v="28"/>
    <n v="0"/>
    <n v="0"/>
    <n v="152"/>
    <n v="0"/>
    <n v="0.5"/>
    <n v="0"/>
    <n v="1"/>
    <n v="2"/>
    <x v="0"/>
  </r>
  <r>
    <x v="21"/>
    <x v="0"/>
    <n v="3"/>
    <n v="125"/>
    <x v="29"/>
    <n v="0"/>
    <n v="0"/>
    <n v="125"/>
    <n v="1"/>
    <n v="1.4"/>
    <n v="2"/>
    <n v="1"/>
    <n v="2"/>
    <x v="0"/>
  </r>
  <r>
    <x v="24"/>
    <x v="1"/>
    <n v="2"/>
    <n v="142"/>
    <x v="27"/>
    <n v="0"/>
    <n v="0"/>
    <n v="160"/>
    <n v="1"/>
    <n v="1.4"/>
    <n v="0"/>
    <n v="0"/>
    <n v="2"/>
    <x v="0"/>
  </r>
  <r>
    <x v="7"/>
    <x v="1"/>
    <n v="2"/>
    <n v="135"/>
    <x v="30"/>
    <n v="1"/>
    <n v="1"/>
    <n v="170"/>
    <n v="0"/>
    <n v="0"/>
    <n v="2"/>
    <n v="0"/>
    <n v="2"/>
    <x v="0"/>
  </r>
  <r>
    <x v="7"/>
    <x v="0"/>
    <n v="2"/>
    <n v="150"/>
    <x v="31"/>
    <n v="0"/>
    <n v="0"/>
    <n v="165"/>
    <n v="0"/>
    <n v="1.6"/>
    <n v="2"/>
    <n v="0"/>
    <n v="3"/>
    <x v="0"/>
  </r>
  <r>
    <x v="22"/>
    <x v="1"/>
    <n v="2"/>
    <n v="155"/>
    <x v="32"/>
    <n v="0"/>
    <n v="1"/>
    <n v="148"/>
    <n v="0"/>
    <n v="0.8"/>
    <n v="2"/>
    <n v="0"/>
    <n v="2"/>
    <x v="0"/>
  </r>
  <r>
    <x v="22"/>
    <x v="1"/>
    <n v="2"/>
    <n v="160"/>
    <x v="33"/>
    <n v="0"/>
    <n v="0"/>
    <n v="151"/>
    <n v="0"/>
    <n v="0.8"/>
    <n v="2"/>
    <n v="0"/>
    <n v="2"/>
    <x v="0"/>
  </r>
  <r>
    <x v="21"/>
    <x v="1"/>
    <n v="2"/>
    <n v="140"/>
    <x v="34"/>
    <n v="0"/>
    <n v="0"/>
    <n v="142"/>
    <n v="0"/>
    <n v="1.5"/>
    <n v="2"/>
    <n v="1"/>
    <n v="2"/>
    <x v="0"/>
  </r>
  <r>
    <x v="8"/>
    <x v="0"/>
    <n v="1"/>
    <n v="130"/>
    <x v="35"/>
    <n v="0"/>
    <n v="0"/>
    <n v="180"/>
    <n v="0"/>
    <n v="0.2"/>
    <n v="1"/>
    <n v="0"/>
    <n v="2"/>
    <x v="0"/>
  </r>
  <r>
    <x v="25"/>
    <x v="0"/>
    <n v="0"/>
    <n v="104"/>
    <x v="36"/>
    <n v="0"/>
    <n v="0"/>
    <n v="148"/>
    <n v="1"/>
    <n v="3"/>
    <n v="1"/>
    <n v="0"/>
    <n v="2"/>
    <x v="0"/>
  </r>
  <r>
    <x v="23"/>
    <x v="1"/>
    <n v="0"/>
    <n v="130"/>
    <x v="37"/>
    <n v="0"/>
    <n v="0"/>
    <n v="143"/>
    <n v="0"/>
    <n v="0.4"/>
    <n v="1"/>
    <n v="0"/>
    <n v="2"/>
    <x v="0"/>
  </r>
  <r>
    <x v="26"/>
    <x v="0"/>
    <n v="2"/>
    <n v="140"/>
    <x v="38"/>
    <n v="0"/>
    <n v="0"/>
    <n v="182"/>
    <n v="0"/>
    <n v="0"/>
    <n v="2"/>
    <n v="0"/>
    <n v="2"/>
    <x v="0"/>
  </r>
  <r>
    <x v="6"/>
    <x v="0"/>
    <n v="1"/>
    <n v="120"/>
    <x v="39"/>
    <n v="0"/>
    <n v="1"/>
    <n v="172"/>
    <n v="0"/>
    <n v="0.2"/>
    <n v="2"/>
    <n v="0"/>
    <n v="2"/>
    <x v="0"/>
  </r>
  <r>
    <x v="5"/>
    <x v="0"/>
    <n v="2"/>
    <n v="140"/>
    <x v="40"/>
    <n v="0"/>
    <n v="0"/>
    <n v="180"/>
    <n v="0"/>
    <n v="0"/>
    <n v="2"/>
    <n v="0"/>
    <n v="2"/>
    <x v="0"/>
  </r>
  <r>
    <x v="27"/>
    <x v="0"/>
    <n v="2"/>
    <n v="138"/>
    <x v="41"/>
    <n v="0"/>
    <n v="0"/>
    <n v="156"/>
    <n v="0"/>
    <n v="0"/>
    <n v="2"/>
    <n v="0"/>
    <n v="2"/>
    <x v="0"/>
  </r>
  <r>
    <x v="23"/>
    <x v="1"/>
    <n v="2"/>
    <n v="128"/>
    <x v="42"/>
    <n v="0"/>
    <n v="0"/>
    <n v="115"/>
    <n v="0"/>
    <n v="0"/>
    <n v="2"/>
    <n v="0"/>
    <n v="0"/>
    <x v="0"/>
  </r>
  <r>
    <x v="23"/>
    <x v="1"/>
    <n v="0"/>
    <n v="138"/>
    <x v="19"/>
    <n v="0"/>
    <n v="0"/>
    <n v="160"/>
    <n v="0"/>
    <n v="0"/>
    <n v="2"/>
    <n v="0"/>
    <n v="2"/>
    <x v="0"/>
  </r>
  <r>
    <x v="21"/>
    <x v="1"/>
    <n v="2"/>
    <n v="130"/>
    <x v="43"/>
    <n v="0"/>
    <n v="0"/>
    <n v="149"/>
    <n v="0"/>
    <n v="0.5"/>
    <n v="2"/>
    <n v="0"/>
    <n v="2"/>
    <x v="0"/>
  </r>
  <r>
    <x v="13"/>
    <x v="0"/>
    <n v="0"/>
    <n v="120"/>
    <x v="21"/>
    <n v="0"/>
    <n v="0"/>
    <n v="151"/>
    <n v="0"/>
    <n v="0.4"/>
    <n v="1"/>
    <n v="0"/>
    <n v="2"/>
    <x v="0"/>
  </r>
  <r>
    <x v="28"/>
    <x v="0"/>
    <n v="2"/>
    <n v="130"/>
    <x v="44"/>
    <n v="0"/>
    <n v="1"/>
    <n v="146"/>
    <n v="0"/>
    <n v="1.8"/>
    <n v="1"/>
    <n v="3"/>
    <n v="3"/>
    <x v="0"/>
  </r>
  <r>
    <x v="5"/>
    <x v="1"/>
    <n v="2"/>
    <n v="108"/>
    <x v="45"/>
    <n v="0"/>
    <n v="1"/>
    <n v="175"/>
    <n v="0"/>
    <n v="0.6"/>
    <n v="1"/>
    <n v="0"/>
    <n v="2"/>
    <x v="0"/>
  </r>
  <r>
    <x v="0"/>
    <x v="1"/>
    <n v="2"/>
    <n v="135"/>
    <x v="46"/>
    <n v="0"/>
    <n v="0"/>
    <n v="172"/>
    <n v="0"/>
    <n v="0"/>
    <n v="2"/>
    <n v="0"/>
    <n v="2"/>
    <x v="0"/>
  </r>
  <r>
    <x v="6"/>
    <x v="0"/>
    <n v="1"/>
    <n v="134"/>
    <x v="47"/>
    <n v="0"/>
    <n v="1"/>
    <n v="158"/>
    <n v="0"/>
    <n v="0.8"/>
    <n v="2"/>
    <n v="1"/>
    <n v="2"/>
    <x v="0"/>
  </r>
  <r>
    <x v="8"/>
    <x v="0"/>
    <n v="0"/>
    <n v="122"/>
    <x v="48"/>
    <n v="0"/>
    <n v="0"/>
    <n v="186"/>
    <n v="0"/>
    <n v="0"/>
    <n v="2"/>
    <n v="0"/>
    <n v="2"/>
    <x v="0"/>
  </r>
  <r>
    <x v="25"/>
    <x v="0"/>
    <n v="0"/>
    <n v="115"/>
    <x v="49"/>
    <n v="0"/>
    <n v="0"/>
    <n v="185"/>
    <n v="0"/>
    <n v="0"/>
    <n v="2"/>
    <n v="0"/>
    <n v="2"/>
    <x v="0"/>
  </r>
  <r>
    <x v="29"/>
    <x v="0"/>
    <n v="3"/>
    <n v="118"/>
    <x v="50"/>
    <n v="0"/>
    <n v="0"/>
    <n v="174"/>
    <n v="0"/>
    <n v="0"/>
    <n v="2"/>
    <n v="0"/>
    <n v="2"/>
    <x v="0"/>
  </r>
  <r>
    <x v="4"/>
    <x v="1"/>
    <n v="0"/>
    <n v="128"/>
    <x v="51"/>
    <n v="0"/>
    <n v="0"/>
    <n v="159"/>
    <n v="0"/>
    <n v="0"/>
    <n v="2"/>
    <n v="1"/>
    <n v="2"/>
    <x v="0"/>
  </r>
  <r>
    <x v="20"/>
    <x v="1"/>
    <n v="2"/>
    <n v="110"/>
    <x v="52"/>
    <n v="1"/>
    <n v="0"/>
    <n v="130"/>
    <n v="0"/>
    <n v="0"/>
    <n v="2"/>
    <n v="1"/>
    <n v="2"/>
    <x v="0"/>
  </r>
  <r>
    <x v="7"/>
    <x v="0"/>
    <n v="1"/>
    <n v="108"/>
    <x v="53"/>
    <n v="0"/>
    <n v="1"/>
    <n v="156"/>
    <n v="0"/>
    <n v="0"/>
    <n v="2"/>
    <n v="0"/>
    <n v="3"/>
    <x v="0"/>
  </r>
  <r>
    <x v="6"/>
    <x v="0"/>
    <n v="3"/>
    <n v="118"/>
    <x v="54"/>
    <n v="0"/>
    <n v="0"/>
    <n v="190"/>
    <n v="0"/>
    <n v="0"/>
    <n v="1"/>
    <n v="0"/>
    <n v="1"/>
    <x v="0"/>
  </r>
  <r>
    <x v="2"/>
    <x v="0"/>
    <n v="1"/>
    <n v="135"/>
    <x v="55"/>
    <n v="0"/>
    <n v="1"/>
    <n v="132"/>
    <n v="0"/>
    <n v="0"/>
    <n v="1"/>
    <n v="0"/>
    <n v="1"/>
    <x v="0"/>
  </r>
  <r>
    <x v="11"/>
    <x v="0"/>
    <n v="2"/>
    <n v="140"/>
    <x v="13"/>
    <n v="1"/>
    <n v="0"/>
    <n v="165"/>
    <n v="0"/>
    <n v="0"/>
    <n v="2"/>
    <n v="0"/>
    <n v="2"/>
    <x v="0"/>
  </r>
  <r>
    <x v="30"/>
    <x v="1"/>
    <n v="0"/>
    <n v="138"/>
    <x v="56"/>
    <n v="0"/>
    <n v="1"/>
    <n v="182"/>
    <n v="0"/>
    <n v="1.4"/>
    <n v="2"/>
    <n v="0"/>
    <n v="2"/>
    <x v="0"/>
  </r>
  <r>
    <x v="21"/>
    <x v="0"/>
    <n v="2"/>
    <n v="100"/>
    <x v="48"/>
    <n v="0"/>
    <n v="1"/>
    <n v="143"/>
    <n v="1"/>
    <n v="1.2"/>
    <n v="1"/>
    <n v="0"/>
    <n v="2"/>
    <x v="0"/>
  </r>
  <r>
    <x v="25"/>
    <x v="1"/>
    <n v="1"/>
    <n v="130"/>
    <x v="19"/>
    <n v="0"/>
    <n v="0"/>
    <n v="175"/>
    <n v="0"/>
    <n v="0.6"/>
    <n v="1"/>
    <n v="0"/>
    <n v="2"/>
    <x v="0"/>
  </r>
  <r>
    <x v="5"/>
    <x v="0"/>
    <n v="1"/>
    <n v="120"/>
    <x v="57"/>
    <n v="0"/>
    <n v="1"/>
    <n v="170"/>
    <n v="0"/>
    <n v="0"/>
    <n v="2"/>
    <n v="0"/>
    <n v="2"/>
    <x v="0"/>
  </r>
  <r>
    <x v="28"/>
    <x v="1"/>
    <n v="0"/>
    <n v="124"/>
    <x v="58"/>
    <n v="0"/>
    <n v="1"/>
    <n v="163"/>
    <n v="0"/>
    <n v="0"/>
    <n v="2"/>
    <n v="0"/>
    <n v="2"/>
    <x v="0"/>
  </r>
  <r>
    <x v="7"/>
    <x v="0"/>
    <n v="2"/>
    <n v="120"/>
    <x v="59"/>
    <n v="0"/>
    <n v="0"/>
    <n v="147"/>
    <n v="0"/>
    <n v="0.4"/>
    <n v="1"/>
    <n v="0"/>
    <n v="3"/>
    <x v="0"/>
  </r>
  <r>
    <x v="21"/>
    <x v="0"/>
    <n v="2"/>
    <n v="94"/>
    <x v="60"/>
    <n v="0"/>
    <n v="1"/>
    <n v="154"/>
    <n v="1"/>
    <n v="0"/>
    <n v="2"/>
    <n v="1"/>
    <n v="3"/>
    <x v="0"/>
  </r>
  <r>
    <x v="31"/>
    <x v="0"/>
    <n v="1"/>
    <n v="130"/>
    <x v="2"/>
    <n v="0"/>
    <n v="0"/>
    <n v="202"/>
    <n v="0"/>
    <n v="0"/>
    <n v="2"/>
    <n v="0"/>
    <n v="2"/>
    <x v="0"/>
  </r>
  <r>
    <x v="21"/>
    <x v="0"/>
    <n v="0"/>
    <n v="140"/>
    <x v="61"/>
    <n v="0"/>
    <n v="0"/>
    <n v="186"/>
    <n v="1"/>
    <n v="0"/>
    <n v="2"/>
    <n v="0"/>
    <n v="2"/>
    <x v="0"/>
  </r>
  <r>
    <x v="14"/>
    <x v="1"/>
    <n v="2"/>
    <n v="122"/>
    <x v="29"/>
    <n v="0"/>
    <n v="1"/>
    <n v="165"/>
    <n v="0"/>
    <n v="0.2"/>
    <n v="1"/>
    <n v="0"/>
    <n v="2"/>
    <x v="0"/>
  </r>
  <r>
    <x v="32"/>
    <x v="1"/>
    <n v="1"/>
    <n v="135"/>
    <x v="1"/>
    <n v="0"/>
    <n v="0"/>
    <n v="161"/>
    <n v="0"/>
    <n v="1.4"/>
    <n v="1"/>
    <n v="0"/>
    <n v="2"/>
    <x v="0"/>
  </r>
  <r>
    <x v="21"/>
    <x v="0"/>
    <n v="2"/>
    <n v="125"/>
    <x v="35"/>
    <n v="1"/>
    <n v="0"/>
    <n v="166"/>
    <n v="0"/>
    <n v="2.4"/>
    <n v="1"/>
    <n v="0"/>
    <n v="2"/>
    <x v="0"/>
  </r>
  <r>
    <x v="16"/>
    <x v="0"/>
    <n v="1"/>
    <n v="140"/>
    <x v="62"/>
    <n v="0"/>
    <n v="1"/>
    <n v="164"/>
    <n v="1"/>
    <n v="0"/>
    <n v="2"/>
    <n v="0"/>
    <n v="2"/>
    <x v="0"/>
  </r>
  <r>
    <x v="6"/>
    <x v="0"/>
    <n v="1"/>
    <n v="128"/>
    <x v="63"/>
    <n v="1"/>
    <n v="1"/>
    <n v="184"/>
    <n v="0"/>
    <n v="0"/>
    <n v="2"/>
    <n v="0"/>
    <n v="2"/>
    <x v="0"/>
  </r>
  <r>
    <x v="11"/>
    <x v="0"/>
    <n v="2"/>
    <n v="105"/>
    <x v="64"/>
    <n v="0"/>
    <n v="0"/>
    <n v="154"/>
    <n v="1"/>
    <n v="0.6"/>
    <n v="1"/>
    <n v="0"/>
    <n v="3"/>
    <x v="0"/>
  </r>
  <r>
    <x v="2"/>
    <x v="0"/>
    <n v="2"/>
    <n v="112"/>
    <x v="1"/>
    <n v="0"/>
    <n v="1"/>
    <n v="179"/>
    <n v="0"/>
    <n v="0"/>
    <n v="2"/>
    <n v="0"/>
    <n v="2"/>
    <x v="0"/>
  </r>
  <r>
    <x v="25"/>
    <x v="0"/>
    <n v="1"/>
    <n v="128"/>
    <x v="34"/>
    <n v="0"/>
    <n v="0"/>
    <n v="170"/>
    <n v="0"/>
    <n v="0"/>
    <n v="2"/>
    <n v="0"/>
    <n v="2"/>
    <x v="0"/>
  </r>
  <r>
    <x v="33"/>
    <x v="1"/>
    <n v="2"/>
    <n v="102"/>
    <x v="65"/>
    <n v="0"/>
    <n v="1"/>
    <n v="160"/>
    <n v="0"/>
    <n v="0"/>
    <n v="2"/>
    <n v="1"/>
    <n v="2"/>
    <x v="0"/>
  </r>
  <r>
    <x v="6"/>
    <x v="0"/>
    <n v="3"/>
    <n v="152"/>
    <x v="66"/>
    <n v="1"/>
    <n v="1"/>
    <n v="178"/>
    <n v="0"/>
    <n v="1.2"/>
    <n v="1"/>
    <n v="0"/>
    <n v="3"/>
    <x v="0"/>
  </r>
  <r>
    <x v="17"/>
    <x v="1"/>
    <n v="0"/>
    <n v="102"/>
    <x v="52"/>
    <n v="0"/>
    <n v="0"/>
    <n v="122"/>
    <n v="0"/>
    <n v="0.6"/>
    <n v="1"/>
    <n v="0"/>
    <n v="2"/>
    <x v="0"/>
  </r>
  <r>
    <x v="34"/>
    <x v="1"/>
    <n v="2"/>
    <n v="115"/>
    <x v="67"/>
    <n v="0"/>
    <n v="0"/>
    <n v="160"/>
    <n v="0"/>
    <n v="1.6"/>
    <n v="1"/>
    <n v="0"/>
    <n v="3"/>
    <x v="0"/>
  </r>
  <r>
    <x v="35"/>
    <x v="0"/>
    <n v="2"/>
    <n v="118"/>
    <x v="68"/>
    <n v="0"/>
    <n v="1"/>
    <n v="151"/>
    <n v="0"/>
    <n v="1"/>
    <n v="2"/>
    <n v="1"/>
    <n v="3"/>
    <x v="0"/>
  </r>
  <r>
    <x v="24"/>
    <x v="0"/>
    <n v="1"/>
    <n v="101"/>
    <x v="25"/>
    <n v="1"/>
    <n v="1"/>
    <n v="156"/>
    <n v="0"/>
    <n v="0"/>
    <n v="2"/>
    <n v="0"/>
    <n v="3"/>
    <x v="0"/>
  </r>
  <r>
    <x v="7"/>
    <x v="1"/>
    <n v="2"/>
    <n v="110"/>
    <x v="69"/>
    <n v="0"/>
    <n v="1"/>
    <n v="158"/>
    <n v="0"/>
    <n v="1.6"/>
    <n v="1"/>
    <n v="0"/>
    <n v="2"/>
    <x v="0"/>
  </r>
  <r>
    <x v="11"/>
    <x v="1"/>
    <n v="0"/>
    <n v="100"/>
    <x v="70"/>
    <n v="0"/>
    <n v="0"/>
    <n v="122"/>
    <n v="0"/>
    <n v="1"/>
    <n v="1"/>
    <n v="0"/>
    <n v="2"/>
    <x v="0"/>
  </r>
  <r>
    <x v="8"/>
    <x v="0"/>
    <n v="2"/>
    <n v="124"/>
    <x v="71"/>
    <n v="1"/>
    <n v="1"/>
    <n v="175"/>
    <n v="0"/>
    <n v="0"/>
    <n v="2"/>
    <n v="2"/>
    <n v="2"/>
    <x v="0"/>
  </r>
  <r>
    <x v="4"/>
    <x v="0"/>
    <n v="0"/>
    <n v="132"/>
    <x v="72"/>
    <n v="0"/>
    <n v="1"/>
    <n v="168"/>
    <n v="1"/>
    <n v="0"/>
    <n v="2"/>
    <n v="0"/>
    <n v="3"/>
    <x v="0"/>
  </r>
  <r>
    <x v="6"/>
    <x v="0"/>
    <n v="2"/>
    <n v="138"/>
    <x v="73"/>
    <n v="0"/>
    <n v="1"/>
    <n v="169"/>
    <n v="0"/>
    <n v="0"/>
    <n v="2"/>
    <n v="4"/>
    <n v="2"/>
    <x v="0"/>
  </r>
  <r>
    <x v="7"/>
    <x v="1"/>
    <n v="1"/>
    <n v="132"/>
    <x v="74"/>
    <n v="1"/>
    <n v="0"/>
    <n v="159"/>
    <n v="1"/>
    <n v="0"/>
    <n v="2"/>
    <n v="1"/>
    <n v="2"/>
    <x v="0"/>
  </r>
  <r>
    <x v="25"/>
    <x v="1"/>
    <n v="1"/>
    <n v="112"/>
    <x v="75"/>
    <n v="0"/>
    <n v="1"/>
    <n v="138"/>
    <n v="0"/>
    <n v="0"/>
    <n v="1"/>
    <n v="0"/>
    <n v="2"/>
    <x v="0"/>
  </r>
  <r>
    <x v="23"/>
    <x v="0"/>
    <n v="0"/>
    <n v="142"/>
    <x v="17"/>
    <n v="0"/>
    <n v="0"/>
    <n v="111"/>
    <n v="1"/>
    <n v="0"/>
    <n v="2"/>
    <n v="0"/>
    <n v="3"/>
    <x v="0"/>
  </r>
  <r>
    <x v="28"/>
    <x v="1"/>
    <n v="0"/>
    <n v="140"/>
    <x v="76"/>
    <n v="0"/>
    <n v="0"/>
    <n v="157"/>
    <n v="0"/>
    <n v="1.2"/>
    <n v="1"/>
    <n v="0"/>
    <n v="2"/>
    <x v="0"/>
  </r>
  <r>
    <x v="6"/>
    <x v="0"/>
    <n v="0"/>
    <n v="108"/>
    <x v="0"/>
    <n v="1"/>
    <n v="1"/>
    <n v="147"/>
    <n v="0"/>
    <n v="0.1"/>
    <n v="2"/>
    <n v="3"/>
    <n v="3"/>
    <x v="0"/>
  </r>
  <r>
    <x v="14"/>
    <x v="0"/>
    <n v="2"/>
    <n v="130"/>
    <x v="77"/>
    <n v="0"/>
    <n v="1"/>
    <n v="162"/>
    <n v="0"/>
    <n v="1.9"/>
    <n v="2"/>
    <n v="1"/>
    <n v="2"/>
    <x v="0"/>
  </r>
  <r>
    <x v="23"/>
    <x v="0"/>
    <n v="2"/>
    <n v="130"/>
    <x v="78"/>
    <n v="1"/>
    <n v="0"/>
    <n v="173"/>
    <n v="0"/>
    <n v="0"/>
    <n v="2"/>
    <n v="3"/>
    <n v="2"/>
    <x v="0"/>
  </r>
  <r>
    <x v="17"/>
    <x v="0"/>
    <n v="3"/>
    <n v="148"/>
    <x v="79"/>
    <n v="0"/>
    <n v="0"/>
    <n v="178"/>
    <n v="0"/>
    <n v="0.8"/>
    <n v="2"/>
    <n v="2"/>
    <n v="2"/>
    <x v="0"/>
  </r>
  <r>
    <x v="16"/>
    <x v="0"/>
    <n v="3"/>
    <n v="178"/>
    <x v="80"/>
    <n v="0"/>
    <n v="0"/>
    <n v="145"/>
    <n v="0"/>
    <n v="4.2"/>
    <n v="0"/>
    <n v="0"/>
    <n v="3"/>
    <x v="0"/>
  </r>
  <r>
    <x v="0"/>
    <x v="1"/>
    <n v="1"/>
    <n v="140"/>
    <x v="81"/>
    <n v="0"/>
    <n v="1"/>
    <n v="179"/>
    <n v="0"/>
    <n v="0"/>
    <n v="2"/>
    <n v="2"/>
    <n v="2"/>
    <x v="0"/>
  </r>
  <r>
    <x v="17"/>
    <x v="0"/>
    <n v="2"/>
    <n v="120"/>
    <x v="64"/>
    <n v="1"/>
    <n v="1"/>
    <n v="194"/>
    <n v="0"/>
    <n v="0.8"/>
    <n v="0"/>
    <n v="0"/>
    <n v="3"/>
    <x v="0"/>
  </r>
  <r>
    <x v="12"/>
    <x v="0"/>
    <n v="2"/>
    <n v="129"/>
    <x v="82"/>
    <n v="0"/>
    <n v="1"/>
    <n v="163"/>
    <n v="0"/>
    <n v="0"/>
    <n v="2"/>
    <n v="0"/>
    <n v="2"/>
    <x v="0"/>
  </r>
  <r>
    <x v="35"/>
    <x v="1"/>
    <n v="2"/>
    <n v="120"/>
    <x v="13"/>
    <n v="0"/>
    <n v="0"/>
    <n v="115"/>
    <n v="0"/>
    <n v="1.5"/>
    <n v="1"/>
    <n v="0"/>
    <n v="2"/>
    <x v="0"/>
  </r>
  <r>
    <x v="15"/>
    <x v="0"/>
    <n v="3"/>
    <n v="160"/>
    <x v="19"/>
    <n v="1"/>
    <n v="0"/>
    <n v="131"/>
    <n v="0"/>
    <n v="0.1"/>
    <n v="1"/>
    <n v="1"/>
    <n v="2"/>
    <x v="0"/>
  </r>
  <r>
    <x v="25"/>
    <x v="1"/>
    <n v="0"/>
    <n v="138"/>
    <x v="3"/>
    <n v="0"/>
    <n v="0"/>
    <n v="152"/>
    <n v="1"/>
    <n v="0.2"/>
    <n v="1"/>
    <n v="0"/>
    <n v="2"/>
    <x v="0"/>
  </r>
  <r>
    <x v="12"/>
    <x v="1"/>
    <n v="1"/>
    <n v="120"/>
    <x v="79"/>
    <n v="0"/>
    <n v="1"/>
    <n v="162"/>
    <n v="0"/>
    <n v="1.1000000000000001"/>
    <n v="2"/>
    <n v="0"/>
    <n v="2"/>
    <x v="0"/>
  </r>
  <r>
    <x v="12"/>
    <x v="1"/>
    <n v="0"/>
    <n v="110"/>
    <x v="83"/>
    <n v="0"/>
    <n v="0"/>
    <n v="159"/>
    <n v="0"/>
    <n v="0"/>
    <n v="2"/>
    <n v="0"/>
    <n v="2"/>
    <x v="0"/>
  </r>
  <r>
    <x v="10"/>
    <x v="1"/>
    <n v="0"/>
    <n v="180"/>
    <x v="39"/>
    <n v="0"/>
    <n v="1"/>
    <n v="154"/>
    <n v="1"/>
    <n v="0"/>
    <n v="2"/>
    <n v="0"/>
    <n v="2"/>
    <x v="0"/>
  </r>
  <r>
    <x v="4"/>
    <x v="0"/>
    <n v="2"/>
    <n v="150"/>
    <x v="84"/>
    <n v="1"/>
    <n v="1"/>
    <n v="173"/>
    <n v="0"/>
    <n v="0.2"/>
    <n v="2"/>
    <n v="1"/>
    <n v="3"/>
    <x v="0"/>
  </r>
  <r>
    <x v="10"/>
    <x v="1"/>
    <n v="2"/>
    <n v="140"/>
    <x v="85"/>
    <n v="0"/>
    <n v="1"/>
    <n v="133"/>
    <n v="0"/>
    <n v="0.2"/>
    <n v="2"/>
    <n v="0"/>
    <n v="3"/>
    <x v="0"/>
  </r>
  <r>
    <x v="14"/>
    <x v="0"/>
    <n v="0"/>
    <n v="110"/>
    <x v="13"/>
    <n v="0"/>
    <n v="1"/>
    <n v="161"/>
    <n v="0"/>
    <n v="0"/>
    <n v="2"/>
    <n v="0"/>
    <n v="3"/>
    <x v="0"/>
  </r>
  <r>
    <x v="32"/>
    <x v="0"/>
    <n v="1"/>
    <n v="130"/>
    <x v="86"/>
    <n v="0"/>
    <n v="1"/>
    <n v="155"/>
    <n v="0"/>
    <n v="0"/>
    <n v="2"/>
    <n v="0"/>
    <n v="2"/>
    <x v="0"/>
  </r>
  <r>
    <x v="1"/>
    <x v="1"/>
    <n v="2"/>
    <n v="120"/>
    <x v="87"/>
    <n v="0"/>
    <n v="1"/>
    <n v="170"/>
    <n v="0"/>
    <n v="0"/>
    <n v="2"/>
    <n v="0"/>
    <n v="2"/>
    <x v="0"/>
  </r>
  <r>
    <x v="2"/>
    <x v="0"/>
    <n v="2"/>
    <n v="130"/>
    <x v="69"/>
    <n v="0"/>
    <n v="0"/>
    <n v="168"/>
    <n v="0"/>
    <n v="2"/>
    <n v="1"/>
    <n v="0"/>
    <n v="2"/>
    <x v="0"/>
  </r>
  <r>
    <x v="3"/>
    <x v="0"/>
    <n v="3"/>
    <n v="120"/>
    <x v="88"/>
    <n v="0"/>
    <n v="0"/>
    <n v="162"/>
    <n v="0"/>
    <n v="1.9"/>
    <n v="1"/>
    <n v="0"/>
    <n v="3"/>
    <x v="0"/>
  </r>
  <r>
    <x v="24"/>
    <x v="1"/>
    <n v="1"/>
    <n v="105"/>
    <x v="2"/>
    <n v="0"/>
    <n v="1"/>
    <n v="172"/>
    <n v="0"/>
    <n v="0"/>
    <n v="2"/>
    <n v="0"/>
    <n v="2"/>
    <x v="0"/>
  </r>
  <r>
    <x v="24"/>
    <x v="1"/>
    <n v="0"/>
    <n v="138"/>
    <x v="20"/>
    <n v="0"/>
    <n v="0"/>
    <n v="152"/>
    <n v="1"/>
    <n v="0"/>
    <n v="1"/>
    <n v="0"/>
    <n v="2"/>
    <x v="0"/>
  </r>
  <r>
    <x v="10"/>
    <x v="1"/>
    <n v="0"/>
    <n v="130"/>
    <x v="51"/>
    <n v="0"/>
    <n v="1"/>
    <n v="122"/>
    <n v="0"/>
    <n v="2"/>
    <n v="1"/>
    <n v="2"/>
    <n v="2"/>
    <x v="0"/>
  </r>
  <r>
    <x v="16"/>
    <x v="0"/>
    <n v="0"/>
    <n v="138"/>
    <x v="89"/>
    <n v="0"/>
    <n v="0"/>
    <n v="182"/>
    <n v="0"/>
    <n v="0"/>
    <n v="2"/>
    <n v="0"/>
    <n v="2"/>
    <x v="0"/>
  </r>
  <r>
    <x v="2"/>
    <x v="1"/>
    <n v="2"/>
    <n v="112"/>
    <x v="90"/>
    <n v="0"/>
    <n v="0"/>
    <n v="172"/>
    <n v="1"/>
    <n v="0"/>
    <n v="2"/>
    <n v="0"/>
    <n v="2"/>
    <x v="0"/>
  </r>
  <r>
    <x v="7"/>
    <x v="1"/>
    <n v="2"/>
    <n v="108"/>
    <x v="91"/>
    <n v="0"/>
    <n v="0"/>
    <n v="167"/>
    <n v="0"/>
    <n v="0"/>
    <n v="2"/>
    <n v="0"/>
    <n v="2"/>
    <x v="0"/>
  </r>
  <r>
    <x v="26"/>
    <x v="1"/>
    <n v="2"/>
    <n v="94"/>
    <x v="8"/>
    <n v="0"/>
    <n v="1"/>
    <n v="179"/>
    <n v="0"/>
    <n v="0"/>
    <n v="2"/>
    <n v="0"/>
    <n v="2"/>
    <x v="0"/>
  </r>
  <r>
    <x v="29"/>
    <x v="1"/>
    <n v="1"/>
    <n v="118"/>
    <x v="92"/>
    <n v="0"/>
    <n v="1"/>
    <n v="192"/>
    <n v="0"/>
    <n v="0.7"/>
    <n v="2"/>
    <n v="0"/>
    <n v="2"/>
    <x v="0"/>
  </r>
  <r>
    <x v="27"/>
    <x v="0"/>
    <n v="0"/>
    <n v="112"/>
    <x v="2"/>
    <n v="0"/>
    <n v="1"/>
    <n v="143"/>
    <n v="0"/>
    <n v="0.1"/>
    <n v="2"/>
    <n v="0"/>
    <n v="2"/>
    <x v="0"/>
  </r>
  <r>
    <x v="34"/>
    <x v="1"/>
    <n v="2"/>
    <n v="152"/>
    <x v="68"/>
    <n v="0"/>
    <n v="1"/>
    <n v="172"/>
    <n v="0"/>
    <n v="0"/>
    <n v="2"/>
    <n v="1"/>
    <n v="2"/>
    <x v="0"/>
  </r>
  <r>
    <x v="6"/>
    <x v="1"/>
    <n v="2"/>
    <n v="136"/>
    <x v="82"/>
    <n v="0"/>
    <n v="0"/>
    <n v="169"/>
    <n v="0"/>
    <n v="0.1"/>
    <n v="1"/>
    <n v="0"/>
    <n v="2"/>
    <x v="0"/>
  </r>
  <r>
    <x v="36"/>
    <x v="1"/>
    <n v="1"/>
    <n v="120"/>
    <x v="32"/>
    <n v="0"/>
    <n v="0"/>
    <n v="121"/>
    <n v="1"/>
    <n v="0.2"/>
    <n v="2"/>
    <n v="1"/>
    <n v="2"/>
    <x v="0"/>
  </r>
  <r>
    <x v="7"/>
    <x v="1"/>
    <n v="2"/>
    <n v="160"/>
    <x v="47"/>
    <n v="0"/>
    <n v="1"/>
    <n v="163"/>
    <n v="0"/>
    <n v="0"/>
    <n v="2"/>
    <n v="1"/>
    <n v="2"/>
    <x v="0"/>
  </r>
  <r>
    <x v="9"/>
    <x v="1"/>
    <n v="1"/>
    <n v="134"/>
    <x v="89"/>
    <n v="0"/>
    <n v="1"/>
    <n v="162"/>
    <n v="0"/>
    <n v="0"/>
    <n v="1"/>
    <n v="0"/>
    <n v="2"/>
    <x v="0"/>
  </r>
  <r>
    <x v="17"/>
    <x v="0"/>
    <n v="1"/>
    <n v="120"/>
    <x v="93"/>
    <n v="0"/>
    <n v="1"/>
    <n v="162"/>
    <n v="0"/>
    <n v="0"/>
    <n v="2"/>
    <n v="0"/>
    <n v="2"/>
    <x v="0"/>
  </r>
  <r>
    <x v="2"/>
    <x v="0"/>
    <n v="1"/>
    <n v="110"/>
    <x v="40"/>
    <n v="0"/>
    <n v="1"/>
    <n v="153"/>
    <n v="0"/>
    <n v="0"/>
    <n v="2"/>
    <n v="0"/>
    <n v="2"/>
    <x v="0"/>
  </r>
  <r>
    <x v="2"/>
    <x v="1"/>
    <n v="1"/>
    <n v="126"/>
    <x v="94"/>
    <n v="0"/>
    <n v="1"/>
    <n v="163"/>
    <n v="0"/>
    <n v="0"/>
    <n v="2"/>
    <n v="0"/>
    <n v="2"/>
    <x v="0"/>
  </r>
  <r>
    <x v="9"/>
    <x v="1"/>
    <n v="0"/>
    <n v="130"/>
    <x v="32"/>
    <n v="0"/>
    <n v="1"/>
    <n v="163"/>
    <n v="0"/>
    <n v="0"/>
    <n v="2"/>
    <n v="0"/>
    <n v="2"/>
    <x v="0"/>
  </r>
  <r>
    <x v="33"/>
    <x v="1"/>
    <n v="2"/>
    <n v="120"/>
    <x v="95"/>
    <n v="1"/>
    <n v="1"/>
    <n v="96"/>
    <n v="0"/>
    <n v="0"/>
    <n v="2"/>
    <n v="0"/>
    <n v="2"/>
    <x v="0"/>
  </r>
  <r>
    <x v="28"/>
    <x v="0"/>
    <n v="1"/>
    <n v="128"/>
    <x v="36"/>
    <n v="1"/>
    <n v="0"/>
    <n v="140"/>
    <n v="0"/>
    <n v="0"/>
    <n v="2"/>
    <n v="0"/>
    <n v="2"/>
    <x v="0"/>
  </r>
  <r>
    <x v="4"/>
    <x v="0"/>
    <n v="0"/>
    <n v="110"/>
    <x v="47"/>
    <n v="0"/>
    <n v="1"/>
    <n v="126"/>
    <n v="1"/>
    <n v="1.5"/>
    <n v="1"/>
    <n v="0"/>
    <n v="1"/>
    <x v="0"/>
  </r>
  <r>
    <x v="10"/>
    <x v="0"/>
    <n v="0"/>
    <n v="128"/>
    <x v="7"/>
    <n v="0"/>
    <n v="1"/>
    <n v="105"/>
    <n v="1"/>
    <n v="0.2"/>
    <n v="1"/>
    <n v="1"/>
    <n v="3"/>
    <x v="0"/>
  </r>
  <r>
    <x v="21"/>
    <x v="1"/>
    <n v="2"/>
    <n v="120"/>
    <x v="93"/>
    <n v="0"/>
    <n v="0"/>
    <n v="157"/>
    <n v="0"/>
    <n v="0.6"/>
    <n v="2"/>
    <n v="0"/>
    <n v="2"/>
    <x v="0"/>
  </r>
  <r>
    <x v="14"/>
    <x v="0"/>
    <n v="0"/>
    <n v="115"/>
    <x v="51"/>
    <n v="0"/>
    <n v="1"/>
    <n v="181"/>
    <n v="0"/>
    <n v="1.2"/>
    <n v="1"/>
    <n v="0"/>
    <n v="2"/>
    <x v="0"/>
  </r>
  <r>
    <x v="17"/>
    <x v="1"/>
    <n v="2"/>
    <n v="120"/>
    <x v="58"/>
    <n v="0"/>
    <n v="1"/>
    <n v="173"/>
    <n v="0"/>
    <n v="0"/>
    <n v="1"/>
    <n v="0"/>
    <n v="2"/>
    <x v="0"/>
  </r>
  <r>
    <x v="34"/>
    <x v="1"/>
    <n v="0"/>
    <n v="106"/>
    <x v="73"/>
    <n v="0"/>
    <n v="1"/>
    <n v="142"/>
    <n v="0"/>
    <n v="0.3"/>
    <n v="2"/>
    <n v="2"/>
    <n v="2"/>
    <x v="0"/>
  </r>
  <r>
    <x v="37"/>
    <x v="1"/>
    <n v="2"/>
    <n v="140"/>
    <x v="25"/>
    <n v="0"/>
    <n v="2"/>
    <n v="116"/>
    <n v="0"/>
    <n v="1.1000000000000001"/>
    <n v="1"/>
    <n v="0"/>
    <n v="2"/>
    <x v="0"/>
  </r>
  <r>
    <x v="38"/>
    <x v="0"/>
    <n v="1"/>
    <n v="156"/>
    <x v="35"/>
    <n v="0"/>
    <n v="0"/>
    <n v="143"/>
    <n v="0"/>
    <n v="0"/>
    <n v="2"/>
    <n v="0"/>
    <n v="2"/>
    <x v="0"/>
  </r>
  <r>
    <x v="5"/>
    <x v="1"/>
    <n v="2"/>
    <n v="118"/>
    <x v="96"/>
    <n v="0"/>
    <n v="1"/>
    <n v="149"/>
    <n v="0"/>
    <n v="0.3"/>
    <n v="1"/>
    <n v="1"/>
    <n v="2"/>
    <x v="0"/>
  </r>
  <r>
    <x v="33"/>
    <x v="1"/>
    <n v="3"/>
    <n v="150"/>
    <x v="64"/>
    <n v="0"/>
    <n v="1"/>
    <n v="171"/>
    <n v="0"/>
    <n v="0.9"/>
    <n v="2"/>
    <n v="0"/>
    <n v="2"/>
    <x v="0"/>
  </r>
  <r>
    <x v="5"/>
    <x v="0"/>
    <n v="2"/>
    <n v="120"/>
    <x v="17"/>
    <n v="0"/>
    <n v="1"/>
    <n v="169"/>
    <n v="0"/>
    <n v="0"/>
    <n v="2"/>
    <n v="0"/>
    <n v="2"/>
    <x v="0"/>
  </r>
  <r>
    <x v="17"/>
    <x v="0"/>
    <n v="2"/>
    <n v="130"/>
    <x v="97"/>
    <n v="0"/>
    <n v="1"/>
    <n v="150"/>
    <n v="0"/>
    <n v="0"/>
    <n v="2"/>
    <n v="0"/>
    <n v="2"/>
    <x v="0"/>
  </r>
  <r>
    <x v="13"/>
    <x v="0"/>
    <n v="0"/>
    <n v="160"/>
    <x v="98"/>
    <n v="0"/>
    <n v="0"/>
    <n v="138"/>
    <n v="0"/>
    <n v="2.2999999999999998"/>
    <n v="2"/>
    <n v="0"/>
    <n v="1"/>
    <x v="0"/>
  </r>
  <r>
    <x v="20"/>
    <x v="1"/>
    <n v="0"/>
    <n v="112"/>
    <x v="99"/>
    <n v="0"/>
    <n v="1"/>
    <n v="125"/>
    <n v="0"/>
    <n v="1.6"/>
    <n v="1"/>
    <n v="0"/>
    <n v="2"/>
    <x v="0"/>
  </r>
  <r>
    <x v="10"/>
    <x v="0"/>
    <n v="3"/>
    <n v="170"/>
    <x v="60"/>
    <n v="0"/>
    <n v="0"/>
    <n v="155"/>
    <n v="0"/>
    <n v="0.6"/>
    <n v="1"/>
    <n v="0"/>
    <n v="3"/>
    <x v="0"/>
  </r>
  <r>
    <x v="13"/>
    <x v="1"/>
    <n v="2"/>
    <n v="146"/>
    <x v="100"/>
    <n v="0"/>
    <n v="0"/>
    <n v="152"/>
    <n v="0"/>
    <n v="0"/>
    <n v="1"/>
    <n v="1"/>
    <n v="2"/>
    <x v="0"/>
  </r>
  <r>
    <x v="26"/>
    <x v="1"/>
    <n v="2"/>
    <n v="138"/>
    <x v="57"/>
    <n v="0"/>
    <n v="1"/>
    <n v="152"/>
    <n v="0"/>
    <n v="0"/>
    <n v="1"/>
    <n v="0"/>
    <n v="2"/>
    <x v="0"/>
  </r>
  <r>
    <x v="11"/>
    <x v="1"/>
    <n v="0"/>
    <n v="130"/>
    <x v="25"/>
    <n v="0"/>
    <n v="1"/>
    <n v="131"/>
    <n v="0"/>
    <n v="0.6"/>
    <n v="1"/>
    <n v="0"/>
    <n v="2"/>
    <x v="0"/>
  </r>
  <r>
    <x v="27"/>
    <x v="0"/>
    <n v="2"/>
    <n v="130"/>
    <x v="101"/>
    <n v="0"/>
    <n v="1"/>
    <n v="179"/>
    <n v="0"/>
    <n v="0"/>
    <n v="2"/>
    <n v="0"/>
    <n v="2"/>
    <x v="0"/>
  </r>
  <r>
    <x v="30"/>
    <x v="0"/>
    <n v="1"/>
    <n v="122"/>
    <x v="5"/>
    <n v="0"/>
    <n v="1"/>
    <n v="174"/>
    <n v="0"/>
    <n v="0"/>
    <n v="2"/>
    <n v="0"/>
    <n v="2"/>
    <x v="0"/>
  </r>
  <r>
    <x v="11"/>
    <x v="0"/>
    <n v="1"/>
    <n v="125"/>
    <x v="57"/>
    <n v="0"/>
    <n v="1"/>
    <n v="144"/>
    <n v="0"/>
    <n v="0.4"/>
    <n v="1"/>
    <n v="4"/>
    <n v="3"/>
    <x v="0"/>
  </r>
  <r>
    <x v="3"/>
    <x v="0"/>
    <n v="1"/>
    <n v="130"/>
    <x v="62"/>
    <n v="0"/>
    <n v="0"/>
    <n v="163"/>
    <n v="0"/>
    <n v="0"/>
    <n v="2"/>
    <n v="0"/>
    <n v="3"/>
    <x v="0"/>
  </r>
  <r>
    <x v="3"/>
    <x v="0"/>
    <n v="1"/>
    <n v="120"/>
    <x v="64"/>
    <n v="0"/>
    <n v="1"/>
    <n v="169"/>
    <n v="0"/>
    <n v="0"/>
    <n v="0"/>
    <n v="0"/>
    <n v="2"/>
    <x v="0"/>
  </r>
  <r>
    <x v="32"/>
    <x v="1"/>
    <n v="1"/>
    <n v="132"/>
    <x v="102"/>
    <n v="0"/>
    <n v="1"/>
    <n v="166"/>
    <n v="0"/>
    <n v="1.2"/>
    <n v="2"/>
    <n v="0"/>
    <n v="2"/>
    <x v="0"/>
  </r>
  <r>
    <x v="2"/>
    <x v="0"/>
    <n v="1"/>
    <n v="120"/>
    <x v="103"/>
    <n v="0"/>
    <n v="1"/>
    <n v="182"/>
    <n v="0"/>
    <n v="0"/>
    <n v="2"/>
    <n v="0"/>
    <n v="2"/>
    <x v="0"/>
  </r>
  <r>
    <x v="39"/>
    <x v="0"/>
    <n v="2"/>
    <n v="138"/>
    <x v="23"/>
    <n v="0"/>
    <n v="1"/>
    <n v="173"/>
    <n v="0"/>
    <n v="0"/>
    <n v="2"/>
    <n v="4"/>
    <n v="2"/>
    <x v="0"/>
  </r>
  <r>
    <x v="39"/>
    <x v="0"/>
    <n v="2"/>
    <n v="138"/>
    <x v="23"/>
    <n v="0"/>
    <n v="1"/>
    <n v="173"/>
    <n v="0"/>
    <n v="0"/>
    <n v="2"/>
    <n v="4"/>
    <n v="2"/>
    <x v="0"/>
  </r>
  <r>
    <x v="34"/>
    <x v="0"/>
    <n v="0"/>
    <n v="160"/>
    <x v="104"/>
    <n v="0"/>
    <n v="0"/>
    <n v="108"/>
    <n v="1"/>
    <n v="1.5"/>
    <n v="1"/>
    <n v="3"/>
    <n v="2"/>
    <x v="1"/>
  </r>
  <r>
    <x v="34"/>
    <x v="0"/>
    <n v="0"/>
    <n v="120"/>
    <x v="105"/>
    <n v="0"/>
    <n v="0"/>
    <n v="129"/>
    <n v="1"/>
    <n v="2.6"/>
    <n v="1"/>
    <n v="2"/>
    <n v="3"/>
    <x v="1"/>
  </r>
  <r>
    <x v="28"/>
    <x v="1"/>
    <n v="0"/>
    <n v="140"/>
    <x v="90"/>
    <n v="0"/>
    <n v="0"/>
    <n v="160"/>
    <n v="0"/>
    <n v="3.6"/>
    <n v="0"/>
    <n v="2"/>
    <n v="2"/>
    <x v="1"/>
  </r>
  <r>
    <x v="0"/>
    <x v="0"/>
    <n v="0"/>
    <n v="130"/>
    <x v="83"/>
    <n v="0"/>
    <n v="0"/>
    <n v="147"/>
    <n v="0"/>
    <n v="1.4"/>
    <n v="1"/>
    <n v="1"/>
    <n v="3"/>
    <x v="1"/>
  </r>
  <r>
    <x v="23"/>
    <x v="0"/>
    <n v="0"/>
    <n v="140"/>
    <x v="55"/>
    <n v="1"/>
    <n v="0"/>
    <n v="155"/>
    <n v="1"/>
    <n v="3.1"/>
    <n v="0"/>
    <n v="0"/>
    <n v="3"/>
    <x v="1"/>
  </r>
  <r>
    <x v="3"/>
    <x v="0"/>
    <n v="2"/>
    <n v="130"/>
    <x v="43"/>
    <n v="1"/>
    <n v="0"/>
    <n v="142"/>
    <n v="1"/>
    <n v="0.6"/>
    <n v="1"/>
    <n v="1"/>
    <n v="1"/>
    <x v="1"/>
  </r>
  <r>
    <x v="8"/>
    <x v="0"/>
    <n v="1"/>
    <n v="110"/>
    <x v="105"/>
    <n v="0"/>
    <n v="1"/>
    <n v="168"/>
    <n v="0"/>
    <n v="1"/>
    <n v="0"/>
    <n v="0"/>
    <n v="3"/>
    <x v="1"/>
  </r>
  <r>
    <x v="11"/>
    <x v="0"/>
    <n v="1"/>
    <n v="120"/>
    <x v="106"/>
    <n v="0"/>
    <n v="0"/>
    <n v="160"/>
    <n v="0"/>
    <n v="1.8"/>
    <n v="1"/>
    <n v="0"/>
    <n v="2"/>
    <x v="1"/>
  </r>
  <r>
    <x v="11"/>
    <x v="0"/>
    <n v="2"/>
    <n v="132"/>
    <x v="107"/>
    <n v="0"/>
    <n v="0"/>
    <n v="173"/>
    <n v="0"/>
    <n v="3.2"/>
    <n v="2"/>
    <n v="2"/>
    <n v="3"/>
    <x v="1"/>
  </r>
  <r>
    <x v="33"/>
    <x v="0"/>
    <n v="0"/>
    <n v="130"/>
    <x v="108"/>
    <n v="0"/>
    <n v="0"/>
    <n v="132"/>
    <n v="1"/>
    <n v="2.4"/>
    <n v="1"/>
    <n v="2"/>
    <n v="3"/>
    <x v="1"/>
  </r>
  <r>
    <x v="19"/>
    <x v="0"/>
    <n v="0"/>
    <n v="110"/>
    <x v="109"/>
    <n v="0"/>
    <n v="0"/>
    <n v="114"/>
    <n v="1"/>
    <n v="2"/>
    <n v="1"/>
    <n v="0"/>
    <n v="3"/>
    <x v="1"/>
  </r>
  <r>
    <x v="33"/>
    <x v="0"/>
    <n v="0"/>
    <n v="117"/>
    <x v="110"/>
    <n v="1"/>
    <n v="1"/>
    <n v="160"/>
    <n v="1"/>
    <n v="1.4"/>
    <n v="2"/>
    <n v="2"/>
    <n v="3"/>
    <x v="1"/>
  </r>
  <r>
    <x v="10"/>
    <x v="0"/>
    <n v="2"/>
    <n v="140"/>
    <x v="111"/>
    <n v="0"/>
    <n v="1"/>
    <n v="158"/>
    <n v="0"/>
    <n v="0"/>
    <n v="2"/>
    <n v="0"/>
    <n v="2"/>
    <x v="1"/>
  </r>
  <r>
    <x v="14"/>
    <x v="0"/>
    <n v="0"/>
    <n v="120"/>
    <x v="27"/>
    <n v="0"/>
    <n v="0"/>
    <n v="120"/>
    <n v="1"/>
    <n v="2.5"/>
    <n v="1"/>
    <n v="0"/>
    <n v="3"/>
    <x v="1"/>
  </r>
  <r>
    <x v="4"/>
    <x v="0"/>
    <n v="0"/>
    <n v="150"/>
    <x v="112"/>
    <n v="0"/>
    <n v="0"/>
    <n v="112"/>
    <n v="1"/>
    <n v="0.6"/>
    <n v="1"/>
    <n v="1"/>
    <n v="1"/>
    <x v="1"/>
  </r>
  <r>
    <x v="32"/>
    <x v="0"/>
    <n v="0"/>
    <n v="132"/>
    <x v="113"/>
    <n v="0"/>
    <n v="1"/>
    <n v="132"/>
    <n v="1"/>
    <n v="1.2"/>
    <n v="1"/>
    <n v="1"/>
    <n v="3"/>
    <x v="1"/>
  </r>
  <r>
    <x v="22"/>
    <x v="1"/>
    <n v="0"/>
    <n v="150"/>
    <x v="114"/>
    <n v="0"/>
    <n v="0"/>
    <n v="114"/>
    <n v="0"/>
    <n v="1"/>
    <n v="1"/>
    <n v="3"/>
    <n v="3"/>
    <x v="1"/>
  </r>
  <r>
    <x v="18"/>
    <x v="1"/>
    <n v="0"/>
    <n v="130"/>
    <x v="115"/>
    <n v="0"/>
    <n v="0"/>
    <n v="169"/>
    <n v="0"/>
    <n v="0"/>
    <n v="2"/>
    <n v="0"/>
    <n v="2"/>
    <x v="1"/>
  </r>
  <r>
    <x v="11"/>
    <x v="0"/>
    <n v="2"/>
    <n v="112"/>
    <x v="110"/>
    <n v="0"/>
    <n v="0"/>
    <n v="165"/>
    <n v="0"/>
    <n v="2.5"/>
    <n v="1"/>
    <n v="1"/>
    <n v="3"/>
    <x v="1"/>
  </r>
  <r>
    <x v="12"/>
    <x v="0"/>
    <n v="0"/>
    <n v="150"/>
    <x v="20"/>
    <n v="0"/>
    <n v="0"/>
    <n v="128"/>
    <n v="0"/>
    <n v="2.6"/>
    <n v="1"/>
    <n v="0"/>
    <n v="3"/>
    <x v="1"/>
  </r>
  <r>
    <x v="5"/>
    <x v="0"/>
    <n v="0"/>
    <n v="112"/>
    <x v="116"/>
    <n v="0"/>
    <n v="0"/>
    <n v="153"/>
    <n v="0"/>
    <n v="0"/>
    <n v="2"/>
    <n v="1"/>
    <n v="2"/>
    <x v="1"/>
  </r>
  <r>
    <x v="33"/>
    <x v="0"/>
    <n v="0"/>
    <n v="130"/>
    <x v="101"/>
    <n v="0"/>
    <n v="1"/>
    <n v="144"/>
    <n v="1"/>
    <n v="1.4"/>
    <n v="2"/>
    <n v="1"/>
    <n v="3"/>
    <x v="1"/>
  </r>
  <r>
    <x v="7"/>
    <x v="0"/>
    <n v="0"/>
    <n v="124"/>
    <x v="12"/>
    <n v="0"/>
    <n v="0"/>
    <n v="109"/>
    <n v="1"/>
    <n v="2.2000000000000002"/>
    <n v="1"/>
    <n v="1"/>
    <n v="3"/>
    <x v="1"/>
  </r>
  <r>
    <x v="12"/>
    <x v="0"/>
    <n v="2"/>
    <n v="140"/>
    <x v="0"/>
    <n v="0"/>
    <n v="1"/>
    <n v="163"/>
    <n v="0"/>
    <n v="0.6"/>
    <n v="1"/>
    <n v="1"/>
    <n v="3"/>
    <x v="1"/>
  </r>
  <r>
    <x v="2"/>
    <x v="0"/>
    <n v="0"/>
    <n v="110"/>
    <x v="117"/>
    <n v="0"/>
    <n v="0"/>
    <n v="158"/>
    <n v="0"/>
    <n v="0"/>
    <n v="2"/>
    <n v="0"/>
    <n v="3"/>
    <x v="1"/>
  </r>
  <r>
    <x v="21"/>
    <x v="1"/>
    <n v="0"/>
    <n v="130"/>
    <x v="118"/>
    <n v="0"/>
    <n v="1"/>
    <n v="142"/>
    <n v="1"/>
    <n v="1.2"/>
    <n v="1"/>
    <n v="0"/>
    <n v="3"/>
    <x v="1"/>
  </r>
  <r>
    <x v="11"/>
    <x v="0"/>
    <n v="0"/>
    <n v="128"/>
    <x v="42"/>
    <n v="0"/>
    <n v="0"/>
    <n v="131"/>
    <n v="1"/>
    <n v="2.2000000000000002"/>
    <n v="1"/>
    <n v="3"/>
    <n v="3"/>
    <x v="1"/>
  </r>
  <r>
    <x v="7"/>
    <x v="0"/>
    <n v="0"/>
    <n v="120"/>
    <x v="119"/>
    <n v="0"/>
    <n v="1"/>
    <n v="113"/>
    <n v="0"/>
    <n v="1.4"/>
    <n v="1"/>
    <n v="1"/>
    <n v="3"/>
    <x v="1"/>
  </r>
  <r>
    <x v="33"/>
    <x v="0"/>
    <n v="0"/>
    <n v="145"/>
    <x v="120"/>
    <n v="0"/>
    <n v="0"/>
    <n v="142"/>
    <n v="1"/>
    <n v="2.8"/>
    <n v="1"/>
    <n v="2"/>
    <n v="3"/>
    <x v="1"/>
  </r>
  <r>
    <x v="33"/>
    <x v="0"/>
    <n v="2"/>
    <n v="140"/>
    <x v="121"/>
    <n v="0"/>
    <n v="0"/>
    <n v="155"/>
    <n v="0"/>
    <n v="3"/>
    <n v="1"/>
    <n v="0"/>
    <n v="2"/>
    <x v="1"/>
  </r>
  <r>
    <x v="16"/>
    <x v="0"/>
    <n v="0"/>
    <n v="170"/>
    <x v="122"/>
    <n v="0"/>
    <n v="0"/>
    <n v="140"/>
    <n v="1"/>
    <n v="3.4"/>
    <n v="0"/>
    <n v="0"/>
    <n v="3"/>
    <x v="1"/>
  </r>
  <r>
    <x v="24"/>
    <x v="0"/>
    <n v="2"/>
    <n v="150"/>
    <x v="44"/>
    <n v="0"/>
    <n v="1"/>
    <n v="147"/>
    <n v="0"/>
    <n v="3.6"/>
    <n v="1"/>
    <n v="0"/>
    <n v="2"/>
    <x v="1"/>
  </r>
  <r>
    <x v="34"/>
    <x v="0"/>
    <n v="0"/>
    <n v="125"/>
    <x v="83"/>
    <n v="1"/>
    <n v="1"/>
    <n v="163"/>
    <n v="0"/>
    <n v="0.2"/>
    <n v="1"/>
    <n v="2"/>
    <n v="3"/>
    <x v="1"/>
  </r>
  <r>
    <x v="28"/>
    <x v="0"/>
    <n v="0"/>
    <n v="120"/>
    <x v="91"/>
    <n v="0"/>
    <n v="1"/>
    <n v="99"/>
    <n v="1"/>
    <n v="1.8"/>
    <n v="1"/>
    <n v="2"/>
    <n v="3"/>
    <x v="1"/>
  </r>
  <r>
    <x v="22"/>
    <x v="0"/>
    <n v="0"/>
    <n v="110"/>
    <x v="70"/>
    <n v="0"/>
    <n v="0"/>
    <n v="158"/>
    <n v="0"/>
    <n v="0.6"/>
    <n v="2"/>
    <n v="2"/>
    <n v="1"/>
    <x v="1"/>
  </r>
  <r>
    <x v="5"/>
    <x v="0"/>
    <n v="0"/>
    <n v="110"/>
    <x v="25"/>
    <n v="0"/>
    <n v="0"/>
    <n v="177"/>
    <n v="0"/>
    <n v="0"/>
    <n v="2"/>
    <n v="1"/>
    <n v="2"/>
    <x v="1"/>
  </r>
  <r>
    <x v="33"/>
    <x v="0"/>
    <n v="0"/>
    <n v="125"/>
    <x v="59"/>
    <n v="0"/>
    <n v="0"/>
    <n v="141"/>
    <n v="1"/>
    <n v="2.8"/>
    <n v="1"/>
    <n v="1"/>
    <n v="3"/>
    <x v="1"/>
  </r>
  <r>
    <x v="11"/>
    <x v="0"/>
    <n v="0"/>
    <n v="150"/>
    <x v="80"/>
    <n v="0"/>
    <n v="0"/>
    <n v="111"/>
    <n v="1"/>
    <n v="0.8"/>
    <n v="2"/>
    <n v="0"/>
    <n v="3"/>
    <x v="1"/>
  </r>
  <r>
    <x v="35"/>
    <x v="0"/>
    <n v="2"/>
    <n v="180"/>
    <x v="123"/>
    <n v="1"/>
    <n v="0"/>
    <n v="150"/>
    <n v="1"/>
    <n v="1.6"/>
    <n v="1"/>
    <n v="0"/>
    <n v="3"/>
    <x v="1"/>
  </r>
  <r>
    <x v="28"/>
    <x v="1"/>
    <n v="0"/>
    <n v="160"/>
    <x v="124"/>
    <n v="0"/>
    <n v="0"/>
    <n v="145"/>
    <n v="0"/>
    <n v="6.2"/>
    <n v="0"/>
    <n v="3"/>
    <n v="3"/>
    <x v="1"/>
  </r>
  <r>
    <x v="6"/>
    <x v="0"/>
    <n v="0"/>
    <n v="128"/>
    <x v="71"/>
    <n v="0"/>
    <n v="1"/>
    <n v="161"/>
    <n v="1"/>
    <n v="0"/>
    <n v="2"/>
    <n v="1"/>
    <n v="3"/>
    <x v="1"/>
  </r>
  <r>
    <x v="16"/>
    <x v="0"/>
    <n v="0"/>
    <n v="110"/>
    <x v="10"/>
    <n v="0"/>
    <n v="0"/>
    <n v="142"/>
    <n v="1"/>
    <n v="1.2"/>
    <n v="1"/>
    <n v="1"/>
    <n v="3"/>
    <x v="1"/>
  </r>
  <r>
    <x v="33"/>
    <x v="1"/>
    <n v="0"/>
    <n v="150"/>
    <x v="59"/>
    <n v="0"/>
    <n v="0"/>
    <n v="157"/>
    <n v="0"/>
    <n v="2.6"/>
    <n v="1"/>
    <n v="2"/>
    <n v="3"/>
    <x v="1"/>
  </r>
  <r>
    <x v="9"/>
    <x v="0"/>
    <n v="2"/>
    <n v="120"/>
    <x v="119"/>
    <n v="0"/>
    <n v="1"/>
    <n v="139"/>
    <n v="0"/>
    <n v="2"/>
    <n v="1"/>
    <n v="3"/>
    <n v="3"/>
    <x v="1"/>
  </r>
  <r>
    <x v="16"/>
    <x v="0"/>
    <n v="0"/>
    <n v="140"/>
    <x v="27"/>
    <n v="0"/>
    <n v="1"/>
    <n v="162"/>
    <n v="1"/>
    <n v="0"/>
    <n v="2"/>
    <n v="1"/>
    <n v="3"/>
    <x v="1"/>
  </r>
  <r>
    <x v="4"/>
    <x v="0"/>
    <n v="2"/>
    <n v="128"/>
    <x v="105"/>
    <n v="0"/>
    <n v="0"/>
    <n v="150"/>
    <n v="0"/>
    <n v="0.4"/>
    <n v="1"/>
    <n v="1"/>
    <n v="3"/>
    <x v="1"/>
  </r>
  <r>
    <x v="18"/>
    <x v="0"/>
    <n v="0"/>
    <n v="120"/>
    <x v="49"/>
    <n v="0"/>
    <n v="1"/>
    <n v="140"/>
    <n v="1"/>
    <n v="3.6"/>
    <n v="1"/>
    <n v="1"/>
    <n v="3"/>
    <x v="1"/>
  </r>
  <r>
    <x v="26"/>
    <x v="0"/>
    <n v="0"/>
    <n v="118"/>
    <x v="15"/>
    <n v="0"/>
    <n v="1"/>
    <n v="140"/>
    <n v="0"/>
    <n v="1.2"/>
    <n v="1"/>
    <n v="0"/>
    <n v="3"/>
    <x v="1"/>
  </r>
  <r>
    <x v="18"/>
    <x v="1"/>
    <n v="0"/>
    <n v="145"/>
    <x v="125"/>
    <n v="0"/>
    <n v="0"/>
    <n v="146"/>
    <n v="1"/>
    <n v="1"/>
    <n v="1"/>
    <n v="0"/>
    <n v="3"/>
    <x v="1"/>
  </r>
  <r>
    <x v="3"/>
    <x v="0"/>
    <n v="0"/>
    <n v="125"/>
    <x v="126"/>
    <n v="1"/>
    <n v="0"/>
    <n v="144"/>
    <n v="1"/>
    <n v="1.2"/>
    <n v="1"/>
    <n v="1"/>
    <n v="2"/>
    <x v="1"/>
  </r>
  <r>
    <x v="14"/>
    <x v="1"/>
    <n v="0"/>
    <n v="132"/>
    <x v="127"/>
    <n v="1"/>
    <n v="0"/>
    <n v="136"/>
    <n v="1"/>
    <n v="3"/>
    <n v="1"/>
    <n v="0"/>
    <n v="3"/>
    <x v="1"/>
  </r>
  <r>
    <x v="28"/>
    <x v="1"/>
    <n v="2"/>
    <n v="130"/>
    <x v="7"/>
    <n v="0"/>
    <n v="1"/>
    <n v="97"/>
    <n v="0"/>
    <n v="1.2"/>
    <n v="1"/>
    <n v="1"/>
    <n v="3"/>
    <x v="1"/>
  </r>
  <r>
    <x v="0"/>
    <x v="0"/>
    <n v="0"/>
    <n v="130"/>
    <x v="115"/>
    <n v="1"/>
    <n v="0"/>
    <n v="132"/>
    <n v="1"/>
    <n v="1.8"/>
    <n v="2"/>
    <n v="3"/>
    <n v="3"/>
    <x v="1"/>
  </r>
  <r>
    <x v="22"/>
    <x v="0"/>
    <n v="0"/>
    <n v="135"/>
    <x v="83"/>
    <n v="0"/>
    <n v="0"/>
    <n v="127"/>
    <n v="0"/>
    <n v="2.8"/>
    <n v="1"/>
    <n v="1"/>
    <n v="3"/>
    <x v="1"/>
  </r>
  <r>
    <x v="8"/>
    <x v="0"/>
    <n v="0"/>
    <n v="130"/>
    <x v="43"/>
    <n v="1"/>
    <n v="0"/>
    <n v="150"/>
    <n v="1"/>
    <n v="0"/>
    <n v="2"/>
    <n v="2"/>
    <n v="3"/>
    <x v="1"/>
  </r>
  <r>
    <x v="0"/>
    <x v="1"/>
    <n v="0"/>
    <n v="150"/>
    <x v="128"/>
    <n v="0"/>
    <n v="0"/>
    <n v="154"/>
    <n v="0"/>
    <n v="4"/>
    <n v="1"/>
    <n v="3"/>
    <n v="3"/>
    <x v="1"/>
  </r>
  <r>
    <x v="32"/>
    <x v="0"/>
    <n v="0"/>
    <n v="140"/>
    <x v="129"/>
    <n v="0"/>
    <n v="1"/>
    <n v="111"/>
    <n v="1"/>
    <n v="5.6"/>
    <n v="0"/>
    <n v="0"/>
    <n v="3"/>
    <x v="1"/>
  </r>
  <r>
    <x v="22"/>
    <x v="0"/>
    <n v="3"/>
    <n v="138"/>
    <x v="120"/>
    <n v="1"/>
    <n v="0"/>
    <n v="174"/>
    <n v="0"/>
    <n v="1.4"/>
    <n v="1"/>
    <n v="1"/>
    <n v="2"/>
    <x v="1"/>
  </r>
  <r>
    <x v="3"/>
    <x v="1"/>
    <n v="0"/>
    <n v="200"/>
    <x v="74"/>
    <n v="1"/>
    <n v="0"/>
    <n v="133"/>
    <n v="1"/>
    <n v="4"/>
    <n v="0"/>
    <n v="2"/>
    <n v="3"/>
    <x v="1"/>
  </r>
  <r>
    <x v="7"/>
    <x v="0"/>
    <n v="0"/>
    <n v="110"/>
    <x v="10"/>
    <n v="0"/>
    <n v="1"/>
    <n v="126"/>
    <n v="1"/>
    <n v="2.8"/>
    <n v="1"/>
    <n v="1"/>
    <n v="3"/>
    <x v="1"/>
  </r>
  <r>
    <x v="38"/>
    <x v="0"/>
    <n v="0"/>
    <n v="145"/>
    <x v="130"/>
    <n v="0"/>
    <n v="1"/>
    <n v="125"/>
    <n v="1"/>
    <n v="2.6"/>
    <n v="0"/>
    <n v="0"/>
    <n v="3"/>
    <x v="1"/>
  </r>
  <r>
    <x v="28"/>
    <x v="0"/>
    <n v="1"/>
    <n v="120"/>
    <x v="131"/>
    <n v="0"/>
    <n v="0"/>
    <n v="103"/>
    <n v="0"/>
    <n v="1.4"/>
    <n v="1"/>
    <n v="1"/>
    <n v="3"/>
    <x v="1"/>
  </r>
  <r>
    <x v="30"/>
    <x v="0"/>
    <n v="0"/>
    <n v="120"/>
    <x v="26"/>
    <n v="0"/>
    <n v="1"/>
    <n v="130"/>
    <n v="1"/>
    <n v="1.6"/>
    <n v="1"/>
    <n v="0"/>
    <n v="3"/>
    <x v="1"/>
  </r>
  <r>
    <x v="16"/>
    <x v="0"/>
    <n v="3"/>
    <n v="170"/>
    <x v="74"/>
    <n v="0"/>
    <n v="0"/>
    <n v="159"/>
    <n v="0"/>
    <n v="0.2"/>
    <n v="1"/>
    <n v="0"/>
    <n v="3"/>
    <x v="1"/>
  </r>
  <r>
    <x v="10"/>
    <x v="0"/>
    <n v="2"/>
    <n v="125"/>
    <x v="53"/>
    <n v="0"/>
    <n v="1"/>
    <n v="131"/>
    <n v="1"/>
    <n v="1.8"/>
    <n v="1"/>
    <n v="0"/>
    <n v="3"/>
    <x v="1"/>
  </r>
  <r>
    <x v="27"/>
    <x v="0"/>
    <n v="2"/>
    <n v="108"/>
    <x v="20"/>
    <n v="0"/>
    <n v="1"/>
    <n v="152"/>
    <n v="0"/>
    <n v="0"/>
    <n v="2"/>
    <n v="0"/>
    <n v="2"/>
    <x v="1"/>
  </r>
  <r>
    <x v="4"/>
    <x v="0"/>
    <n v="0"/>
    <n v="165"/>
    <x v="132"/>
    <n v="1"/>
    <n v="0"/>
    <n v="124"/>
    <n v="0"/>
    <n v="1"/>
    <n v="1"/>
    <n v="3"/>
    <n v="3"/>
    <x v="1"/>
  </r>
  <r>
    <x v="32"/>
    <x v="0"/>
    <n v="0"/>
    <n v="160"/>
    <x v="132"/>
    <n v="0"/>
    <n v="0"/>
    <n v="145"/>
    <n v="1"/>
    <n v="0.8"/>
    <n v="1"/>
    <n v="1"/>
    <n v="3"/>
    <x v="1"/>
  </r>
  <r>
    <x v="10"/>
    <x v="0"/>
    <n v="0"/>
    <n v="120"/>
    <x v="78"/>
    <n v="0"/>
    <n v="0"/>
    <n v="96"/>
    <n v="1"/>
    <n v="2.2000000000000002"/>
    <n v="0"/>
    <n v="1"/>
    <n v="2"/>
    <x v="1"/>
  </r>
  <r>
    <x v="38"/>
    <x v="0"/>
    <n v="0"/>
    <n v="130"/>
    <x v="133"/>
    <n v="0"/>
    <n v="0"/>
    <n v="109"/>
    <n v="0"/>
    <n v="2.4"/>
    <n v="1"/>
    <n v="3"/>
    <n v="2"/>
    <x v="1"/>
  </r>
  <r>
    <x v="21"/>
    <x v="0"/>
    <n v="0"/>
    <n v="140"/>
    <x v="134"/>
    <n v="0"/>
    <n v="1"/>
    <n v="173"/>
    <n v="1"/>
    <n v="1.6"/>
    <n v="2"/>
    <n v="0"/>
    <n v="3"/>
    <x v="1"/>
  </r>
  <r>
    <x v="11"/>
    <x v="0"/>
    <n v="0"/>
    <n v="125"/>
    <x v="135"/>
    <n v="0"/>
    <n v="0"/>
    <n v="171"/>
    <n v="0"/>
    <n v="0"/>
    <n v="2"/>
    <n v="2"/>
    <n v="3"/>
    <x v="1"/>
  </r>
  <r>
    <x v="33"/>
    <x v="0"/>
    <n v="0"/>
    <n v="140"/>
    <x v="136"/>
    <n v="0"/>
    <n v="0"/>
    <n v="170"/>
    <n v="0"/>
    <n v="1.2"/>
    <n v="1"/>
    <n v="2"/>
    <n v="3"/>
    <x v="1"/>
  </r>
  <r>
    <x v="40"/>
    <x v="0"/>
    <n v="0"/>
    <n v="125"/>
    <x v="30"/>
    <n v="0"/>
    <n v="0"/>
    <n v="162"/>
    <n v="1"/>
    <n v="0"/>
    <n v="2"/>
    <n v="3"/>
    <n v="2"/>
    <x v="1"/>
  </r>
  <r>
    <x v="30"/>
    <x v="0"/>
    <n v="0"/>
    <n v="126"/>
    <x v="120"/>
    <n v="0"/>
    <n v="0"/>
    <n v="156"/>
    <n v="1"/>
    <n v="0"/>
    <n v="2"/>
    <n v="0"/>
    <n v="3"/>
    <x v="1"/>
  </r>
  <r>
    <x v="38"/>
    <x v="0"/>
    <n v="2"/>
    <n v="160"/>
    <x v="32"/>
    <n v="0"/>
    <n v="1"/>
    <n v="112"/>
    <n v="1"/>
    <n v="2.9"/>
    <n v="1"/>
    <n v="1"/>
    <n v="3"/>
    <x v="1"/>
  </r>
  <r>
    <x v="16"/>
    <x v="1"/>
    <n v="0"/>
    <n v="174"/>
    <x v="126"/>
    <n v="0"/>
    <n v="1"/>
    <n v="143"/>
    <n v="1"/>
    <n v="0"/>
    <n v="1"/>
    <n v="0"/>
    <n v="2"/>
    <x v="1"/>
  </r>
  <r>
    <x v="10"/>
    <x v="0"/>
    <n v="0"/>
    <n v="145"/>
    <x v="22"/>
    <n v="0"/>
    <n v="0"/>
    <n v="132"/>
    <n v="0"/>
    <n v="2"/>
    <n v="1"/>
    <n v="2"/>
    <n v="1"/>
    <x v="1"/>
  </r>
  <r>
    <x v="4"/>
    <x v="0"/>
    <n v="0"/>
    <n v="152"/>
    <x v="123"/>
    <n v="0"/>
    <n v="1"/>
    <n v="88"/>
    <n v="1"/>
    <n v="1.2"/>
    <n v="1"/>
    <n v="1"/>
    <n v="3"/>
    <x v="1"/>
  </r>
  <r>
    <x v="3"/>
    <x v="0"/>
    <n v="0"/>
    <n v="132"/>
    <x v="137"/>
    <n v="0"/>
    <n v="0"/>
    <n v="105"/>
    <n v="1"/>
    <n v="2.1"/>
    <n v="1"/>
    <n v="1"/>
    <n v="1"/>
    <x v="1"/>
  </r>
  <r>
    <x v="8"/>
    <x v="0"/>
    <n v="0"/>
    <n v="124"/>
    <x v="123"/>
    <n v="0"/>
    <n v="0"/>
    <n v="166"/>
    <n v="0"/>
    <n v="0.5"/>
    <n v="1"/>
    <n v="0"/>
    <n v="3"/>
    <x v="1"/>
  </r>
  <r>
    <x v="3"/>
    <x v="1"/>
    <n v="0"/>
    <n v="134"/>
    <x v="138"/>
    <n v="0"/>
    <n v="0"/>
    <n v="150"/>
    <n v="1"/>
    <n v="1.9"/>
    <n v="1"/>
    <n v="2"/>
    <n v="3"/>
    <x v="1"/>
  </r>
  <r>
    <x v="13"/>
    <x v="0"/>
    <n v="1"/>
    <n v="160"/>
    <x v="78"/>
    <n v="0"/>
    <n v="1"/>
    <n v="120"/>
    <n v="1"/>
    <n v="0"/>
    <n v="1"/>
    <n v="3"/>
    <n v="1"/>
    <x v="1"/>
  </r>
  <r>
    <x v="7"/>
    <x v="0"/>
    <n v="1"/>
    <n v="192"/>
    <x v="14"/>
    <n v="0"/>
    <n v="0"/>
    <n v="195"/>
    <n v="0"/>
    <n v="0"/>
    <n v="2"/>
    <n v="1"/>
    <n v="3"/>
    <x v="1"/>
  </r>
  <r>
    <x v="15"/>
    <x v="0"/>
    <n v="2"/>
    <n v="140"/>
    <x v="83"/>
    <n v="0"/>
    <n v="0"/>
    <n v="146"/>
    <n v="0"/>
    <n v="2"/>
    <n v="1"/>
    <n v="3"/>
    <n v="3"/>
    <x v="1"/>
  </r>
  <r>
    <x v="21"/>
    <x v="0"/>
    <n v="0"/>
    <n v="140"/>
    <x v="66"/>
    <n v="0"/>
    <n v="1"/>
    <n v="122"/>
    <n v="1"/>
    <n v="4.2"/>
    <n v="1"/>
    <n v="3"/>
    <n v="3"/>
    <x v="1"/>
  </r>
  <r>
    <x v="14"/>
    <x v="0"/>
    <n v="0"/>
    <n v="132"/>
    <x v="18"/>
    <n v="1"/>
    <n v="0"/>
    <n v="143"/>
    <n v="1"/>
    <n v="0.1"/>
    <n v="1"/>
    <n v="4"/>
    <n v="3"/>
    <x v="1"/>
  </r>
  <r>
    <x v="28"/>
    <x v="1"/>
    <n v="0"/>
    <n v="138"/>
    <x v="6"/>
    <n v="1"/>
    <n v="1"/>
    <n v="106"/>
    <n v="0"/>
    <n v="1.9"/>
    <n v="1"/>
    <n v="3"/>
    <n v="2"/>
    <x v="1"/>
  </r>
  <r>
    <x v="34"/>
    <x v="0"/>
    <n v="0"/>
    <n v="100"/>
    <x v="134"/>
    <n v="0"/>
    <n v="0"/>
    <n v="125"/>
    <n v="1"/>
    <n v="0.9"/>
    <n v="1"/>
    <n v="2"/>
    <n v="2"/>
    <x v="1"/>
  </r>
  <r>
    <x v="16"/>
    <x v="0"/>
    <n v="3"/>
    <n v="160"/>
    <x v="28"/>
    <n v="0"/>
    <n v="0"/>
    <n v="125"/>
    <n v="0"/>
    <n v="0"/>
    <n v="2"/>
    <n v="0"/>
    <n v="2"/>
    <x v="1"/>
  </r>
  <r>
    <x v="25"/>
    <x v="0"/>
    <n v="0"/>
    <n v="142"/>
    <x v="53"/>
    <n v="0"/>
    <n v="0"/>
    <n v="147"/>
    <n v="1"/>
    <n v="0"/>
    <n v="1"/>
    <n v="3"/>
    <n v="3"/>
    <x v="1"/>
  </r>
  <r>
    <x v="11"/>
    <x v="0"/>
    <n v="0"/>
    <n v="128"/>
    <x v="139"/>
    <n v="0"/>
    <n v="0"/>
    <n v="130"/>
    <n v="1"/>
    <n v="3"/>
    <n v="1"/>
    <n v="2"/>
    <n v="3"/>
    <x v="1"/>
  </r>
  <r>
    <x v="12"/>
    <x v="0"/>
    <n v="0"/>
    <n v="144"/>
    <x v="140"/>
    <n v="0"/>
    <n v="0"/>
    <n v="126"/>
    <n v="1"/>
    <n v="0.9"/>
    <n v="1"/>
    <n v="0"/>
    <n v="3"/>
    <x v="1"/>
  </r>
  <r>
    <x v="28"/>
    <x v="1"/>
    <n v="0"/>
    <n v="150"/>
    <x v="79"/>
    <n v="0"/>
    <n v="1"/>
    <n v="154"/>
    <n v="1"/>
    <n v="1.4"/>
    <n v="1"/>
    <n v="0"/>
    <n v="2"/>
    <x v="1"/>
  </r>
  <r>
    <x v="39"/>
    <x v="0"/>
    <n v="3"/>
    <n v="120"/>
    <x v="44"/>
    <n v="0"/>
    <n v="1"/>
    <n v="182"/>
    <n v="1"/>
    <n v="3.8"/>
    <n v="1"/>
    <n v="0"/>
    <n v="3"/>
    <x v="1"/>
  </r>
  <r>
    <x v="13"/>
    <x v="1"/>
    <n v="0"/>
    <n v="178"/>
    <x v="98"/>
    <n v="1"/>
    <n v="1"/>
    <n v="165"/>
    <n v="1"/>
    <n v="1"/>
    <n v="1"/>
    <n v="2"/>
    <n v="3"/>
    <x v="1"/>
  </r>
  <r>
    <x v="6"/>
    <x v="0"/>
    <n v="0"/>
    <n v="112"/>
    <x v="110"/>
    <n v="0"/>
    <n v="1"/>
    <n v="160"/>
    <n v="0"/>
    <n v="0"/>
    <n v="2"/>
    <n v="1"/>
    <n v="2"/>
    <x v="1"/>
  </r>
  <r>
    <x v="23"/>
    <x v="0"/>
    <n v="0"/>
    <n v="123"/>
    <x v="120"/>
    <n v="0"/>
    <n v="1"/>
    <n v="95"/>
    <n v="1"/>
    <n v="2"/>
    <n v="1"/>
    <n v="2"/>
    <n v="3"/>
    <x v="1"/>
  </r>
  <r>
    <x v="0"/>
    <x v="1"/>
    <n v="0"/>
    <n v="108"/>
    <x v="32"/>
    <n v="0"/>
    <n v="1"/>
    <n v="169"/>
    <n v="1"/>
    <n v="1.8"/>
    <n v="1"/>
    <n v="2"/>
    <n v="2"/>
    <x v="1"/>
  </r>
  <r>
    <x v="7"/>
    <x v="0"/>
    <n v="0"/>
    <n v="110"/>
    <x v="108"/>
    <n v="0"/>
    <n v="0"/>
    <n v="108"/>
    <n v="1"/>
    <n v="0"/>
    <n v="1"/>
    <n v="1"/>
    <n v="2"/>
    <x v="1"/>
  </r>
  <r>
    <x v="13"/>
    <x v="0"/>
    <n v="0"/>
    <n v="112"/>
    <x v="22"/>
    <n v="0"/>
    <n v="0"/>
    <n v="132"/>
    <n v="1"/>
    <n v="0.1"/>
    <n v="2"/>
    <n v="1"/>
    <n v="2"/>
    <x v="1"/>
  </r>
  <r>
    <x v="32"/>
    <x v="1"/>
    <n v="0"/>
    <n v="180"/>
    <x v="141"/>
    <n v="0"/>
    <n v="2"/>
    <n v="117"/>
    <n v="1"/>
    <n v="3.4"/>
    <n v="1"/>
    <n v="0"/>
    <n v="2"/>
    <x v="1"/>
  </r>
  <r>
    <x v="9"/>
    <x v="0"/>
    <n v="2"/>
    <n v="118"/>
    <x v="99"/>
    <n v="0"/>
    <n v="0"/>
    <n v="126"/>
    <n v="0"/>
    <n v="0.8"/>
    <n v="2"/>
    <n v="3"/>
    <n v="2"/>
    <x v="1"/>
  </r>
  <r>
    <x v="7"/>
    <x v="0"/>
    <n v="0"/>
    <n v="122"/>
    <x v="104"/>
    <n v="0"/>
    <n v="0"/>
    <n v="116"/>
    <n v="1"/>
    <n v="3.2"/>
    <n v="1"/>
    <n v="2"/>
    <n v="2"/>
    <x v="1"/>
  </r>
  <r>
    <x v="3"/>
    <x v="0"/>
    <n v="0"/>
    <n v="130"/>
    <x v="14"/>
    <n v="1"/>
    <n v="0"/>
    <n v="103"/>
    <n v="1"/>
    <n v="1.6"/>
    <n v="0"/>
    <n v="0"/>
    <n v="3"/>
    <x v="1"/>
  </r>
  <r>
    <x v="24"/>
    <x v="0"/>
    <n v="0"/>
    <n v="120"/>
    <x v="126"/>
    <n v="0"/>
    <n v="0"/>
    <n v="144"/>
    <n v="0"/>
    <n v="0.8"/>
    <n v="2"/>
    <n v="0"/>
    <n v="3"/>
    <x v="1"/>
  </r>
  <r>
    <x v="18"/>
    <x v="0"/>
    <n v="3"/>
    <n v="134"/>
    <x v="19"/>
    <n v="0"/>
    <n v="1"/>
    <n v="145"/>
    <n v="0"/>
    <n v="2.6"/>
    <n v="1"/>
    <n v="2"/>
    <n v="2"/>
    <x v="1"/>
  </r>
  <r>
    <x v="34"/>
    <x v="0"/>
    <n v="0"/>
    <n v="120"/>
    <x v="142"/>
    <n v="0"/>
    <n v="1"/>
    <n v="71"/>
    <n v="0"/>
    <n v="1"/>
    <n v="1"/>
    <n v="0"/>
    <n v="2"/>
    <x v="1"/>
  </r>
  <r>
    <x v="11"/>
    <x v="0"/>
    <n v="0"/>
    <n v="100"/>
    <x v="19"/>
    <n v="0"/>
    <n v="1"/>
    <n v="156"/>
    <n v="0"/>
    <n v="0.1"/>
    <n v="2"/>
    <n v="1"/>
    <n v="3"/>
    <x v="1"/>
  </r>
  <r>
    <x v="27"/>
    <x v="0"/>
    <n v="0"/>
    <n v="110"/>
    <x v="11"/>
    <n v="0"/>
    <n v="0"/>
    <n v="118"/>
    <n v="1"/>
    <n v="1"/>
    <n v="1"/>
    <n v="1"/>
    <n v="2"/>
    <x v="1"/>
  </r>
  <r>
    <x v="6"/>
    <x v="0"/>
    <n v="0"/>
    <n v="125"/>
    <x v="22"/>
    <n v="0"/>
    <n v="1"/>
    <n v="168"/>
    <n v="0"/>
    <n v="1"/>
    <n v="2"/>
    <n v="2"/>
    <n v="3"/>
    <x v="1"/>
  </r>
  <r>
    <x v="11"/>
    <x v="0"/>
    <n v="0"/>
    <n v="146"/>
    <x v="143"/>
    <n v="0"/>
    <n v="1"/>
    <n v="105"/>
    <n v="0"/>
    <n v="2"/>
    <n v="1"/>
    <n v="1"/>
    <n v="3"/>
    <x v="1"/>
  </r>
  <r>
    <x v="4"/>
    <x v="0"/>
    <n v="1"/>
    <n v="124"/>
    <x v="61"/>
    <n v="0"/>
    <n v="1"/>
    <n v="141"/>
    <n v="0"/>
    <n v="0.3"/>
    <n v="2"/>
    <n v="0"/>
    <n v="3"/>
    <x v="1"/>
  </r>
  <r>
    <x v="11"/>
    <x v="1"/>
    <n v="1"/>
    <n v="136"/>
    <x v="144"/>
    <n v="1"/>
    <n v="0"/>
    <n v="152"/>
    <n v="0"/>
    <n v="0"/>
    <n v="2"/>
    <n v="2"/>
    <n v="2"/>
    <x v="1"/>
  </r>
  <r>
    <x v="18"/>
    <x v="0"/>
    <n v="0"/>
    <n v="138"/>
    <x v="145"/>
    <n v="0"/>
    <n v="0"/>
    <n v="125"/>
    <n v="1"/>
    <n v="3.6"/>
    <n v="1"/>
    <n v="1"/>
    <n v="2"/>
    <x v="1"/>
  </r>
  <r>
    <x v="17"/>
    <x v="0"/>
    <n v="0"/>
    <n v="136"/>
    <x v="77"/>
    <n v="0"/>
    <n v="1"/>
    <n v="125"/>
    <n v="1"/>
    <n v="1.8"/>
    <n v="1"/>
    <n v="0"/>
    <n v="1"/>
    <x v="1"/>
  </r>
  <r>
    <x v="6"/>
    <x v="0"/>
    <n v="0"/>
    <n v="128"/>
    <x v="2"/>
    <n v="1"/>
    <n v="1"/>
    <n v="156"/>
    <n v="1"/>
    <n v="1"/>
    <n v="1"/>
    <n v="0"/>
    <n v="0"/>
    <x v="1"/>
  </r>
  <r>
    <x v="16"/>
    <x v="0"/>
    <n v="2"/>
    <n v="126"/>
    <x v="143"/>
    <n v="1"/>
    <n v="1"/>
    <n v="134"/>
    <n v="0"/>
    <n v="2.2000000000000002"/>
    <n v="1"/>
    <n v="1"/>
    <n v="1"/>
    <x v="1"/>
  </r>
  <r>
    <x v="19"/>
    <x v="0"/>
    <n v="0"/>
    <n v="152"/>
    <x v="73"/>
    <n v="0"/>
    <n v="1"/>
    <n v="181"/>
    <n v="0"/>
    <n v="0"/>
    <n v="2"/>
    <n v="0"/>
    <n v="3"/>
    <x v="1"/>
  </r>
  <r>
    <x v="18"/>
    <x v="0"/>
    <n v="0"/>
    <n v="140"/>
    <x v="72"/>
    <n v="0"/>
    <n v="0"/>
    <n v="138"/>
    <n v="1"/>
    <n v="1.9"/>
    <n v="2"/>
    <n v="1"/>
    <n v="3"/>
    <x v="1"/>
  </r>
  <r>
    <x v="24"/>
    <x v="0"/>
    <n v="0"/>
    <n v="140"/>
    <x v="146"/>
    <n v="0"/>
    <n v="1"/>
    <n v="120"/>
    <n v="1"/>
    <n v="1.8"/>
    <n v="1"/>
    <n v="2"/>
    <n v="3"/>
    <x v="1"/>
  </r>
  <r>
    <x v="16"/>
    <x v="0"/>
    <n v="3"/>
    <n v="134"/>
    <x v="2"/>
    <n v="0"/>
    <n v="1"/>
    <n v="162"/>
    <n v="0"/>
    <n v="0.8"/>
    <n v="2"/>
    <n v="2"/>
    <n v="2"/>
    <x v="1"/>
  </r>
  <r>
    <x v="4"/>
    <x v="0"/>
    <n v="1"/>
    <n v="154"/>
    <x v="31"/>
    <n v="0"/>
    <n v="0"/>
    <n v="164"/>
    <n v="0"/>
    <n v="0"/>
    <n v="2"/>
    <n v="1"/>
    <n v="2"/>
    <x v="1"/>
  </r>
  <r>
    <x v="4"/>
    <x v="0"/>
    <n v="0"/>
    <n v="110"/>
    <x v="111"/>
    <n v="0"/>
    <n v="1"/>
    <n v="143"/>
    <n v="1"/>
    <n v="3"/>
    <n v="1"/>
    <n v="1"/>
    <n v="3"/>
    <x v="1"/>
  </r>
  <r>
    <x v="32"/>
    <x v="1"/>
    <n v="0"/>
    <n v="128"/>
    <x v="63"/>
    <n v="0"/>
    <n v="2"/>
    <n v="130"/>
    <n v="1"/>
    <n v="2"/>
    <n v="1"/>
    <n v="1"/>
    <n v="3"/>
    <x v="1"/>
  </r>
  <r>
    <x v="18"/>
    <x v="0"/>
    <n v="0"/>
    <n v="148"/>
    <x v="55"/>
    <n v="0"/>
    <n v="1"/>
    <n v="161"/>
    <n v="0"/>
    <n v="0"/>
    <n v="2"/>
    <n v="1"/>
    <n v="3"/>
    <x v="1"/>
  </r>
  <r>
    <x v="11"/>
    <x v="0"/>
    <n v="0"/>
    <n v="114"/>
    <x v="65"/>
    <n v="0"/>
    <n v="2"/>
    <n v="140"/>
    <n v="0"/>
    <n v="4.4000000000000004"/>
    <n v="0"/>
    <n v="3"/>
    <n v="1"/>
    <x v="1"/>
  </r>
  <r>
    <x v="11"/>
    <x v="1"/>
    <n v="0"/>
    <n v="170"/>
    <x v="114"/>
    <n v="1"/>
    <n v="0"/>
    <n v="146"/>
    <n v="1"/>
    <n v="2.8"/>
    <n v="1"/>
    <n v="2"/>
    <n v="1"/>
    <x v="1"/>
  </r>
  <r>
    <x v="34"/>
    <x v="0"/>
    <n v="2"/>
    <n v="152"/>
    <x v="22"/>
    <n v="0"/>
    <n v="0"/>
    <n v="150"/>
    <n v="0"/>
    <n v="0.8"/>
    <n v="1"/>
    <n v="0"/>
    <n v="3"/>
    <x v="1"/>
  </r>
  <r>
    <x v="5"/>
    <x v="0"/>
    <n v="0"/>
    <n v="120"/>
    <x v="147"/>
    <n v="0"/>
    <n v="1"/>
    <n v="144"/>
    <n v="1"/>
    <n v="2.8"/>
    <n v="0"/>
    <n v="0"/>
    <n v="1"/>
    <x v="1"/>
  </r>
  <r>
    <x v="0"/>
    <x v="0"/>
    <n v="0"/>
    <n v="140"/>
    <x v="148"/>
    <n v="0"/>
    <n v="0"/>
    <n v="144"/>
    <n v="1"/>
    <n v="4"/>
    <n v="2"/>
    <n v="2"/>
    <n v="3"/>
    <x v="1"/>
  </r>
  <r>
    <x v="0"/>
    <x v="1"/>
    <n v="0"/>
    <n v="124"/>
    <x v="25"/>
    <n v="0"/>
    <n v="1"/>
    <n v="136"/>
    <n v="1"/>
    <n v="0"/>
    <n v="1"/>
    <n v="0"/>
    <n v="2"/>
    <x v="1"/>
  </r>
  <r>
    <x v="16"/>
    <x v="0"/>
    <n v="0"/>
    <n v="164"/>
    <x v="149"/>
    <n v="1"/>
    <n v="0"/>
    <n v="90"/>
    <n v="0"/>
    <n v="1"/>
    <n v="1"/>
    <n v="2"/>
    <n v="1"/>
    <x v="1"/>
  </r>
  <r>
    <x v="4"/>
    <x v="1"/>
    <n v="0"/>
    <n v="140"/>
    <x v="150"/>
    <n v="0"/>
    <n v="1"/>
    <n v="123"/>
    <n v="1"/>
    <n v="0.2"/>
    <n v="1"/>
    <n v="0"/>
    <n v="3"/>
    <x v="1"/>
  </r>
  <r>
    <x v="25"/>
    <x v="0"/>
    <n v="3"/>
    <n v="110"/>
    <x v="37"/>
    <n v="0"/>
    <n v="1"/>
    <n v="132"/>
    <n v="0"/>
    <n v="1.2"/>
    <n v="1"/>
    <n v="0"/>
    <n v="3"/>
    <x v="1"/>
  </r>
  <r>
    <x v="35"/>
    <x v="0"/>
    <n v="0"/>
    <n v="144"/>
    <x v="88"/>
    <n v="1"/>
    <n v="1"/>
    <n v="141"/>
    <n v="0"/>
    <n v="3.4"/>
    <n v="1"/>
    <n v="2"/>
    <n v="3"/>
    <x v="1"/>
  </r>
  <r>
    <x v="4"/>
    <x v="0"/>
    <n v="0"/>
    <n v="130"/>
    <x v="151"/>
    <n v="0"/>
    <n v="1"/>
    <n v="115"/>
    <n v="1"/>
    <n v="1.2"/>
    <n v="1"/>
    <n v="1"/>
    <n v="3"/>
    <x v="1"/>
  </r>
  <r>
    <x v="4"/>
    <x v="1"/>
    <n v="1"/>
    <n v="130"/>
    <x v="3"/>
    <n v="0"/>
    <n v="0"/>
    <n v="174"/>
    <n v="0"/>
    <n v="0"/>
    <n v="1"/>
    <n v="1"/>
    <n v="2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A1BE794-ADF1-4A7F-988B-57A334F8285B}" name="PivotTable9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4:D8" firstHeaderRow="1" firstDataRow="2" firstDataCol="1"/>
  <pivotFields count="14">
    <pivotField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Row" showAll="0">
      <items count="3">
        <item x="1"/>
        <item x="0"/>
        <item t="default"/>
      </items>
    </pivotField>
    <pivotField showAll="0"/>
    <pivotField showAll="0"/>
    <pivotField showAll="0">
      <items count="153">
        <item x="84"/>
        <item x="151"/>
        <item x="45"/>
        <item x="99"/>
        <item x="103"/>
        <item x="75"/>
        <item x="124"/>
        <item x="145"/>
        <item x="109"/>
        <item x="9"/>
        <item x="147"/>
        <item x="117"/>
        <item x="130"/>
        <item x="23"/>
        <item x="149"/>
        <item x="27"/>
        <item x="95"/>
        <item x="97"/>
        <item x="50"/>
        <item x="56"/>
        <item x="137"/>
        <item x="121"/>
        <item x="54"/>
        <item x="148"/>
        <item x="119"/>
        <item x="5"/>
        <item x="88"/>
        <item x="81"/>
        <item x="82"/>
        <item x="25"/>
        <item x="26"/>
        <item x="8"/>
        <item x="140"/>
        <item x="47"/>
        <item x="55"/>
        <item x="2"/>
        <item x="63"/>
        <item x="108"/>
        <item x="72"/>
        <item x="36"/>
        <item x="58"/>
        <item x="92"/>
        <item x="13"/>
        <item x="22"/>
        <item x="29"/>
        <item x="69"/>
        <item x="87"/>
        <item x="42"/>
        <item x="129"/>
        <item x="143"/>
        <item x="15"/>
        <item x="57"/>
        <item x="62"/>
        <item x="48"/>
        <item x="73"/>
        <item x="107"/>
        <item x="114"/>
        <item x="17"/>
        <item x="60"/>
        <item x="98"/>
        <item x="105"/>
        <item x="110"/>
        <item x="44"/>
        <item x="31"/>
        <item x="0"/>
        <item x="19"/>
        <item x="40"/>
        <item x="3"/>
        <item x="142"/>
        <item x="10"/>
        <item x="64"/>
        <item x="150"/>
        <item x="96"/>
        <item x="20"/>
        <item x="79"/>
        <item x="35"/>
        <item x="78"/>
        <item x="18"/>
        <item x="70"/>
        <item x="126"/>
        <item x="1"/>
        <item x="46"/>
        <item x="101"/>
        <item x="83"/>
        <item x="71"/>
        <item x="43"/>
        <item x="41"/>
        <item x="59"/>
        <item x="139"/>
        <item x="49"/>
        <item x="61"/>
        <item x="86"/>
        <item x="7"/>
        <item x="37"/>
        <item x="52"/>
        <item x="12"/>
        <item x="91"/>
        <item x="90"/>
        <item x="32"/>
        <item x="80"/>
        <item x="89"/>
        <item x="28"/>
        <item x="123"/>
        <item x="11"/>
        <item x="112"/>
        <item x="68"/>
        <item x="100"/>
        <item x="131"/>
        <item x="120"/>
        <item x="14"/>
        <item x="106"/>
        <item x="104"/>
        <item x="74"/>
        <item x="132"/>
        <item x="116"/>
        <item x="136"/>
        <item x="6"/>
        <item x="93"/>
        <item x="66"/>
        <item x="134"/>
        <item x="135"/>
        <item x="21"/>
        <item x="51"/>
        <item x="30"/>
        <item x="118"/>
        <item x="94"/>
        <item x="125"/>
        <item x="34"/>
        <item x="53"/>
        <item x="146"/>
        <item x="85"/>
        <item x="77"/>
        <item x="65"/>
        <item x="144"/>
        <item x="38"/>
        <item x="133"/>
        <item x="39"/>
        <item x="122"/>
        <item x="141"/>
        <item x="115"/>
        <item x="111"/>
        <item x="16"/>
        <item x="127"/>
        <item x="102"/>
        <item x="113"/>
        <item x="4"/>
        <item x="33"/>
        <item x="76"/>
        <item x="128"/>
        <item x="138"/>
        <item x="24"/>
        <item x="6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Col" dataField="1" showAll="0">
      <items count="3">
        <item x="1"/>
        <item x="0"/>
        <item t="default"/>
      </items>
    </pivotField>
  </pivotFields>
  <rowFields count="1">
    <field x="1"/>
  </rowFields>
  <rowItems count="3">
    <i>
      <x/>
    </i>
    <i>
      <x v="1"/>
    </i>
    <i t="grand">
      <x/>
    </i>
  </rowItems>
  <colFields count="1">
    <field x="13"/>
  </colFields>
  <colItems count="3">
    <i>
      <x/>
    </i>
    <i>
      <x v="1"/>
    </i>
    <i t="grand">
      <x/>
    </i>
  </colItems>
  <dataFields count="1">
    <dataField name="Count of output" fld="13" subtotal="count" showDataAs="percentOfCol" baseField="1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ECCCE6-B83B-4772-AF32-EE41783399B7}" name="PivotTable1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14" firstHeaderRow="1" firstDataRow="1" firstDataCol="1"/>
  <pivotFields count="14"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11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Items count="1">
    <i/>
  </colItems>
  <dataFields count="1">
    <dataField name="Average of thalachh" fld="7" subtotal="average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4E9BED-2176-45A6-87F2-F1DEE4DC3578}">
  <dimension ref="A1:N304"/>
  <sheetViews>
    <sheetView topLeftCell="A283" workbookViewId="0">
      <selection activeCell="E1" sqref="E1:E304"/>
    </sheetView>
  </sheetViews>
  <sheetFormatPr defaultRowHeight="15"/>
  <cols>
    <col min="17" max="17" width="11.140625" bestFit="1" customWidth="1"/>
    <col min="18" max="18" width="19.85546875" bestFit="1" customWidth="1"/>
  </cols>
  <sheetData>
    <row r="1" spans="1:14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</row>
    <row r="2" spans="1:14">
      <c r="A2">
        <v>63</v>
      </c>
      <c r="B2">
        <v>1</v>
      </c>
      <c r="C2">
        <v>3</v>
      </c>
      <c r="D2">
        <v>145</v>
      </c>
      <c r="E2">
        <v>233</v>
      </c>
      <c r="F2">
        <v>1</v>
      </c>
      <c r="G2">
        <v>0</v>
      </c>
      <c r="H2">
        <v>150</v>
      </c>
      <c r="I2">
        <v>0</v>
      </c>
      <c r="J2">
        <v>2.2999999999999998</v>
      </c>
      <c r="K2">
        <v>0</v>
      </c>
      <c r="L2">
        <v>0</v>
      </c>
      <c r="M2">
        <v>1</v>
      </c>
      <c r="N2">
        <v>1</v>
      </c>
    </row>
    <row r="3" spans="1:14">
      <c r="A3">
        <v>37</v>
      </c>
      <c r="B3">
        <v>1</v>
      </c>
      <c r="C3">
        <v>2</v>
      </c>
      <c r="D3">
        <v>130</v>
      </c>
      <c r="E3">
        <v>250</v>
      </c>
      <c r="F3">
        <v>0</v>
      </c>
      <c r="G3">
        <v>1</v>
      </c>
      <c r="H3">
        <v>187</v>
      </c>
      <c r="I3">
        <v>0</v>
      </c>
      <c r="J3">
        <v>3.5</v>
      </c>
      <c r="K3">
        <v>0</v>
      </c>
      <c r="L3">
        <v>0</v>
      </c>
      <c r="M3">
        <v>2</v>
      </c>
      <c r="N3">
        <v>1</v>
      </c>
    </row>
    <row r="4" spans="1:14">
      <c r="A4">
        <v>41</v>
      </c>
      <c r="B4">
        <v>0</v>
      </c>
      <c r="C4">
        <v>1</v>
      </c>
      <c r="D4">
        <v>130</v>
      </c>
      <c r="E4">
        <v>204</v>
      </c>
      <c r="F4">
        <v>0</v>
      </c>
      <c r="G4">
        <v>0</v>
      </c>
      <c r="H4">
        <v>172</v>
      </c>
      <c r="I4">
        <v>0</v>
      </c>
      <c r="J4">
        <v>1.4</v>
      </c>
      <c r="K4">
        <v>2</v>
      </c>
      <c r="L4">
        <v>0</v>
      </c>
      <c r="M4">
        <v>2</v>
      </c>
      <c r="N4">
        <v>1</v>
      </c>
    </row>
    <row r="5" spans="1:14">
      <c r="A5">
        <v>56</v>
      </c>
      <c r="B5">
        <v>1</v>
      </c>
      <c r="C5">
        <v>1</v>
      </c>
      <c r="D5">
        <v>120</v>
      </c>
      <c r="E5">
        <v>236</v>
      </c>
      <c r="F5">
        <v>0</v>
      </c>
      <c r="G5">
        <v>1</v>
      </c>
      <c r="H5">
        <v>178</v>
      </c>
      <c r="I5">
        <v>0</v>
      </c>
      <c r="J5">
        <v>0.8</v>
      </c>
      <c r="K5">
        <v>2</v>
      </c>
      <c r="L5">
        <v>0</v>
      </c>
      <c r="M5">
        <v>2</v>
      </c>
      <c r="N5">
        <v>1</v>
      </c>
    </row>
    <row r="6" spans="1:14">
      <c r="A6">
        <v>57</v>
      </c>
      <c r="B6">
        <v>0</v>
      </c>
      <c r="C6">
        <v>0</v>
      </c>
      <c r="D6">
        <v>120</v>
      </c>
      <c r="E6">
        <v>354</v>
      </c>
      <c r="F6">
        <v>0</v>
      </c>
      <c r="G6">
        <v>1</v>
      </c>
      <c r="H6">
        <v>163</v>
      </c>
      <c r="I6">
        <v>1</v>
      </c>
      <c r="J6">
        <v>0.6</v>
      </c>
      <c r="K6">
        <v>2</v>
      </c>
      <c r="L6">
        <v>0</v>
      </c>
      <c r="M6">
        <v>2</v>
      </c>
      <c r="N6">
        <v>1</v>
      </c>
    </row>
    <row r="7" spans="1:14">
      <c r="A7">
        <v>57</v>
      </c>
      <c r="B7">
        <v>1</v>
      </c>
      <c r="C7">
        <v>0</v>
      </c>
      <c r="D7">
        <v>140</v>
      </c>
      <c r="E7">
        <v>192</v>
      </c>
      <c r="F7">
        <v>0</v>
      </c>
      <c r="G7">
        <v>1</v>
      </c>
      <c r="H7">
        <v>148</v>
      </c>
      <c r="I7">
        <v>0</v>
      </c>
      <c r="J7">
        <v>0.4</v>
      </c>
      <c r="K7">
        <v>1</v>
      </c>
      <c r="L7">
        <v>0</v>
      </c>
      <c r="M7">
        <v>1</v>
      </c>
      <c r="N7">
        <v>1</v>
      </c>
    </row>
    <row r="8" spans="1:14">
      <c r="A8">
        <v>56</v>
      </c>
      <c r="B8">
        <v>0</v>
      </c>
      <c r="C8">
        <v>1</v>
      </c>
      <c r="D8">
        <v>140</v>
      </c>
      <c r="E8">
        <v>294</v>
      </c>
      <c r="F8">
        <v>0</v>
      </c>
      <c r="G8">
        <v>0</v>
      </c>
      <c r="H8">
        <v>153</v>
      </c>
      <c r="I8">
        <v>0</v>
      </c>
      <c r="J8">
        <v>1.3</v>
      </c>
      <c r="K8">
        <v>1</v>
      </c>
      <c r="L8">
        <v>0</v>
      </c>
      <c r="M8">
        <v>2</v>
      </c>
      <c r="N8">
        <v>1</v>
      </c>
    </row>
    <row r="9" spans="1:14">
      <c r="A9">
        <v>44</v>
      </c>
      <c r="B9">
        <v>1</v>
      </c>
      <c r="C9">
        <v>1</v>
      </c>
      <c r="D9">
        <v>120</v>
      </c>
      <c r="E9">
        <v>263</v>
      </c>
      <c r="F9">
        <v>0</v>
      </c>
      <c r="G9">
        <v>1</v>
      </c>
      <c r="H9">
        <v>173</v>
      </c>
      <c r="I9">
        <v>0</v>
      </c>
      <c r="J9">
        <v>0</v>
      </c>
      <c r="K9">
        <v>2</v>
      </c>
      <c r="L9">
        <v>0</v>
      </c>
      <c r="M9">
        <v>3</v>
      </c>
      <c r="N9">
        <v>1</v>
      </c>
    </row>
    <row r="10" spans="1:14">
      <c r="A10">
        <v>52</v>
      </c>
      <c r="B10">
        <v>1</v>
      </c>
      <c r="C10">
        <v>2</v>
      </c>
      <c r="D10">
        <v>172</v>
      </c>
      <c r="E10">
        <v>199</v>
      </c>
      <c r="F10">
        <v>1</v>
      </c>
      <c r="G10">
        <v>1</v>
      </c>
      <c r="H10">
        <v>162</v>
      </c>
      <c r="I10">
        <v>0</v>
      </c>
      <c r="J10">
        <v>0.5</v>
      </c>
      <c r="K10">
        <v>2</v>
      </c>
      <c r="L10">
        <v>0</v>
      </c>
      <c r="M10">
        <v>3</v>
      </c>
      <c r="N10">
        <v>1</v>
      </c>
    </row>
    <row r="11" spans="1:14">
      <c r="A11">
        <v>57</v>
      </c>
      <c r="B11">
        <v>1</v>
      </c>
      <c r="C11">
        <v>2</v>
      </c>
      <c r="D11">
        <v>150</v>
      </c>
      <c r="E11">
        <v>168</v>
      </c>
      <c r="F11">
        <v>0</v>
      </c>
      <c r="G11">
        <v>1</v>
      </c>
      <c r="H11">
        <v>174</v>
      </c>
      <c r="I11">
        <v>0</v>
      </c>
      <c r="J11">
        <v>1.6</v>
      </c>
      <c r="K11">
        <v>2</v>
      </c>
      <c r="L11">
        <v>0</v>
      </c>
      <c r="M11">
        <v>2</v>
      </c>
      <c r="N11">
        <v>1</v>
      </c>
    </row>
    <row r="12" spans="1:14">
      <c r="A12">
        <v>54</v>
      </c>
      <c r="B12">
        <v>1</v>
      </c>
      <c r="C12">
        <v>0</v>
      </c>
      <c r="D12">
        <v>140</v>
      </c>
      <c r="E12">
        <v>239</v>
      </c>
      <c r="F12">
        <v>0</v>
      </c>
      <c r="G12">
        <v>1</v>
      </c>
      <c r="H12">
        <v>160</v>
      </c>
      <c r="I12">
        <v>0</v>
      </c>
      <c r="J12">
        <v>1.2</v>
      </c>
      <c r="K12">
        <v>2</v>
      </c>
      <c r="L12">
        <v>0</v>
      </c>
      <c r="M12">
        <v>2</v>
      </c>
      <c r="N12">
        <v>1</v>
      </c>
    </row>
    <row r="13" spans="1:14">
      <c r="A13">
        <v>48</v>
      </c>
      <c r="B13">
        <v>0</v>
      </c>
      <c r="C13">
        <v>2</v>
      </c>
      <c r="D13">
        <v>130</v>
      </c>
      <c r="E13">
        <v>275</v>
      </c>
      <c r="F13">
        <v>0</v>
      </c>
      <c r="G13">
        <v>1</v>
      </c>
      <c r="H13">
        <v>139</v>
      </c>
      <c r="I13">
        <v>0</v>
      </c>
      <c r="J13">
        <v>0.2</v>
      </c>
      <c r="K13">
        <v>2</v>
      </c>
      <c r="L13">
        <v>0</v>
      </c>
      <c r="M13">
        <v>2</v>
      </c>
      <c r="N13">
        <v>1</v>
      </c>
    </row>
    <row r="14" spans="1:14">
      <c r="A14">
        <v>49</v>
      </c>
      <c r="B14">
        <v>1</v>
      </c>
      <c r="C14">
        <v>1</v>
      </c>
      <c r="D14">
        <v>130</v>
      </c>
      <c r="E14">
        <v>266</v>
      </c>
      <c r="F14">
        <v>0</v>
      </c>
      <c r="G14">
        <v>1</v>
      </c>
      <c r="H14">
        <v>171</v>
      </c>
      <c r="I14">
        <v>0</v>
      </c>
      <c r="J14">
        <v>0.6</v>
      </c>
      <c r="K14">
        <v>2</v>
      </c>
      <c r="L14">
        <v>0</v>
      </c>
      <c r="M14">
        <v>2</v>
      </c>
      <c r="N14">
        <v>1</v>
      </c>
    </row>
    <row r="15" spans="1:14">
      <c r="A15">
        <v>64</v>
      </c>
      <c r="B15">
        <v>1</v>
      </c>
      <c r="C15">
        <v>3</v>
      </c>
      <c r="D15">
        <v>110</v>
      </c>
      <c r="E15">
        <v>211</v>
      </c>
      <c r="F15">
        <v>0</v>
      </c>
      <c r="G15">
        <v>0</v>
      </c>
      <c r="H15">
        <v>144</v>
      </c>
      <c r="I15">
        <v>1</v>
      </c>
      <c r="J15">
        <v>1.8</v>
      </c>
      <c r="K15">
        <v>1</v>
      </c>
      <c r="L15">
        <v>0</v>
      </c>
      <c r="M15">
        <v>2</v>
      </c>
      <c r="N15">
        <v>1</v>
      </c>
    </row>
    <row r="16" spans="1:14">
      <c r="A16">
        <v>58</v>
      </c>
      <c r="B16">
        <v>0</v>
      </c>
      <c r="C16">
        <v>3</v>
      </c>
      <c r="D16">
        <v>150</v>
      </c>
      <c r="E16">
        <v>283</v>
      </c>
      <c r="F16">
        <v>1</v>
      </c>
      <c r="G16">
        <v>0</v>
      </c>
      <c r="H16">
        <v>162</v>
      </c>
      <c r="I16">
        <v>0</v>
      </c>
      <c r="J16">
        <v>1</v>
      </c>
      <c r="K16">
        <v>2</v>
      </c>
      <c r="L16">
        <v>0</v>
      </c>
      <c r="M16">
        <v>2</v>
      </c>
      <c r="N16">
        <v>1</v>
      </c>
    </row>
    <row r="17" spans="1:14">
      <c r="A17">
        <v>50</v>
      </c>
      <c r="B17">
        <v>0</v>
      </c>
      <c r="C17">
        <v>2</v>
      </c>
      <c r="D17">
        <v>120</v>
      </c>
      <c r="E17">
        <v>219</v>
      </c>
      <c r="F17">
        <v>0</v>
      </c>
      <c r="G17">
        <v>1</v>
      </c>
      <c r="H17">
        <v>158</v>
      </c>
      <c r="I17">
        <v>0</v>
      </c>
      <c r="J17">
        <v>1.6</v>
      </c>
      <c r="K17">
        <v>1</v>
      </c>
      <c r="L17">
        <v>0</v>
      </c>
      <c r="M17">
        <v>2</v>
      </c>
      <c r="N17">
        <v>1</v>
      </c>
    </row>
    <row r="18" spans="1:14">
      <c r="A18">
        <v>58</v>
      </c>
      <c r="B18">
        <v>0</v>
      </c>
      <c r="C18">
        <v>2</v>
      </c>
      <c r="D18">
        <v>120</v>
      </c>
      <c r="E18">
        <v>340</v>
      </c>
      <c r="F18">
        <v>0</v>
      </c>
      <c r="G18">
        <v>1</v>
      </c>
      <c r="H18">
        <v>172</v>
      </c>
      <c r="I18">
        <v>0</v>
      </c>
      <c r="J18">
        <v>0</v>
      </c>
      <c r="K18">
        <v>2</v>
      </c>
      <c r="L18">
        <v>0</v>
      </c>
      <c r="M18">
        <v>2</v>
      </c>
      <c r="N18">
        <v>1</v>
      </c>
    </row>
    <row r="19" spans="1:14">
      <c r="A19">
        <v>66</v>
      </c>
      <c r="B19">
        <v>0</v>
      </c>
      <c r="C19">
        <v>3</v>
      </c>
      <c r="D19">
        <v>150</v>
      </c>
      <c r="E19">
        <v>226</v>
      </c>
      <c r="F19">
        <v>0</v>
      </c>
      <c r="G19">
        <v>1</v>
      </c>
      <c r="H19">
        <v>114</v>
      </c>
      <c r="I19">
        <v>0</v>
      </c>
      <c r="J19">
        <v>2.6</v>
      </c>
      <c r="K19">
        <v>0</v>
      </c>
      <c r="L19">
        <v>0</v>
      </c>
      <c r="M19">
        <v>2</v>
      </c>
      <c r="N19">
        <v>1</v>
      </c>
    </row>
    <row r="20" spans="1:14">
      <c r="A20">
        <v>43</v>
      </c>
      <c r="B20">
        <v>1</v>
      </c>
      <c r="C20">
        <v>0</v>
      </c>
      <c r="D20">
        <v>150</v>
      </c>
      <c r="E20">
        <v>247</v>
      </c>
      <c r="F20">
        <v>0</v>
      </c>
      <c r="G20">
        <v>1</v>
      </c>
      <c r="H20">
        <v>171</v>
      </c>
      <c r="I20">
        <v>0</v>
      </c>
      <c r="J20">
        <v>1.5</v>
      </c>
      <c r="K20">
        <v>2</v>
      </c>
      <c r="L20">
        <v>0</v>
      </c>
      <c r="M20">
        <v>2</v>
      </c>
      <c r="N20">
        <v>1</v>
      </c>
    </row>
    <row r="21" spans="1:14">
      <c r="A21">
        <v>69</v>
      </c>
      <c r="B21">
        <v>0</v>
      </c>
      <c r="C21">
        <v>3</v>
      </c>
      <c r="D21">
        <v>140</v>
      </c>
      <c r="E21">
        <v>239</v>
      </c>
      <c r="F21">
        <v>0</v>
      </c>
      <c r="G21">
        <v>1</v>
      </c>
      <c r="H21">
        <v>151</v>
      </c>
      <c r="I21">
        <v>0</v>
      </c>
      <c r="J21">
        <v>1.8</v>
      </c>
      <c r="K21">
        <v>2</v>
      </c>
      <c r="L21">
        <v>2</v>
      </c>
      <c r="M21">
        <v>2</v>
      </c>
      <c r="N21">
        <v>1</v>
      </c>
    </row>
    <row r="22" spans="1:14">
      <c r="A22">
        <v>59</v>
      </c>
      <c r="B22">
        <v>1</v>
      </c>
      <c r="C22">
        <v>0</v>
      </c>
      <c r="D22">
        <v>135</v>
      </c>
      <c r="E22">
        <v>234</v>
      </c>
      <c r="F22">
        <v>0</v>
      </c>
      <c r="G22">
        <v>1</v>
      </c>
      <c r="H22">
        <v>161</v>
      </c>
      <c r="I22">
        <v>0</v>
      </c>
      <c r="J22">
        <v>0.5</v>
      </c>
      <c r="K22">
        <v>1</v>
      </c>
      <c r="L22">
        <v>0</v>
      </c>
      <c r="M22">
        <v>3</v>
      </c>
      <c r="N22">
        <v>1</v>
      </c>
    </row>
    <row r="23" spans="1:14">
      <c r="A23">
        <v>44</v>
      </c>
      <c r="B23">
        <v>1</v>
      </c>
      <c r="C23">
        <v>2</v>
      </c>
      <c r="D23">
        <v>130</v>
      </c>
      <c r="E23">
        <v>233</v>
      </c>
      <c r="F23">
        <v>0</v>
      </c>
      <c r="G23">
        <v>1</v>
      </c>
      <c r="H23">
        <v>179</v>
      </c>
      <c r="I23">
        <v>1</v>
      </c>
      <c r="J23">
        <v>0.4</v>
      </c>
      <c r="K23">
        <v>2</v>
      </c>
      <c r="L23">
        <v>0</v>
      </c>
      <c r="M23">
        <v>2</v>
      </c>
      <c r="N23">
        <v>1</v>
      </c>
    </row>
    <row r="24" spans="1:14">
      <c r="A24">
        <v>42</v>
      </c>
      <c r="B24">
        <v>1</v>
      </c>
      <c r="C24">
        <v>0</v>
      </c>
      <c r="D24">
        <v>140</v>
      </c>
      <c r="E24">
        <v>226</v>
      </c>
      <c r="F24">
        <v>0</v>
      </c>
      <c r="G24">
        <v>1</v>
      </c>
      <c r="H24">
        <v>178</v>
      </c>
      <c r="I24">
        <v>0</v>
      </c>
      <c r="J24">
        <v>0</v>
      </c>
      <c r="K24">
        <v>2</v>
      </c>
      <c r="L24">
        <v>0</v>
      </c>
      <c r="M24">
        <v>2</v>
      </c>
      <c r="N24">
        <v>1</v>
      </c>
    </row>
    <row r="25" spans="1:14">
      <c r="A25">
        <v>61</v>
      </c>
      <c r="B25">
        <v>1</v>
      </c>
      <c r="C25">
        <v>2</v>
      </c>
      <c r="D25">
        <v>150</v>
      </c>
      <c r="E25">
        <v>243</v>
      </c>
      <c r="F25">
        <v>1</v>
      </c>
      <c r="G25">
        <v>1</v>
      </c>
      <c r="H25">
        <v>137</v>
      </c>
      <c r="I25">
        <v>1</v>
      </c>
      <c r="J25">
        <v>1</v>
      </c>
      <c r="K25">
        <v>1</v>
      </c>
      <c r="L25">
        <v>0</v>
      </c>
      <c r="M25">
        <v>2</v>
      </c>
      <c r="N25">
        <v>1</v>
      </c>
    </row>
    <row r="26" spans="1:14">
      <c r="A26">
        <v>40</v>
      </c>
      <c r="B26">
        <v>1</v>
      </c>
      <c r="C26">
        <v>3</v>
      </c>
      <c r="D26">
        <v>140</v>
      </c>
      <c r="E26">
        <v>199</v>
      </c>
      <c r="F26">
        <v>0</v>
      </c>
      <c r="G26">
        <v>1</v>
      </c>
      <c r="H26">
        <v>178</v>
      </c>
      <c r="I26">
        <v>1</v>
      </c>
      <c r="J26">
        <v>1.4</v>
      </c>
      <c r="K26">
        <v>2</v>
      </c>
      <c r="L26">
        <v>0</v>
      </c>
      <c r="M26">
        <v>3</v>
      </c>
      <c r="N26">
        <v>1</v>
      </c>
    </row>
    <row r="27" spans="1:14">
      <c r="A27">
        <v>71</v>
      </c>
      <c r="B27">
        <v>0</v>
      </c>
      <c r="C27">
        <v>1</v>
      </c>
      <c r="D27">
        <v>160</v>
      </c>
      <c r="E27">
        <v>302</v>
      </c>
      <c r="F27">
        <v>0</v>
      </c>
      <c r="G27">
        <v>1</v>
      </c>
      <c r="H27">
        <v>162</v>
      </c>
      <c r="I27">
        <v>0</v>
      </c>
      <c r="J27">
        <v>0.4</v>
      </c>
      <c r="K27">
        <v>2</v>
      </c>
      <c r="L27">
        <v>2</v>
      </c>
      <c r="M27">
        <v>2</v>
      </c>
      <c r="N27">
        <v>1</v>
      </c>
    </row>
    <row r="28" spans="1:14">
      <c r="A28">
        <v>59</v>
      </c>
      <c r="B28">
        <v>1</v>
      </c>
      <c r="C28">
        <v>2</v>
      </c>
      <c r="D28">
        <v>150</v>
      </c>
      <c r="E28">
        <v>212</v>
      </c>
      <c r="F28">
        <v>1</v>
      </c>
      <c r="G28">
        <v>1</v>
      </c>
      <c r="H28">
        <v>157</v>
      </c>
      <c r="I28">
        <v>0</v>
      </c>
      <c r="J28">
        <v>1.6</v>
      </c>
      <c r="K28">
        <v>2</v>
      </c>
      <c r="L28">
        <v>0</v>
      </c>
      <c r="M28">
        <v>2</v>
      </c>
      <c r="N28">
        <v>1</v>
      </c>
    </row>
    <row r="29" spans="1:14">
      <c r="A29">
        <v>51</v>
      </c>
      <c r="B29">
        <v>1</v>
      </c>
      <c r="C29">
        <v>2</v>
      </c>
      <c r="D29">
        <v>110</v>
      </c>
      <c r="E29">
        <v>175</v>
      </c>
      <c r="F29">
        <v>0</v>
      </c>
      <c r="G29">
        <v>1</v>
      </c>
      <c r="H29">
        <v>123</v>
      </c>
      <c r="I29">
        <v>0</v>
      </c>
      <c r="J29">
        <v>0.6</v>
      </c>
      <c r="K29">
        <v>2</v>
      </c>
      <c r="L29">
        <v>0</v>
      </c>
      <c r="M29">
        <v>2</v>
      </c>
      <c r="N29">
        <v>1</v>
      </c>
    </row>
    <row r="30" spans="1:14">
      <c r="A30">
        <v>65</v>
      </c>
      <c r="B30">
        <v>0</v>
      </c>
      <c r="C30">
        <v>2</v>
      </c>
      <c r="D30">
        <v>140</v>
      </c>
      <c r="E30">
        <v>417</v>
      </c>
      <c r="F30">
        <v>1</v>
      </c>
      <c r="G30">
        <v>0</v>
      </c>
      <c r="H30">
        <v>157</v>
      </c>
      <c r="I30">
        <v>0</v>
      </c>
      <c r="J30">
        <v>0.8</v>
      </c>
      <c r="K30">
        <v>2</v>
      </c>
      <c r="L30">
        <v>1</v>
      </c>
      <c r="M30">
        <v>2</v>
      </c>
      <c r="N30">
        <v>1</v>
      </c>
    </row>
    <row r="31" spans="1:14">
      <c r="A31">
        <v>53</v>
      </c>
      <c r="B31">
        <v>1</v>
      </c>
      <c r="C31">
        <v>2</v>
      </c>
      <c r="D31">
        <v>130</v>
      </c>
      <c r="E31">
        <v>197</v>
      </c>
      <c r="F31">
        <v>1</v>
      </c>
      <c r="G31">
        <v>0</v>
      </c>
      <c r="H31">
        <v>152</v>
      </c>
      <c r="I31">
        <v>0</v>
      </c>
      <c r="J31">
        <v>1.2</v>
      </c>
      <c r="K31">
        <v>0</v>
      </c>
      <c r="L31">
        <v>0</v>
      </c>
      <c r="M31">
        <v>2</v>
      </c>
      <c r="N31">
        <v>1</v>
      </c>
    </row>
    <row r="32" spans="1:14">
      <c r="A32">
        <v>41</v>
      </c>
      <c r="B32">
        <v>0</v>
      </c>
      <c r="C32">
        <v>1</v>
      </c>
      <c r="D32">
        <v>105</v>
      </c>
      <c r="E32">
        <v>198</v>
      </c>
      <c r="F32">
        <v>0</v>
      </c>
      <c r="G32">
        <v>1</v>
      </c>
      <c r="H32">
        <v>168</v>
      </c>
      <c r="I32">
        <v>0</v>
      </c>
      <c r="J32">
        <v>0</v>
      </c>
      <c r="K32">
        <v>2</v>
      </c>
      <c r="L32">
        <v>1</v>
      </c>
      <c r="M32">
        <v>2</v>
      </c>
      <c r="N32">
        <v>1</v>
      </c>
    </row>
    <row r="33" spans="1:14">
      <c r="A33">
        <v>65</v>
      </c>
      <c r="B33">
        <v>1</v>
      </c>
      <c r="C33">
        <v>0</v>
      </c>
      <c r="D33">
        <v>120</v>
      </c>
      <c r="E33">
        <v>177</v>
      </c>
      <c r="F33">
        <v>0</v>
      </c>
      <c r="G33">
        <v>1</v>
      </c>
      <c r="H33">
        <v>140</v>
      </c>
      <c r="I33">
        <v>0</v>
      </c>
      <c r="J33">
        <v>0.4</v>
      </c>
      <c r="K33">
        <v>2</v>
      </c>
      <c r="L33">
        <v>0</v>
      </c>
      <c r="M33">
        <v>3</v>
      </c>
      <c r="N33">
        <v>1</v>
      </c>
    </row>
    <row r="34" spans="1:14">
      <c r="A34">
        <v>44</v>
      </c>
      <c r="B34">
        <v>1</v>
      </c>
      <c r="C34">
        <v>1</v>
      </c>
      <c r="D34">
        <v>130</v>
      </c>
      <c r="E34">
        <v>219</v>
      </c>
      <c r="F34">
        <v>0</v>
      </c>
      <c r="G34">
        <v>0</v>
      </c>
      <c r="H34">
        <v>188</v>
      </c>
      <c r="I34">
        <v>0</v>
      </c>
      <c r="J34">
        <v>0</v>
      </c>
      <c r="K34">
        <v>2</v>
      </c>
      <c r="L34">
        <v>0</v>
      </c>
      <c r="M34">
        <v>2</v>
      </c>
      <c r="N34">
        <v>1</v>
      </c>
    </row>
    <row r="35" spans="1:14">
      <c r="A35">
        <v>54</v>
      </c>
      <c r="B35">
        <v>1</v>
      </c>
      <c r="C35">
        <v>2</v>
      </c>
      <c r="D35">
        <v>125</v>
      </c>
      <c r="E35">
        <v>273</v>
      </c>
      <c r="F35">
        <v>0</v>
      </c>
      <c r="G35">
        <v>0</v>
      </c>
      <c r="H35">
        <v>152</v>
      </c>
      <c r="I35">
        <v>0</v>
      </c>
      <c r="J35">
        <v>0.5</v>
      </c>
      <c r="K35">
        <v>0</v>
      </c>
      <c r="L35">
        <v>1</v>
      </c>
      <c r="M35">
        <v>2</v>
      </c>
      <c r="N35">
        <v>1</v>
      </c>
    </row>
    <row r="36" spans="1:14">
      <c r="A36">
        <v>51</v>
      </c>
      <c r="B36">
        <v>1</v>
      </c>
      <c r="C36">
        <v>3</v>
      </c>
      <c r="D36">
        <v>125</v>
      </c>
      <c r="E36">
        <v>213</v>
      </c>
      <c r="F36">
        <v>0</v>
      </c>
      <c r="G36">
        <v>0</v>
      </c>
      <c r="H36">
        <v>125</v>
      </c>
      <c r="I36">
        <v>1</v>
      </c>
      <c r="J36">
        <v>1.4</v>
      </c>
      <c r="K36">
        <v>2</v>
      </c>
      <c r="L36">
        <v>1</v>
      </c>
      <c r="M36">
        <v>2</v>
      </c>
      <c r="N36">
        <v>1</v>
      </c>
    </row>
    <row r="37" spans="1:14">
      <c r="A37">
        <v>46</v>
      </c>
      <c r="B37">
        <v>0</v>
      </c>
      <c r="C37">
        <v>2</v>
      </c>
      <c r="D37">
        <v>142</v>
      </c>
      <c r="E37">
        <v>177</v>
      </c>
      <c r="F37">
        <v>0</v>
      </c>
      <c r="G37">
        <v>0</v>
      </c>
      <c r="H37">
        <v>160</v>
      </c>
      <c r="I37">
        <v>1</v>
      </c>
      <c r="J37">
        <v>1.4</v>
      </c>
      <c r="K37">
        <v>0</v>
      </c>
      <c r="L37">
        <v>0</v>
      </c>
      <c r="M37">
        <v>2</v>
      </c>
      <c r="N37">
        <v>1</v>
      </c>
    </row>
    <row r="38" spans="1:14">
      <c r="A38">
        <v>54</v>
      </c>
      <c r="B38">
        <v>0</v>
      </c>
      <c r="C38">
        <v>2</v>
      </c>
      <c r="D38">
        <v>135</v>
      </c>
      <c r="E38">
        <v>304</v>
      </c>
      <c r="F38">
        <v>1</v>
      </c>
      <c r="G38">
        <v>1</v>
      </c>
      <c r="H38">
        <v>170</v>
      </c>
      <c r="I38">
        <v>0</v>
      </c>
      <c r="J38">
        <v>0</v>
      </c>
      <c r="K38">
        <v>2</v>
      </c>
      <c r="L38">
        <v>0</v>
      </c>
      <c r="M38">
        <v>2</v>
      </c>
      <c r="N38">
        <v>1</v>
      </c>
    </row>
    <row r="39" spans="1:14">
      <c r="A39">
        <v>54</v>
      </c>
      <c r="B39">
        <v>1</v>
      </c>
      <c r="C39">
        <v>2</v>
      </c>
      <c r="D39">
        <v>150</v>
      </c>
      <c r="E39">
        <v>232</v>
      </c>
      <c r="F39">
        <v>0</v>
      </c>
      <c r="G39">
        <v>0</v>
      </c>
      <c r="H39">
        <v>165</v>
      </c>
      <c r="I39">
        <v>0</v>
      </c>
      <c r="J39">
        <v>1.6</v>
      </c>
      <c r="K39">
        <v>2</v>
      </c>
      <c r="L39">
        <v>0</v>
      </c>
      <c r="M39">
        <v>3</v>
      </c>
      <c r="N39">
        <v>1</v>
      </c>
    </row>
    <row r="40" spans="1:14">
      <c r="A40">
        <v>65</v>
      </c>
      <c r="B40">
        <v>0</v>
      </c>
      <c r="C40">
        <v>2</v>
      </c>
      <c r="D40">
        <v>155</v>
      </c>
      <c r="E40">
        <v>269</v>
      </c>
      <c r="F40">
        <v>0</v>
      </c>
      <c r="G40">
        <v>1</v>
      </c>
      <c r="H40">
        <v>148</v>
      </c>
      <c r="I40">
        <v>0</v>
      </c>
      <c r="J40">
        <v>0.8</v>
      </c>
      <c r="K40">
        <v>2</v>
      </c>
      <c r="L40">
        <v>0</v>
      </c>
      <c r="M40">
        <v>2</v>
      </c>
      <c r="N40">
        <v>1</v>
      </c>
    </row>
    <row r="41" spans="1:14">
      <c r="A41">
        <v>65</v>
      </c>
      <c r="B41">
        <v>0</v>
      </c>
      <c r="C41">
        <v>2</v>
      </c>
      <c r="D41">
        <v>160</v>
      </c>
      <c r="E41">
        <v>360</v>
      </c>
      <c r="F41">
        <v>0</v>
      </c>
      <c r="G41">
        <v>0</v>
      </c>
      <c r="H41">
        <v>151</v>
      </c>
      <c r="I41">
        <v>0</v>
      </c>
      <c r="J41">
        <v>0.8</v>
      </c>
      <c r="K41">
        <v>2</v>
      </c>
      <c r="L41">
        <v>0</v>
      </c>
      <c r="M41">
        <v>2</v>
      </c>
      <c r="N41">
        <v>1</v>
      </c>
    </row>
    <row r="42" spans="1:14">
      <c r="A42">
        <v>51</v>
      </c>
      <c r="B42">
        <v>0</v>
      </c>
      <c r="C42">
        <v>2</v>
      </c>
      <c r="D42">
        <v>140</v>
      </c>
      <c r="E42">
        <v>308</v>
      </c>
      <c r="F42">
        <v>0</v>
      </c>
      <c r="G42">
        <v>0</v>
      </c>
      <c r="H42">
        <v>142</v>
      </c>
      <c r="I42">
        <v>0</v>
      </c>
      <c r="J42">
        <v>1.5</v>
      </c>
      <c r="K42">
        <v>2</v>
      </c>
      <c r="L42">
        <v>1</v>
      </c>
      <c r="M42">
        <v>2</v>
      </c>
      <c r="N42">
        <v>1</v>
      </c>
    </row>
    <row r="43" spans="1:14">
      <c r="A43">
        <v>48</v>
      </c>
      <c r="B43">
        <v>1</v>
      </c>
      <c r="C43">
        <v>1</v>
      </c>
      <c r="D43">
        <v>130</v>
      </c>
      <c r="E43">
        <v>245</v>
      </c>
      <c r="F43">
        <v>0</v>
      </c>
      <c r="G43">
        <v>0</v>
      </c>
      <c r="H43">
        <v>180</v>
      </c>
      <c r="I43">
        <v>0</v>
      </c>
      <c r="J43">
        <v>0.2</v>
      </c>
      <c r="K43">
        <v>1</v>
      </c>
      <c r="L43">
        <v>0</v>
      </c>
      <c r="M43">
        <v>2</v>
      </c>
      <c r="N43">
        <v>1</v>
      </c>
    </row>
    <row r="44" spans="1:14">
      <c r="A44">
        <v>45</v>
      </c>
      <c r="B44">
        <v>1</v>
      </c>
      <c r="C44">
        <v>0</v>
      </c>
      <c r="D44">
        <v>104</v>
      </c>
      <c r="E44">
        <v>208</v>
      </c>
      <c r="F44">
        <v>0</v>
      </c>
      <c r="G44">
        <v>0</v>
      </c>
      <c r="H44">
        <v>148</v>
      </c>
      <c r="I44">
        <v>1</v>
      </c>
      <c r="J44">
        <v>3</v>
      </c>
      <c r="K44">
        <v>1</v>
      </c>
      <c r="L44">
        <v>0</v>
      </c>
      <c r="M44">
        <v>2</v>
      </c>
      <c r="N44">
        <v>1</v>
      </c>
    </row>
    <row r="45" spans="1:14">
      <c r="A45">
        <v>53</v>
      </c>
      <c r="B45">
        <v>0</v>
      </c>
      <c r="C45">
        <v>0</v>
      </c>
      <c r="D45">
        <v>130</v>
      </c>
      <c r="E45">
        <v>264</v>
      </c>
      <c r="F45">
        <v>0</v>
      </c>
      <c r="G45">
        <v>0</v>
      </c>
      <c r="H45">
        <v>143</v>
      </c>
      <c r="I45">
        <v>0</v>
      </c>
      <c r="J45">
        <v>0.4</v>
      </c>
      <c r="K45">
        <v>1</v>
      </c>
      <c r="L45">
        <v>0</v>
      </c>
      <c r="M45">
        <v>2</v>
      </c>
      <c r="N45">
        <v>1</v>
      </c>
    </row>
    <row r="46" spans="1:14">
      <c r="A46">
        <v>39</v>
      </c>
      <c r="B46">
        <v>1</v>
      </c>
      <c r="C46">
        <v>2</v>
      </c>
      <c r="D46">
        <v>140</v>
      </c>
      <c r="E46">
        <v>321</v>
      </c>
      <c r="F46">
        <v>0</v>
      </c>
      <c r="G46">
        <v>0</v>
      </c>
      <c r="H46">
        <v>182</v>
      </c>
      <c r="I46">
        <v>0</v>
      </c>
      <c r="J46">
        <v>0</v>
      </c>
      <c r="K46">
        <v>2</v>
      </c>
      <c r="L46">
        <v>0</v>
      </c>
      <c r="M46">
        <v>2</v>
      </c>
      <c r="N46">
        <v>1</v>
      </c>
    </row>
    <row r="47" spans="1:14">
      <c r="A47">
        <v>52</v>
      </c>
      <c r="B47">
        <v>1</v>
      </c>
      <c r="C47">
        <v>1</v>
      </c>
      <c r="D47">
        <v>120</v>
      </c>
      <c r="E47">
        <v>325</v>
      </c>
      <c r="F47">
        <v>0</v>
      </c>
      <c r="G47">
        <v>1</v>
      </c>
      <c r="H47">
        <v>172</v>
      </c>
      <c r="I47">
        <v>0</v>
      </c>
      <c r="J47">
        <v>0.2</v>
      </c>
      <c r="K47">
        <v>2</v>
      </c>
      <c r="L47">
        <v>0</v>
      </c>
      <c r="M47">
        <v>2</v>
      </c>
      <c r="N47">
        <v>1</v>
      </c>
    </row>
    <row r="48" spans="1:14">
      <c r="A48">
        <v>44</v>
      </c>
      <c r="B48">
        <v>1</v>
      </c>
      <c r="C48">
        <v>2</v>
      </c>
      <c r="D48">
        <v>140</v>
      </c>
      <c r="E48">
        <v>235</v>
      </c>
      <c r="F48">
        <v>0</v>
      </c>
      <c r="G48">
        <v>0</v>
      </c>
      <c r="H48">
        <v>180</v>
      </c>
      <c r="I48">
        <v>0</v>
      </c>
      <c r="J48">
        <v>0</v>
      </c>
      <c r="K48">
        <v>2</v>
      </c>
      <c r="L48">
        <v>0</v>
      </c>
      <c r="M48">
        <v>2</v>
      </c>
      <c r="N48">
        <v>1</v>
      </c>
    </row>
    <row r="49" spans="1:14">
      <c r="A49">
        <v>47</v>
      </c>
      <c r="B49">
        <v>1</v>
      </c>
      <c r="C49">
        <v>2</v>
      </c>
      <c r="D49">
        <v>138</v>
      </c>
      <c r="E49">
        <v>257</v>
      </c>
      <c r="F49">
        <v>0</v>
      </c>
      <c r="G49">
        <v>0</v>
      </c>
      <c r="H49">
        <v>156</v>
      </c>
      <c r="I49">
        <v>0</v>
      </c>
      <c r="J49">
        <v>0</v>
      </c>
      <c r="K49">
        <v>2</v>
      </c>
      <c r="L49">
        <v>0</v>
      </c>
      <c r="M49">
        <v>2</v>
      </c>
      <c r="N49">
        <v>1</v>
      </c>
    </row>
    <row r="50" spans="1:14">
      <c r="A50">
        <v>53</v>
      </c>
      <c r="B50">
        <v>0</v>
      </c>
      <c r="C50">
        <v>2</v>
      </c>
      <c r="D50">
        <v>128</v>
      </c>
      <c r="E50">
        <v>216</v>
      </c>
      <c r="F50">
        <v>0</v>
      </c>
      <c r="G50">
        <v>0</v>
      </c>
      <c r="H50">
        <v>115</v>
      </c>
      <c r="I50">
        <v>0</v>
      </c>
      <c r="J50">
        <v>0</v>
      </c>
      <c r="K50">
        <v>2</v>
      </c>
      <c r="L50">
        <v>0</v>
      </c>
      <c r="M50">
        <v>0</v>
      </c>
      <c r="N50">
        <v>1</v>
      </c>
    </row>
    <row r="51" spans="1:14">
      <c r="A51">
        <v>53</v>
      </c>
      <c r="B51">
        <v>0</v>
      </c>
      <c r="C51">
        <v>0</v>
      </c>
      <c r="D51">
        <v>138</v>
      </c>
      <c r="E51">
        <v>234</v>
      </c>
      <c r="F51">
        <v>0</v>
      </c>
      <c r="G51">
        <v>0</v>
      </c>
      <c r="H51">
        <v>160</v>
      </c>
      <c r="I51">
        <v>0</v>
      </c>
      <c r="J51">
        <v>0</v>
      </c>
      <c r="K51">
        <v>2</v>
      </c>
      <c r="L51">
        <v>0</v>
      </c>
      <c r="M51">
        <v>2</v>
      </c>
      <c r="N51">
        <v>1</v>
      </c>
    </row>
    <row r="52" spans="1:14">
      <c r="A52">
        <v>51</v>
      </c>
      <c r="B52">
        <v>0</v>
      </c>
      <c r="C52">
        <v>2</v>
      </c>
      <c r="D52">
        <v>130</v>
      </c>
      <c r="E52">
        <v>256</v>
      </c>
      <c r="F52">
        <v>0</v>
      </c>
      <c r="G52">
        <v>0</v>
      </c>
      <c r="H52">
        <v>149</v>
      </c>
      <c r="I52">
        <v>0</v>
      </c>
      <c r="J52">
        <v>0.5</v>
      </c>
      <c r="K52">
        <v>2</v>
      </c>
      <c r="L52">
        <v>0</v>
      </c>
      <c r="M52">
        <v>2</v>
      </c>
      <c r="N52">
        <v>1</v>
      </c>
    </row>
    <row r="53" spans="1:14">
      <c r="A53">
        <v>66</v>
      </c>
      <c r="B53">
        <v>1</v>
      </c>
      <c r="C53">
        <v>0</v>
      </c>
      <c r="D53">
        <v>120</v>
      </c>
      <c r="E53">
        <v>302</v>
      </c>
      <c r="F53">
        <v>0</v>
      </c>
      <c r="G53">
        <v>0</v>
      </c>
      <c r="H53">
        <v>151</v>
      </c>
      <c r="I53">
        <v>0</v>
      </c>
      <c r="J53">
        <v>0.4</v>
      </c>
      <c r="K53">
        <v>1</v>
      </c>
      <c r="L53">
        <v>0</v>
      </c>
      <c r="M53">
        <v>2</v>
      </c>
      <c r="N53">
        <v>1</v>
      </c>
    </row>
    <row r="54" spans="1:14">
      <c r="A54">
        <v>62</v>
      </c>
      <c r="B54">
        <v>1</v>
      </c>
      <c r="C54">
        <v>2</v>
      </c>
      <c r="D54">
        <v>130</v>
      </c>
      <c r="E54">
        <v>231</v>
      </c>
      <c r="F54">
        <v>0</v>
      </c>
      <c r="G54">
        <v>1</v>
      </c>
      <c r="H54">
        <v>146</v>
      </c>
      <c r="I54">
        <v>0</v>
      </c>
      <c r="J54">
        <v>1.8</v>
      </c>
      <c r="K54">
        <v>1</v>
      </c>
      <c r="L54">
        <v>3</v>
      </c>
      <c r="M54">
        <v>3</v>
      </c>
      <c r="N54">
        <v>1</v>
      </c>
    </row>
    <row r="55" spans="1:14">
      <c r="A55">
        <v>44</v>
      </c>
      <c r="B55">
        <v>0</v>
      </c>
      <c r="C55">
        <v>2</v>
      </c>
      <c r="D55">
        <v>108</v>
      </c>
      <c r="E55">
        <v>141</v>
      </c>
      <c r="F55">
        <v>0</v>
      </c>
      <c r="G55">
        <v>1</v>
      </c>
      <c r="H55">
        <v>175</v>
      </c>
      <c r="I55">
        <v>0</v>
      </c>
      <c r="J55">
        <v>0.6</v>
      </c>
      <c r="K55">
        <v>1</v>
      </c>
      <c r="L55">
        <v>0</v>
      </c>
      <c r="M55">
        <v>2</v>
      </c>
      <c r="N55">
        <v>1</v>
      </c>
    </row>
    <row r="56" spans="1:14">
      <c r="A56">
        <v>63</v>
      </c>
      <c r="B56">
        <v>0</v>
      </c>
      <c r="C56">
        <v>2</v>
      </c>
      <c r="D56">
        <v>135</v>
      </c>
      <c r="E56">
        <v>252</v>
      </c>
      <c r="F56">
        <v>0</v>
      </c>
      <c r="G56">
        <v>0</v>
      </c>
      <c r="H56">
        <v>172</v>
      </c>
      <c r="I56">
        <v>0</v>
      </c>
      <c r="J56">
        <v>0</v>
      </c>
      <c r="K56">
        <v>2</v>
      </c>
      <c r="L56">
        <v>0</v>
      </c>
      <c r="M56">
        <v>2</v>
      </c>
      <c r="N56">
        <v>1</v>
      </c>
    </row>
    <row r="57" spans="1:14">
      <c r="A57">
        <v>52</v>
      </c>
      <c r="B57">
        <v>1</v>
      </c>
      <c r="C57">
        <v>1</v>
      </c>
      <c r="D57">
        <v>134</v>
      </c>
      <c r="E57">
        <v>201</v>
      </c>
      <c r="F57">
        <v>0</v>
      </c>
      <c r="G57">
        <v>1</v>
      </c>
      <c r="H57">
        <v>158</v>
      </c>
      <c r="I57">
        <v>0</v>
      </c>
      <c r="J57">
        <v>0.8</v>
      </c>
      <c r="K57">
        <v>2</v>
      </c>
      <c r="L57">
        <v>1</v>
      </c>
      <c r="M57">
        <v>2</v>
      </c>
      <c r="N57">
        <v>1</v>
      </c>
    </row>
    <row r="58" spans="1:14">
      <c r="A58">
        <v>48</v>
      </c>
      <c r="B58">
        <v>1</v>
      </c>
      <c r="C58">
        <v>0</v>
      </c>
      <c r="D58">
        <v>122</v>
      </c>
      <c r="E58">
        <v>222</v>
      </c>
      <c r="F58">
        <v>0</v>
      </c>
      <c r="G58">
        <v>0</v>
      </c>
      <c r="H58">
        <v>186</v>
      </c>
      <c r="I58">
        <v>0</v>
      </c>
      <c r="J58">
        <v>0</v>
      </c>
      <c r="K58">
        <v>2</v>
      </c>
      <c r="L58">
        <v>0</v>
      </c>
      <c r="M58">
        <v>2</v>
      </c>
      <c r="N58">
        <v>1</v>
      </c>
    </row>
    <row r="59" spans="1:14">
      <c r="A59">
        <v>45</v>
      </c>
      <c r="B59">
        <v>1</v>
      </c>
      <c r="C59">
        <v>0</v>
      </c>
      <c r="D59">
        <v>115</v>
      </c>
      <c r="E59">
        <v>260</v>
      </c>
      <c r="F59">
        <v>0</v>
      </c>
      <c r="G59">
        <v>0</v>
      </c>
      <c r="H59">
        <v>185</v>
      </c>
      <c r="I59">
        <v>0</v>
      </c>
      <c r="J59">
        <v>0</v>
      </c>
      <c r="K59">
        <v>2</v>
      </c>
      <c r="L59">
        <v>0</v>
      </c>
      <c r="M59">
        <v>2</v>
      </c>
      <c r="N59">
        <v>1</v>
      </c>
    </row>
    <row r="60" spans="1:14">
      <c r="A60">
        <v>34</v>
      </c>
      <c r="B60">
        <v>1</v>
      </c>
      <c r="C60">
        <v>3</v>
      </c>
      <c r="D60">
        <v>118</v>
      </c>
      <c r="E60">
        <v>182</v>
      </c>
      <c r="F60">
        <v>0</v>
      </c>
      <c r="G60">
        <v>0</v>
      </c>
      <c r="H60">
        <v>174</v>
      </c>
      <c r="I60">
        <v>0</v>
      </c>
      <c r="J60">
        <v>0</v>
      </c>
      <c r="K60">
        <v>2</v>
      </c>
      <c r="L60">
        <v>0</v>
      </c>
      <c r="M60">
        <v>2</v>
      </c>
      <c r="N60">
        <v>1</v>
      </c>
    </row>
    <row r="61" spans="1:14">
      <c r="A61">
        <v>57</v>
      </c>
      <c r="B61">
        <v>0</v>
      </c>
      <c r="C61">
        <v>0</v>
      </c>
      <c r="D61">
        <v>128</v>
      </c>
      <c r="E61">
        <v>303</v>
      </c>
      <c r="F61">
        <v>0</v>
      </c>
      <c r="G61">
        <v>0</v>
      </c>
      <c r="H61">
        <v>159</v>
      </c>
      <c r="I61">
        <v>0</v>
      </c>
      <c r="J61">
        <v>0</v>
      </c>
      <c r="K61">
        <v>2</v>
      </c>
      <c r="L61">
        <v>1</v>
      </c>
      <c r="M61">
        <v>2</v>
      </c>
      <c r="N61">
        <v>1</v>
      </c>
    </row>
    <row r="62" spans="1:14">
      <c r="A62">
        <v>71</v>
      </c>
      <c r="B62">
        <v>0</v>
      </c>
      <c r="C62">
        <v>2</v>
      </c>
      <c r="D62">
        <v>110</v>
      </c>
      <c r="E62">
        <v>265</v>
      </c>
      <c r="F62">
        <v>1</v>
      </c>
      <c r="G62">
        <v>0</v>
      </c>
      <c r="H62">
        <v>130</v>
      </c>
      <c r="I62">
        <v>0</v>
      </c>
      <c r="J62">
        <v>0</v>
      </c>
      <c r="K62">
        <v>2</v>
      </c>
      <c r="L62">
        <v>1</v>
      </c>
      <c r="M62">
        <v>2</v>
      </c>
      <c r="N62">
        <v>1</v>
      </c>
    </row>
    <row r="63" spans="1:14">
      <c r="A63">
        <v>54</v>
      </c>
      <c r="B63">
        <v>1</v>
      </c>
      <c r="C63">
        <v>1</v>
      </c>
      <c r="D63">
        <v>108</v>
      </c>
      <c r="E63">
        <v>309</v>
      </c>
      <c r="F63">
        <v>0</v>
      </c>
      <c r="G63">
        <v>1</v>
      </c>
      <c r="H63">
        <v>156</v>
      </c>
      <c r="I63">
        <v>0</v>
      </c>
      <c r="J63">
        <v>0</v>
      </c>
      <c r="K63">
        <v>2</v>
      </c>
      <c r="L63">
        <v>0</v>
      </c>
      <c r="M63">
        <v>3</v>
      </c>
      <c r="N63">
        <v>1</v>
      </c>
    </row>
    <row r="64" spans="1:14">
      <c r="A64">
        <v>52</v>
      </c>
      <c r="B64">
        <v>1</v>
      </c>
      <c r="C64">
        <v>3</v>
      </c>
      <c r="D64">
        <v>118</v>
      </c>
      <c r="E64">
        <v>186</v>
      </c>
      <c r="F64">
        <v>0</v>
      </c>
      <c r="G64">
        <v>0</v>
      </c>
      <c r="H64">
        <v>190</v>
      </c>
      <c r="I64">
        <v>0</v>
      </c>
      <c r="J64">
        <v>0</v>
      </c>
      <c r="K64">
        <v>1</v>
      </c>
      <c r="L64">
        <v>0</v>
      </c>
      <c r="M64">
        <v>1</v>
      </c>
      <c r="N64">
        <v>1</v>
      </c>
    </row>
    <row r="65" spans="1:14">
      <c r="A65">
        <v>41</v>
      </c>
      <c r="B65">
        <v>1</v>
      </c>
      <c r="C65">
        <v>1</v>
      </c>
      <c r="D65">
        <v>135</v>
      </c>
      <c r="E65">
        <v>203</v>
      </c>
      <c r="F65">
        <v>0</v>
      </c>
      <c r="G65">
        <v>1</v>
      </c>
      <c r="H65">
        <v>132</v>
      </c>
      <c r="I65">
        <v>0</v>
      </c>
      <c r="J65">
        <v>0</v>
      </c>
      <c r="K65">
        <v>1</v>
      </c>
      <c r="L65">
        <v>0</v>
      </c>
      <c r="M65">
        <v>1</v>
      </c>
      <c r="N65">
        <v>1</v>
      </c>
    </row>
    <row r="66" spans="1:14">
      <c r="A66">
        <v>58</v>
      </c>
      <c r="B66">
        <v>1</v>
      </c>
      <c r="C66">
        <v>2</v>
      </c>
      <c r="D66">
        <v>140</v>
      </c>
      <c r="E66">
        <v>211</v>
      </c>
      <c r="F66">
        <v>1</v>
      </c>
      <c r="G66">
        <v>0</v>
      </c>
      <c r="H66">
        <v>165</v>
      </c>
      <c r="I66">
        <v>0</v>
      </c>
      <c r="J66">
        <v>0</v>
      </c>
      <c r="K66">
        <v>2</v>
      </c>
      <c r="L66">
        <v>0</v>
      </c>
      <c r="M66">
        <v>2</v>
      </c>
      <c r="N66">
        <v>1</v>
      </c>
    </row>
    <row r="67" spans="1:14">
      <c r="A67">
        <v>35</v>
      </c>
      <c r="B67">
        <v>0</v>
      </c>
      <c r="C67">
        <v>0</v>
      </c>
      <c r="D67">
        <v>138</v>
      </c>
      <c r="E67">
        <v>183</v>
      </c>
      <c r="F67">
        <v>0</v>
      </c>
      <c r="G67">
        <v>1</v>
      </c>
      <c r="H67">
        <v>182</v>
      </c>
      <c r="I67">
        <v>0</v>
      </c>
      <c r="J67">
        <v>1.4</v>
      </c>
      <c r="K67">
        <v>2</v>
      </c>
      <c r="L67">
        <v>0</v>
      </c>
      <c r="M67">
        <v>2</v>
      </c>
      <c r="N67">
        <v>1</v>
      </c>
    </row>
    <row r="68" spans="1:14">
      <c r="A68">
        <v>51</v>
      </c>
      <c r="B68">
        <v>1</v>
      </c>
      <c r="C68">
        <v>2</v>
      </c>
      <c r="D68">
        <v>100</v>
      </c>
      <c r="E68">
        <v>222</v>
      </c>
      <c r="F68">
        <v>0</v>
      </c>
      <c r="G68">
        <v>1</v>
      </c>
      <c r="H68">
        <v>143</v>
      </c>
      <c r="I68">
        <v>1</v>
      </c>
      <c r="J68">
        <v>1.2</v>
      </c>
      <c r="K68">
        <v>1</v>
      </c>
      <c r="L68">
        <v>0</v>
      </c>
      <c r="M68">
        <v>2</v>
      </c>
      <c r="N68">
        <v>1</v>
      </c>
    </row>
    <row r="69" spans="1:14">
      <c r="A69">
        <v>45</v>
      </c>
      <c r="B69">
        <v>0</v>
      </c>
      <c r="C69">
        <v>1</v>
      </c>
      <c r="D69">
        <v>130</v>
      </c>
      <c r="E69">
        <v>234</v>
      </c>
      <c r="F69">
        <v>0</v>
      </c>
      <c r="G69">
        <v>0</v>
      </c>
      <c r="H69">
        <v>175</v>
      </c>
      <c r="I69">
        <v>0</v>
      </c>
      <c r="J69">
        <v>0.6</v>
      </c>
      <c r="K69">
        <v>1</v>
      </c>
      <c r="L69">
        <v>0</v>
      </c>
      <c r="M69">
        <v>2</v>
      </c>
      <c r="N69">
        <v>1</v>
      </c>
    </row>
    <row r="70" spans="1:14">
      <c r="A70">
        <v>44</v>
      </c>
      <c r="B70">
        <v>1</v>
      </c>
      <c r="C70">
        <v>1</v>
      </c>
      <c r="D70">
        <v>120</v>
      </c>
      <c r="E70">
        <v>220</v>
      </c>
      <c r="F70">
        <v>0</v>
      </c>
      <c r="G70">
        <v>1</v>
      </c>
      <c r="H70">
        <v>170</v>
      </c>
      <c r="I70">
        <v>0</v>
      </c>
      <c r="J70">
        <v>0</v>
      </c>
      <c r="K70">
        <v>2</v>
      </c>
      <c r="L70">
        <v>0</v>
      </c>
      <c r="M70">
        <v>2</v>
      </c>
      <c r="N70">
        <v>1</v>
      </c>
    </row>
    <row r="71" spans="1:14">
      <c r="A71">
        <v>62</v>
      </c>
      <c r="B71">
        <v>0</v>
      </c>
      <c r="C71">
        <v>0</v>
      </c>
      <c r="D71">
        <v>124</v>
      </c>
      <c r="E71">
        <v>209</v>
      </c>
      <c r="F71">
        <v>0</v>
      </c>
      <c r="G71">
        <v>1</v>
      </c>
      <c r="H71">
        <v>163</v>
      </c>
      <c r="I71">
        <v>0</v>
      </c>
      <c r="J71">
        <v>0</v>
      </c>
      <c r="K71">
        <v>2</v>
      </c>
      <c r="L71">
        <v>0</v>
      </c>
      <c r="M71">
        <v>2</v>
      </c>
      <c r="N71">
        <v>1</v>
      </c>
    </row>
    <row r="72" spans="1:14">
      <c r="A72">
        <v>54</v>
      </c>
      <c r="B72">
        <v>1</v>
      </c>
      <c r="C72">
        <v>2</v>
      </c>
      <c r="D72">
        <v>120</v>
      </c>
      <c r="E72">
        <v>258</v>
      </c>
      <c r="F72">
        <v>0</v>
      </c>
      <c r="G72">
        <v>0</v>
      </c>
      <c r="H72">
        <v>147</v>
      </c>
      <c r="I72">
        <v>0</v>
      </c>
      <c r="J72">
        <v>0.4</v>
      </c>
      <c r="K72">
        <v>1</v>
      </c>
      <c r="L72">
        <v>0</v>
      </c>
      <c r="M72">
        <v>3</v>
      </c>
      <c r="N72">
        <v>1</v>
      </c>
    </row>
    <row r="73" spans="1:14">
      <c r="A73">
        <v>51</v>
      </c>
      <c r="B73">
        <v>1</v>
      </c>
      <c r="C73">
        <v>2</v>
      </c>
      <c r="D73">
        <v>94</v>
      </c>
      <c r="E73">
        <v>227</v>
      </c>
      <c r="F73">
        <v>0</v>
      </c>
      <c r="G73">
        <v>1</v>
      </c>
      <c r="H73">
        <v>154</v>
      </c>
      <c r="I73">
        <v>1</v>
      </c>
      <c r="J73">
        <v>0</v>
      </c>
      <c r="K73">
        <v>2</v>
      </c>
      <c r="L73">
        <v>1</v>
      </c>
      <c r="M73">
        <v>3</v>
      </c>
      <c r="N73">
        <v>1</v>
      </c>
    </row>
    <row r="74" spans="1:14">
      <c r="A74">
        <v>29</v>
      </c>
      <c r="B74">
        <v>1</v>
      </c>
      <c r="C74">
        <v>1</v>
      </c>
      <c r="D74">
        <v>130</v>
      </c>
      <c r="E74">
        <v>204</v>
      </c>
      <c r="F74">
        <v>0</v>
      </c>
      <c r="G74">
        <v>0</v>
      </c>
      <c r="H74">
        <v>202</v>
      </c>
      <c r="I74">
        <v>0</v>
      </c>
      <c r="J74">
        <v>0</v>
      </c>
      <c r="K74">
        <v>2</v>
      </c>
      <c r="L74">
        <v>0</v>
      </c>
      <c r="M74">
        <v>2</v>
      </c>
      <c r="N74">
        <v>1</v>
      </c>
    </row>
    <row r="75" spans="1:14">
      <c r="A75">
        <v>51</v>
      </c>
      <c r="B75">
        <v>1</v>
      </c>
      <c r="C75">
        <v>0</v>
      </c>
      <c r="D75">
        <v>140</v>
      </c>
      <c r="E75">
        <v>261</v>
      </c>
      <c r="F75">
        <v>0</v>
      </c>
      <c r="G75">
        <v>0</v>
      </c>
      <c r="H75">
        <v>186</v>
      </c>
      <c r="I75">
        <v>1</v>
      </c>
      <c r="J75">
        <v>0</v>
      </c>
      <c r="K75">
        <v>2</v>
      </c>
      <c r="L75">
        <v>0</v>
      </c>
      <c r="M75">
        <v>2</v>
      </c>
      <c r="N75">
        <v>1</v>
      </c>
    </row>
    <row r="76" spans="1:14">
      <c r="A76">
        <v>43</v>
      </c>
      <c r="B76">
        <v>0</v>
      </c>
      <c r="C76">
        <v>2</v>
      </c>
      <c r="D76">
        <v>122</v>
      </c>
      <c r="E76">
        <v>213</v>
      </c>
      <c r="F76">
        <v>0</v>
      </c>
      <c r="G76">
        <v>1</v>
      </c>
      <c r="H76">
        <v>165</v>
      </c>
      <c r="I76">
        <v>0</v>
      </c>
      <c r="J76">
        <v>0.2</v>
      </c>
      <c r="K76">
        <v>1</v>
      </c>
      <c r="L76">
        <v>0</v>
      </c>
      <c r="M76">
        <v>2</v>
      </c>
      <c r="N76">
        <v>1</v>
      </c>
    </row>
    <row r="77" spans="1:14">
      <c r="A77">
        <v>55</v>
      </c>
      <c r="B77">
        <v>0</v>
      </c>
      <c r="C77">
        <v>1</v>
      </c>
      <c r="D77">
        <v>135</v>
      </c>
      <c r="E77">
        <v>250</v>
      </c>
      <c r="F77">
        <v>0</v>
      </c>
      <c r="G77">
        <v>0</v>
      </c>
      <c r="H77">
        <v>161</v>
      </c>
      <c r="I77">
        <v>0</v>
      </c>
      <c r="J77">
        <v>1.4</v>
      </c>
      <c r="K77">
        <v>1</v>
      </c>
      <c r="L77">
        <v>0</v>
      </c>
      <c r="M77">
        <v>2</v>
      </c>
      <c r="N77">
        <v>1</v>
      </c>
    </row>
    <row r="78" spans="1:14">
      <c r="A78">
        <v>51</v>
      </c>
      <c r="B78">
        <v>1</v>
      </c>
      <c r="C78">
        <v>2</v>
      </c>
      <c r="D78">
        <v>125</v>
      </c>
      <c r="E78">
        <v>245</v>
      </c>
      <c r="F78">
        <v>1</v>
      </c>
      <c r="G78">
        <v>0</v>
      </c>
      <c r="H78">
        <v>166</v>
      </c>
      <c r="I78">
        <v>0</v>
      </c>
      <c r="J78">
        <v>2.4</v>
      </c>
      <c r="K78">
        <v>1</v>
      </c>
      <c r="L78">
        <v>0</v>
      </c>
      <c r="M78">
        <v>2</v>
      </c>
      <c r="N78">
        <v>1</v>
      </c>
    </row>
    <row r="79" spans="1:14">
      <c r="A79">
        <v>59</v>
      </c>
      <c r="B79">
        <v>1</v>
      </c>
      <c r="C79">
        <v>1</v>
      </c>
      <c r="D79">
        <v>140</v>
      </c>
      <c r="E79">
        <v>221</v>
      </c>
      <c r="F79">
        <v>0</v>
      </c>
      <c r="G79">
        <v>1</v>
      </c>
      <c r="H79">
        <v>164</v>
      </c>
      <c r="I79">
        <v>1</v>
      </c>
      <c r="J79">
        <v>0</v>
      </c>
      <c r="K79">
        <v>2</v>
      </c>
      <c r="L79">
        <v>0</v>
      </c>
      <c r="M79">
        <v>2</v>
      </c>
      <c r="N79">
        <v>1</v>
      </c>
    </row>
    <row r="80" spans="1:14">
      <c r="A80">
        <v>52</v>
      </c>
      <c r="B80">
        <v>1</v>
      </c>
      <c r="C80">
        <v>1</v>
      </c>
      <c r="D80">
        <v>128</v>
      </c>
      <c r="E80">
        <v>205</v>
      </c>
      <c r="F80">
        <v>1</v>
      </c>
      <c r="G80">
        <v>1</v>
      </c>
      <c r="H80">
        <v>184</v>
      </c>
      <c r="I80">
        <v>0</v>
      </c>
      <c r="J80">
        <v>0</v>
      </c>
      <c r="K80">
        <v>2</v>
      </c>
      <c r="L80">
        <v>0</v>
      </c>
      <c r="M80">
        <v>2</v>
      </c>
      <c r="N80">
        <v>1</v>
      </c>
    </row>
    <row r="81" spans="1:14">
      <c r="A81">
        <v>58</v>
      </c>
      <c r="B81">
        <v>1</v>
      </c>
      <c r="C81">
        <v>2</v>
      </c>
      <c r="D81">
        <v>105</v>
      </c>
      <c r="E81">
        <v>240</v>
      </c>
      <c r="F81">
        <v>0</v>
      </c>
      <c r="G81">
        <v>0</v>
      </c>
      <c r="H81">
        <v>154</v>
      </c>
      <c r="I81">
        <v>1</v>
      </c>
      <c r="J81">
        <v>0.6</v>
      </c>
      <c r="K81">
        <v>1</v>
      </c>
      <c r="L81">
        <v>0</v>
      </c>
      <c r="M81">
        <v>3</v>
      </c>
      <c r="N81">
        <v>1</v>
      </c>
    </row>
    <row r="82" spans="1:14">
      <c r="A82">
        <v>41</v>
      </c>
      <c r="B82">
        <v>1</v>
      </c>
      <c r="C82">
        <v>2</v>
      </c>
      <c r="D82">
        <v>112</v>
      </c>
      <c r="E82">
        <v>250</v>
      </c>
      <c r="F82">
        <v>0</v>
      </c>
      <c r="G82">
        <v>1</v>
      </c>
      <c r="H82">
        <v>179</v>
      </c>
      <c r="I82">
        <v>0</v>
      </c>
      <c r="J82">
        <v>0</v>
      </c>
      <c r="K82">
        <v>2</v>
      </c>
      <c r="L82">
        <v>0</v>
      </c>
      <c r="M82">
        <v>2</v>
      </c>
      <c r="N82">
        <v>1</v>
      </c>
    </row>
    <row r="83" spans="1:14">
      <c r="A83">
        <v>45</v>
      </c>
      <c r="B83">
        <v>1</v>
      </c>
      <c r="C83">
        <v>1</v>
      </c>
      <c r="D83">
        <v>128</v>
      </c>
      <c r="E83">
        <v>308</v>
      </c>
      <c r="F83">
        <v>0</v>
      </c>
      <c r="G83">
        <v>0</v>
      </c>
      <c r="H83">
        <v>170</v>
      </c>
      <c r="I83">
        <v>0</v>
      </c>
      <c r="J83">
        <v>0</v>
      </c>
      <c r="K83">
        <v>2</v>
      </c>
      <c r="L83">
        <v>0</v>
      </c>
      <c r="M83">
        <v>2</v>
      </c>
      <c r="N83">
        <v>1</v>
      </c>
    </row>
    <row r="84" spans="1:14">
      <c r="A84">
        <v>60</v>
      </c>
      <c r="B84">
        <v>0</v>
      </c>
      <c r="C84">
        <v>2</v>
      </c>
      <c r="D84">
        <v>102</v>
      </c>
      <c r="E84">
        <v>318</v>
      </c>
      <c r="F84">
        <v>0</v>
      </c>
      <c r="G84">
        <v>1</v>
      </c>
      <c r="H84">
        <v>160</v>
      </c>
      <c r="I84">
        <v>0</v>
      </c>
      <c r="J84">
        <v>0</v>
      </c>
      <c r="K84">
        <v>2</v>
      </c>
      <c r="L84">
        <v>1</v>
      </c>
      <c r="M84">
        <v>2</v>
      </c>
      <c r="N84">
        <v>1</v>
      </c>
    </row>
    <row r="85" spans="1:14">
      <c r="A85">
        <v>52</v>
      </c>
      <c r="B85">
        <v>1</v>
      </c>
      <c r="C85">
        <v>3</v>
      </c>
      <c r="D85">
        <v>152</v>
      </c>
      <c r="E85">
        <v>298</v>
      </c>
      <c r="F85">
        <v>1</v>
      </c>
      <c r="G85">
        <v>1</v>
      </c>
      <c r="H85">
        <v>178</v>
      </c>
      <c r="I85">
        <v>0</v>
      </c>
      <c r="J85">
        <v>1.2</v>
      </c>
      <c r="K85">
        <v>1</v>
      </c>
      <c r="L85">
        <v>0</v>
      </c>
      <c r="M85">
        <v>3</v>
      </c>
      <c r="N85">
        <v>1</v>
      </c>
    </row>
    <row r="86" spans="1:14">
      <c r="A86">
        <v>42</v>
      </c>
      <c r="B86">
        <v>0</v>
      </c>
      <c r="C86">
        <v>0</v>
      </c>
      <c r="D86">
        <v>102</v>
      </c>
      <c r="E86">
        <v>265</v>
      </c>
      <c r="F86">
        <v>0</v>
      </c>
      <c r="G86">
        <v>0</v>
      </c>
      <c r="H86">
        <v>122</v>
      </c>
      <c r="I86">
        <v>0</v>
      </c>
      <c r="J86">
        <v>0.6</v>
      </c>
      <c r="K86">
        <v>1</v>
      </c>
      <c r="L86">
        <v>0</v>
      </c>
      <c r="M86">
        <v>2</v>
      </c>
      <c r="N86">
        <v>1</v>
      </c>
    </row>
    <row r="87" spans="1:14">
      <c r="A87">
        <v>67</v>
      </c>
      <c r="B87">
        <v>0</v>
      </c>
      <c r="C87">
        <v>2</v>
      </c>
      <c r="D87">
        <v>115</v>
      </c>
      <c r="E87">
        <v>564</v>
      </c>
      <c r="F87">
        <v>0</v>
      </c>
      <c r="G87">
        <v>0</v>
      </c>
      <c r="H87">
        <v>160</v>
      </c>
      <c r="I87">
        <v>0</v>
      </c>
      <c r="J87">
        <v>1.6</v>
      </c>
      <c r="K87">
        <v>1</v>
      </c>
      <c r="L87">
        <v>0</v>
      </c>
      <c r="M87">
        <v>3</v>
      </c>
      <c r="N87">
        <v>1</v>
      </c>
    </row>
    <row r="88" spans="1:14">
      <c r="A88">
        <v>68</v>
      </c>
      <c r="B88">
        <v>1</v>
      </c>
      <c r="C88">
        <v>2</v>
      </c>
      <c r="D88">
        <v>118</v>
      </c>
      <c r="E88">
        <v>277</v>
      </c>
      <c r="F88">
        <v>0</v>
      </c>
      <c r="G88">
        <v>1</v>
      </c>
      <c r="H88">
        <v>151</v>
      </c>
      <c r="I88">
        <v>0</v>
      </c>
      <c r="J88">
        <v>1</v>
      </c>
      <c r="K88">
        <v>2</v>
      </c>
      <c r="L88">
        <v>1</v>
      </c>
      <c r="M88">
        <v>3</v>
      </c>
      <c r="N88">
        <v>1</v>
      </c>
    </row>
    <row r="89" spans="1:14">
      <c r="A89">
        <v>46</v>
      </c>
      <c r="B89">
        <v>1</v>
      </c>
      <c r="C89">
        <v>1</v>
      </c>
      <c r="D89">
        <v>101</v>
      </c>
      <c r="E89">
        <v>197</v>
      </c>
      <c r="F89">
        <v>1</v>
      </c>
      <c r="G89">
        <v>1</v>
      </c>
      <c r="H89">
        <v>156</v>
      </c>
      <c r="I89">
        <v>0</v>
      </c>
      <c r="J89">
        <v>0</v>
      </c>
      <c r="K89">
        <v>2</v>
      </c>
      <c r="L89">
        <v>0</v>
      </c>
      <c r="M89">
        <v>3</v>
      </c>
      <c r="N89">
        <v>1</v>
      </c>
    </row>
    <row r="90" spans="1:14">
      <c r="A90">
        <v>54</v>
      </c>
      <c r="B90">
        <v>0</v>
      </c>
      <c r="C90">
        <v>2</v>
      </c>
      <c r="D90">
        <v>110</v>
      </c>
      <c r="E90">
        <v>214</v>
      </c>
      <c r="F90">
        <v>0</v>
      </c>
      <c r="G90">
        <v>1</v>
      </c>
      <c r="H90">
        <v>158</v>
      </c>
      <c r="I90">
        <v>0</v>
      </c>
      <c r="J90">
        <v>1.6</v>
      </c>
      <c r="K90">
        <v>1</v>
      </c>
      <c r="L90">
        <v>0</v>
      </c>
      <c r="M90">
        <v>2</v>
      </c>
      <c r="N90">
        <v>1</v>
      </c>
    </row>
    <row r="91" spans="1:14">
      <c r="A91">
        <v>58</v>
      </c>
      <c r="B91">
        <v>0</v>
      </c>
      <c r="C91">
        <v>0</v>
      </c>
      <c r="D91">
        <v>100</v>
      </c>
      <c r="E91">
        <v>248</v>
      </c>
      <c r="F91">
        <v>0</v>
      </c>
      <c r="G91">
        <v>0</v>
      </c>
      <c r="H91">
        <v>122</v>
      </c>
      <c r="I91">
        <v>0</v>
      </c>
      <c r="J91">
        <v>1</v>
      </c>
      <c r="K91">
        <v>1</v>
      </c>
      <c r="L91">
        <v>0</v>
      </c>
      <c r="M91">
        <v>2</v>
      </c>
      <c r="N91">
        <v>1</v>
      </c>
    </row>
    <row r="92" spans="1:14">
      <c r="A92">
        <v>48</v>
      </c>
      <c r="B92">
        <v>1</v>
      </c>
      <c r="C92">
        <v>2</v>
      </c>
      <c r="D92">
        <v>124</v>
      </c>
      <c r="E92">
        <v>255</v>
      </c>
      <c r="F92">
        <v>1</v>
      </c>
      <c r="G92">
        <v>1</v>
      </c>
      <c r="H92">
        <v>175</v>
      </c>
      <c r="I92">
        <v>0</v>
      </c>
      <c r="J92">
        <v>0</v>
      </c>
      <c r="K92">
        <v>2</v>
      </c>
      <c r="L92">
        <v>2</v>
      </c>
      <c r="M92">
        <v>2</v>
      </c>
      <c r="N92">
        <v>1</v>
      </c>
    </row>
    <row r="93" spans="1:14">
      <c r="A93">
        <v>57</v>
      </c>
      <c r="B93">
        <v>1</v>
      </c>
      <c r="C93">
        <v>0</v>
      </c>
      <c r="D93">
        <v>132</v>
      </c>
      <c r="E93">
        <v>207</v>
      </c>
      <c r="F93">
        <v>0</v>
      </c>
      <c r="G93">
        <v>1</v>
      </c>
      <c r="H93">
        <v>168</v>
      </c>
      <c r="I93">
        <v>1</v>
      </c>
      <c r="J93">
        <v>0</v>
      </c>
      <c r="K93">
        <v>2</v>
      </c>
      <c r="L93">
        <v>0</v>
      </c>
      <c r="M93">
        <v>3</v>
      </c>
      <c r="N93">
        <v>1</v>
      </c>
    </row>
    <row r="94" spans="1:14">
      <c r="A94">
        <v>52</v>
      </c>
      <c r="B94">
        <v>1</v>
      </c>
      <c r="C94">
        <v>2</v>
      </c>
      <c r="D94">
        <v>138</v>
      </c>
      <c r="E94">
        <v>223</v>
      </c>
      <c r="F94">
        <v>0</v>
      </c>
      <c r="G94">
        <v>1</v>
      </c>
      <c r="H94">
        <v>169</v>
      </c>
      <c r="I94">
        <v>0</v>
      </c>
      <c r="J94">
        <v>0</v>
      </c>
      <c r="K94">
        <v>2</v>
      </c>
      <c r="L94">
        <v>4</v>
      </c>
      <c r="M94">
        <v>2</v>
      </c>
      <c r="N94">
        <v>1</v>
      </c>
    </row>
    <row r="95" spans="1:14">
      <c r="A95">
        <v>54</v>
      </c>
      <c r="B95">
        <v>0</v>
      </c>
      <c r="C95">
        <v>1</v>
      </c>
      <c r="D95">
        <v>132</v>
      </c>
      <c r="E95">
        <v>288</v>
      </c>
      <c r="F95">
        <v>1</v>
      </c>
      <c r="G95">
        <v>0</v>
      </c>
      <c r="H95">
        <v>159</v>
      </c>
      <c r="I95">
        <v>1</v>
      </c>
      <c r="J95">
        <v>0</v>
      </c>
      <c r="K95">
        <v>2</v>
      </c>
      <c r="L95">
        <v>1</v>
      </c>
      <c r="M95">
        <v>2</v>
      </c>
      <c r="N95">
        <v>1</v>
      </c>
    </row>
    <row r="96" spans="1:14">
      <c r="A96">
        <v>45</v>
      </c>
      <c r="B96">
        <v>0</v>
      </c>
      <c r="C96">
        <v>1</v>
      </c>
      <c r="D96">
        <v>112</v>
      </c>
      <c r="E96">
        <v>160</v>
      </c>
      <c r="F96">
        <v>0</v>
      </c>
      <c r="G96">
        <v>1</v>
      </c>
      <c r="H96">
        <v>138</v>
      </c>
      <c r="I96">
        <v>0</v>
      </c>
      <c r="J96">
        <v>0</v>
      </c>
      <c r="K96">
        <v>1</v>
      </c>
      <c r="L96">
        <v>0</v>
      </c>
      <c r="M96">
        <v>2</v>
      </c>
      <c r="N96">
        <v>1</v>
      </c>
    </row>
    <row r="97" spans="1:14">
      <c r="A97">
        <v>53</v>
      </c>
      <c r="B97">
        <v>1</v>
      </c>
      <c r="C97">
        <v>0</v>
      </c>
      <c r="D97">
        <v>142</v>
      </c>
      <c r="E97">
        <v>226</v>
      </c>
      <c r="F97">
        <v>0</v>
      </c>
      <c r="G97">
        <v>0</v>
      </c>
      <c r="H97">
        <v>111</v>
      </c>
      <c r="I97">
        <v>1</v>
      </c>
      <c r="J97">
        <v>0</v>
      </c>
      <c r="K97">
        <v>2</v>
      </c>
      <c r="L97">
        <v>0</v>
      </c>
      <c r="M97">
        <v>3</v>
      </c>
      <c r="N97">
        <v>1</v>
      </c>
    </row>
    <row r="98" spans="1:14">
      <c r="A98">
        <v>62</v>
      </c>
      <c r="B98">
        <v>0</v>
      </c>
      <c r="C98">
        <v>0</v>
      </c>
      <c r="D98">
        <v>140</v>
      </c>
      <c r="E98">
        <v>394</v>
      </c>
      <c r="F98">
        <v>0</v>
      </c>
      <c r="G98">
        <v>0</v>
      </c>
      <c r="H98">
        <v>157</v>
      </c>
      <c r="I98">
        <v>0</v>
      </c>
      <c r="J98">
        <v>1.2</v>
      </c>
      <c r="K98">
        <v>1</v>
      </c>
      <c r="L98">
        <v>0</v>
      </c>
      <c r="M98">
        <v>2</v>
      </c>
      <c r="N98">
        <v>1</v>
      </c>
    </row>
    <row r="99" spans="1:14">
      <c r="A99">
        <v>52</v>
      </c>
      <c r="B99">
        <v>1</v>
      </c>
      <c r="C99">
        <v>0</v>
      </c>
      <c r="D99">
        <v>108</v>
      </c>
      <c r="E99">
        <v>233</v>
      </c>
      <c r="F99">
        <v>1</v>
      </c>
      <c r="G99">
        <v>1</v>
      </c>
      <c r="H99">
        <v>147</v>
      </c>
      <c r="I99">
        <v>0</v>
      </c>
      <c r="J99">
        <v>0.1</v>
      </c>
      <c r="K99">
        <v>2</v>
      </c>
      <c r="L99">
        <v>3</v>
      </c>
      <c r="M99">
        <v>3</v>
      </c>
      <c r="N99">
        <v>1</v>
      </c>
    </row>
    <row r="100" spans="1:14">
      <c r="A100">
        <v>43</v>
      </c>
      <c r="B100">
        <v>1</v>
      </c>
      <c r="C100">
        <v>2</v>
      </c>
      <c r="D100">
        <v>130</v>
      </c>
      <c r="E100">
        <v>315</v>
      </c>
      <c r="F100">
        <v>0</v>
      </c>
      <c r="G100">
        <v>1</v>
      </c>
      <c r="H100">
        <v>162</v>
      </c>
      <c r="I100">
        <v>0</v>
      </c>
      <c r="J100">
        <v>1.9</v>
      </c>
      <c r="K100">
        <v>2</v>
      </c>
      <c r="L100">
        <v>1</v>
      </c>
      <c r="M100">
        <v>2</v>
      </c>
      <c r="N100">
        <v>1</v>
      </c>
    </row>
    <row r="101" spans="1:14">
      <c r="A101">
        <v>53</v>
      </c>
      <c r="B101">
        <v>1</v>
      </c>
      <c r="C101">
        <v>2</v>
      </c>
      <c r="D101">
        <v>130</v>
      </c>
      <c r="E101">
        <v>246</v>
      </c>
      <c r="F101">
        <v>1</v>
      </c>
      <c r="G101">
        <v>0</v>
      </c>
      <c r="H101">
        <v>173</v>
      </c>
      <c r="I101">
        <v>0</v>
      </c>
      <c r="J101">
        <v>0</v>
      </c>
      <c r="K101">
        <v>2</v>
      </c>
      <c r="L101">
        <v>3</v>
      </c>
      <c r="M101">
        <v>2</v>
      </c>
      <c r="N101">
        <v>1</v>
      </c>
    </row>
    <row r="102" spans="1:14">
      <c r="A102">
        <v>42</v>
      </c>
      <c r="B102">
        <v>1</v>
      </c>
      <c r="C102">
        <v>3</v>
      </c>
      <c r="D102">
        <v>148</v>
      </c>
      <c r="E102">
        <v>244</v>
      </c>
      <c r="F102">
        <v>0</v>
      </c>
      <c r="G102">
        <v>0</v>
      </c>
      <c r="H102">
        <v>178</v>
      </c>
      <c r="I102">
        <v>0</v>
      </c>
      <c r="J102">
        <v>0.8</v>
      </c>
      <c r="K102">
        <v>2</v>
      </c>
      <c r="L102">
        <v>2</v>
      </c>
      <c r="M102">
        <v>2</v>
      </c>
      <c r="N102">
        <v>1</v>
      </c>
    </row>
    <row r="103" spans="1:14">
      <c r="A103">
        <v>59</v>
      </c>
      <c r="B103">
        <v>1</v>
      </c>
      <c r="C103">
        <v>3</v>
      </c>
      <c r="D103">
        <v>178</v>
      </c>
      <c r="E103">
        <v>270</v>
      </c>
      <c r="F103">
        <v>0</v>
      </c>
      <c r="G103">
        <v>0</v>
      </c>
      <c r="H103">
        <v>145</v>
      </c>
      <c r="I103">
        <v>0</v>
      </c>
      <c r="J103">
        <v>4.2</v>
      </c>
      <c r="K103">
        <v>0</v>
      </c>
      <c r="L103">
        <v>0</v>
      </c>
      <c r="M103">
        <v>3</v>
      </c>
      <c r="N103">
        <v>1</v>
      </c>
    </row>
    <row r="104" spans="1:14">
      <c r="A104">
        <v>63</v>
      </c>
      <c r="B104">
        <v>0</v>
      </c>
      <c r="C104">
        <v>1</v>
      </c>
      <c r="D104">
        <v>140</v>
      </c>
      <c r="E104">
        <v>195</v>
      </c>
      <c r="F104">
        <v>0</v>
      </c>
      <c r="G104">
        <v>1</v>
      </c>
      <c r="H104">
        <v>179</v>
      </c>
      <c r="I104">
        <v>0</v>
      </c>
      <c r="J104">
        <v>0</v>
      </c>
      <c r="K104">
        <v>2</v>
      </c>
      <c r="L104">
        <v>2</v>
      </c>
      <c r="M104">
        <v>2</v>
      </c>
      <c r="N104">
        <v>1</v>
      </c>
    </row>
    <row r="105" spans="1:14">
      <c r="A105">
        <v>42</v>
      </c>
      <c r="B105">
        <v>1</v>
      </c>
      <c r="C105">
        <v>2</v>
      </c>
      <c r="D105">
        <v>120</v>
      </c>
      <c r="E105">
        <v>240</v>
      </c>
      <c r="F105">
        <v>1</v>
      </c>
      <c r="G105">
        <v>1</v>
      </c>
      <c r="H105">
        <v>194</v>
      </c>
      <c r="I105">
        <v>0</v>
      </c>
      <c r="J105">
        <v>0.8</v>
      </c>
      <c r="K105">
        <v>0</v>
      </c>
      <c r="L105">
        <v>0</v>
      </c>
      <c r="M105">
        <v>3</v>
      </c>
      <c r="N105">
        <v>1</v>
      </c>
    </row>
    <row r="106" spans="1:14">
      <c r="A106">
        <v>50</v>
      </c>
      <c r="B106">
        <v>1</v>
      </c>
      <c r="C106">
        <v>2</v>
      </c>
      <c r="D106">
        <v>129</v>
      </c>
      <c r="E106">
        <v>196</v>
      </c>
      <c r="F106">
        <v>0</v>
      </c>
      <c r="G106">
        <v>1</v>
      </c>
      <c r="H106">
        <v>163</v>
      </c>
      <c r="I106">
        <v>0</v>
      </c>
      <c r="J106">
        <v>0</v>
      </c>
      <c r="K106">
        <v>2</v>
      </c>
      <c r="L106">
        <v>0</v>
      </c>
      <c r="M106">
        <v>2</v>
      </c>
      <c r="N106">
        <v>1</v>
      </c>
    </row>
    <row r="107" spans="1:14">
      <c r="A107">
        <v>68</v>
      </c>
      <c r="B107">
        <v>0</v>
      </c>
      <c r="C107">
        <v>2</v>
      </c>
      <c r="D107">
        <v>120</v>
      </c>
      <c r="E107">
        <v>211</v>
      </c>
      <c r="F107">
        <v>0</v>
      </c>
      <c r="G107">
        <v>0</v>
      </c>
      <c r="H107">
        <v>115</v>
      </c>
      <c r="I107">
        <v>0</v>
      </c>
      <c r="J107">
        <v>1.5</v>
      </c>
      <c r="K107">
        <v>1</v>
      </c>
      <c r="L107">
        <v>0</v>
      </c>
      <c r="M107">
        <v>2</v>
      </c>
      <c r="N107">
        <v>1</v>
      </c>
    </row>
    <row r="108" spans="1:14">
      <c r="A108">
        <v>69</v>
      </c>
      <c r="B108">
        <v>1</v>
      </c>
      <c r="C108">
        <v>3</v>
      </c>
      <c r="D108">
        <v>160</v>
      </c>
      <c r="E108">
        <v>234</v>
      </c>
      <c r="F108">
        <v>1</v>
      </c>
      <c r="G108">
        <v>0</v>
      </c>
      <c r="H108">
        <v>131</v>
      </c>
      <c r="I108">
        <v>0</v>
      </c>
      <c r="J108">
        <v>0.1</v>
      </c>
      <c r="K108">
        <v>1</v>
      </c>
      <c r="L108">
        <v>1</v>
      </c>
      <c r="M108">
        <v>2</v>
      </c>
      <c r="N108">
        <v>1</v>
      </c>
    </row>
    <row r="109" spans="1:14">
      <c r="A109">
        <v>45</v>
      </c>
      <c r="B109">
        <v>0</v>
      </c>
      <c r="C109">
        <v>0</v>
      </c>
      <c r="D109">
        <v>138</v>
      </c>
      <c r="E109">
        <v>236</v>
      </c>
      <c r="F109">
        <v>0</v>
      </c>
      <c r="G109">
        <v>0</v>
      </c>
      <c r="H109">
        <v>152</v>
      </c>
      <c r="I109">
        <v>1</v>
      </c>
      <c r="J109">
        <v>0.2</v>
      </c>
      <c r="K109">
        <v>1</v>
      </c>
      <c r="L109">
        <v>0</v>
      </c>
      <c r="M109">
        <v>2</v>
      </c>
      <c r="N109">
        <v>1</v>
      </c>
    </row>
    <row r="110" spans="1:14">
      <c r="A110">
        <v>50</v>
      </c>
      <c r="B110">
        <v>0</v>
      </c>
      <c r="C110">
        <v>1</v>
      </c>
      <c r="D110">
        <v>120</v>
      </c>
      <c r="E110">
        <v>244</v>
      </c>
      <c r="F110">
        <v>0</v>
      </c>
      <c r="G110">
        <v>1</v>
      </c>
      <c r="H110">
        <v>162</v>
      </c>
      <c r="I110">
        <v>0</v>
      </c>
      <c r="J110">
        <v>1.1000000000000001</v>
      </c>
      <c r="K110">
        <v>2</v>
      </c>
      <c r="L110">
        <v>0</v>
      </c>
      <c r="M110">
        <v>2</v>
      </c>
      <c r="N110">
        <v>1</v>
      </c>
    </row>
    <row r="111" spans="1:14">
      <c r="A111">
        <v>50</v>
      </c>
      <c r="B111">
        <v>0</v>
      </c>
      <c r="C111">
        <v>0</v>
      </c>
      <c r="D111">
        <v>110</v>
      </c>
      <c r="E111">
        <v>254</v>
      </c>
      <c r="F111">
        <v>0</v>
      </c>
      <c r="G111">
        <v>0</v>
      </c>
      <c r="H111">
        <v>159</v>
      </c>
      <c r="I111">
        <v>0</v>
      </c>
      <c r="J111">
        <v>0</v>
      </c>
      <c r="K111">
        <v>2</v>
      </c>
      <c r="L111">
        <v>0</v>
      </c>
      <c r="M111">
        <v>2</v>
      </c>
      <c r="N111">
        <v>1</v>
      </c>
    </row>
    <row r="112" spans="1:14">
      <c r="A112">
        <v>64</v>
      </c>
      <c r="B112">
        <v>0</v>
      </c>
      <c r="C112">
        <v>0</v>
      </c>
      <c r="D112">
        <v>180</v>
      </c>
      <c r="E112">
        <v>325</v>
      </c>
      <c r="F112">
        <v>0</v>
      </c>
      <c r="G112">
        <v>1</v>
      </c>
      <c r="H112">
        <v>154</v>
      </c>
      <c r="I112">
        <v>1</v>
      </c>
      <c r="J112">
        <v>0</v>
      </c>
      <c r="K112">
        <v>2</v>
      </c>
      <c r="L112">
        <v>0</v>
      </c>
      <c r="M112">
        <v>2</v>
      </c>
      <c r="N112">
        <v>1</v>
      </c>
    </row>
    <row r="113" spans="1:14">
      <c r="A113">
        <v>57</v>
      </c>
      <c r="B113">
        <v>1</v>
      </c>
      <c r="C113">
        <v>2</v>
      </c>
      <c r="D113">
        <v>150</v>
      </c>
      <c r="E113">
        <v>126</v>
      </c>
      <c r="F113">
        <v>1</v>
      </c>
      <c r="G113">
        <v>1</v>
      </c>
      <c r="H113">
        <v>173</v>
      </c>
      <c r="I113">
        <v>0</v>
      </c>
      <c r="J113">
        <v>0.2</v>
      </c>
      <c r="K113">
        <v>2</v>
      </c>
      <c r="L113">
        <v>1</v>
      </c>
      <c r="M113">
        <v>3</v>
      </c>
      <c r="N113">
        <v>1</v>
      </c>
    </row>
    <row r="114" spans="1:14">
      <c r="A114">
        <v>64</v>
      </c>
      <c r="B114">
        <v>0</v>
      </c>
      <c r="C114">
        <v>2</v>
      </c>
      <c r="D114">
        <v>140</v>
      </c>
      <c r="E114">
        <v>313</v>
      </c>
      <c r="F114">
        <v>0</v>
      </c>
      <c r="G114">
        <v>1</v>
      </c>
      <c r="H114">
        <v>133</v>
      </c>
      <c r="I114">
        <v>0</v>
      </c>
      <c r="J114">
        <v>0.2</v>
      </c>
      <c r="K114">
        <v>2</v>
      </c>
      <c r="L114">
        <v>0</v>
      </c>
      <c r="M114">
        <v>3</v>
      </c>
      <c r="N114">
        <v>1</v>
      </c>
    </row>
    <row r="115" spans="1:14">
      <c r="A115">
        <v>43</v>
      </c>
      <c r="B115">
        <v>1</v>
      </c>
      <c r="C115">
        <v>0</v>
      </c>
      <c r="D115">
        <v>110</v>
      </c>
      <c r="E115">
        <v>211</v>
      </c>
      <c r="F115">
        <v>0</v>
      </c>
      <c r="G115">
        <v>1</v>
      </c>
      <c r="H115">
        <v>161</v>
      </c>
      <c r="I115">
        <v>0</v>
      </c>
      <c r="J115">
        <v>0</v>
      </c>
      <c r="K115">
        <v>2</v>
      </c>
      <c r="L115">
        <v>0</v>
      </c>
      <c r="M115">
        <v>3</v>
      </c>
      <c r="N115">
        <v>1</v>
      </c>
    </row>
    <row r="116" spans="1:14">
      <c r="A116">
        <v>55</v>
      </c>
      <c r="B116">
        <v>1</v>
      </c>
      <c r="C116">
        <v>1</v>
      </c>
      <c r="D116">
        <v>130</v>
      </c>
      <c r="E116">
        <v>262</v>
      </c>
      <c r="F116">
        <v>0</v>
      </c>
      <c r="G116">
        <v>1</v>
      </c>
      <c r="H116">
        <v>155</v>
      </c>
      <c r="I116">
        <v>0</v>
      </c>
      <c r="J116">
        <v>0</v>
      </c>
      <c r="K116">
        <v>2</v>
      </c>
      <c r="L116">
        <v>0</v>
      </c>
      <c r="M116">
        <v>2</v>
      </c>
      <c r="N116">
        <v>1</v>
      </c>
    </row>
    <row r="117" spans="1:14">
      <c r="A117">
        <v>37</v>
      </c>
      <c r="B117">
        <v>0</v>
      </c>
      <c r="C117">
        <v>2</v>
      </c>
      <c r="D117">
        <v>120</v>
      </c>
      <c r="E117">
        <v>215</v>
      </c>
      <c r="F117">
        <v>0</v>
      </c>
      <c r="G117">
        <v>1</v>
      </c>
      <c r="H117">
        <v>170</v>
      </c>
      <c r="I117">
        <v>0</v>
      </c>
      <c r="J117">
        <v>0</v>
      </c>
      <c r="K117">
        <v>2</v>
      </c>
      <c r="L117">
        <v>0</v>
      </c>
      <c r="M117">
        <v>2</v>
      </c>
      <c r="N117">
        <v>1</v>
      </c>
    </row>
    <row r="118" spans="1:14">
      <c r="A118">
        <v>41</v>
      </c>
      <c r="B118">
        <v>1</v>
      </c>
      <c r="C118">
        <v>2</v>
      </c>
      <c r="D118">
        <v>130</v>
      </c>
      <c r="E118">
        <v>214</v>
      </c>
      <c r="F118">
        <v>0</v>
      </c>
      <c r="G118">
        <v>0</v>
      </c>
      <c r="H118">
        <v>168</v>
      </c>
      <c r="I118">
        <v>0</v>
      </c>
      <c r="J118">
        <v>2</v>
      </c>
      <c r="K118">
        <v>1</v>
      </c>
      <c r="L118">
        <v>0</v>
      </c>
      <c r="M118">
        <v>2</v>
      </c>
      <c r="N118">
        <v>1</v>
      </c>
    </row>
    <row r="119" spans="1:14">
      <c r="A119">
        <v>56</v>
      </c>
      <c r="B119">
        <v>1</v>
      </c>
      <c r="C119">
        <v>3</v>
      </c>
      <c r="D119">
        <v>120</v>
      </c>
      <c r="E119">
        <v>193</v>
      </c>
      <c r="F119">
        <v>0</v>
      </c>
      <c r="G119">
        <v>0</v>
      </c>
      <c r="H119">
        <v>162</v>
      </c>
      <c r="I119">
        <v>0</v>
      </c>
      <c r="J119">
        <v>1.9</v>
      </c>
      <c r="K119">
        <v>1</v>
      </c>
      <c r="L119">
        <v>0</v>
      </c>
      <c r="M119">
        <v>3</v>
      </c>
      <c r="N119">
        <v>1</v>
      </c>
    </row>
    <row r="120" spans="1:14">
      <c r="A120">
        <v>46</v>
      </c>
      <c r="B120">
        <v>0</v>
      </c>
      <c r="C120">
        <v>1</v>
      </c>
      <c r="D120">
        <v>105</v>
      </c>
      <c r="E120">
        <v>204</v>
      </c>
      <c r="F120">
        <v>0</v>
      </c>
      <c r="G120">
        <v>1</v>
      </c>
      <c r="H120">
        <v>172</v>
      </c>
      <c r="I120">
        <v>0</v>
      </c>
      <c r="J120">
        <v>0</v>
      </c>
      <c r="K120">
        <v>2</v>
      </c>
      <c r="L120">
        <v>0</v>
      </c>
      <c r="M120">
        <v>2</v>
      </c>
      <c r="N120">
        <v>1</v>
      </c>
    </row>
    <row r="121" spans="1:14">
      <c r="A121">
        <v>46</v>
      </c>
      <c r="B121">
        <v>0</v>
      </c>
      <c r="C121">
        <v>0</v>
      </c>
      <c r="D121">
        <v>138</v>
      </c>
      <c r="E121">
        <v>243</v>
      </c>
      <c r="F121">
        <v>0</v>
      </c>
      <c r="G121">
        <v>0</v>
      </c>
      <c r="H121">
        <v>152</v>
      </c>
      <c r="I121">
        <v>1</v>
      </c>
      <c r="J121">
        <v>0</v>
      </c>
      <c r="K121">
        <v>1</v>
      </c>
      <c r="L121">
        <v>0</v>
      </c>
      <c r="M121">
        <v>2</v>
      </c>
      <c r="N121">
        <v>1</v>
      </c>
    </row>
    <row r="122" spans="1:14">
      <c r="A122">
        <v>64</v>
      </c>
      <c r="B122">
        <v>0</v>
      </c>
      <c r="C122">
        <v>0</v>
      </c>
      <c r="D122">
        <v>130</v>
      </c>
      <c r="E122">
        <v>303</v>
      </c>
      <c r="F122">
        <v>0</v>
      </c>
      <c r="G122">
        <v>1</v>
      </c>
      <c r="H122">
        <v>122</v>
      </c>
      <c r="I122">
        <v>0</v>
      </c>
      <c r="J122">
        <v>2</v>
      </c>
      <c r="K122">
        <v>1</v>
      </c>
      <c r="L122">
        <v>2</v>
      </c>
      <c r="M122">
        <v>2</v>
      </c>
      <c r="N122">
        <v>1</v>
      </c>
    </row>
    <row r="123" spans="1:14">
      <c r="A123">
        <v>59</v>
      </c>
      <c r="B123">
        <v>1</v>
      </c>
      <c r="C123">
        <v>0</v>
      </c>
      <c r="D123">
        <v>138</v>
      </c>
      <c r="E123">
        <v>271</v>
      </c>
      <c r="F123">
        <v>0</v>
      </c>
      <c r="G123">
        <v>0</v>
      </c>
      <c r="H123">
        <v>182</v>
      </c>
      <c r="I123">
        <v>0</v>
      </c>
      <c r="J123">
        <v>0</v>
      </c>
      <c r="K123">
        <v>2</v>
      </c>
      <c r="L123">
        <v>0</v>
      </c>
      <c r="M123">
        <v>2</v>
      </c>
      <c r="N123">
        <v>1</v>
      </c>
    </row>
    <row r="124" spans="1:14">
      <c r="A124">
        <v>41</v>
      </c>
      <c r="B124">
        <v>0</v>
      </c>
      <c r="C124">
        <v>2</v>
      </c>
      <c r="D124">
        <v>112</v>
      </c>
      <c r="E124">
        <v>268</v>
      </c>
      <c r="F124">
        <v>0</v>
      </c>
      <c r="G124">
        <v>0</v>
      </c>
      <c r="H124">
        <v>172</v>
      </c>
      <c r="I124">
        <v>1</v>
      </c>
      <c r="J124">
        <v>0</v>
      </c>
      <c r="K124">
        <v>2</v>
      </c>
      <c r="L124">
        <v>0</v>
      </c>
      <c r="M124">
        <v>2</v>
      </c>
      <c r="N124">
        <v>1</v>
      </c>
    </row>
    <row r="125" spans="1:14">
      <c r="A125">
        <v>54</v>
      </c>
      <c r="B125">
        <v>0</v>
      </c>
      <c r="C125">
        <v>2</v>
      </c>
      <c r="D125">
        <v>108</v>
      </c>
      <c r="E125">
        <v>267</v>
      </c>
      <c r="F125">
        <v>0</v>
      </c>
      <c r="G125">
        <v>0</v>
      </c>
      <c r="H125">
        <v>167</v>
      </c>
      <c r="I125">
        <v>0</v>
      </c>
      <c r="J125">
        <v>0</v>
      </c>
      <c r="K125">
        <v>2</v>
      </c>
      <c r="L125">
        <v>0</v>
      </c>
      <c r="M125">
        <v>2</v>
      </c>
      <c r="N125">
        <v>1</v>
      </c>
    </row>
    <row r="126" spans="1:14">
      <c r="A126">
        <v>39</v>
      </c>
      <c r="B126">
        <v>0</v>
      </c>
      <c r="C126">
        <v>2</v>
      </c>
      <c r="D126">
        <v>94</v>
      </c>
      <c r="E126">
        <v>199</v>
      </c>
      <c r="F126">
        <v>0</v>
      </c>
      <c r="G126">
        <v>1</v>
      </c>
      <c r="H126">
        <v>179</v>
      </c>
      <c r="I126">
        <v>0</v>
      </c>
      <c r="J126">
        <v>0</v>
      </c>
      <c r="K126">
        <v>2</v>
      </c>
      <c r="L126">
        <v>0</v>
      </c>
      <c r="M126">
        <v>2</v>
      </c>
      <c r="N126">
        <v>1</v>
      </c>
    </row>
    <row r="127" spans="1:14">
      <c r="A127">
        <v>34</v>
      </c>
      <c r="B127">
        <v>0</v>
      </c>
      <c r="C127">
        <v>1</v>
      </c>
      <c r="D127">
        <v>118</v>
      </c>
      <c r="E127">
        <v>210</v>
      </c>
      <c r="F127">
        <v>0</v>
      </c>
      <c r="G127">
        <v>1</v>
      </c>
      <c r="H127">
        <v>192</v>
      </c>
      <c r="I127">
        <v>0</v>
      </c>
      <c r="J127">
        <v>0.7</v>
      </c>
      <c r="K127">
        <v>2</v>
      </c>
      <c r="L127">
        <v>0</v>
      </c>
      <c r="M127">
        <v>2</v>
      </c>
      <c r="N127">
        <v>1</v>
      </c>
    </row>
    <row r="128" spans="1:14">
      <c r="A128">
        <v>47</v>
      </c>
      <c r="B128">
        <v>1</v>
      </c>
      <c r="C128">
        <v>0</v>
      </c>
      <c r="D128">
        <v>112</v>
      </c>
      <c r="E128">
        <v>204</v>
      </c>
      <c r="F128">
        <v>0</v>
      </c>
      <c r="G128">
        <v>1</v>
      </c>
      <c r="H128">
        <v>143</v>
      </c>
      <c r="I128">
        <v>0</v>
      </c>
      <c r="J128">
        <v>0.1</v>
      </c>
      <c r="K128">
        <v>2</v>
      </c>
      <c r="L128">
        <v>0</v>
      </c>
      <c r="M128">
        <v>2</v>
      </c>
      <c r="N128">
        <v>1</v>
      </c>
    </row>
    <row r="129" spans="1:14">
      <c r="A129">
        <v>67</v>
      </c>
      <c r="B129">
        <v>0</v>
      </c>
      <c r="C129">
        <v>2</v>
      </c>
      <c r="D129">
        <v>152</v>
      </c>
      <c r="E129">
        <v>277</v>
      </c>
      <c r="F129">
        <v>0</v>
      </c>
      <c r="G129">
        <v>1</v>
      </c>
      <c r="H129">
        <v>172</v>
      </c>
      <c r="I129">
        <v>0</v>
      </c>
      <c r="J129">
        <v>0</v>
      </c>
      <c r="K129">
        <v>2</v>
      </c>
      <c r="L129">
        <v>1</v>
      </c>
      <c r="M129">
        <v>2</v>
      </c>
      <c r="N129">
        <v>1</v>
      </c>
    </row>
    <row r="130" spans="1:14">
      <c r="A130">
        <v>52</v>
      </c>
      <c r="B130">
        <v>0</v>
      </c>
      <c r="C130">
        <v>2</v>
      </c>
      <c r="D130">
        <v>136</v>
      </c>
      <c r="E130">
        <v>196</v>
      </c>
      <c r="F130">
        <v>0</v>
      </c>
      <c r="G130">
        <v>0</v>
      </c>
      <c r="H130">
        <v>169</v>
      </c>
      <c r="I130">
        <v>0</v>
      </c>
      <c r="J130">
        <v>0.1</v>
      </c>
      <c r="K130">
        <v>1</v>
      </c>
      <c r="L130">
        <v>0</v>
      </c>
      <c r="M130">
        <v>2</v>
      </c>
      <c r="N130">
        <v>1</v>
      </c>
    </row>
    <row r="131" spans="1:14">
      <c r="A131">
        <v>74</v>
      </c>
      <c r="B131">
        <v>0</v>
      </c>
      <c r="C131">
        <v>1</v>
      </c>
      <c r="D131">
        <v>120</v>
      </c>
      <c r="E131">
        <v>269</v>
      </c>
      <c r="F131">
        <v>0</v>
      </c>
      <c r="G131">
        <v>0</v>
      </c>
      <c r="H131">
        <v>121</v>
      </c>
      <c r="I131">
        <v>1</v>
      </c>
      <c r="J131">
        <v>0.2</v>
      </c>
      <c r="K131">
        <v>2</v>
      </c>
      <c r="L131">
        <v>1</v>
      </c>
      <c r="M131">
        <v>2</v>
      </c>
      <c r="N131">
        <v>1</v>
      </c>
    </row>
    <row r="132" spans="1:14">
      <c r="A132">
        <v>54</v>
      </c>
      <c r="B132">
        <v>0</v>
      </c>
      <c r="C132">
        <v>2</v>
      </c>
      <c r="D132">
        <v>160</v>
      </c>
      <c r="E132">
        <v>201</v>
      </c>
      <c r="F132">
        <v>0</v>
      </c>
      <c r="G132">
        <v>1</v>
      </c>
      <c r="H132">
        <v>163</v>
      </c>
      <c r="I132">
        <v>0</v>
      </c>
      <c r="J132">
        <v>0</v>
      </c>
      <c r="K132">
        <v>2</v>
      </c>
      <c r="L132">
        <v>1</v>
      </c>
      <c r="M132">
        <v>2</v>
      </c>
      <c r="N132">
        <v>1</v>
      </c>
    </row>
    <row r="133" spans="1:14">
      <c r="A133">
        <v>49</v>
      </c>
      <c r="B133">
        <v>0</v>
      </c>
      <c r="C133">
        <v>1</v>
      </c>
      <c r="D133">
        <v>134</v>
      </c>
      <c r="E133">
        <v>271</v>
      </c>
      <c r="F133">
        <v>0</v>
      </c>
      <c r="G133">
        <v>1</v>
      </c>
      <c r="H133">
        <v>162</v>
      </c>
      <c r="I133">
        <v>0</v>
      </c>
      <c r="J133">
        <v>0</v>
      </c>
      <c r="K133">
        <v>1</v>
      </c>
      <c r="L133">
        <v>0</v>
      </c>
      <c r="M133">
        <v>2</v>
      </c>
      <c r="N133">
        <v>1</v>
      </c>
    </row>
    <row r="134" spans="1:14">
      <c r="A134">
        <v>42</v>
      </c>
      <c r="B134">
        <v>1</v>
      </c>
      <c r="C134">
        <v>1</v>
      </c>
      <c r="D134">
        <v>120</v>
      </c>
      <c r="E134">
        <v>295</v>
      </c>
      <c r="F134">
        <v>0</v>
      </c>
      <c r="G134">
        <v>1</v>
      </c>
      <c r="H134">
        <v>162</v>
      </c>
      <c r="I134">
        <v>0</v>
      </c>
      <c r="J134">
        <v>0</v>
      </c>
      <c r="K134">
        <v>2</v>
      </c>
      <c r="L134">
        <v>0</v>
      </c>
      <c r="M134">
        <v>2</v>
      </c>
      <c r="N134">
        <v>1</v>
      </c>
    </row>
    <row r="135" spans="1:14">
      <c r="A135">
        <v>41</v>
      </c>
      <c r="B135">
        <v>1</v>
      </c>
      <c r="C135">
        <v>1</v>
      </c>
      <c r="D135">
        <v>110</v>
      </c>
      <c r="E135">
        <v>235</v>
      </c>
      <c r="F135">
        <v>0</v>
      </c>
      <c r="G135">
        <v>1</v>
      </c>
      <c r="H135">
        <v>153</v>
      </c>
      <c r="I135">
        <v>0</v>
      </c>
      <c r="J135">
        <v>0</v>
      </c>
      <c r="K135">
        <v>2</v>
      </c>
      <c r="L135">
        <v>0</v>
      </c>
      <c r="M135">
        <v>2</v>
      </c>
      <c r="N135">
        <v>1</v>
      </c>
    </row>
    <row r="136" spans="1:14">
      <c r="A136">
        <v>41</v>
      </c>
      <c r="B136">
        <v>0</v>
      </c>
      <c r="C136">
        <v>1</v>
      </c>
      <c r="D136">
        <v>126</v>
      </c>
      <c r="E136">
        <v>306</v>
      </c>
      <c r="F136">
        <v>0</v>
      </c>
      <c r="G136">
        <v>1</v>
      </c>
      <c r="H136">
        <v>163</v>
      </c>
      <c r="I136">
        <v>0</v>
      </c>
      <c r="J136">
        <v>0</v>
      </c>
      <c r="K136">
        <v>2</v>
      </c>
      <c r="L136">
        <v>0</v>
      </c>
      <c r="M136">
        <v>2</v>
      </c>
      <c r="N136">
        <v>1</v>
      </c>
    </row>
    <row r="137" spans="1:14">
      <c r="A137">
        <v>49</v>
      </c>
      <c r="B137">
        <v>0</v>
      </c>
      <c r="C137">
        <v>0</v>
      </c>
      <c r="D137">
        <v>130</v>
      </c>
      <c r="E137">
        <v>269</v>
      </c>
      <c r="F137">
        <v>0</v>
      </c>
      <c r="G137">
        <v>1</v>
      </c>
      <c r="H137">
        <v>163</v>
      </c>
      <c r="I137">
        <v>0</v>
      </c>
      <c r="J137">
        <v>0</v>
      </c>
      <c r="K137">
        <v>2</v>
      </c>
      <c r="L137">
        <v>0</v>
      </c>
      <c r="M137">
        <v>2</v>
      </c>
      <c r="N137">
        <v>1</v>
      </c>
    </row>
    <row r="138" spans="1:14">
      <c r="A138">
        <v>60</v>
      </c>
      <c r="B138">
        <v>0</v>
      </c>
      <c r="C138">
        <v>2</v>
      </c>
      <c r="D138">
        <v>120</v>
      </c>
      <c r="E138">
        <v>178</v>
      </c>
      <c r="F138">
        <v>1</v>
      </c>
      <c r="G138">
        <v>1</v>
      </c>
      <c r="H138">
        <v>96</v>
      </c>
      <c r="I138">
        <v>0</v>
      </c>
      <c r="J138">
        <v>0</v>
      </c>
      <c r="K138">
        <v>2</v>
      </c>
      <c r="L138">
        <v>0</v>
      </c>
      <c r="M138">
        <v>2</v>
      </c>
      <c r="N138">
        <v>1</v>
      </c>
    </row>
    <row r="139" spans="1:14">
      <c r="A139">
        <v>62</v>
      </c>
      <c r="B139">
        <v>1</v>
      </c>
      <c r="C139">
        <v>1</v>
      </c>
      <c r="D139">
        <v>128</v>
      </c>
      <c r="E139">
        <v>208</v>
      </c>
      <c r="F139">
        <v>1</v>
      </c>
      <c r="G139">
        <v>0</v>
      </c>
      <c r="H139">
        <v>140</v>
      </c>
      <c r="I139">
        <v>0</v>
      </c>
      <c r="J139">
        <v>0</v>
      </c>
      <c r="K139">
        <v>2</v>
      </c>
      <c r="L139">
        <v>0</v>
      </c>
      <c r="M139">
        <v>2</v>
      </c>
      <c r="N139">
        <v>1</v>
      </c>
    </row>
    <row r="140" spans="1:14">
      <c r="A140">
        <v>57</v>
      </c>
      <c r="B140">
        <v>1</v>
      </c>
      <c r="C140">
        <v>0</v>
      </c>
      <c r="D140">
        <v>110</v>
      </c>
      <c r="E140">
        <v>201</v>
      </c>
      <c r="F140">
        <v>0</v>
      </c>
      <c r="G140">
        <v>1</v>
      </c>
      <c r="H140">
        <v>126</v>
      </c>
      <c r="I140">
        <v>1</v>
      </c>
      <c r="J140">
        <v>1.5</v>
      </c>
      <c r="K140">
        <v>1</v>
      </c>
      <c r="L140">
        <v>0</v>
      </c>
      <c r="M140">
        <v>1</v>
      </c>
      <c r="N140">
        <v>1</v>
      </c>
    </row>
    <row r="141" spans="1:14">
      <c r="A141">
        <v>64</v>
      </c>
      <c r="B141">
        <v>1</v>
      </c>
      <c r="C141">
        <v>0</v>
      </c>
      <c r="D141">
        <v>128</v>
      </c>
      <c r="E141">
        <v>263</v>
      </c>
      <c r="F141">
        <v>0</v>
      </c>
      <c r="G141">
        <v>1</v>
      </c>
      <c r="H141">
        <v>105</v>
      </c>
      <c r="I141">
        <v>1</v>
      </c>
      <c r="J141">
        <v>0.2</v>
      </c>
      <c r="K141">
        <v>1</v>
      </c>
      <c r="L141">
        <v>1</v>
      </c>
      <c r="M141">
        <v>3</v>
      </c>
      <c r="N141">
        <v>1</v>
      </c>
    </row>
    <row r="142" spans="1:14">
      <c r="A142">
        <v>51</v>
      </c>
      <c r="B142">
        <v>0</v>
      </c>
      <c r="C142">
        <v>2</v>
      </c>
      <c r="D142">
        <v>120</v>
      </c>
      <c r="E142">
        <v>295</v>
      </c>
      <c r="F142">
        <v>0</v>
      </c>
      <c r="G142">
        <v>0</v>
      </c>
      <c r="H142">
        <v>157</v>
      </c>
      <c r="I142">
        <v>0</v>
      </c>
      <c r="J142">
        <v>0.6</v>
      </c>
      <c r="K142">
        <v>2</v>
      </c>
      <c r="L142">
        <v>0</v>
      </c>
      <c r="M142">
        <v>2</v>
      </c>
      <c r="N142">
        <v>1</v>
      </c>
    </row>
    <row r="143" spans="1:14">
      <c r="A143">
        <v>43</v>
      </c>
      <c r="B143">
        <v>1</v>
      </c>
      <c r="C143">
        <v>0</v>
      </c>
      <c r="D143">
        <v>115</v>
      </c>
      <c r="E143">
        <v>303</v>
      </c>
      <c r="F143">
        <v>0</v>
      </c>
      <c r="G143">
        <v>1</v>
      </c>
      <c r="H143">
        <v>181</v>
      </c>
      <c r="I143">
        <v>0</v>
      </c>
      <c r="J143">
        <v>1.2</v>
      </c>
      <c r="K143">
        <v>1</v>
      </c>
      <c r="L143">
        <v>0</v>
      </c>
      <c r="M143">
        <v>2</v>
      </c>
      <c r="N143">
        <v>1</v>
      </c>
    </row>
    <row r="144" spans="1:14">
      <c r="A144">
        <v>42</v>
      </c>
      <c r="B144">
        <v>0</v>
      </c>
      <c r="C144">
        <v>2</v>
      </c>
      <c r="D144">
        <v>120</v>
      </c>
      <c r="E144">
        <v>209</v>
      </c>
      <c r="F144">
        <v>0</v>
      </c>
      <c r="G144">
        <v>1</v>
      </c>
      <c r="H144">
        <v>173</v>
      </c>
      <c r="I144">
        <v>0</v>
      </c>
      <c r="J144">
        <v>0</v>
      </c>
      <c r="K144">
        <v>1</v>
      </c>
      <c r="L144">
        <v>0</v>
      </c>
      <c r="M144">
        <v>2</v>
      </c>
      <c r="N144">
        <v>1</v>
      </c>
    </row>
    <row r="145" spans="1:14">
      <c r="A145">
        <v>67</v>
      </c>
      <c r="B145">
        <v>0</v>
      </c>
      <c r="C145">
        <v>0</v>
      </c>
      <c r="D145">
        <v>106</v>
      </c>
      <c r="E145">
        <v>223</v>
      </c>
      <c r="F145">
        <v>0</v>
      </c>
      <c r="G145">
        <v>1</v>
      </c>
      <c r="H145">
        <v>142</v>
      </c>
      <c r="I145">
        <v>0</v>
      </c>
      <c r="J145">
        <v>0.3</v>
      </c>
      <c r="K145">
        <v>2</v>
      </c>
      <c r="L145">
        <v>2</v>
      </c>
      <c r="M145">
        <v>2</v>
      </c>
      <c r="N145">
        <v>1</v>
      </c>
    </row>
    <row r="146" spans="1:14">
      <c r="A146">
        <v>76</v>
      </c>
      <c r="B146">
        <v>0</v>
      </c>
      <c r="C146">
        <v>2</v>
      </c>
      <c r="D146">
        <v>140</v>
      </c>
      <c r="E146">
        <v>197</v>
      </c>
      <c r="F146">
        <v>0</v>
      </c>
      <c r="G146">
        <v>2</v>
      </c>
      <c r="H146">
        <v>116</v>
      </c>
      <c r="I146">
        <v>0</v>
      </c>
      <c r="J146">
        <v>1.1000000000000001</v>
      </c>
      <c r="K146">
        <v>1</v>
      </c>
      <c r="L146">
        <v>0</v>
      </c>
      <c r="M146">
        <v>2</v>
      </c>
      <c r="N146">
        <v>1</v>
      </c>
    </row>
    <row r="147" spans="1:14">
      <c r="A147">
        <v>70</v>
      </c>
      <c r="B147">
        <v>1</v>
      </c>
      <c r="C147">
        <v>1</v>
      </c>
      <c r="D147">
        <v>156</v>
      </c>
      <c r="E147">
        <v>245</v>
      </c>
      <c r="F147">
        <v>0</v>
      </c>
      <c r="G147">
        <v>0</v>
      </c>
      <c r="H147">
        <v>143</v>
      </c>
      <c r="I147">
        <v>0</v>
      </c>
      <c r="J147">
        <v>0</v>
      </c>
      <c r="K147">
        <v>2</v>
      </c>
      <c r="L147">
        <v>0</v>
      </c>
      <c r="M147">
        <v>2</v>
      </c>
      <c r="N147">
        <v>1</v>
      </c>
    </row>
    <row r="148" spans="1:14">
      <c r="A148">
        <v>44</v>
      </c>
      <c r="B148">
        <v>0</v>
      </c>
      <c r="C148">
        <v>2</v>
      </c>
      <c r="D148">
        <v>118</v>
      </c>
      <c r="E148">
        <v>242</v>
      </c>
      <c r="F148">
        <v>0</v>
      </c>
      <c r="G148">
        <v>1</v>
      </c>
      <c r="H148">
        <v>149</v>
      </c>
      <c r="I148">
        <v>0</v>
      </c>
      <c r="J148">
        <v>0.3</v>
      </c>
      <c r="K148">
        <v>1</v>
      </c>
      <c r="L148">
        <v>1</v>
      </c>
      <c r="M148">
        <v>2</v>
      </c>
      <c r="N148">
        <v>1</v>
      </c>
    </row>
    <row r="149" spans="1:14">
      <c r="A149">
        <v>60</v>
      </c>
      <c r="B149">
        <v>0</v>
      </c>
      <c r="C149">
        <v>3</v>
      </c>
      <c r="D149">
        <v>150</v>
      </c>
      <c r="E149">
        <v>240</v>
      </c>
      <c r="F149">
        <v>0</v>
      </c>
      <c r="G149">
        <v>1</v>
      </c>
      <c r="H149">
        <v>171</v>
      </c>
      <c r="I149">
        <v>0</v>
      </c>
      <c r="J149">
        <v>0.9</v>
      </c>
      <c r="K149">
        <v>2</v>
      </c>
      <c r="L149">
        <v>0</v>
      </c>
      <c r="M149">
        <v>2</v>
      </c>
      <c r="N149">
        <v>1</v>
      </c>
    </row>
    <row r="150" spans="1:14">
      <c r="A150">
        <v>44</v>
      </c>
      <c r="B150">
        <v>1</v>
      </c>
      <c r="C150">
        <v>2</v>
      </c>
      <c r="D150">
        <v>120</v>
      </c>
      <c r="E150">
        <v>226</v>
      </c>
      <c r="F150">
        <v>0</v>
      </c>
      <c r="G150">
        <v>1</v>
      </c>
      <c r="H150">
        <v>169</v>
      </c>
      <c r="I150">
        <v>0</v>
      </c>
      <c r="J150">
        <v>0</v>
      </c>
      <c r="K150">
        <v>2</v>
      </c>
      <c r="L150">
        <v>0</v>
      </c>
      <c r="M150">
        <v>2</v>
      </c>
      <c r="N150">
        <v>1</v>
      </c>
    </row>
    <row r="151" spans="1:14">
      <c r="A151">
        <v>42</v>
      </c>
      <c r="B151">
        <v>1</v>
      </c>
      <c r="C151">
        <v>2</v>
      </c>
      <c r="D151">
        <v>130</v>
      </c>
      <c r="E151">
        <v>180</v>
      </c>
      <c r="F151">
        <v>0</v>
      </c>
      <c r="G151">
        <v>1</v>
      </c>
      <c r="H151">
        <v>150</v>
      </c>
      <c r="I151">
        <v>0</v>
      </c>
      <c r="J151">
        <v>0</v>
      </c>
      <c r="K151">
        <v>2</v>
      </c>
      <c r="L151">
        <v>0</v>
      </c>
      <c r="M151">
        <v>2</v>
      </c>
      <c r="N151">
        <v>1</v>
      </c>
    </row>
    <row r="152" spans="1:14">
      <c r="A152">
        <v>66</v>
      </c>
      <c r="B152">
        <v>1</v>
      </c>
      <c r="C152">
        <v>0</v>
      </c>
      <c r="D152">
        <v>160</v>
      </c>
      <c r="E152">
        <v>228</v>
      </c>
      <c r="F152">
        <v>0</v>
      </c>
      <c r="G152">
        <v>0</v>
      </c>
      <c r="H152">
        <v>138</v>
      </c>
      <c r="I152">
        <v>0</v>
      </c>
      <c r="J152">
        <v>2.2999999999999998</v>
      </c>
      <c r="K152">
        <v>2</v>
      </c>
      <c r="L152">
        <v>0</v>
      </c>
      <c r="M152">
        <v>1</v>
      </c>
      <c r="N152">
        <v>1</v>
      </c>
    </row>
    <row r="153" spans="1:14">
      <c r="A153">
        <v>71</v>
      </c>
      <c r="B153">
        <v>0</v>
      </c>
      <c r="C153">
        <v>0</v>
      </c>
      <c r="D153">
        <v>112</v>
      </c>
      <c r="E153">
        <v>149</v>
      </c>
      <c r="F153">
        <v>0</v>
      </c>
      <c r="G153">
        <v>1</v>
      </c>
      <c r="H153">
        <v>125</v>
      </c>
      <c r="I153">
        <v>0</v>
      </c>
      <c r="J153">
        <v>1.6</v>
      </c>
      <c r="K153">
        <v>1</v>
      </c>
      <c r="L153">
        <v>0</v>
      </c>
      <c r="M153">
        <v>2</v>
      </c>
      <c r="N153">
        <v>1</v>
      </c>
    </row>
    <row r="154" spans="1:14">
      <c r="A154">
        <v>64</v>
      </c>
      <c r="B154">
        <v>1</v>
      </c>
      <c r="C154">
        <v>3</v>
      </c>
      <c r="D154">
        <v>170</v>
      </c>
      <c r="E154">
        <v>227</v>
      </c>
      <c r="F154">
        <v>0</v>
      </c>
      <c r="G154">
        <v>0</v>
      </c>
      <c r="H154">
        <v>155</v>
      </c>
      <c r="I154">
        <v>0</v>
      </c>
      <c r="J154">
        <v>0.6</v>
      </c>
      <c r="K154">
        <v>1</v>
      </c>
      <c r="L154">
        <v>0</v>
      </c>
      <c r="M154">
        <v>3</v>
      </c>
      <c r="N154">
        <v>1</v>
      </c>
    </row>
    <row r="155" spans="1:14">
      <c r="A155">
        <v>66</v>
      </c>
      <c r="B155">
        <v>0</v>
      </c>
      <c r="C155">
        <v>2</v>
      </c>
      <c r="D155">
        <v>146</v>
      </c>
      <c r="E155">
        <v>278</v>
      </c>
      <c r="F155">
        <v>0</v>
      </c>
      <c r="G155">
        <v>0</v>
      </c>
      <c r="H155">
        <v>152</v>
      </c>
      <c r="I155">
        <v>0</v>
      </c>
      <c r="J155">
        <v>0</v>
      </c>
      <c r="K155">
        <v>1</v>
      </c>
      <c r="L155">
        <v>1</v>
      </c>
      <c r="M155">
        <v>2</v>
      </c>
      <c r="N155">
        <v>1</v>
      </c>
    </row>
    <row r="156" spans="1:14">
      <c r="A156">
        <v>39</v>
      </c>
      <c r="B156">
        <v>0</v>
      </c>
      <c r="C156">
        <v>2</v>
      </c>
      <c r="D156">
        <v>138</v>
      </c>
      <c r="E156">
        <v>220</v>
      </c>
      <c r="F156">
        <v>0</v>
      </c>
      <c r="G156">
        <v>1</v>
      </c>
      <c r="H156">
        <v>152</v>
      </c>
      <c r="I156">
        <v>0</v>
      </c>
      <c r="J156">
        <v>0</v>
      </c>
      <c r="K156">
        <v>1</v>
      </c>
      <c r="L156">
        <v>0</v>
      </c>
      <c r="M156">
        <v>2</v>
      </c>
      <c r="N156">
        <v>1</v>
      </c>
    </row>
    <row r="157" spans="1:14">
      <c r="A157">
        <v>58</v>
      </c>
      <c r="B157">
        <v>0</v>
      </c>
      <c r="C157">
        <v>0</v>
      </c>
      <c r="D157">
        <v>130</v>
      </c>
      <c r="E157">
        <v>197</v>
      </c>
      <c r="F157">
        <v>0</v>
      </c>
      <c r="G157">
        <v>1</v>
      </c>
      <c r="H157">
        <v>131</v>
      </c>
      <c r="I157">
        <v>0</v>
      </c>
      <c r="J157">
        <v>0.6</v>
      </c>
      <c r="K157">
        <v>1</v>
      </c>
      <c r="L157">
        <v>0</v>
      </c>
      <c r="M157">
        <v>2</v>
      </c>
      <c r="N157">
        <v>1</v>
      </c>
    </row>
    <row r="158" spans="1:14">
      <c r="A158">
        <v>47</v>
      </c>
      <c r="B158">
        <v>1</v>
      </c>
      <c r="C158">
        <v>2</v>
      </c>
      <c r="D158">
        <v>130</v>
      </c>
      <c r="E158">
        <v>253</v>
      </c>
      <c r="F158">
        <v>0</v>
      </c>
      <c r="G158">
        <v>1</v>
      </c>
      <c r="H158">
        <v>179</v>
      </c>
      <c r="I158">
        <v>0</v>
      </c>
      <c r="J158">
        <v>0</v>
      </c>
      <c r="K158">
        <v>2</v>
      </c>
      <c r="L158">
        <v>0</v>
      </c>
      <c r="M158">
        <v>2</v>
      </c>
      <c r="N158">
        <v>1</v>
      </c>
    </row>
    <row r="159" spans="1:14">
      <c r="A159">
        <v>35</v>
      </c>
      <c r="B159">
        <v>1</v>
      </c>
      <c r="C159">
        <v>1</v>
      </c>
      <c r="D159">
        <v>122</v>
      </c>
      <c r="E159">
        <v>192</v>
      </c>
      <c r="F159">
        <v>0</v>
      </c>
      <c r="G159">
        <v>1</v>
      </c>
      <c r="H159">
        <v>174</v>
      </c>
      <c r="I159">
        <v>0</v>
      </c>
      <c r="J159">
        <v>0</v>
      </c>
      <c r="K159">
        <v>2</v>
      </c>
      <c r="L159">
        <v>0</v>
      </c>
      <c r="M159">
        <v>2</v>
      </c>
      <c r="N159">
        <v>1</v>
      </c>
    </row>
    <row r="160" spans="1:14">
      <c r="A160">
        <v>58</v>
      </c>
      <c r="B160">
        <v>1</v>
      </c>
      <c r="C160">
        <v>1</v>
      </c>
      <c r="D160">
        <v>125</v>
      </c>
      <c r="E160">
        <v>220</v>
      </c>
      <c r="F160">
        <v>0</v>
      </c>
      <c r="G160">
        <v>1</v>
      </c>
      <c r="H160">
        <v>144</v>
      </c>
      <c r="I160">
        <v>0</v>
      </c>
      <c r="J160">
        <v>0.4</v>
      </c>
      <c r="K160">
        <v>1</v>
      </c>
      <c r="L160">
        <v>4</v>
      </c>
      <c r="M160">
        <v>3</v>
      </c>
      <c r="N160">
        <v>1</v>
      </c>
    </row>
    <row r="161" spans="1:14">
      <c r="A161">
        <v>56</v>
      </c>
      <c r="B161">
        <v>1</v>
      </c>
      <c r="C161">
        <v>1</v>
      </c>
      <c r="D161">
        <v>130</v>
      </c>
      <c r="E161">
        <v>221</v>
      </c>
      <c r="F161">
        <v>0</v>
      </c>
      <c r="G161">
        <v>0</v>
      </c>
      <c r="H161">
        <v>163</v>
      </c>
      <c r="I161">
        <v>0</v>
      </c>
      <c r="J161">
        <v>0</v>
      </c>
      <c r="K161">
        <v>2</v>
      </c>
      <c r="L161">
        <v>0</v>
      </c>
      <c r="M161">
        <v>3</v>
      </c>
      <c r="N161">
        <v>1</v>
      </c>
    </row>
    <row r="162" spans="1:14">
      <c r="A162">
        <v>56</v>
      </c>
      <c r="B162">
        <v>1</v>
      </c>
      <c r="C162">
        <v>1</v>
      </c>
      <c r="D162">
        <v>120</v>
      </c>
      <c r="E162">
        <v>240</v>
      </c>
      <c r="F162">
        <v>0</v>
      </c>
      <c r="G162">
        <v>1</v>
      </c>
      <c r="H162">
        <v>169</v>
      </c>
      <c r="I162">
        <v>0</v>
      </c>
      <c r="J162">
        <v>0</v>
      </c>
      <c r="K162">
        <v>0</v>
      </c>
      <c r="L162">
        <v>0</v>
      </c>
      <c r="M162">
        <v>2</v>
      </c>
      <c r="N162">
        <v>1</v>
      </c>
    </row>
    <row r="163" spans="1:14">
      <c r="A163">
        <v>55</v>
      </c>
      <c r="B163">
        <v>0</v>
      </c>
      <c r="C163">
        <v>1</v>
      </c>
      <c r="D163">
        <v>132</v>
      </c>
      <c r="E163">
        <v>342</v>
      </c>
      <c r="F163">
        <v>0</v>
      </c>
      <c r="G163">
        <v>1</v>
      </c>
      <c r="H163">
        <v>166</v>
      </c>
      <c r="I163">
        <v>0</v>
      </c>
      <c r="J163">
        <v>1.2</v>
      </c>
      <c r="K163">
        <v>2</v>
      </c>
      <c r="L163">
        <v>0</v>
      </c>
      <c r="M163">
        <v>2</v>
      </c>
      <c r="N163">
        <v>1</v>
      </c>
    </row>
    <row r="164" spans="1:14">
      <c r="A164">
        <v>41</v>
      </c>
      <c r="B164">
        <v>1</v>
      </c>
      <c r="C164">
        <v>1</v>
      </c>
      <c r="D164">
        <v>120</v>
      </c>
      <c r="E164">
        <v>157</v>
      </c>
      <c r="F164">
        <v>0</v>
      </c>
      <c r="G164">
        <v>1</v>
      </c>
      <c r="H164">
        <v>182</v>
      </c>
      <c r="I164">
        <v>0</v>
      </c>
      <c r="J164">
        <v>0</v>
      </c>
      <c r="K164">
        <v>2</v>
      </c>
      <c r="L164">
        <v>0</v>
      </c>
      <c r="M164">
        <v>2</v>
      </c>
      <c r="N164">
        <v>1</v>
      </c>
    </row>
    <row r="165" spans="1:14">
      <c r="A165">
        <v>38</v>
      </c>
      <c r="B165">
        <v>1</v>
      </c>
      <c r="C165">
        <v>2</v>
      </c>
      <c r="D165">
        <v>138</v>
      </c>
      <c r="E165">
        <v>175</v>
      </c>
      <c r="F165">
        <v>0</v>
      </c>
      <c r="G165">
        <v>1</v>
      </c>
      <c r="H165">
        <v>173</v>
      </c>
      <c r="I165">
        <v>0</v>
      </c>
      <c r="J165">
        <v>0</v>
      </c>
      <c r="K165">
        <v>2</v>
      </c>
      <c r="L165">
        <v>4</v>
      </c>
      <c r="M165">
        <v>2</v>
      </c>
      <c r="N165">
        <v>1</v>
      </c>
    </row>
    <row r="166" spans="1:14">
      <c r="A166">
        <v>38</v>
      </c>
      <c r="B166">
        <v>1</v>
      </c>
      <c r="C166">
        <v>2</v>
      </c>
      <c r="D166">
        <v>138</v>
      </c>
      <c r="E166">
        <v>175</v>
      </c>
      <c r="F166">
        <v>0</v>
      </c>
      <c r="G166">
        <v>1</v>
      </c>
      <c r="H166">
        <v>173</v>
      </c>
      <c r="I166">
        <v>0</v>
      </c>
      <c r="J166">
        <v>0</v>
      </c>
      <c r="K166">
        <v>2</v>
      </c>
      <c r="L166">
        <v>4</v>
      </c>
      <c r="M166">
        <v>2</v>
      </c>
      <c r="N166">
        <v>1</v>
      </c>
    </row>
    <row r="167" spans="1:14">
      <c r="A167">
        <v>67</v>
      </c>
      <c r="B167">
        <v>1</v>
      </c>
      <c r="C167">
        <v>0</v>
      </c>
      <c r="D167">
        <v>160</v>
      </c>
      <c r="E167">
        <v>286</v>
      </c>
      <c r="F167">
        <v>0</v>
      </c>
      <c r="G167">
        <v>0</v>
      </c>
      <c r="H167">
        <v>108</v>
      </c>
      <c r="I167">
        <v>1</v>
      </c>
      <c r="J167">
        <v>1.5</v>
      </c>
      <c r="K167">
        <v>1</v>
      </c>
      <c r="L167">
        <v>3</v>
      </c>
      <c r="M167">
        <v>2</v>
      </c>
      <c r="N167">
        <v>0</v>
      </c>
    </row>
    <row r="168" spans="1:14">
      <c r="A168">
        <v>67</v>
      </c>
      <c r="B168">
        <v>1</v>
      </c>
      <c r="C168">
        <v>0</v>
      </c>
      <c r="D168">
        <v>120</v>
      </c>
      <c r="E168">
        <v>229</v>
      </c>
      <c r="F168">
        <v>0</v>
      </c>
      <c r="G168">
        <v>0</v>
      </c>
      <c r="H168">
        <v>129</v>
      </c>
      <c r="I168">
        <v>1</v>
      </c>
      <c r="J168">
        <v>2.6</v>
      </c>
      <c r="K168">
        <v>1</v>
      </c>
      <c r="L168">
        <v>2</v>
      </c>
      <c r="M168">
        <v>3</v>
      </c>
      <c r="N168">
        <v>0</v>
      </c>
    </row>
    <row r="169" spans="1:14">
      <c r="A169">
        <v>62</v>
      </c>
      <c r="B169">
        <v>0</v>
      </c>
      <c r="C169">
        <v>0</v>
      </c>
      <c r="D169">
        <v>140</v>
      </c>
      <c r="E169">
        <v>268</v>
      </c>
      <c r="F169">
        <v>0</v>
      </c>
      <c r="G169">
        <v>0</v>
      </c>
      <c r="H169">
        <v>160</v>
      </c>
      <c r="I169">
        <v>0</v>
      </c>
      <c r="J169">
        <v>3.6</v>
      </c>
      <c r="K169">
        <v>0</v>
      </c>
      <c r="L169">
        <v>2</v>
      </c>
      <c r="M169">
        <v>2</v>
      </c>
      <c r="N169">
        <v>0</v>
      </c>
    </row>
    <row r="170" spans="1:14">
      <c r="A170">
        <v>63</v>
      </c>
      <c r="B170">
        <v>1</v>
      </c>
      <c r="C170">
        <v>0</v>
      </c>
      <c r="D170">
        <v>130</v>
      </c>
      <c r="E170">
        <v>254</v>
      </c>
      <c r="F170">
        <v>0</v>
      </c>
      <c r="G170">
        <v>0</v>
      </c>
      <c r="H170">
        <v>147</v>
      </c>
      <c r="I170">
        <v>0</v>
      </c>
      <c r="J170">
        <v>1.4</v>
      </c>
      <c r="K170">
        <v>1</v>
      </c>
      <c r="L170">
        <v>1</v>
      </c>
      <c r="M170">
        <v>3</v>
      </c>
      <c r="N170">
        <v>0</v>
      </c>
    </row>
    <row r="171" spans="1:14">
      <c r="A171">
        <v>53</v>
      </c>
      <c r="B171">
        <v>1</v>
      </c>
      <c r="C171">
        <v>0</v>
      </c>
      <c r="D171">
        <v>140</v>
      </c>
      <c r="E171">
        <v>203</v>
      </c>
      <c r="F171">
        <v>1</v>
      </c>
      <c r="G171">
        <v>0</v>
      </c>
      <c r="H171">
        <v>155</v>
      </c>
      <c r="I171">
        <v>1</v>
      </c>
      <c r="J171">
        <v>3.1</v>
      </c>
      <c r="K171">
        <v>0</v>
      </c>
      <c r="L171">
        <v>0</v>
      </c>
      <c r="M171">
        <v>3</v>
      </c>
      <c r="N171">
        <v>0</v>
      </c>
    </row>
    <row r="172" spans="1:14">
      <c r="A172">
        <v>56</v>
      </c>
      <c r="B172">
        <v>1</v>
      </c>
      <c r="C172">
        <v>2</v>
      </c>
      <c r="D172">
        <v>130</v>
      </c>
      <c r="E172">
        <v>256</v>
      </c>
      <c r="F172">
        <v>1</v>
      </c>
      <c r="G172">
        <v>0</v>
      </c>
      <c r="H172">
        <v>142</v>
      </c>
      <c r="I172">
        <v>1</v>
      </c>
      <c r="J172">
        <v>0.6</v>
      </c>
      <c r="K172">
        <v>1</v>
      </c>
      <c r="L172">
        <v>1</v>
      </c>
      <c r="M172">
        <v>1</v>
      </c>
      <c r="N172">
        <v>0</v>
      </c>
    </row>
    <row r="173" spans="1:14">
      <c r="A173">
        <v>48</v>
      </c>
      <c r="B173">
        <v>1</v>
      </c>
      <c r="C173">
        <v>1</v>
      </c>
      <c r="D173">
        <v>110</v>
      </c>
      <c r="E173">
        <v>229</v>
      </c>
      <c r="F173">
        <v>0</v>
      </c>
      <c r="G173">
        <v>1</v>
      </c>
      <c r="H173">
        <v>168</v>
      </c>
      <c r="I173">
        <v>0</v>
      </c>
      <c r="J173">
        <v>1</v>
      </c>
      <c r="K173">
        <v>0</v>
      </c>
      <c r="L173">
        <v>0</v>
      </c>
      <c r="M173">
        <v>3</v>
      </c>
      <c r="N173">
        <v>0</v>
      </c>
    </row>
    <row r="174" spans="1:14">
      <c r="A174">
        <v>58</v>
      </c>
      <c r="B174">
        <v>1</v>
      </c>
      <c r="C174">
        <v>1</v>
      </c>
      <c r="D174">
        <v>120</v>
      </c>
      <c r="E174">
        <v>284</v>
      </c>
      <c r="F174">
        <v>0</v>
      </c>
      <c r="G174">
        <v>0</v>
      </c>
      <c r="H174">
        <v>160</v>
      </c>
      <c r="I174">
        <v>0</v>
      </c>
      <c r="J174">
        <v>1.8</v>
      </c>
      <c r="K174">
        <v>1</v>
      </c>
      <c r="L174">
        <v>0</v>
      </c>
      <c r="M174">
        <v>2</v>
      </c>
      <c r="N174">
        <v>0</v>
      </c>
    </row>
    <row r="175" spans="1:14">
      <c r="A175">
        <v>58</v>
      </c>
      <c r="B175">
        <v>1</v>
      </c>
      <c r="C175">
        <v>2</v>
      </c>
      <c r="D175">
        <v>132</v>
      </c>
      <c r="E175">
        <v>224</v>
      </c>
      <c r="F175">
        <v>0</v>
      </c>
      <c r="G175">
        <v>0</v>
      </c>
      <c r="H175">
        <v>173</v>
      </c>
      <c r="I175">
        <v>0</v>
      </c>
      <c r="J175">
        <v>3.2</v>
      </c>
      <c r="K175">
        <v>2</v>
      </c>
      <c r="L175">
        <v>2</v>
      </c>
      <c r="M175">
        <v>3</v>
      </c>
      <c r="N175">
        <v>0</v>
      </c>
    </row>
    <row r="176" spans="1:14">
      <c r="A176">
        <v>60</v>
      </c>
      <c r="B176">
        <v>1</v>
      </c>
      <c r="C176">
        <v>0</v>
      </c>
      <c r="D176">
        <v>130</v>
      </c>
      <c r="E176">
        <v>206</v>
      </c>
      <c r="F176">
        <v>0</v>
      </c>
      <c r="G176">
        <v>0</v>
      </c>
      <c r="H176">
        <v>132</v>
      </c>
      <c r="I176">
        <v>1</v>
      </c>
      <c r="J176">
        <v>2.4</v>
      </c>
      <c r="K176">
        <v>1</v>
      </c>
      <c r="L176">
        <v>2</v>
      </c>
      <c r="M176">
        <v>3</v>
      </c>
      <c r="N176">
        <v>0</v>
      </c>
    </row>
    <row r="177" spans="1:14">
      <c r="A177">
        <v>40</v>
      </c>
      <c r="B177">
        <v>1</v>
      </c>
      <c r="C177">
        <v>0</v>
      </c>
      <c r="D177">
        <v>110</v>
      </c>
      <c r="E177">
        <v>167</v>
      </c>
      <c r="F177">
        <v>0</v>
      </c>
      <c r="G177">
        <v>0</v>
      </c>
      <c r="H177">
        <v>114</v>
      </c>
      <c r="I177">
        <v>1</v>
      </c>
      <c r="J177">
        <v>2</v>
      </c>
      <c r="K177">
        <v>1</v>
      </c>
      <c r="L177">
        <v>0</v>
      </c>
      <c r="M177">
        <v>3</v>
      </c>
      <c r="N177">
        <v>0</v>
      </c>
    </row>
    <row r="178" spans="1:14">
      <c r="A178">
        <v>60</v>
      </c>
      <c r="B178">
        <v>1</v>
      </c>
      <c r="C178">
        <v>0</v>
      </c>
      <c r="D178">
        <v>117</v>
      </c>
      <c r="E178">
        <v>230</v>
      </c>
      <c r="F178">
        <v>1</v>
      </c>
      <c r="G178">
        <v>1</v>
      </c>
      <c r="H178">
        <v>160</v>
      </c>
      <c r="I178">
        <v>1</v>
      </c>
      <c r="J178">
        <v>1.4</v>
      </c>
      <c r="K178">
        <v>2</v>
      </c>
      <c r="L178">
        <v>2</v>
      </c>
      <c r="M178">
        <v>3</v>
      </c>
      <c r="N178">
        <v>0</v>
      </c>
    </row>
    <row r="179" spans="1:14">
      <c r="A179">
        <v>64</v>
      </c>
      <c r="B179">
        <v>1</v>
      </c>
      <c r="C179">
        <v>2</v>
      </c>
      <c r="D179">
        <v>140</v>
      </c>
      <c r="E179">
        <v>335</v>
      </c>
      <c r="F179">
        <v>0</v>
      </c>
      <c r="G179">
        <v>1</v>
      </c>
      <c r="H179">
        <v>158</v>
      </c>
      <c r="I179">
        <v>0</v>
      </c>
      <c r="J179">
        <v>0</v>
      </c>
      <c r="K179">
        <v>2</v>
      </c>
      <c r="L179">
        <v>0</v>
      </c>
      <c r="M179">
        <v>2</v>
      </c>
      <c r="N179">
        <v>0</v>
      </c>
    </row>
    <row r="180" spans="1:14">
      <c r="A180">
        <v>43</v>
      </c>
      <c r="B180">
        <v>1</v>
      </c>
      <c r="C180">
        <v>0</v>
      </c>
      <c r="D180">
        <v>120</v>
      </c>
      <c r="E180">
        <v>177</v>
      </c>
      <c r="F180">
        <v>0</v>
      </c>
      <c r="G180">
        <v>0</v>
      </c>
      <c r="H180">
        <v>120</v>
      </c>
      <c r="I180">
        <v>1</v>
      </c>
      <c r="J180">
        <v>2.5</v>
      </c>
      <c r="K180">
        <v>1</v>
      </c>
      <c r="L180">
        <v>0</v>
      </c>
      <c r="M180">
        <v>3</v>
      </c>
      <c r="N180">
        <v>0</v>
      </c>
    </row>
    <row r="181" spans="1:14">
      <c r="A181">
        <v>57</v>
      </c>
      <c r="B181">
        <v>1</v>
      </c>
      <c r="C181">
        <v>0</v>
      </c>
      <c r="D181">
        <v>150</v>
      </c>
      <c r="E181">
        <v>276</v>
      </c>
      <c r="F181">
        <v>0</v>
      </c>
      <c r="G181">
        <v>0</v>
      </c>
      <c r="H181">
        <v>112</v>
      </c>
      <c r="I181">
        <v>1</v>
      </c>
      <c r="J181">
        <v>0.6</v>
      </c>
      <c r="K181">
        <v>1</v>
      </c>
      <c r="L181">
        <v>1</v>
      </c>
      <c r="M181">
        <v>1</v>
      </c>
      <c r="N181">
        <v>0</v>
      </c>
    </row>
    <row r="182" spans="1:14">
      <c r="A182">
        <v>55</v>
      </c>
      <c r="B182">
        <v>1</v>
      </c>
      <c r="C182">
        <v>0</v>
      </c>
      <c r="D182">
        <v>132</v>
      </c>
      <c r="E182">
        <v>353</v>
      </c>
      <c r="F182">
        <v>0</v>
      </c>
      <c r="G182">
        <v>1</v>
      </c>
      <c r="H182">
        <v>132</v>
      </c>
      <c r="I182">
        <v>1</v>
      </c>
      <c r="J182">
        <v>1.2</v>
      </c>
      <c r="K182">
        <v>1</v>
      </c>
      <c r="L182">
        <v>1</v>
      </c>
      <c r="M182">
        <v>3</v>
      </c>
      <c r="N182">
        <v>0</v>
      </c>
    </row>
    <row r="183" spans="1:14">
      <c r="A183">
        <v>65</v>
      </c>
      <c r="B183">
        <v>0</v>
      </c>
      <c r="C183">
        <v>0</v>
      </c>
      <c r="D183">
        <v>150</v>
      </c>
      <c r="E183">
        <v>225</v>
      </c>
      <c r="F183">
        <v>0</v>
      </c>
      <c r="G183">
        <v>0</v>
      </c>
      <c r="H183">
        <v>114</v>
      </c>
      <c r="I183">
        <v>0</v>
      </c>
      <c r="J183">
        <v>1</v>
      </c>
      <c r="K183">
        <v>1</v>
      </c>
      <c r="L183">
        <v>3</v>
      </c>
      <c r="M183">
        <v>3</v>
      </c>
      <c r="N183">
        <v>0</v>
      </c>
    </row>
    <row r="184" spans="1:14">
      <c r="A184">
        <v>61</v>
      </c>
      <c r="B184">
        <v>0</v>
      </c>
      <c r="C184">
        <v>0</v>
      </c>
      <c r="D184">
        <v>130</v>
      </c>
      <c r="E184">
        <v>330</v>
      </c>
      <c r="F184">
        <v>0</v>
      </c>
      <c r="G184">
        <v>0</v>
      </c>
      <c r="H184">
        <v>169</v>
      </c>
      <c r="I184">
        <v>0</v>
      </c>
      <c r="J184">
        <v>0</v>
      </c>
      <c r="K184">
        <v>2</v>
      </c>
      <c r="L184">
        <v>0</v>
      </c>
      <c r="M184">
        <v>2</v>
      </c>
      <c r="N184">
        <v>0</v>
      </c>
    </row>
    <row r="185" spans="1:14">
      <c r="A185">
        <v>58</v>
      </c>
      <c r="B185">
        <v>1</v>
      </c>
      <c r="C185">
        <v>2</v>
      </c>
      <c r="D185">
        <v>112</v>
      </c>
      <c r="E185">
        <v>230</v>
      </c>
      <c r="F185">
        <v>0</v>
      </c>
      <c r="G185">
        <v>0</v>
      </c>
      <c r="H185">
        <v>165</v>
      </c>
      <c r="I185">
        <v>0</v>
      </c>
      <c r="J185">
        <v>2.5</v>
      </c>
      <c r="K185">
        <v>1</v>
      </c>
      <c r="L185">
        <v>1</v>
      </c>
      <c r="M185">
        <v>3</v>
      </c>
      <c r="N185">
        <v>0</v>
      </c>
    </row>
    <row r="186" spans="1:14">
      <c r="A186">
        <v>50</v>
      </c>
      <c r="B186">
        <v>1</v>
      </c>
      <c r="C186">
        <v>0</v>
      </c>
      <c r="D186">
        <v>150</v>
      </c>
      <c r="E186">
        <v>243</v>
      </c>
      <c r="F186">
        <v>0</v>
      </c>
      <c r="G186">
        <v>0</v>
      </c>
      <c r="H186">
        <v>128</v>
      </c>
      <c r="I186">
        <v>0</v>
      </c>
      <c r="J186">
        <v>2.6</v>
      </c>
      <c r="K186">
        <v>1</v>
      </c>
      <c r="L186">
        <v>0</v>
      </c>
      <c r="M186">
        <v>3</v>
      </c>
      <c r="N186">
        <v>0</v>
      </c>
    </row>
    <row r="187" spans="1:14">
      <c r="A187">
        <v>44</v>
      </c>
      <c r="B187">
        <v>1</v>
      </c>
      <c r="C187">
        <v>0</v>
      </c>
      <c r="D187">
        <v>112</v>
      </c>
      <c r="E187">
        <v>290</v>
      </c>
      <c r="F187">
        <v>0</v>
      </c>
      <c r="G187">
        <v>0</v>
      </c>
      <c r="H187">
        <v>153</v>
      </c>
      <c r="I187">
        <v>0</v>
      </c>
      <c r="J187">
        <v>0</v>
      </c>
      <c r="K187">
        <v>2</v>
      </c>
      <c r="L187">
        <v>1</v>
      </c>
      <c r="M187">
        <v>2</v>
      </c>
      <c r="N187">
        <v>0</v>
      </c>
    </row>
    <row r="188" spans="1:14">
      <c r="A188">
        <v>60</v>
      </c>
      <c r="B188">
        <v>1</v>
      </c>
      <c r="C188">
        <v>0</v>
      </c>
      <c r="D188">
        <v>130</v>
      </c>
      <c r="E188">
        <v>253</v>
      </c>
      <c r="F188">
        <v>0</v>
      </c>
      <c r="G188">
        <v>1</v>
      </c>
      <c r="H188">
        <v>144</v>
      </c>
      <c r="I188">
        <v>1</v>
      </c>
      <c r="J188">
        <v>1.4</v>
      </c>
      <c r="K188">
        <v>2</v>
      </c>
      <c r="L188">
        <v>1</v>
      </c>
      <c r="M188">
        <v>3</v>
      </c>
      <c r="N188">
        <v>0</v>
      </c>
    </row>
    <row r="189" spans="1:14">
      <c r="A189">
        <v>54</v>
      </c>
      <c r="B189">
        <v>1</v>
      </c>
      <c r="C189">
        <v>0</v>
      </c>
      <c r="D189">
        <v>124</v>
      </c>
      <c r="E189">
        <v>266</v>
      </c>
      <c r="F189">
        <v>0</v>
      </c>
      <c r="G189">
        <v>0</v>
      </c>
      <c r="H189">
        <v>109</v>
      </c>
      <c r="I189">
        <v>1</v>
      </c>
      <c r="J189">
        <v>2.2000000000000002</v>
      </c>
      <c r="K189">
        <v>1</v>
      </c>
      <c r="L189">
        <v>1</v>
      </c>
      <c r="M189">
        <v>3</v>
      </c>
      <c r="N189">
        <v>0</v>
      </c>
    </row>
    <row r="190" spans="1:14">
      <c r="A190">
        <v>50</v>
      </c>
      <c r="B190">
        <v>1</v>
      </c>
      <c r="C190">
        <v>2</v>
      </c>
      <c r="D190">
        <v>140</v>
      </c>
      <c r="E190">
        <v>233</v>
      </c>
      <c r="F190">
        <v>0</v>
      </c>
      <c r="G190">
        <v>1</v>
      </c>
      <c r="H190">
        <v>163</v>
      </c>
      <c r="I190">
        <v>0</v>
      </c>
      <c r="J190">
        <v>0.6</v>
      </c>
      <c r="K190">
        <v>1</v>
      </c>
      <c r="L190">
        <v>1</v>
      </c>
      <c r="M190">
        <v>3</v>
      </c>
      <c r="N190">
        <v>0</v>
      </c>
    </row>
    <row r="191" spans="1:14">
      <c r="A191">
        <v>41</v>
      </c>
      <c r="B191">
        <v>1</v>
      </c>
      <c r="C191">
        <v>0</v>
      </c>
      <c r="D191">
        <v>110</v>
      </c>
      <c r="E191">
        <v>172</v>
      </c>
      <c r="F191">
        <v>0</v>
      </c>
      <c r="G191">
        <v>0</v>
      </c>
      <c r="H191">
        <v>158</v>
      </c>
      <c r="I191">
        <v>0</v>
      </c>
      <c r="J191">
        <v>0</v>
      </c>
      <c r="K191">
        <v>2</v>
      </c>
      <c r="L191">
        <v>0</v>
      </c>
      <c r="M191">
        <v>3</v>
      </c>
      <c r="N191">
        <v>0</v>
      </c>
    </row>
    <row r="192" spans="1:14">
      <c r="A192">
        <v>51</v>
      </c>
      <c r="B192">
        <v>0</v>
      </c>
      <c r="C192">
        <v>0</v>
      </c>
      <c r="D192">
        <v>130</v>
      </c>
      <c r="E192">
        <v>305</v>
      </c>
      <c r="F192">
        <v>0</v>
      </c>
      <c r="G192">
        <v>1</v>
      </c>
      <c r="H192">
        <v>142</v>
      </c>
      <c r="I192">
        <v>1</v>
      </c>
      <c r="J192">
        <v>1.2</v>
      </c>
      <c r="K192">
        <v>1</v>
      </c>
      <c r="L192">
        <v>0</v>
      </c>
      <c r="M192">
        <v>3</v>
      </c>
      <c r="N192">
        <v>0</v>
      </c>
    </row>
    <row r="193" spans="1:14">
      <c r="A193">
        <v>58</v>
      </c>
      <c r="B193">
        <v>1</v>
      </c>
      <c r="C193">
        <v>0</v>
      </c>
      <c r="D193">
        <v>128</v>
      </c>
      <c r="E193">
        <v>216</v>
      </c>
      <c r="F193">
        <v>0</v>
      </c>
      <c r="G193">
        <v>0</v>
      </c>
      <c r="H193">
        <v>131</v>
      </c>
      <c r="I193">
        <v>1</v>
      </c>
      <c r="J193">
        <v>2.2000000000000002</v>
      </c>
      <c r="K193">
        <v>1</v>
      </c>
      <c r="L193">
        <v>3</v>
      </c>
      <c r="M193">
        <v>3</v>
      </c>
      <c r="N193">
        <v>0</v>
      </c>
    </row>
    <row r="194" spans="1:14">
      <c r="A194">
        <v>54</v>
      </c>
      <c r="B194">
        <v>1</v>
      </c>
      <c r="C194">
        <v>0</v>
      </c>
      <c r="D194">
        <v>120</v>
      </c>
      <c r="E194">
        <v>188</v>
      </c>
      <c r="F194">
        <v>0</v>
      </c>
      <c r="G194">
        <v>1</v>
      </c>
      <c r="H194">
        <v>113</v>
      </c>
      <c r="I194">
        <v>0</v>
      </c>
      <c r="J194">
        <v>1.4</v>
      </c>
      <c r="K194">
        <v>1</v>
      </c>
      <c r="L194">
        <v>1</v>
      </c>
      <c r="M194">
        <v>3</v>
      </c>
      <c r="N194">
        <v>0</v>
      </c>
    </row>
    <row r="195" spans="1:14">
      <c r="A195">
        <v>60</v>
      </c>
      <c r="B195">
        <v>1</v>
      </c>
      <c r="C195">
        <v>0</v>
      </c>
      <c r="D195">
        <v>145</v>
      </c>
      <c r="E195">
        <v>282</v>
      </c>
      <c r="F195">
        <v>0</v>
      </c>
      <c r="G195">
        <v>0</v>
      </c>
      <c r="H195">
        <v>142</v>
      </c>
      <c r="I195">
        <v>1</v>
      </c>
      <c r="J195">
        <v>2.8</v>
      </c>
      <c r="K195">
        <v>1</v>
      </c>
      <c r="L195">
        <v>2</v>
      </c>
      <c r="M195">
        <v>3</v>
      </c>
      <c r="N195">
        <v>0</v>
      </c>
    </row>
    <row r="196" spans="1:14">
      <c r="A196">
        <v>60</v>
      </c>
      <c r="B196">
        <v>1</v>
      </c>
      <c r="C196">
        <v>2</v>
      </c>
      <c r="D196">
        <v>140</v>
      </c>
      <c r="E196">
        <v>185</v>
      </c>
      <c r="F196">
        <v>0</v>
      </c>
      <c r="G196">
        <v>0</v>
      </c>
      <c r="H196">
        <v>155</v>
      </c>
      <c r="I196">
        <v>0</v>
      </c>
      <c r="J196">
        <v>3</v>
      </c>
      <c r="K196">
        <v>1</v>
      </c>
      <c r="L196">
        <v>0</v>
      </c>
      <c r="M196">
        <v>2</v>
      </c>
      <c r="N196">
        <v>0</v>
      </c>
    </row>
    <row r="197" spans="1:14">
      <c r="A197">
        <v>59</v>
      </c>
      <c r="B197">
        <v>1</v>
      </c>
      <c r="C197">
        <v>0</v>
      </c>
      <c r="D197">
        <v>170</v>
      </c>
      <c r="E197">
        <v>326</v>
      </c>
      <c r="F197">
        <v>0</v>
      </c>
      <c r="G197">
        <v>0</v>
      </c>
      <c r="H197">
        <v>140</v>
      </c>
      <c r="I197">
        <v>1</v>
      </c>
      <c r="J197">
        <v>3.4</v>
      </c>
      <c r="K197">
        <v>0</v>
      </c>
      <c r="L197">
        <v>0</v>
      </c>
      <c r="M197">
        <v>3</v>
      </c>
      <c r="N197">
        <v>0</v>
      </c>
    </row>
    <row r="198" spans="1:14">
      <c r="A198">
        <v>46</v>
      </c>
      <c r="B198">
        <v>1</v>
      </c>
      <c r="C198">
        <v>2</v>
      </c>
      <c r="D198">
        <v>150</v>
      </c>
      <c r="E198">
        <v>231</v>
      </c>
      <c r="F198">
        <v>0</v>
      </c>
      <c r="G198">
        <v>1</v>
      </c>
      <c r="H198">
        <v>147</v>
      </c>
      <c r="I198">
        <v>0</v>
      </c>
      <c r="J198">
        <v>3.6</v>
      </c>
      <c r="K198">
        <v>1</v>
      </c>
      <c r="L198">
        <v>0</v>
      </c>
      <c r="M198">
        <v>2</v>
      </c>
      <c r="N198">
        <v>0</v>
      </c>
    </row>
    <row r="199" spans="1:14">
      <c r="A199">
        <v>67</v>
      </c>
      <c r="B199">
        <v>1</v>
      </c>
      <c r="C199">
        <v>0</v>
      </c>
      <c r="D199">
        <v>125</v>
      </c>
      <c r="E199">
        <v>254</v>
      </c>
      <c r="F199">
        <v>1</v>
      </c>
      <c r="G199">
        <v>1</v>
      </c>
      <c r="H199">
        <v>163</v>
      </c>
      <c r="I199">
        <v>0</v>
      </c>
      <c r="J199">
        <v>0.2</v>
      </c>
      <c r="K199">
        <v>1</v>
      </c>
      <c r="L199">
        <v>2</v>
      </c>
      <c r="M199">
        <v>3</v>
      </c>
      <c r="N199">
        <v>0</v>
      </c>
    </row>
    <row r="200" spans="1:14">
      <c r="A200">
        <v>62</v>
      </c>
      <c r="B200">
        <v>1</v>
      </c>
      <c r="C200">
        <v>0</v>
      </c>
      <c r="D200">
        <v>120</v>
      </c>
      <c r="E200">
        <v>267</v>
      </c>
      <c r="F200">
        <v>0</v>
      </c>
      <c r="G200">
        <v>1</v>
      </c>
      <c r="H200">
        <v>99</v>
      </c>
      <c r="I200">
        <v>1</v>
      </c>
      <c r="J200">
        <v>1.8</v>
      </c>
      <c r="K200">
        <v>1</v>
      </c>
      <c r="L200">
        <v>2</v>
      </c>
      <c r="M200">
        <v>3</v>
      </c>
      <c r="N200">
        <v>0</v>
      </c>
    </row>
    <row r="201" spans="1:14">
      <c r="A201">
        <v>65</v>
      </c>
      <c r="B201">
        <v>1</v>
      </c>
      <c r="C201">
        <v>0</v>
      </c>
      <c r="D201">
        <v>110</v>
      </c>
      <c r="E201">
        <v>248</v>
      </c>
      <c r="F201">
        <v>0</v>
      </c>
      <c r="G201">
        <v>0</v>
      </c>
      <c r="H201">
        <v>158</v>
      </c>
      <c r="I201">
        <v>0</v>
      </c>
      <c r="J201">
        <v>0.6</v>
      </c>
      <c r="K201">
        <v>2</v>
      </c>
      <c r="L201">
        <v>2</v>
      </c>
      <c r="M201">
        <v>1</v>
      </c>
      <c r="N201">
        <v>0</v>
      </c>
    </row>
    <row r="202" spans="1:14">
      <c r="A202">
        <v>44</v>
      </c>
      <c r="B202">
        <v>1</v>
      </c>
      <c r="C202">
        <v>0</v>
      </c>
      <c r="D202">
        <v>110</v>
      </c>
      <c r="E202">
        <v>197</v>
      </c>
      <c r="F202">
        <v>0</v>
      </c>
      <c r="G202">
        <v>0</v>
      </c>
      <c r="H202">
        <v>177</v>
      </c>
      <c r="I202">
        <v>0</v>
      </c>
      <c r="J202">
        <v>0</v>
      </c>
      <c r="K202">
        <v>2</v>
      </c>
      <c r="L202">
        <v>1</v>
      </c>
      <c r="M202">
        <v>2</v>
      </c>
      <c r="N202">
        <v>0</v>
      </c>
    </row>
    <row r="203" spans="1:14">
      <c r="A203">
        <v>60</v>
      </c>
      <c r="B203">
        <v>1</v>
      </c>
      <c r="C203">
        <v>0</v>
      </c>
      <c r="D203">
        <v>125</v>
      </c>
      <c r="E203">
        <v>258</v>
      </c>
      <c r="F203">
        <v>0</v>
      </c>
      <c r="G203">
        <v>0</v>
      </c>
      <c r="H203">
        <v>141</v>
      </c>
      <c r="I203">
        <v>1</v>
      </c>
      <c r="J203">
        <v>2.8</v>
      </c>
      <c r="K203">
        <v>1</v>
      </c>
      <c r="L203">
        <v>1</v>
      </c>
      <c r="M203">
        <v>3</v>
      </c>
      <c r="N203">
        <v>0</v>
      </c>
    </row>
    <row r="204" spans="1:14">
      <c r="A204">
        <v>58</v>
      </c>
      <c r="B204">
        <v>1</v>
      </c>
      <c r="C204">
        <v>0</v>
      </c>
      <c r="D204">
        <v>150</v>
      </c>
      <c r="E204">
        <v>270</v>
      </c>
      <c r="F204">
        <v>0</v>
      </c>
      <c r="G204">
        <v>0</v>
      </c>
      <c r="H204">
        <v>111</v>
      </c>
      <c r="I204">
        <v>1</v>
      </c>
      <c r="J204">
        <v>0.8</v>
      </c>
      <c r="K204">
        <v>2</v>
      </c>
      <c r="L204">
        <v>0</v>
      </c>
      <c r="M204">
        <v>3</v>
      </c>
      <c r="N204">
        <v>0</v>
      </c>
    </row>
    <row r="205" spans="1:14">
      <c r="A205">
        <v>68</v>
      </c>
      <c r="B205">
        <v>1</v>
      </c>
      <c r="C205">
        <v>2</v>
      </c>
      <c r="D205">
        <v>180</v>
      </c>
      <c r="E205">
        <v>274</v>
      </c>
      <c r="F205">
        <v>1</v>
      </c>
      <c r="G205">
        <v>0</v>
      </c>
      <c r="H205">
        <v>150</v>
      </c>
      <c r="I205">
        <v>1</v>
      </c>
      <c r="J205">
        <v>1.6</v>
      </c>
      <c r="K205">
        <v>1</v>
      </c>
      <c r="L205">
        <v>0</v>
      </c>
      <c r="M205">
        <v>3</v>
      </c>
      <c r="N205">
        <v>0</v>
      </c>
    </row>
    <row r="206" spans="1:14">
      <c r="A206">
        <v>62</v>
      </c>
      <c r="B206">
        <v>0</v>
      </c>
      <c r="C206">
        <v>0</v>
      </c>
      <c r="D206">
        <v>160</v>
      </c>
      <c r="E206">
        <v>164</v>
      </c>
      <c r="F206">
        <v>0</v>
      </c>
      <c r="G206">
        <v>0</v>
      </c>
      <c r="H206">
        <v>145</v>
      </c>
      <c r="I206">
        <v>0</v>
      </c>
      <c r="J206">
        <v>6.2</v>
      </c>
      <c r="K206">
        <v>0</v>
      </c>
      <c r="L206">
        <v>3</v>
      </c>
      <c r="M206">
        <v>3</v>
      </c>
      <c r="N206">
        <v>0</v>
      </c>
    </row>
    <row r="207" spans="1:14">
      <c r="A207">
        <v>52</v>
      </c>
      <c r="B207">
        <v>1</v>
      </c>
      <c r="C207">
        <v>0</v>
      </c>
      <c r="D207">
        <v>128</v>
      </c>
      <c r="E207">
        <v>255</v>
      </c>
      <c r="F207">
        <v>0</v>
      </c>
      <c r="G207">
        <v>1</v>
      </c>
      <c r="H207">
        <v>161</v>
      </c>
      <c r="I207">
        <v>1</v>
      </c>
      <c r="J207">
        <v>0</v>
      </c>
      <c r="K207">
        <v>2</v>
      </c>
      <c r="L207">
        <v>1</v>
      </c>
      <c r="M207">
        <v>3</v>
      </c>
      <c r="N207">
        <v>0</v>
      </c>
    </row>
    <row r="208" spans="1:14">
      <c r="A208">
        <v>59</v>
      </c>
      <c r="B208">
        <v>1</v>
      </c>
      <c r="C208">
        <v>0</v>
      </c>
      <c r="D208">
        <v>110</v>
      </c>
      <c r="E208">
        <v>239</v>
      </c>
      <c r="F208">
        <v>0</v>
      </c>
      <c r="G208">
        <v>0</v>
      </c>
      <c r="H208">
        <v>142</v>
      </c>
      <c r="I208">
        <v>1</v>
      </c>
      <c r="J208">
        <v>1.2</v>
      </c>
      <c r="K208">
        <v>1</v>
      </c>
      <c r="L208">
        <v>1</v>
      </c>
      <c r="M208">
        <v>3</v>
      </c>
      <c r="N208">
        <v>0</v>
      </c>
    </row>
    <row r="209" spans="1:14">
      <c r="A209">
        <v>60</v>
      </c>
      <c r="B209">
        <v>0</v>
      </c>
      <c r="C209">
        <v>0</v>
      </c>
      <c r="D209">
        <v>150</v>
      </c>
      <c r="E209">
        <v>258</v>
      </c>
      <c r="F209">
        <v>0</v>
      </c>
      <c r="G209">
        <v>0</v>
      </c>
      <c r="H209">
        <v>157</v>
      </c>
      <c r="I209">
        <v>0</v>
      </c>
      <c r="J209">
        <v>2.6</v>
      </c>
      <c r="K209">
        <v>1</v>
      </c>
      <c r="L209">
        <v>2</v>
      </c>
      <c r="M209">
        <v>3</v>
      </c>
      <c r="N209">
        <v>0</v>
      </c>
    </row>
    <row r="210" spans="1:14">
      <c r="A210">
        <v>49</v>
      </c>
      <c r="B210">
        <v>1</v>
      </c>
      <c r="C210">
        <v>2</v>
      </c>
      <c r="D210">
        <v>120</v>
      </c>
      <c r="E210">
        <v>188</v>
      </c>
      <c r="F210">
        <v>0</v>
      </c>
      <c r="G210">
        <v>1</v>
      </c>
      <c r="H210">
        <v>139</v>
      </c>
      <c r="I210">
        <v>0</v>
      </c>
      <c r="J210">
        <v>2</v>
      </c>
      <c r="K210">
        <v>1</v>
      </c>
      <c r="L210">
        <v>3</v>
      </c>
      <c r="M210">
        <v>3</v>
      </c>
      <c r="N210">
        <v>0</v>
      </c>
    </row>
    <row r="211" spans="1:14">
      <c r="A211">
        <v>59</v>
      </c>
      <c r="B211">
        <v>1</v>
      </c>
      <c r="C211">
        <v>0</v>
      </c>
      <c r="D211">
        <v>140</v>
      </c>
      <c r="E211">
        <v>177</v>
      </c>
      <c r="F211">
        <v>0</v>
      </c>
      <c r="G211">
        <v>1</v>
      </c>
      <c r="H211">
        <v>162</v>
      </c>
      <c r="I211">
        <v>1</v>
      </c>
      <c r="J211">
        <v>0</v>
      </c>
      <c r="K211">
        <v>2</v>
      </c>
      <c r="L211">
        <v>1</v>
      </c>
      <c r="M211">
        <v>3</v>
      </c>
      <c r="N211">
        <v>0</v>
      </c>
    </row>
    <row r="212" spans="1:14">
      <c r="A212">
        <v>57</v>
      </c>
      <c r="B212">
        <v>1</v>
      </c>
      <c r="C212">
        <v>2</v>
      </c>
      <c r="D212">
        <v>128</v>
      </c>
      <c r="E212">
        <v>229</v>
      </c>
      <c r="F212">
        <v>0</v>
      </c>
      <c r="G212">
        <v>0</v>
      </c>
      <c r="H212">
        <v>150</v>
      </c>
      <c r="I212">
        <v>0</v>
      </c>
      <c r="J212">
        <v>0.4</v>
      </c>
      <c r="K212">
        <v>1</v>
      </c>
      <c r="L212">
        <v>1</v>
      </c>
      <c r="M212">
        <v>3</v>
      </c>
      <c r="N212">
        <v>0</v>
      </c>
    </row>
    <row r="213" spans="1:14">
      <c r="A213">
        <v>61</v>
      </c>
      <c r="B213">
        <v>1</v>
      </c>
      <c r="C213">
        <v>0</v>
      </c>
      <c r="D213">
        <v>120</v>
      </c>
      <c r="E213">
        <v>260</v>
      </c>
      <c r="F213">
        <v>0</v>
      </c>
      <c r="G213">
        <v>1</v>
      </c>
      <c r="H213">
        <v>140</v>
      </c>
      <c r="I213">
        <v>1</v>
      </c>
      <c r="J213">
        <v>3.6</v>
      </c>
      <c r="K213">
        <v>1</v>
      </c>
      <c r="L213">
        <v>1</v>
      </c>
      <c r="M213">
        <v>3</v>
      </c>
      <c r="N213">
        <v>0</v>
      </c>
    </row>
    <row r="214" spans="1:14">
      <c r="A214">
        <v>39</v>
      </c>
      <c r="B214">
        <v>1</v>
      </c>
      <c r="C214">
        <v>0</v>
      </c>
      <c r="D214">
        <v>118</v>
      </c>
      <c r="E214">
        <v>219</v>
      </c>
      <c r="F214">
        <v>0</v>
      </c>
      <c r="G214">
        <v>1</v>
      </c>
      <c r="H214">
        <v>140</v>
      </c>
      <c r="I214">
        <v>0</v>
      </c>
      <c r="J214">
        <v>1.2</v>
      </c>
      <c r="K214">
        <v>1</v>
      </c>
      <c r="L214">
        <v>0</v>
      </c>
      <c r="M214">
        <v>3</v>
      </c>
      <c r="N214">
        <v>0</v>
      </c>
    </row>
    <row r="215" spans="1:14">
      <c r="A215">
        <v>61</v>
      </c>
      <c r="B215">
        <v>0</v>
      </c>
      <c r="C215">
        <v>0</v>
      </c>
      <c r="D215">
        <v>145</v>
      </c>
      <c r="E215">
        <v>307</v>
      </c>
      <c r="F215">
        <v>0</v>
      </c>
      <c r="G215">
        <v>0</v>
      </c>
      <c r="H215">
        <v>146</v>
      </c>
      <c r="I215">
        <v>1</v>
      </c>
      <c r="J215">
        <v>1</v>
      </c>
      <c r="K215">
        <v>1</v>
      </c>
      <c r="L215">
        <v>0</v>
      </c>
      <c r="M215">
        <v>3</v>
      </c>
      <c r="N215">
        <v>0</v>
      </c>
    </row>
    <row r="216" spans="1:14">
      <c r="A216">
        <v>56</v>
      </c>
      <c r="B216">
        <v>1</v>
      </c>
      <c r="C216">
        <v>0</v>
      </c>
      <c r="D216">
        <v>125</v>
      </c>
      <c r="E216">
        <v>249</v>
      </c>
      <c r="F216">
        <v>1</v>
      </c>
      <c r="G216">
        <v>0</v>
      </c>
      <c r="H216">
        <v>144</v>
      </c>
      <c r="I216">
        <v>1</v>
      </c>
      <c r="J216">
        <v>1.2</v>
      </c>
      <c r="K216">
        <v>1</v>
      </c>
      <c r="L216">
        <v>1</v>
      </c>
      <c r="M216">
        <v>2</v>
      </c>
      <c r="N216">
        <v>0</v>
      </c>
    </row>
    <row r="217" spans="1:14">
      <c r="A217">
        <v>43</v>
      </c>
      <c r="B217">
        <v>0</v>
      </c>
      <c r="C217">
        <v>0</v>
      </c>
      <c r="D217">
        <v>132</v>
      </c>
      <c r="E217">
        <v>341</v>
      </c>
      <c r="F217">
        <v>1</v>
      </c>
      <c r="G217">
        <v>0</v>
      </c>
      <c r="H217">
        <v>136</v>
      </c>
      <c r="I217">
        <v>1</v>
      </c>
      <c r="J217">
        <v>3</v>
      </c>
      <c r="K217">
        <v>1</v>
      </c>
      <c r="L217">
        <v>0</v>
      </c>
      <c r="M217">
        <v>3</v>
      </c>
      <c r="N217">
        <v>0</v>
      </c>
    </row>
    <row r="218" spans="1:14">
      <c r="A218">
        <v>62</v>
      </c>
      <c r="B218">
        <v>0</v>
      </c>
      <c r="C218">
        <v>2</v>
      </c>
      <c r="D218">
        <v>130</v>
      </c>
      <c r="E218">
        <v>263</v>
      </c>
      <c r="F218">
        <v>0</v>
      </c>
      <c r="G218">
        <v>1</v>
      </c>
      <c r="H218">
        <v>97</v>
      </c>
      <c r="I218">
        <v>0</v>
      </c>
      <c r="J218">
        <v>1.2</v>
      </c>
      <c r="K218">
        <v>1</v>
      </c>
      <c r="L218">
        <v>1</v>
      </c>
      <c r="M218">
        <v>3</v>
      </c>
      <c r="N218">
        <v>0</v>
      </c>
    </row>
    <row r="219" spans="1:14">
      <c r="A219">
        <v>63</v>
      </c>
      <c r="B219">
        <v>1</v>
      </c>
      <c r="C219">
        <v>0</v>
      </c>
      <c r="D219">
        <v>130</v>
      </c>
      <c r="E219">
        <v>330</v>
      </c>
      <c r="F219">
        <v>1</v>
      </c>
      <c r="G219">
        <v>0</v>
      </c>
      <c r="H219">
        <v>132</v>
      </c>
      <c r="I219">
        <v>1</v>
      </c>
      <c r="J219">
        <v>1.8</v>
      </c>
      <c r="K219">
        <v>2</v>
      </c>
      <c r="L219">
        <v>3</v>
      </c>
      <c r="M219">
        <v>3</v>
      </c>
      <c r="N219">
        <v>0</v>
      </c>
    </row>
    <row r="220" spans="1:14">
      <c r="A220">
        <v>65</v>
      </c>
      <c r="B220">
        <v>1</v>
      </c>
      <c r="C220">
        <v>0</v>
      </c>
      <c r="D220">
        <v>135</v>
      </c>
      <c r="E220">
        <v>254</v>
      </c>
      <c r="F220">
        <v>0</v>
      </c>
      <c r="G220">
        <v>0</v>
      </c>
      <c r="H220">
        <v>127</v>
      </c>
      <c r="I220">
        <v>0</v>
      </c>
      <c r="J220">
        <v>2.8</v>
      </c>
      <c r="K220">
        <v>1</v>
      </c>
      <c r="L220">
        <v>1</v>
      </c>
      <c r="M220">
        <v>3</v>
      </c>
      <c r="N220">
        <v>0</v>
      </c>
    </row>
    <row r="221" spans="1:14">
      <c r="A221">
        <v>48</v>
      </c>
      <c r="B221">
        <v>1</v>
      </c>
      <c r="C221">
        <v>0</v>
      </c>
      <c r="D221">
        <v>130</v>
      </c>
      <c r="E221">
        <v>256</v>
      </c>
      <c r="F221">
        <v>1</v>
      </c>
      <c r="G221">
        <v>0</v>
      </c>
      <c r="H221">
        <v>150</v>
      </c>
      <c r="I221">
        <v>1</v>
      </c>
      <c r="J221">
        <v>0</v>
      </c>
      <c r="K221">
        <v>2</v>
      </c>
      <c r="L221">
        <v>2</v>
      </c>
      <c r="M221">
        <v>3</v>
      </c>
      <c r="N221">
        <v>0</v>
      </c>
    </row>
    <row r="222" spans="1:14">
      <c r="A222">
        <v>63</v>
      </c>
      <c r="B222">
        <v>0</v>
      </c>
      <c r="C222">
        <v>0</v>
      </c>
      <c r="D222">
        <v>150</v>
      </c>
      <c r="E222">
        <v>407</v>
      </c>
      <c r="F222">
        <v>0</v>
      </c>
      <c r="G222">
        <v>0</v>
      </c>
      <c r="H222">
        <v>154</v>
      </c>
      <c r="I222">
        <v>0</v>
      </c>
      <c r="J222">
        <v>4</v>
      </c>
      <c r="K222">
        <v>1</v>
      </c>
      <c r="L222">
        <v>3</v>
      </c>
      <c r="M222">
        <v>3</v>
      </c>
      <c r="N222">
        <v>0</v>
      </c>
    </row>
    <row r="223" spans="1:14">
      <c r="A223">
        <v>55</v>
      </c>
      <c r="B223">
        <v>1</v>
      </c>
      <c r="C223">
        <v>0</v>
      </c>
      <c r="D223">
        <v>140</v>
      </c>
      <c r="E223">
        <v>217</v>
      </c>
      <c r="F223">
        <v>0</v>
      </c>
      <c r="G223">
        <v>1</v>
      </c>
      <c r="H223">
        <v>111</v>
      </c>
      <c r="I223">
        <v>1</v>
      </c>
      <c r="J223">
        <v>5.6</v>
      </c>
      <c r="K223">
        <v>0</v>
      </c>
      <c r="L223">
        <v>0</v>
      </c>
      <c r="M223">
        <v>3</v>
      </c>
      <c r="N223">
        <v>0</v>
      </c>
    </row>
    <row r="224" spans="1:14">
      <c r="A224">
        <v>65</v>
      </c>
      <c r="B224">
        <v>1</v>
      </c>
      <c r="C224">
        <v>3</v>
      </c>
      <c r="D224">
        <v>138</v>
      </c>
      <c r="E224">
        <v>282</v>
      </c>
      <c r="F224">
        <v>1</v>
      </c>
      <c r="G224">
        <v>0</v>
      </c>
      <c r="H224">
        <v>174</v>
      </c>
      <c r="I224">
        <v>0</v>
      </c>
      <c r="J224">
        <v>1.4</v>
      </c>
      <c r="K224">
        <v>1</v>
      </c>
      <c r="L224">
        <v>1</v>
      </c>
      <c r="M224">
        <v>2</v>
      </c>
      <c r="N224">
        <v>0</v>
      </c>
    </row>
    <row r="225" spans="1:14">
      <c r="A225">
        <v>56</v>
      </c>
      <c r="B225">
        <v>0</v>
      </c>
      <c r="C225">
        <v>0</v>
      </c>
      <c r="D225">
        <v>200</v>
      </c>
      <c r="E225">
        <v>288</v>
      </c>
      <c r="F225">
        <v>1</v>
      </c>
      <c r="G225">
        <v>0</v>
      </c>
      <c r="H225">
        <v>133</v>
      </c>
      <c r="I225">
        <v>1</v>
      </c>
      <c r="J225">
        <v>4</v>
      </c>
      <c r="K225">
        <v>0</v>
      </c>
      <c r="L225">
        <v>2</v>
      </c>
      <c r="M225">
        <v>3</v>
      </c>
      <c r="N225">
        <v>0</v>
      </c>
    </row>
    <row r="226" spans="1:14">
      <c r="A226">
        <v>54</v>
      </c>
      <c r="B226">
        <v>1</v>
      </c>
      <c r="C226">
        <v>0</v>
      </c>
      <c r="D226">
        <v>110</v>
      </c>
      <c r="E226">
        <v>239</v>
      </c>
      <c r="F226">
        <v>0</v>
      </c>
      <c r="G226">
        <v>1</v>
      </c>
      <c r="H226">
        <v>126</v>
      </c>
      <c r="I226">
        <v>1</v>
      </c>
      <c r="J226">
        <v>2.8</v>
      </c>
      <c r="K226">
        <v>1</v>
      </c>
      <c r="L226">
        <v>1</v>
      </c>
      <c r="M226">
        <v>3</v>
      </c>
      <c r="N226">
        <v>0</v>
      </c>
    </row>
    <row r="227" spans="1:14">
      <c r="A227">
        <v>70</v>
      </c>
      <c r="B227">
        <v>1</v>
      </c>
      <c r="C227">
        <v>0</v>
      </c>
      <c r="D227">
        <v>145</v>
      </c>
      <c r="E227">
        <v>174</v>
      </c>
      <c r="F227">
        <v>0</v>
      </c>
      <c r="G227">
        <v>1</v>
      </c>
      <c r="H227">
        <v>125</v>
      </c>
      <c r="I227">
        <v>1</v>
      </c>
      <c r="J227">
        <v>2.6</v>
      </c>
      <c r="K227">
        <v>0</v>
      </c>
      <c r="L227">
        <v>0</v>
      </c>
      <c r="M227">
        <v>3</v>
      </c>
      <c r="N227">
        <v>0</v>
      </c>
    </row>
    <row r="228" spans="1:14">
      <c r="A228">
        <v>62</v>
      </c>
      <c r="B228">
        <v>1</v>
      </c>
      <c r="C228">
        <v>1</v>
      </c>
      <c r="D228">
        <v>120</v>
      </c>
      <c r="E228">
        <v>281</v>
      </c>
      <c r="F228">
        <v>0</v>
      </c>
      <c r="G228">
        <v>0</v>
      </c>
      <c r="H228">
        <v>103</v>
      </c>
      <c r="I228">
        <v>0</v>
      </c>
      <c r="J228">
        <v>1.4</v>
      </c>
      <c r="K228">
        <v>1</v>
      </c>
      <c r="L228">
        <v>1</v>
      </c>
      <c r="M228">
        <v>3</v>
      </c>
      <c r="N228">
        <v>0</v>
      </c>
    </row>
    <row r="229" spans="1:14">
      <c r="A229">
        <v>35</v>
      </c>
      <c r="B229">
        <v>1</v>
      </c>
      <c r="C229">
        <v>0</v>
      </c>
      <c r="D229">
        <v>120</v>
      </c>
      <c r="E229">
        <v>198</v>
      </c>
      <c r="F229">
        <v>0</v>
      </c>
      <c r="G229">
        <v>1</v>
      </c>
      <c r="H229">
        <v>130</v>
      </c>
      <c r="I229">
        <v>1</v>
      </c>
      <c r="J229">
        <v>1.6</v>
      </c>
      <c r="K229">
        <v>1</v>
      </c>
      <c r="L229">
        <v>0</v>
      </c>
      <c r="M229">
        <v>3</v>
      </c>
      <c r="N229">
        <v>0</v>
      </c>
    </row>
    <row r="230" spans="1:14">
      <c r="A230">
        <v>59</v>
      </c>
      <c r="B230">
        <v>1</v>
      </c>
      <c r="C230">
        <v>3</v>
      </c>
      <c r="D230">
        <v>170</v>
      </c>
      <c r="E230">
        <v>288</v>
      </c>
      <c r="F230">
        <v>0</v>
      </c>
      <c r="G230">
        <v>0</v>
      </c>
      <c r="H230">
        <v>159</v>
      </c>
      <c r="I230">
        <v>0</v>
      </c>
      <c r="J230">
        <v>0.2</v>
      </c>
      <c r="K230">
        <v>1</v>
      </c>
      <c r="L230">
        <v>0</v>
      </c>
      <c r="M230">
        <v>3</v>
      </c>
      <c r="N230">
        <v>0</v>
      </c>
    </row>
    <row r="231" spans="1:14">
      <c r="A231">
        <v>64</v>
      </c>
      <c r="B231">
        <v>1</v>
      </c>
      <c r="C231">
        <v>2</v>
      </c>
      <c r="D231">
        <v>125</v>
      </c>
      <c r="E231">
        <v>309</v>
      </c>
      <c r="F231">
        <v>0</v>
      </c>
      <c r="G231">
        <v>1</v>
      </c>
      <c r="H231">
        <v>131</v>
      </c>
      <c r="I231">
        <v>1</v>
      </c>
      <c r="J231">
        <v>1.8</v>
      </c>
      <c r="K231">
        <v>1</v>
      </c>
      <c r="L231">
        <v>0</v>
      </c>
      <c r="M231">
        <v>3</v>
      </c>
      <c r="N231">
        <v>0</v>
      </c>
    </row>
    <row r="232" spans="1:14">
      <c r="A232">
        <v>47</v>
      </c>
      <c r="B232">
        <v>1</v>
      </c>
      <c r="C232">
        <v>2</v>
      </c>
      <c r="D232">
        <v>108</v>
      </c>
      <c r="E232">
        <v>243</v>
      </c>
      <c r="F232">
        <v>0</v>
      </c>
      <c r="G232">
        <v>1</v>
      </c>
      <c r="H232">
        <v>152</v>
      </c>
      <c r="I232">
        <v>0</v>
      </c>
      <c r="J232">
        <v>0</v>
      </c>
      <c r="K232">
        <v>2</v>
      </c>
      <c r="L232">
        <v>0</v>
      </c>
      <c r="M232">
        <v>2</v>
      </c>
      <c r="N232">
        <v>0</v>
      </c>
    </row>
    <row r="233" spans="1:14">
      <c r="A233">
        <v>57</v>
      </c>
      <c r="B233">
        <v>1</v>
      </c>
      <c r="C233">
        <v>0</v>
      </c>
      <c r="D233">
        <v>165</v>
      </c>
      <c r="E233">
        <v>289</v>
      </c>
      <c r="F233">
        <v>1</v>
      </c>
      <c r="G233">
        <v>0</v>
      </c>
      <c r="H233">
        <v>124</v>
      </c>
      <c r="I233">
        <v>0</v>
      </c>
      <c r="J233">
        <v>1</v>
      </c>
      <c r="K233">
        <v>1</v>
      </c>
      <c r="L233">
        <v>3</v>
      </c>
      <c r="M233">
        <v>3</v>
      </c>
      <c r="N233">
        <v>0</v>
      </c>
    </row>
    <row r="234" spans="1:14">
      <c r="A234">
        <v>55</v>
      </c>
      <c r="B234">
        <v>1</v>
      </c>
      <c r="C234">
        <v>0</v>
      </c>
      <c r="D234">
        <v>160</v>
      </c>
      <c r="E234">
        <v>289</v>
      </c>
      <c r="F234">
        <v>0</v>
      </c>
      <c r="G234">
        <v>0</v>
      </c>
      <c r="H234">
        <v>145</v>
      </c>
      <c r="I234">
        <v>1</v>
      </c>
      <c r="J234">
        <v>0.8</v>
      </c>
      <c r="K234">
        <v>1</v>
      </c>
      <c r="L234">
        <v>1</v>
      </c>
      <c r="M234">
        <v>3</v>
      </c>
      <c r="N234">
        <v>0</v>
      </c>
    </row>
    <row r="235" spans="1:14">
      <c r="A235">
        <v>64</v>
      </c>
      <c r="B235">
        <v>1</v>
      </c>
      <c r="C235">
        <v>0</v>
      </c>
      <c r="D235">
        <v>120</v>
      </c>
      <c r="E235">
        <v>246</v>
      </c>
      <c r="F235">
        <v>0</v>
      </c>
      <c r="G235">
        <v>0</v>
      </c>
      <c r="H235">
        <v>96</v>
      </c>
      <c r="I235">
        <v>1</v>
      </c>
      <c r="J235">
        <v>2.2000000000000002</v>
      </c>
      <c r="K235">
        <v>0</v>
      </c>
      <c r="L235">
        <v>1</v>
      </c>
      <c r="M235">
        <v>2</v>
      </c>
      <c r="N235">
        <v>0</v>
      </c>
    </row>
    <row r="236" spans="1:14">
      <c r="A236">
        <v>70</v>
      </c>
      <c r="B236">
        <v>1</v>
      </c>
      <c r="C236">
        <v>0</v>
      </c>
      <c r="D236">
        <v>130</v>
      </c>
      <c r="E236">
        <v>322</v>
      </c>
      <c r="F236">
        <v>0</v>
      </c>
      <c r="G236">
        <v>0</v>
      </c>
      <c r="H236">
        <v>109</v>
      </c>
      <c r="I236">
        <v>0</v>
      </c>
      <c r="J236">
        <v>2.4</v>
      </c>
      <c r="K236">
        <v>1</v>
      </c>
      <c r="L236">
        <v>3</v>
      </c>
      <c r="M236">
        <v>2</v>
      </c>
      <c r="N236">
        <v>0</v>
      </c>
    </row>
    <row r="237" spans="1:14">
      <c r="A237">
        <v>51</v>
      </c>
      <c r="B237">
        <v>1</v>
      </c>
      <c r="C237">
        <v>0</v>
      </c>
      <c r="D237">
        <v>140</v>
      </c>
      <c r="E237">
        <v>299</v>
      </c>
      <c r="F237">
        <v>0</v>
      </c>
      <c r="G237">
        <v>1</v>
      </c>
      <c r="H237">
        <v>173</v>
      </c>
      <c r="I237">
        <v>1</v>
      </c>
      <c r="J237">
        <v>1.6</v>
      </c>
      <c r="K237">
        <v>2</v>
      </c>
      <c r="L237">
        <v>0</v>
      </c>
      <c r="M237">
        <v>3</v>
      </c>
      <c r="N237">
        <v>0</v>
      </c>
    </row>
    <row r="238" spans="1:14">
      <c r="A238">
        <v>58</v>
      </c>
      <c r="B238">
        <v>1</v>
      </c>
      <c r="C238">
        <v>0</v>
      </c>
      <c r="D238">
        <v>125</v>
      </c>
      <c r="E238">
        <v>300</v>
      </c>
      <c r="F238">
        <v>0</v>
      </c>
      <c r="G238">
        <v>0</v>
      </c>
      <c r="H238">
        <v>171</v>
      </c>
      <c r="I238">
        <v>0</v>
      </c>
      <c r="J238">
        <v>0</v>
      </c>
      <c r="K238">
        <v>2</v>
      </c>
      <c r="L238">
        <v>2</v>
      </c>
      <c r="M238">
        <v>3</v>
      </c>
      <c r="N238">
        <v>0</v>
      </c>
    </row>
    <row r="239" spans="1:14">
      <c r="A239">
        <v>60</v>
      </c>
      <c r="B239">
        <v>1</v>
      </c>
      <c r="C239">
        <v>0</v>
      </c>
      <c r="D239">
        <v>140</v>
      </c>
      <c r="E239">
        <v>293</v>
      </c>
      <c r="F239">
        <v>0</v>
      </c>
      <c r="G239">
        <v>0</v>
      </c>
      <c r="H239">
        <v>170</v>
      </c>
      <c r="I239">
        <v>0</v>
      </c>
      <c r="J239">
        <v>1.2</v>
      </c>
      <c r="K239">
        <v>1</v>
      </c>
      <c r="L239">
        <v>2</v>
      </c>
      <c r="M239">
        <v>3</v>
      </c>
      <c r="N239">
        <v>0</v>
      </c>
    </row>
    <row r="240" spans="1:14">
      <c r="A240">
        <v>77</v>
      </c>
      <c r="B240">
        <v>1</v>
      </c>
      <c r="C240">
        <v>0</v>
      </c>
      <c r="D240">
        <v>125</v>
      </c>
      <c r="E240">
        <v>304</v>
      </c>
      <c r="F240">
        <v>0</v>
      </c>
      <c r="G240">
        <v>0</v>
      </c>
      <c r="H240">
        <v>162</v>
      </c>
      <c r="I240">
        <v>1</v>
      </c>
      <c r="J240">
        <v>0</v>
      </c>
      <c r="K240">
        <v>2</v>
      </c>
      <c r="L240">
        <v>3</v>
      </c>
      <c r="M240">
        <v>2</v>
      </c>
      <c r="N240">
        <v>0</v>
      </c>
    </row>
    <row r="241" spans="1:14">
      <c r="A241">
        <v>35</v>
      </c>
      <c r="B241">
        <v>1</v>
      </c>
      <c r="C241">
        <v>0</v>
      </c>
      <c r="D241">
        <v>126</v>
      </c>
      <c r="E241">
        <v>282</v>
      </c>
      <c r="F241">
        <v>0</v>
      </c>
      <c r="G241">
        <v>0</v>
      </c>
      <c r="H241">
        <v>156</v>
      </c>
      <c r="I241">
        <v>1</v>
      </c>
      <c r="J241">
        <v>0</v>
      </c>
      <c r="K241">
        <v>2</v>
      </c>
      <c r="L241">
        <v>0</v>
      </c>
      <c r="M241">
        <v>3</v>
      </c>
      <c r="N241">
        <v>0</v>
      </c>
    </row>
    <row r="242" spans="1:14">
      <c r="A242">
        <v>70</v>
      </c>
      <c r="B242">
        <v>1</v>
      </c>
      <c r="C242">
        <v>2</v>
      </c>
      <c r="D242">
        <v>160</v>
      </c>
      <c r="E242">
        <v>269</v>
      </c>
      <c r="F242">
        <v>0</v>
      </c>
      <c r="G242">
        <v>1</v>
      </c>
      <c r="H242">
        <v>112</v>
      </c>
      <c r="I242">
        <v>1</v>
      </c>
      <c r="J242">
        <v>2.9</v>
      </c>
      <c r="K242">
        <v>1</v>
      </c>
      <c r="L242">
        <v>1</v>
      </c>
      <c r="M242">
        <v>3</v>
      </c>
      <c r="N242">
        <v>0</v>
      </c>
    </row>
    <row r="243" spans="1:14">
      <c r="A243">
        <v>59</v>
      </c>
      <c r="B243">
        <v>0</v>
      </c>
      <c r="C243">
        <v>0</v>
      </c>
      <c r="D243">
        <v>174</v>
      </c>
      <c r="E243">
        <v>249</v>
      </c>
      <c r="F243">
        <v>0</v>
      </c>
      <c r="G243">
        <v>1</v>
      </c>
      <c r="H243">
        <v>143</v>
      </c>
      <c r="I243">
        <v>1</v>
      </c>
      <c r="J243">
        <v>0</v>
      </c>
      <c r="K243">
        <v>1</v>
      </c>
      <c r="L243">
        <v>0</v>
      </c>
      <c r="M243">
        <v>2</v>
      </c>
      <c r="N243">
        <v>0</v>
      </c>
    </row>
    <row r="244" spans="1:14">
      <c r="A244">
        <v>64</v>
      </c>
      <c r="B244">
        <v>1</v>
      </c>
      <c r="C244">
        <v>0</v>
      </c>
      <c r="D244">
        <v>145</v>
      </c>
      <c r="E244">
        <v>212</v>
      </c>
      <c r="F244">
        <v>0</v>
      </c>
      <c r="G244">
        <v>0</v>
      </c>
      <c r="H244">
        <v>132</v>
      </c>
      <c r="I244">
        <v>0</v>
      </c>
      <c r="J244">
        <v>2</v>
      </c>
      <c r="K244">
        <v>1</v>
      </c>
      <c r="L244">
        <v>2</v>
      </c>
      <c r="M244">
        <v>1</v>
      </c>
      <c r="N244">
        <v>0</v>
      </c>
    </row>
    <row r="245" spans="1:14">
      <c r="A245">
        <v>57</v>
      </c>
      <c r="B245">
        <v>1</v>
      </c>
      <c r="C245">
        <v>0</v>
      </c>
      <c r="D245">
        <v>152</v>
      </c>
      <c r="E245">
        <v>274</v>
      </c>
      <c r="F245">
        <v>0</v>
      </c>
      <c r="G245">
        <v>1</v>
      </c>
      <c r="H245">
        <v>88</v>
      </c>
      <c r="I245">
        <v>1</v>
      </c>
      <c r="J245">
        <v>1.2</v>
      </c>
      <c r="K245">
        <v>1</v>
      </c>
      <c r="L245">
        <v>1</v>
      </c>
      <c r="M245">
        <v>3</v>
      </c>
      <c r="N245">
        <v>0</v>
      </c>
    </row>
    <row r="246" spans="1:14">
      <c r="A246">
        <v>56</v>
      </c>
      <c r="B246">
        <v>1</v>
      </c>
      <c r="C246">
        <v>0</v>
      </c>
      <c r="D246">
        <v>132</v>
      </c>
      <c r="E246">
        <v>184</v>
      </c>
      <c r="F246">
        <v>0</v>
      </c>
      <c r="G246">
        <v>0</v>
      </c>
      <c r="H246">
        <v>105</v>
      </c>
      <c r="I246">
        <v>1</v>
      </c>
      <c r="J246">
        <v>2.1</v>
      </c>
      <c r="K246">
        <v>1</v>
      </c>
      <c r="L246">
        <v>1</v>
      </c>
      <c r="M246">
        <v>1</v>
      </c>
      <c r="N246">
        <v>0</v>
      </c>
    </row>
    <row r="247" spans="1:14">
      <c r="A247">
        <v>48</v>
      </c>
      <c r="B247">
        <v>1</v>
      </c>
      <c r="C247">
        <v>0</v>
      </c>
      <c r="D247">
        <v>124</v>
      </c>
      <c r="E247">
        <v>274</v>
      </c>
      <c r="F247">
        <v>0</v>
      </c>
      <c r="G247">
        <v>0</v>
      </c>
      <c r="H247">
        <v>166</v>
      </c>
      <c r="I247">
        <v>0</v>
      </c>
      <c r="J247">
        <v>0.5</v>
      </c>
      <c r="K247">
        <v>1</v>
      </c>
      <c r="L247">
        <v>0</v>
      </c>
      <c r="M247">
        <v>3</v>
      </c>
      <c r="N247">
        <v>0</v>
      </c>
    </row>
    <row r="248" spans="1:14">
      <c r="A248">
        <v>56</v>
      </c>
      <c r="B248">
        <v>0</v>
      </c>
      <c r="C248">
        <v>0</v>
      </c>
      <c r="D248">
        <v>134</v>
      </c>
      <c r="E248">
        <v>409</v>
      </c>
      <c r="F248">
        <v>0</v>
      </c>
      <c r="G248">
        <v>0</v>
      </c>
      <c r="H248">
        <v>150</v>
      </c>
      <c r="I248">
        <v>1</v>
      </c>
      <c r="J248">
        <v>1.9</v>
      </c>
      <c r="K248">
        <v>1</v>
      </c>
      <c r="L248">
        <v>2</v>
      </c>
      <c r="M248">
        <v>3</v>
      </c>
      <c r="N248">
        <v>0</v>
      </c>
    </row>
    <row r="249" spans="1:14">
      <c r="A249">
        <v>66</v>
      </c>
      <c r="B249">
        <v>1</v>
      </c>
      <c r="C249">
        <v>1</v>
      </c>
      <c r="D249">
        <v>160</v>
      </c>
      <c r="E249">
        <v>246</v>
      </c>
      <c r="F249">
        <v>0</v>
      </c>
      <c r="G249">
        <v>1</v>
      </c>
      <c r="H249">
        <v>120</v>
      </c>
      <c r="I249">
        <v>1</v>
      </c>
      <c r="J249">
        <v>0</v>
      </c>
      <c r="K249">
        <v>1</v>
      </c>
      <c r="L249">
        <v>3</v>
      </c>
      <c r="M249">
        <v>1</v>
      </c>
      <c r="N249">
        <v>0</v>
      </c>
    </row>
    <row r="250" spans="1:14">
      <c r="A250">
        <v>54</v>
      </c>
      <c r="B250">
        <v>1</v>
      </c>
      <c r="C250">
        <v>1</v>
      </c>
      <c r="D250">
        <v>192</v>
      </c>
      <c r="E250">
        <v>283</v>
      </c>
      <c r="F250">
        <v>0</v>
      </c>
      <c r="G250">
        <v>0</v>
      </c>
      <c r="H250">
        <v>195</v>
      </c>
      <c r="I250">
        <v>0</v>
      </c>
      <c r="J250">
        <v>0</v>
      </c>
      <c r="K250">
        <v>2</v>
      </c>
      <c r="L250">
        <v>1</v>
      </c>
      <c r="M250">
        <v>3</v>
      </c>
      <c r="N250">
        <v>0</v>
      </c>
    </row>
    <row r="251" spans="1:14">
      <c r="A251">
        <v>69</v>
      </c>
      <c r="B251">
        <v>1</v>
      </c>
      <c r="C251">
        <v>2</v>
      </c>
      <c r="D251">
        <v>140</v>
      </c>
      <c r="E251">
        <v>254</v>
      </c>
      <c r="F251">
        <v>0</v>
      </c>
      <c r="G251">
        <v>0</v>
      </c>
      <c r="H251">
        <v>146</v>
      </c>
      <c r="I251">
        <v>0</v>
      </c>
      <c r="J251">
        <v>2</v>
      </c>
      <c r="K251">
        <v>1</v>
      </c>
      <c r="L251">
        <v>3</v>
      </c>
      <c r="M251">
        <v>3</v>
      </c>
      <c r="N251">
        <v>0</v>
      </c>
    </row>
    <row r="252" spans="1:14">
      <c r="A252">
        <v>51</v>
      </c>
      <c r="B252">
        <v>1</v>
      </c>
      <c r="C252">
        <v>0</v>
      </c>
      <c r="D252">
        <v>140</v>
      </c>
      <c r="E252">
        <v>298</v>
      </c>
      <c r="F252">
        <v>0</v>
      </c>
      <c r="G252">
        <v>1</v>
      </c>
      <c r="H252">
        <v>122</v>
      </c>
      <c r="I252">
        <v>1</v>
      </c>
      <c r="J252">
        <v>4.2</v>
      </c>
      <c r="K252">
        <v>1</v>
      </c>
      <c r="L252">
        <v>3</v>
      </c>
      <c r="M252">
        <v>3</v>
      </c>
      <c r="N252">
        <v>0</v>
      </c>
    </row>
    <row r="253" spans="1:14">
      <c r="A253">
        <v>43</v>
      </c>
      <c r="B253">
        <v>1</v>
      </c>
      <c r="C253">
        <v>0</v>
      </c>
      <c r="D253">
        <v>132</v>
      </c>
      <c r="E253">
        <v>247</v>
      </c>
      <c r="F253">
        <v>1</v>
      </c>
      <c r="G253">
        <v>0</v>
      </c>
      <c r="H253">
        <v>143</v>
      </c>
      <c r="I253">
        <v>1</v>
      </c>
      <c r="J253">
        <v>0.1</v>
      </c>
      <c r="K253">
        <v>1</v>
      </c>
      <c r="L253">
        <v>4</v>
      </c>
      <c r="M253">
        <v>3</v>
      </c>
      <c r="N253">
        <v>0</v>
      </c>
    </row>
    <row r="254" spans="1:14">
      <c r="A254">
        <v>62</v>
      </c>
      <c r="B254">
        <v>0</v>
      </c>
      <c r="C254">
        <v>0</v>
      </c>
      <c r="D254">
        <v>138</v>
      </c>
      <c r="E254">
        <v>294</v>
      </c>
      <c r="F254">
        <v>1</v>
      </c>
      <c r="G254">
        <v>1</v>
      </c>
      <c r="H254">
        <v>106</v>
      </c>
      <c r="I254">
        <v>0</v>
      </c>
      <c r="J254">
        <v>1.9</v>
      </c>
      <c r="K254">
        <v>1</v>
      </c>
      <c r="L254">
        <v>3</v>
      </c>
      <c r="M254">
        <v>2</v>
      </c>
      <c r="N254">
        <v>0</v>
      </c>
    </row>
    <row r="255" spans="1:14">
      <c r="A255">
        <v>67</v>
      </c>
      <c r="B255">
        <v>1</v>
      </c>
      <c r="C255">
        <v>0</v>
      </c>
      <c r="D255">
        <v>100</v>
      </c>
      <c r="E255">
        <v>299</v>
      </c>
      <c r="F255">
        <v>0</v>
      </c>
      <c r="G255">
        <v>0</v>
      </c>
      <c r="H255">
        <v>125</v>
      </c>
      <c r="I255">
        <v>1</v>
      </c>
      <c r="J255">
        <v>0.9</v>
      </c>
      <c r="K255">
        <v>1</v>
      </c>
      <c r="L255">
        <v>2</v>
      </c>
      <c r="M255">
        <v>2</v>
      </c>
      <c r="N255">
        <v>0</v>
      </c>
    </row>
    <row r="256" spans="1:14">
      <c r="A256">
        <v>59</v>
      </c>
      <c r="B256">
        <v>1</v>
      </c>
      <c r="C256">
        <v>3</v>
      </c>
      <c r="D256">
        <v>160</v>
      </c>
      <c r="E256">
        <v>273</v>
      </c>
      <c r="F256">
        <v>0</v>
      </c>
      <c r="G256">
        <v>0</v>
      </c>
      <c r="H256">
        <v>125</v>
      </c>
      <c r="I256">
        <v>0</v>
      </c>
      <c r="J256">
        <v>0</v>
      </c>
      <c r="K256">
        <v>2</v>
      </c>
      <c r="L256">
        <v>0</v>
      </c>
      <c r="M256">
        <v>2</v>
      </c>
      <c r="N256">
        <v>0</v>
      </c>
    </row>
    <row r="257" spans="1:14">
      <c r="A257">
        <v>45</v>
      </c>
      <c r="B257">
        <v>1</v>
      </c>
      <c r="C257">
        <v>0</v>
      </c>
      <c r="D257">
        <v>142</v>
      </c>
      <c r="E257">
        <v>309</v>
      </c>
      <c r="F257">
        <v>0</v>
      </c>
      <c r="G257">
        <v>0</v>
      </c>
      <c r="H257">
        <v>147</v>
      </c>
      <c r="I257">
        <v>1</v>
      </c>
      <c r="J257">
        <v>0</v>
      </c>
      <c r="K257">
        <v>1</v>
      </c>
      <c r="L257">
        <v>3</v>
      </c>
      <c r="M257">
        <v>3</v>
      </c>
      <c r="N257">
        <v>0</v>
      </c>
    </row>
    <row r="258" spans="1:14">
      <c r="A258">
        <v>58</v>
      </c>
      <c r="B258">
        <v>1</v>
      </c>
      <c r="C258">
        <v>0</v>
      </c>
      <c r="D258">
        <v>128</v>
      </c>
      <c r="E258">
        <v>259</v>
      </c>
      <c r="F258">
        <v>0</v>
      </c>
      <c r="G258">
        <v>0</v>
      </c>
      <c r="H258">
        <v>130</v>
      </c>
      <c r="I258">
        <v>1</v>
      </c>
      <c r="J258">
        <v>3</v>
      </c>
      <c r="K258">
        <v>1</v>
      </c>
      <c r="L258">
        <v>2</v>
      </c>
      <c r="M258">
        <v>3</v>
      </c>
      <c r="N258">
        <v>0</v>
      </c>
    </row>
    <row r="259" spans="1:14">
      <c r="A259">
        <v>50</v>
      </c>
      <c r="B259">
        <v>1</v>
      </c>
      <c r="C259">
        <v>0</v>
      </c>
      <c r="D259">
        <v>144</v>
      </c>
      <c r="E259">
        <v>200</v>
      </c>
      <c r="F259">
        <v>0</v>
      </c>
      <c r="G259">
        <v>0</v>
      </c>
      <c r="H259">
        <v>126</v>
      </c>
      <c r="I259">
        <v>1</v>
      </c>
      <c r="J259">
        <v>0.9</v>
      </c>
      <c r="K259">
        <v>1</v>
      </c>
      <c r="L259">
        <v>0</v>
      </c>
      <c r="M259">
        <v>3</v>
      </c>
      <c r="N259">
        <v>0</v>
      </c>
    </row>
    <row r="260" spans="1:14">
      <c r="A260">
        <v>62</v>
      </c>
      <c r="B260">
        <v>0</v>
      </c>
      <c r="C260">
        <v>0</v>
      </c>
      <c r="D260">
        <v>150</v>
      </c>
      <c r="E260">
        <v>244</v>
      </c>
      <c r="F260">
        <v>0</v>
      </c>
      <c r="G260">
        <v>1</v>
      </c>
      <c r="H260">
        <v>154</v>
      </c>
      <c r="I260">
        <v>1</v>
      </c>
      <c r="J260">
        <v>1.4</v>
      </c>
      <c r="K260">
        <v>1</v>
      </c>
      <c r="L260">
        <v>0</v>
      </c>
      <c r="M260">
        <v>2</v>
      </c>
      <c r="N260">
        <v>0</v>
      </c>
    </row>
    <row r="261" spans="1:14">
      <c r="A261">
        <v>38</v>
      </c>
      <c r="B261">
        <v>1</v>
      </c>
      <c r="C261">
        <v>3</v>
      </c>
      <c r="D261">
        <v>120</v>
      </c>
      <c r="E261">
        <v>231</v>
      </c>
      <c r="F261">
        <v>0</v>
      </c>
      <c r="G261">
        <v>1</v>
      </c>
      <c r="H261">
        <v>182</v>
      </c>
      <c r="I261">
        <v>1</v>
      </c>
      <c r="J261">
        <v>3.8</v>
      </c>
      <c r="K261">
        <v>1</v>
      </c>
      <c r="L261">
        <v>0</v>
      </c>
      <c r="M261">
        <v>3</v>
      </c>
      <c r="N261">
        <v>0</v>
      </c>
    </row>
    <row r="262" spans="1:14">
      <c r="A262">
        <v>66</v>
      </c>
      <c r="B262">
        <v>0</v>
      </c>
      <c r="C262">
        <v>0</v>
      </c>
      <c r="D262">
        <v>178</v>
      </c>
      <c r="E262">
        <v>228</v>
      </c>
      <c r="F262">
        <v>1</v>
      </c>
      <c r="G262">
        <v>1</v>
      </c>
      <c r="H262">
        <v>165</v>
      </c>
      <c r="I262">
        <v>1</v>
      </c>
      <c r="J262">
        <v>1</v>
      </c>
      <c r="K262">
        <v>1</v>
      </c>
      <c r="L262">
        <v>2</v>
      </c>
      <c r="M262">
        <v>3</v>
      </c>
      <c r="N262">
        <v>0</v>
      </c>
    </row>
    <row r="263" spans="1:14">
      <c r="A263">
        <v>52</v>
      </c>
      <c r="B263">
        <v>1</v>
      </c>
      <c r="C263">
        <v>0</v>
      </c>
      <c r="D263">
        <v>112</v>
      </c>
      <c r="E263">
        <v>230</v>
      </c>
      <c r="F263">
        <v>0</v>
      </c>
      <c r="G263">
        <v>1</v>
      </c>
      <c r="H263">
        <v>160</v>
      </c>
      <c r="I263">
        <v>0</v>
      </c>
      <c r="J263">
        <v>0</v>
      </c>
      <c r="K263">
        <v>2</v>
      </c>
      <c r="L263">
        <v>1</v>
      </c>
      <c r="M263">
        <v>2</v>
      </c>
      <c r="N263">
        <v>0</v>
      </c>
    </row>
    <row r="264" spans="1:14">
      <c r="A264">
        <v>53</v>
      </c>
      <c r="B264">
        <v>1</v>
      </c>
      <c r="C264">
        <v>0</v>
      </c>
      <c r="D264">
        <v>123</v>
      </c>
      <c r="E264">
        <v>282</v>
      </c>
      <c r="F264">
        <v>0</v>
      </c>
      <c r="G264">
        <v>1</v>
      </c>
      <c r="H264">
        <v>95</v>
      </c>
      <c r="I264">
        <v>1</v>
      </c>
      <c r="J264">
        <v>2</v>
      </c>
      <c r="K264">
        <v>1</v>
      </c>
      <c r="L264">
        <v>2</v>
      </c>
      <c r="M264">
        <v>3</v>
      </c>
      <c r="N264">
        <v>0</v>
      </c>
    </row>
    <row r="265" spans="1:14">
      <c r="A265">
        <v>63</v>
      </c>
      <c r="B265">
        <v>0</v>
      </c>
      <c r="C265">
        <v>0</v>
      </c>
      <c r="D265">
        <v>108</v>
      </c>
      <c r="E265">
        <v>269</v>
      </c>
      <c r="F265">
        <v>0</v>
      </c>
      <c r="G265">
        <v>1</v>
      </c>
      <c r="H265">
        <v>169</v>
      </c>
      <c r="I265">
        <v>1</v>
      </c>
      <c r="J265">
        <v>1.8</v>
      </c>
      <c r="K265">
        <v>1</v>
      </c>
      <c r="L265">
        <v>2</v>
      </c>
      <c r="M265">
        <v>2</v>
      </c>
      <c r="N265">
        <v>0</v>
      </c>
    </row>
    <row r="266" spans="1:14">
      <c r="A266">
        <v>54</v>
      </c>
      <c r="B266">
        <v>1</v>
      </c>
      <c r="C266">
        <v>0</v>
      </c>
      <c r="D266">
        <v>110</v>
      </c>
      <c r="E266">
        <v>206</v>
      </c>
      <c r="F266">
        <v>0</v>
      </c>
      <c r="G266">
        <v>0</v>
      </c>
      <c r="H266">
        <v>108</v>
      </c>
      <c r="I266">
        <v>1</v>
      </c>
      <c r="J266">
        <v>0</v>
      </c>
      <c r="K266">
        <v>1</v>
      </c>
      <c r="L266">
        <v>1</v>
      </c>
      <c r="M266">
        <v>2</v>
      </c>
      <c r="N266">
        <v>0</v>
      </c>
    </row>
    <row r="267" spans="1:14">
      <c r="A267">
        <v>66</v>
      </c>
      <c r="B267">
        <v>1</v>
      </c>
      <c r="C267">
        <v>0</v>
      </c>
      <c r="D267">
        <v>112</v>
      </c>
      <c r="E267">
        <v>212</v>
      </c>
      <c r="F267">
        <v>0</v>
      </c>
      <c r="G267">
        <v>0</v>
      </c>
      <c r="H267">
        <v>132</v>
      </c>
      <c r="I267">
        <v>1</v>
      </c>
      <c r="J267">
        <v>0.1</v>
      </c>
      <c r="K267">
        <v>2</v>
      </c>
      <c r="L267">
        <v>1</v>
      </c>
      <c r="M267">
        <v>2</v>
      </c>
      <c r="N267">
        <v>0</v>
      </c>
    </row>
    <row r="268" spans="1:14">
      <c r="A268">
        <v>55</v>
      </c>
      <c r="B268">
        <v>0</v>
      </c>
      <c r="C268">
        <v>0</v>
      </c>
      <c r="D268">
        <v>180</v>
      </c>
      <c r="E268">
        <v>327</v>
      </c>
      <c r="F268">
        <v>0</v>
      </c>
      <c r="G268">
        <v>2</v>
      </c>
      <c r="H268">
        <v>117</v>
      </c>
      <c r="I268">
        <v>1</v>
      </c>
      <c r="J268">
        <v>3.4</v>
      </c>
      <c r="K268">
        <v>1</v>
      </c>
      <c r="L268">
        <v>0</v>
      </c>
      <c r="M268">
        <v>2</v>
      </c>
      <c r="N268">
        <v>0</v>
      </c>
    </row>
    <row r="269" spans="1:14">
      <c r="A269">
        <v>49</v>
      </c>
      <c r="B269">
        <v>1</v>
      </c>
      <c r="C269">
        <v>2</v>
      </c>
      <c r="D269">
        <v>118</v>
      </c>
      <c r="E269">
        <v>149</v>
      </c>
      <c r="F269">
        <v>0</v>
      </c>
      <c r="G269">
        <v>0</v>
      </c>
      <c r="H269">
        <v>126</v>
      </c>
      <c r="I269">
        <v>0</v>
      </c>
      <c r="J269">
        <v>0.8</v>
      </c>
      <c r="K269">
        <v>2</v>
      </c>
      <c r="L269">
        <v>3</v>
      </c>
      <c r="M269">
        <v>2</v>
      </c>
      <c r="N269">
        <v>0</v>
      </c>
    </row>
    <row r="270" spans="1:14">
      <c r="A270">
        <v>54</v>
      </c>
      <c r="B270">
        <v>1</v>
      </c>
      <c r="C270">
        <v>0</v>
      </c>
      <c r="D270">
        <v>122</v>
      </c>
      <c r="E270">
        <v>286</v>
      </c>
      <c r="F270">
        <v>0</v>
      </c>
      <c r="G270">
        <v>0</v>
      </c>
      <c r="H270">
        <v>116</v>
      </c>
      <c r="I270">
        <v>1</v>
      </c>
      <c r="J270">
        <v>3.2</v>
      </c>
      <c r="K270">
        <v>1</v>
      </c>
      <c r="L270">
        <v>2</v>
      </c>
      <c r="M270">
        <v>2</v>
      </c>
      <c r="N270">
        <v>0</v>
      </c>
    </row>
    <row r="271" spans="1:14">
      <c r="A271">
        <v>56</v>
      </c>
      <c r="B271">
        <v>1</v>
      </c>
      <c r="C271">
        <v>0</v>
      </c>
      <c r="D271">
        <v>130</v>
      </c>
      <c r="E271">
        <v>283</v>
      </c>
      <c r="F271">
        <v>1</v>
      </c>
      <c r="G271">
        <v>0</v>
      </c>
      <c r="H271">
        <v>103</v>
      </c>
      <c r="I271">
        <v>1</v>
      </c>
      <c r="J271">
        <v>1.6</v>
      </c>
      <c r="K271">
        <v>0</v>
      </c>
      <c r="L271">
        <v>0</v>
      </c>
      <c r="M271">
        <v>3</v>
      </c>
      <c r="N271">
        <v>0</v>
      </c>
    </row>
    <row r="272" spans="1:14">
      <c r="A272">
        <v>46</v>
      </c>
      <c r="B272">
        <v>1</v>
      </c>
      <c r="C272">
        <v>0</v>
      </c>
      <c r="D272">
        <v>120</v>
      </c>
      <c r="E272">
        <v>249</v>
      </c>
      <c r="F272">
        <v>0</v>
      </c>
      <c r="G272">
        <v>0</v>
      </c>
      <c r="H272">
        <v>144</v>
      </c>
      <c r="I272">
        <v>0</v>
      </c>
      <c r="J272">
        <v>0.8</v>
      </c>
      <c r="K272">
        <v>2</v>
      </c>
      <c r="L272">
        <v>0</v>
      </c>
      <c r="M272">
        <v>3</v>
      </c>
      <c r="N272">
        <v>0</v>
      </c>
    </row>
    <row r="273" spans="1:14">
      <c r="A273">
        <v>61</v>
      </c>
      <c r="B273">
        <v>1</v>
      </c>
      <c r="C273">
        <v>3</v>
      </c>
      <c r="D273">
        <v>134</v>
      </c>
      <c r="E273">
        <v>234</v>
      </c>
      <c r="F273">
        <v>0</v>
      </c>
      <c r="G273">
        <v>1</v>
      </c>
      <c r="H273">
        <v>145</v>
      </c>
      <c r="I273">
        <v>0</v>
      </c>
      <c r="J273">
        <v>2.6</v>
      </c>
      <c r="K273">
        <v>1</v>
      </c>
      <c r="L273">
        <v>2</v>
      </c>
      <c r="M273">
        <v>2</v>
      </c>
      <c r="N273">
        <v>0</v>
      </c>
    </row>
    <row r="274" spans="1:14">
      <c r="A274">
        <v>67</v>
      </c>
      <c r="B274">
        <v>1</v>
      </c>
      <c r="C274">
        <v>0</v>
      </c>
      <c r="D274">
        <v>120</v>
      </c>
      <c r="E274">
        <v>237</v>
      </c>
      <c r="F274">
        <v>0</v>
      </c>
      <c r="G274">
        <v>1</v>
      </c>
      <c r="H274">
        <v>71</v>
      </c>
      <c r="I274">
        <v>0</v>
      </c>
      <c r="J274">
        <v>1</v>
      </c>
      <c r="K274">
        <v>1</v>
      </c>
      <c r="L274">
        <v>0</v>
      </c>
      <c r="M274">
        <v>2</v>
      </c>
      <c r="N274">
        <v>0</v>
      </c>
    </row>
    <row r="275" spans="1:14">
      <c r="A275">
        <v>58</v>
      </c>
      <c r="B275">
        <v>1</v>
      </c>
      <c r="C275">
        <v>0</v>
      </c>
      <c r="D275">
        <v>100</v>
      </c>
      <c r="E275">
        <v>234</v>
      </c>
      <c r="F275">
        <v>0</v>
      </c>
      <c r="G275">
        <v>1</v>
      </c>
      <c r="H275">
        <v>156</v>
      </c>
      <c r="I275">
        <v>0</v>
      </c>
      <c r="J275">
        <v>0.1</v>
      </c>
      <c r="K275">
        <v>2</v>
      </c>
      <c r="L275">
        <v>1</v>
      </c>
      <c r="M275">
        <v>3</v>
      </c>
      <c r="N275">
        <v>0</v>
      </c>
    </row>
    <row r="276" spans="1:14">
      <c r="A276">
        <v>47</v>
      </c>
      <c r="B276">
        <v>1</v>
      </c>
      <c r="C276">
        <v>0</v>
      </c>
      <c r="D276">
        <v>110</v>
      </c>
      <c r="E276">
        <v>275</v>
      </c>
      <c r="F276">
        <v>0</v>
      </c>
      <c r="G276">
        <v>0</v>
      </c>
      <c r="H276">
        <v>118</v>
      </c>
      <c r="I276">
        <v>1</v>
      </c>
      <c r="J276">
        <v>1</v>
      </c>
      <c r="K276">
        <v>1</v>
      </c>
      <c r="L276">
        <v>1</v>
      </c>
      <c r="M276">
        <v>2</v>
      </c>
      <c r="N276">
        <v>0</v>
      </c>
    </row>
    <row r="277" spans="1:14">
      <c r="A277">
        <v>52</v>
      </c>
      <c r="B277">
        <v>1</v>
      </c>
      <c r="C277">
        <v>0</v>
      </c>
      <c r="D277">
        <v>125</v>
      </c>
      <c r="E277">
        <v>212</v>
      </c>
      <c r="F277">
        <v>0</v>
      </c>
      <c r="G277">
        <v>1</v>
      </c>
      <c r="H277">
        <v>168</v>
      </c>
      <c r="I277">
        <v>0</v>
      </c>
      <c r="J277">
        <v>1</v>
      </c>
      <c r="K277">
        <v>2</v>
      </c>
      <c r="L277">
        <v>2</v>
      </c>
      <c r="M277">
        <v>3</v>
      </c>
      <c r="N277">
        <v>0</v>
      </c>
    </row>
    <row r="278" spans="1:14">
      <c r="A278">
        <v>58</v>
      </c>
      <c r="B278">
        <v>1</v>
      </c>
      <c r="C278">
        <v>0</v>
      </c>
      <c r="D278">
        <v>146</v>
      </c>
      <c r="E278">
        <v>218</v>
      </c>
      <c r="F278">
        <v>0</v>
      </c>
      <c r="G278">
        <v>1</v>
      </c>
      <c r="H278">
        <v>105</v>
      </c>
      <c r="I278">
        <v>0</v>
      </c>
      <c r="J278">
        <v>2</v>
      </c>
      <c r="K278">
        <v>1</v>
      </c>
      <c r="L278">
        <v>1</v>
      </c>
      <c r="M278">
        <v>3</v>
      </c>
      <c r="N278">
        <v>0</v>
      </c>
    </row>
    <row r="279" spans="1:14">
      <c r="A279">
        <v>57</v>
      </c>
      <c r="B279">
        <v>1</v>
      </c>
      <c r="C279">
        <v>1</v>
      </c>
      <c r="D279">
        <v>124</v>
      </c>
      <c r="E279">
        <v>261</v>
      </c>
      <c r="F279">
        <v>0</v>
      </c>
      <c r="G279">
        <v>1</v>
      </c>
      <c r="H279">
        <v>141</v>
      </c>
      <c r="I279">
        <v>0</v>
      </c>
      <c r="J279">
        <v>0.3</v>
      </c>
      <c r="K279">
        <v>2</v>
      </c>
      <c r="L279">
        <v>0</v>
      </c>
      <c r="M279">
        <v>3</v>
      </c>
      <c r="N279">
        <v>0</v>
      </c>
    </row>
    <row r="280" spans="1:14">
      <c r="A280">
        <v>58</v>
      </c>
      <c r="B280">
        <v>0</v>
      </c>
      <c r="C280">
        <v>1</v>
      </c>
      <c r="D280">
        <v>136</v>
      </c>
      <c r="E280">
        <v>319</v>
      </c>
      <c r="F280">
        <v>1</v>
      </c>
      <c r="G280">
        <v>0</v>
      </c>
      <c r="H280">
        <v>152</v>
      </c>
      <c r="I280">
        <v>0</v>
      </c>
      <c r="J280">
        <v>0</v>
      </c>
      <c r="K280">
        <v>2</v>
      </c>
      <c r="L280">
        <v>2</v>
      </c>
      <c r="M280">
        <v>2</v>
      </c>
      <c r="N280">
        <v>0</v>
      </c>
    </row>
    <row r="281" spans="1:14">
      <c r="A281">
        <v>61</v>
      </c>
      <c r="B281">
        <v>1</v>
      </c>
      <c r="C281">
        <v>0</v>
      </c>
      <c r="D281">
        <v>138</v>
      </c>
      <c r="E281">
        <v>166</v>
      </c>
      <c r="F281">
        <v>0</v>
      </c>
      <c r="G281">
        <v>0</v>
      </c>
      <c r="H281">
        <v>125</v>
      </c>
      <c r="I281">
        <v>1</v>
      </c>
      <c r="J281">
        <v>3.6</v>
      </c>
      <c r="K281">
        <v>1</v>
      </c>
      <c r="L281">
        <v>1</v>
      </c>
      <c r="M281">
        <v>2</v>
      </c>
      <c r="N281">
        <v>0</v>
      </c>
    </row>
    <row r="282" spans="1:14">
      <c r="A282">
        <v>42</v>
      </c>
      <c r="B282">
        <v>1</v>
      </c>
      <c r="C282">
        <v>0</v>
      </c>
      <c r="D282">
        <v>136</v>
      </c>
      <c r="E282">
        <v>315</v>
      </c>
      <c r="F282">
        <v>0</v>
      </c>
      <c r="G282">
        <v>1</v>
      </c>
      <c r="H282">
        <v>125</v>
      </c>
      <c r="I282">
        <v>1</v>
      </c>
      <c r="J282">
        <v>1.8</v>
      </c>
      <c r="K282">
        <v>1</v>
      </c>
      <c r="L282">
        <v>0</v>
      </c>
      <c r="M282">
        <v>1</v>
      </c>
      <c r="N282">
        <v>0</v>
      </c>
    </row>
    <row r="283" spans="1:14">
      <c r="A283">
        <v>52</v>
      </c>
      <c r="B283">
        <v>1</v>
      </c>
      <c r="C283">
        <v>0</v>
      </c>
      <c r="D283">
        <v>128</v>
      </c>
      <c r="E283">
        <v>204</v>
      </c>
      <c r="F283">
        <v>1</v>
      </c>
      <c r="G283">
        <v>1</v>
      </c>
      <c r="H283">
        <v>156</v>
      </c>
      <c r="I283">
        <v>1</v>
      </c>
      <c r="J283">
        <v>1</v>
      </c>
      <c r="K283">
        <v>1</v>
      </c>
      <c r="L283">
        <v>0</v>
      </c>
      <c r="M283">
        <v>0</v>
      </c>
      <c r="N283">
        <v>0</v>
      </c>
    </row>
    <row r="284" spans="1:14">
      <c r="A284">
        <v>59</v>
      </c>
      <c r="B284">
        <v>1</v>
      </c>
      <c r="C284">
        <v>2</v>
      </c>
      <c r="D284">
        <v>126</v>
      </c>
      <c r="E284">
        <v>218</v>
      </c>
      <c r="F284">
        <v>1</v>
      </c>
      <c r="G284">
        <v>1</v>
      </c>
      <c r="H284">
        <v>134</v>
      </c>
      <c r="I284">
        <v>0</v>
      </c>
      <c r="J284">
        <v>2.2000000000000002</v>
      </c>
      <c r="K284">
        <v>1</v>
      </c>
      <c r="L284">
        <v>1</v>
      </c>
      <c r="M284">
        <v>1</v>
      </c>
      <c r="N284">
        <v>0</v>
      </c>
    </row>
    <row r="285" spans="1:14">
      <c r="A285">
        <v>40</v>
      </c>
      <c r="B285">
        <v>1</v>
      </c>
      <c r="C285">
        <v>0</v>
      </c>
      <c r="D285">
        <v>152</v>
      </c>
      <c r="E285">
        <v>223</v>
      </c>
      <c r="F285">
        <v>0</v>
      </c>
      <c r="G285">
        <v>1</v>
      </c>
      <c r="H285">
        <v>181</v>
      </c>
      <c r="I285">
        <v>0</v>
      </c>
      <c r="J285">
        <v>0</v>
      </c>
      <c r="K285">
        <v>2</v>
      </c>
      <c r="L285">
        <v>0</v>
      </c>
      <c r="M285">
        <v>3</v>
      </c>
      <c r="N285">
        <v>0</v>
      </c>
    </row>
    <row r="286" spans="1:14">
      <c r="A286">
        <v>61</v>
      </c>
      <c r="B286">
        <v>1</v>
      </c>
      <c r="C286">
        <v>0</v>
      </c>
      <c r="D286">
        <v>140</v>
      </c>
      <c r="E286">
        <v>207</v>
      </c>
      <c r="F286">
        <v>0</v>
      </c>
      <c r="G286">
        <v>0</v>
      </c>
      <c r="H286">
        <v>138</v>
      </c>
      <c r="I286">
        <v>1</v>
      </c>
      <c r="J286">
        <v>1.9</v>
      </c>
      <c r="K286">
        <v>2</v>
      </c>
      <c r="L286">
        <v>1</v>
      </c>
      <c r="M286">
        <v>3</v>
      </c>
      <c r="N286">
        <v>0</v>
      </c>
    </row>
    <row r="287" spans="1:14">
      <c r="A287">
        <v>46</v>
      </c>
      <c r="B287">
        <v>1</v>
      </c>
      <c r="C287">
        <v>0</v>
      </c>
      <c r="D287">
        <v>140</v>
      </c>
      <c r="E287">
        <v>311</v>
      </c>
      <c r="F287">
        <v>0</v>
      </c>
      <c r="G287">
        <v>1</v>
      </c>
      <c r="H287">
        <v>120</v>
      </c>
      <c r="I287">
        <v>1</v>
      </c>
      <c r="J287">
        <v>1.8</v>
      </c>
      <c r="K287">
        <v>1</v>
      </c>
      <c r="L287">
        <v>2</v>
      </c>
      <c r="M287">
        <v>3</v>
      </c>
      <c r="N287">
        <v>0</v>
      </c>
    </row>
    <row r="288" spans="1:14">
      <c r="A288">
        <v>59</v>
      </c>
      <c r="B288">
        <v>1</v>
      </c>
      <c r="C288">
        <v>3</v>
      </c>
      <c r="D288">
        <v>134</v>
      </c>
      <c r="E288">
        <v>204</v>
      </c>
      <c r="F288">
        <v>0</v>
      </c>
      <c r="G288">
        <v>1</v>
      </c>
      <c r="H288">
        <v>162</v>
      </c>
      <c r="I288">
        <v>0</v>
      </c>
      <c r="J288">
        <v>0.8</v>
      </c>
      <c r="K288">
        <v>2</v>
      </c>
      <c r="L288">
        <v>2</v>
      </c>
      <c r="M288">
        <v>2</v>
      </c>
      <c r="N288">
        <v>0</v>
      </c>
    </row>
    <row r="289" spans="1:14">
      <c r="A289">
        <v>57</v>
      </c>
      <c r="B289">
        <v>1</v>
      </c>
      <c r="C289">
        <v>1</v>
      </c>
      <c r="D289">
        <v>154</v>
      </c>
      <c r="E289">
        <v>232</v>
      </c>
      <c r="F289">
        <v>0</v>
      </c>
      <c r="G289">
        <v>0</v>
      </c>
      <c r="H289">
        <v>164</v>
      </c>
      <c r="I289">
        <v>0</v>
      </c>
      <c r="J289">
        <v>0</v>
      </c>
      <c r="K289">
        <v>2</v>
      </c>
      <c r="L289">
        <v>1</v>
      </c>
      <c r="M289">
        <v>2</v>
      </c>
      <c r="N289">
        <v>0</v>
      </c>
    </row>
    <row r="290" spans="1:14">
      <c r="A290">
        <v>57</v>
      </c>
      <c r="B290">
        <v>1</v>
      </c>
      <c r="C290">
        <v>0</v>
      </c>
      <c r="D290">
        <v>110</v>
      </c>
      <c r="E290">
        <v>335</v>
      </c>
      <c r="F290">
        <v>0</v>
      </c>
      <c r="G290">
        <v>1</v>
      </c>
      <c r="H290">
        <v>143</v>
      </c>
      <c r="I290">
        <v>1</v>
      </c>
      <c r="J290">
        <v>3</v>
      </c>
      <c r="K290">
        <v>1</v>
      </c>
      <c r="L290">
        <v>1</v>
      </c>
      <c r="M290">
        <v>3</v>
      </c>
      <c r="N290">
        <v>0</v>
      </c>
    </row>
    <row r="291" spans="1:14">
      <c r="A291">
        <v>55</v>
      </c>
      <c r="B291">
        <v>0</v>
      </c>
      <c r="C291">
        <v>0</v>
      </c>
      <c r="D291">
        <v>128</v>
      </c>
      <c r="E291">
        <v>205</v>
      </c>
      <c r="F291">
        <v>0</v>
      </c>
      <c r="G291">
        <v>2</v>
      </c>
      <c r="H291">
        <v>130</v>
      </c>
      <c r="I291">
        <v>1</v>
      </c>
      <c r="J291">
        <v>2</v>
      </c>
      <c r="K291">
        <v>1</v>
      </c>
      <c r="L291">
        <v>1</v>
      </c>
      <c r="M291">
        <v>3</v>
      </c>
      <c r="N291">
        <v>0</v>
      </c>
    </row>
    <row r="292" spans="1:14">
      <c r="A292">
        <v>61</v>
      </c>
      <c r="B292">
        <v>1</v>
      </c>
      <c r="C292">
        <v>0</v>
      </c>
      <c r="D292">
        <v>148</v>
      </c>
      <c r="E292">
        <v>203</v>
      </c>
      <c r="F292">
        <v>0</v>
      </c>
      <c r="G292">
        <v>1</v>
      </c>
      <c r="H292">
        <v>161</v>
      </c>
      <c r="I292">
        <v>0</v>
      </c>
      <c r="J292">
        <v>0</v>
      </c>
      <c r="K292">
        <v>2</v>
      </c>
      <c r="L292">
        <v>1</v>
      </c>
      <c r="M292">
        <v>3</v>
      </c>
      <c r="N292">
        <v>0</v>
      </c>
    </row>
    <row r="293" spans="1:14">
      <c r="A293">
        <v>58</v>
      </c>
      <c r="B293">
        <v>1</v>
      </c>
      <c r="C293">
        <v>0</v>
      </c>
      <c r="D293">
        <v>114</v>
      </c>
      <c r="E293">
        <v>318</v>
      </c>
      <c r="F293">
        <v>0</v>
      </c>
      <c r="G293">
        <v>2</v>
      </c>
      <c r="H293">
        <v>140</v>
      </c>
      <c r="I293">
        <v>0</v>
      </c>
      <c r="J293">
        <v>4.4000000000000004</v>
      </c>
      <c r="K293">
        <v>0</v>
      </c>
      <c r="L293">
        <v>3</v>
      </c>
      <c r="M293">
        <v>1</v>
      </c>
      <c r="N293">
        <v>0</v>
      </c>
    </row>
    <row r="294" spans="1:14">
      <c r="A294">
        <v>58</v>
      </c>
      <c r="B294">
        <v>0</v>
      </c>
      <c r="C294">
        <v>0</v>
      </c>
      <c r="D294">
        <v>170</v>
      </c>
      <c r="E294">
        <v>225</v>
      </c>
      <c r="F294">
        <v>1</v>
      </c>
      <c r="G294">
        <v>0</v>
      </c>
      <c r="H294">
        <v>146</v>
      </c>
      <c r="I294">
        <v>1</v>
      </c>
      <c r="J294">
        <v>2.8</v>
      </c>
      <c r="K294">
        <v>1</v>
      </c>
      <c r="L294">
        <v>2</v>
      </c>
      <c r="M294">
        <v>1</v>
      </c>
      <c r="N294">
        <v>0</v>
      </c>
    </row>
    <row r="295" spans="1:14">
      <c r="A295">
        <v>67</v>
      </c>
      <c r="B295">
        <v>1</v>
      </c>
      <c r="C295">
        <v>2</v>
      </c>
      <c r="D295">
        <v>152</v>
      </c>
      <c r="E295">
        <v>212</v>
      </c>
      <c r="F295">
        <v>0</v>
      </c>
      <c r="G295">
        <v>0</v>
      </c>
      <c r="H295">
        <v>150</v>
      </c>
      <c r="I295">
        <v>0</v>
      </c>
      <c r="J295">
        <v>0.8</v>
      </c>
      <c r="K295">
        <v>1</v>
      </c>
      <c r="L295">
        <v>0</v>
      </c>
      <c r="M295">
        <v>3</v>
      </c>
      <c r="N295">
        <v>0</v>
      </c>
    </row>
    <row r="296" spans="1:14">
      <c r="A296">
        <v>44</v>
      </c>
      <c r="B296">
        <v>1</v>
      </c>
      <c r="C296">
        <v>0</v>
      </c>
      <c r="D296">
        <v>120</v>
      </c>
      <c r="E296">
        <v>169</v>
      </c>
      <c r="F296">
        <v>0</v>
      </c>
      <c r="G296">
        <v>1</v>
      </c>
      <c r="H296">
        <v>144</v>
      </c>
      <c r="I296">
        <v>1</v>
      </c>
      <c r="J296">
        <v>2.8</v>
      </c>
      <c r="K296">
        <v>0</v>
      </c>
      <c r="L296">
        <v>0</v>
      </c>
      <c r="M296">
        <v>1</v>
      </c>
      <c r="N296">
        <v>0</v>
      </c>
    </row>
    <row r="297" spans="1:14">
      <c r="A297">
        <v>63</v>
      </c>
      <c r="B297">
        <v>1</v>
      </c>
      <c r="C297">
        <v>0</v>
      </c>
      <c r="D297">
        <v>140</v>
      </c>
      <c r="E297">
        <v>187</v>
      </c>
      <c r="F297">
        <v>0</v>
      </c>
      <c r="G297">
        <v>0</v>
      </c>
      <c r="H297">
        <v>144</v>
      </c>
      <c r="I297">
        <v>1</v>
      </c>
      <c r="J297">
        <v>4</v>
      </c>
      <c r="K297">
        <v>2</v>
      </c>
      <c r="L297">
        <v>2</v>
      </c>
      <c r="M297">
        <v>3</v>
      </c>
      <c r="N297">
        <v>0</v>
      </c>
    </row>
    <row r="298" spans="1:14">
      <c r="A298">
        <v>63</v>
      </c>
      <c r="B298">
        <v>0</v>
      </c>
      <c r="C298">
        <v>0</v>
      </c>
      <c r="D298">
        <v>124</v>
      </c>
      <c r="E298">
        <v>197</v>
      </c>
      <c r="F298">
        <v>0</v>
      </c>
      <c r="G298">
        <v>1</v>
      </c>
      <c r="H298">
        <v>136</v>
      </c>
      <c r="I298">
        <v>1</v>
      </c>
      <c r="J298">
        <v>0</v>
      </c>
      <c r="K298">
        <v>1</v>
      </c>
      <c r="L298">
        <v>0</v>
      </c>
      <c r="M298">
        <v>2</v>
      </c>
      <c r="N298">
        <v>0</v>
      </c>
    </row>
    <row r="299" spans="1:14">
      <c r="A299">
        <v>59</v>
      </c>
      <c r="B299">
        <v>1</v>
      </c>
      <c r="C299">
        <v>0</v>
      </c>
      <c r="D299">
        <v>164</v>
      </c>
      <c r="E299">
        <v>176</v>
      </c>
      <c r="F299">
        <v>1</v>
      </c>
      <c r="G299">
        <v>0</v>
      </c>
      <c r="H299">
        <v>90</v>
      </c>
      <c r="I299">
        <v>0</v>
      </c>
      <c r="J299">
        <v>1</v>
      </c>
      <c r="K299">
        <v>1</v>
      </c>
      <c r="L299">
        <v>2</v>
      </c>
      <c r="M299">
        <v>1</v>
      </c>
      <c r="N299">
        <v>0</v>
      </c>
    </row>
    <row r="300" spans="1:14">
      <c r="A300">
        <v>57</v>
      </c>
      <c r="B300">
        <v>0</v>
      </c>
      <c r="C300">
        <v>0</v>
      </c>
      <c r="D300">
        <v>140</v>
      </c>
      <c r="E300">
        <v>241</v>
      </c>
      <c r="F300">
        <v>0</v>
      </c>
      <c r="G300">
        <v>1</v>
      </c>
      <c r="H300">
        <v>123</v>
      </c>
      <c r="I300">
        <v>1</v>
      </c>
      <c r="J300">
        <v>0.2</v>
      </c>
      <c r="K300">
        <v>1</v>
      </c>
      <c r="L300">
        <v>0</v>
      </c>
      <c r="M300">
        <v>3</v>
      </c>
      <c r="N300">
        <v>0</v>
      </c>
    </row>
    <row r="301" spans="1:14">
      <c r="A301">
        <v>45</v>
      </c>
      <c r="B301">
        <v>1</v>
      </c>
      <c r="C301">
        <v>3</v>
      </c>
      <c r="D301">
        <v>110</v>
      </c>
      <c r="E301">
        <v>264</v>
      </c>
      <c r="F301">
        <v>0</v>
      </c>
      <c r="G301">
        <v>1</v>
      </c>
      <c r="H301">
        <v>132</v>
      </c>
      <c r="I301">
        <v>0</v>
      </c>
      <c r="J301">
        <v>1.2</v>
      </c>
      <c r="K301">
        <v>1</v>
      </c>
      <c r="L301">
        <v>0</v>
      </c>
      <c r="M301">
        <v>3</v>
      </c>
      <c r="N301">
        <v>0</v>
      </c>
    </row>
    <row r="302" spans="1:14">
      <c r="A302">
        <v>68</v>
      </c>
      <c r="B302">
        <v>1</v>
      </c>
      <c r="C302">
        <v>0</v>
      </c>
      <c r="D302">
        <v>144</v>
      </c>
      <c r="E302">
        <v>193</v>
      </c>
      <c r="F302">
        <v>1</v>
      </c>
      <c r="G302">
        <v>1</v>
      </c>
      <c r="H302">
        <v>141</v>
      </c>
      <c r="I302">
        <v>0</v>
      </c>
      <c r="J302">
        <v>3.4</v>
      </c>
      <c r="K302">
        <v>1</v>
      </c>
      <c r="L302">
        <v>2</v>
      </c>
      <c r="M302">
        <v>3</v>
      </c>
      <c r="N302">
        <v>0</v>
      </c>
    </row>
    <row r="303" spans="1:14">
      <c r="A303">
        <v>57</v>
      </c>
      <c r="B303">
        <v>1</v>
      </c>
      <c r="C303">
        <v>0</v>
      </c>
      <c r="D303">
        <v>130</v>
      </c>
      <c r="E303">
        <v>131</v>
      </c>
      <c r="F303">
        <v>0</v>
      </c>
      <c r="G303">
        <v>1</v>
      </c>
      <c r="H303">
        <v>115</v>
      </c>
      <c r="I303">
        <v>1</v>
      </c>
      <c r="J303">
        <v>1.2</v>
      </c>
      <c r="K303">
        <v>1</v>
      </c>
      <c r="L303">
        <v>1</v>
      </c>
      <c r="M303">
        <v>3</v>
      </c>
      <c r="N303">
        <v>0</v>
      </c>
    </row>
    <row r="304" spans="1:14">
      <c r="A304">
        <v>57</v>
      </c>
      <c r="B304">
        <v>0</v>
      </c>
      <c r="C304">
        <v>1</v>
      </c>
      <c r="D304">
        <v>130</v>
      </c>
      <c r="E304">
        <v>236</v>
      </c>
      <c r="F304">
        <v>0</v>
      </c>
      <c r="G304">
        <v>0</v>
      </c>
      <c r="H304">
        <v>174</v>
      </c>
      <c r="I304">
        <v>0</v>
      </c>
      <c r="J304">
        <v>0</v>
      </c>
      <c r="K304">
        <v>1</v>
      </c>
      <c r="L304">
        <v>1</v>
      </c>
      <c r="M304">
        <v>2</v>
      </c>
      <c r="N304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B034E-9571-4FBF-B0B4-4E6F454A9475}">
  <dimension ref="A1:D52"/>
  <sheetViews>
    <sheetView topLeftCell="A24" workbookViewId="0">
      <selection activeCell="C55" sqref="C55"/>
    </sheetView>
  </sheetViews>
  <sheetFormatPr defaultRowHeight="15"/>
  <cols>
    <col min="1" max="1" width="5.42578125" style="2" bestFit="1" customWidth="1"/>
    <col min="2" max="2" width="44.140625" style="2" bestFit="1" customWidth="1"/>
    <col min="3" max="3" width="24.5703125" style="2" bestFit="1" customWidth="1"/>
    <col min="4" max="4" width="26.7109375" style="2" bestFit="1" customWidth="1"/>
    <col min="5" max="16384" width="9.140625" style="2"/>
  </cols>
  <sheetData>
    <row r="1" spans="1:3" ht="19.5" thickBot="1">
      <c r="A1" s="53" t="s">
        <v>14</v>
      </c>
      <c r="B1" s="53"/>
      <c r="C1" s="53"/>
    </row>
    <row r="2" spans="1:3" ht="16.5" thickBot="1">
      <c r="A2" s="3" t="s">
        <v>18</v>
      </c>
      <c r="B2" s="4" t="s">
        <v>15</v>
      </c>
      <c r="C2" s="5" t="s">
        <v>16</v>
      </c>
    </row>
    <row r="3" spans="1:3">
      <c r="A3" s="6">
        <v>10</v>
      </c>
      <c r="B3" s="7">
        <f t="array" ref="B3:B13">FREQUENCY('orginal data'!A2:A304, A3:A12)</f>
        <v>0</v>
      </c>
      <c r="C3" s="8">
        <f t="shared" ref="C3:C14" si="0">B3/SUM($B$3:$B$13)*100</f>
        <v>0</v>
      </c>
    </row>
    <row r="4" spans="1:3">
      <c r="A4" s="9">
        <v>20</v>
      </c>
      <c r="B4" s="10">
        <v>0</v>
      </c>
      <c r="C4" s="11">
        <f t="shared" si="0"/>
        <v>0</v>
      </c>
    </row>
    <row r="5" spans="1:3">
      <c r="A5" s="9">
        <v>30</v>
      </c>
      <c r="B5" s="10">
        <v>1</v>
      </c>
      <c r="C5" s="11">
        <f t="shared" si="0"/>
        <v>0.33003300330033003</v>
      </c>
    </row>
    <row r="6" spans="1:3">
      <c r="A6" s="9">
        <v>40</v>
      </c>
      <c r="B6" s="10">
        <v>18</v>
      </c>
      <c r="C6" s="11">
        <f t="shared" si="0"/>
        <v>5.9405940594059405</v>
      </c>
    </row>
    <row r="7" spans="1:3">
      <c r="A7" s="9">
        <v>50</v>
      </c>
      <c r="B7" s="10">
        <v>76</v>
      </c>
      <c r="C7" s="11">
        <f t="shared" si="0"/>
        <v>25.082508250825082</v>
      </c>
    </row>
    <row r="8" spans="1:3">
      <c r="A8" s="9">
        <v>60</v>
      </c>
      <c r="B8" s="10">
        <v>129</v>
      </c>
      <c r="C8" s="11">
        <f t="shared" si="0"/>
        <v>42.574257425742573</v>
      </c>
    </row>
    <row r="9" spans="1:3">
      <c r="A9" s="9">
        <v>70</v>
      </c>
      <c r="B9" s="10">
        <v>73</v>
      </c>
      <c r="C9" s="11">
        <f t="shared" si="0"/>
        <v>24.092409240924091</v>
      </c>
    </row>
    <row r="10" spans="1:3">
      <c r="A10" s="9">
        <v>80</v>
      </c>
      <c r="B10" s="10">
        <v>6</v>
      </c>
      <c r="C10" s="11">
        <f t="shared" si="0"/>
        <v>1.9801980198019802</v>
      </c>
    </row>
    <row r="11" spans="1:3">
      <c r="A11" s="9">
        <v>90</v>
      </c>
      <c r="B11" s="10">
        <v>0</v>
      </c>
      <c r="C11" s="11">
        <f t="shared" si="0"/>
        <v>0</v>
      </c>
    </row>
    <row r="12" spans="1:3">
      <c r="A12" s="9">
        <v>100</v>
      </c>
      <c r="B12" s="10">
        <v>0</v>
      </c>
      <c r="C12" s="11">
        <f t="shared" si="0"/>
        <v>0</v>
      </c>
    </row>
    <row r="13" spans="1:3" ht="15.75" thickBot="1">
      <c r="A13" s="12"/>
      <c r="B13" s="13">
        <v>0</v>
      </c>
      <c r="C13" s="14">
        <f t="shared" si="0"/>
        <v>0</v>
      </c>
    </row>
    <row r="14" spans="1:3" ht="15.75" thickBot="1">
      <c r="A14" s="15" t="s">
        <v>17</v>
      </c>
      <c r="B14" s="16">
        <f>SUM(B3:B12)</f>
        <v>303</v>
      </c>
      <c r="C14" s="17">
        <f t="shared" si="0"/>
        <v>100</v>
      </c>
    </row>
    <row r="17" spans="2:3" ht="20.25">
      <c r="B17" s="18" t="s">
        <v>19</v>
      </c>
    </row>
    <row r="18" spans="2:3">
      <c r="B18" s="2" t="s">
        <v>20</v>
      </c>
      <c r="C18" s="2">
        <f>AVERAGE('orginal data'!A2:A304)</f>
        <v>54.366336633663366</v>
      </c>
    </row>
    <row r="19" spans="2:3">
      <c r="B19" s="2" t="s">
        <v>21</v>
      </c>
      <c r="C19" s="2">
        <f>MEDIAN('orginal data'!A2:A304)</f>
        <v>55</v>
      </c>
    </row>
    <row r="21" spans="2:3" ht="18.75">
      <c r="B21" s="19" t="s">
        <v>22</v>
      </c>
    </row>
    <row r="22" spans="2:3">
      <c r="B22" s="2" t="s">
        <v>23</v>
      </c>
      <c r="C22" s="2">
        <f>AVERAGE('orginal data'!E2:E304)</f>
        <v>246.26402640264027</v>
      </c>
    </row>
    <row r="23" spans="2:3">
      <c r="B23" s="2" t="s">
        <v>24</v>
      </c>
      <c r="C23" s="2">
        <f>MEDIAN('orginal data'!E2:E304)</f>
        <v>240</v>
      </c>
    </row>
    <row r="24" spans="2:3">
      <c r="B24" s="2" t="s">
        <v>25</v>
      </c>
      <c r="C24" s="2">
        <f>SKEW('orginal data'!E2:E304)</f>
        <v>1.1434008206693391</v>
      </c>
    </row>
    <row r="26" spans="2:3" ht="18.75">
      <c r="B26" s="19" t="s">
        <v>27</v>
      </c>
    </row>
    <row r="27" spans="2:3">
      <c r="B27" t="s">
        <v>26</v>
      </c>
    </row>
    <row r="28" spans="2:3">
      <c r="B28" s="2" t="s">
        <v>28</v>
      </c>
      <c r="C28" s="20">
        <f>COUNTIF('orginal data'!C2:C304,0)</f>
        <v>143</v>
      </c>
    </row>
    <row r="29" spans="2:3">
      <c r="B29" s="2" t="s">
        <v>29</v>
      </c>
      <c r="C29" s="2">
        <f>COUNTIF('orginal data'!C2:C304,1)</f>
        <v>50</v>
      </c>
    </row>
    <row r="30" spans="2:3">
      <c r="B30" s="2" t="s">
        <v>30</v>
      </c>
      <c r="C30" s="2">
        <f>COUNTIF('orginal data'!C2:C304,2)</f>
        <v>87</v>
      </c>
    </row>
    <row r="31" spans="2:3">
      <c r="B31" s="2" t="s">
        <v>31</v>
      </c>
      <c r="C31" s="2">
        <f>COUNTIF('orginal data'!C2:C304,3)</f>
        <v>23</v>
      </c>
    </row>
    <row r="34" spans="2:4" ht="18.75">
      <c r="B34" s="19" t="s">
        <v>32</v>
      </c>
    </row>
    <row r="35" spans="2:4">
      <c r="B35" t="s">
        <v>33</v>
      </c>
      <c r="C35" s="2">
        <f>CORREL('orginal data'!A2:A304, 'orginal data'!E2:E304)</f>
        <v>0.21367795655956176</v>
      </c>
    </row>
    <row r="36" spans="2:4">
      <c r="B36" s="2" t="s">
        <v>34</v>
      </c>
      <c r="C36" s="2">
        <f>CORREL('orginal data'!A2:A304, 'orginal data'!H2:H304)</f>
        <v>-0.39852193812106751</v>
      </c>
    </row>
    <row r="39" spans="2:4" ht="18.75">
      <c r="B39" s="19" t="s">
        <v>49</v>
      </c>
    </row>
    <row r="41" spans="2:4">
      <c r="B41" s="1" t="s">
        <v>50</v>
      </c>
      <c r="C41" s="2">
        <f>COUNTIF('orginal data'!N2:N304, 1)/COUNTA('orginal data'!N2:N304)</f>
        <v>0.54455445544554459</v>
      </c>
    </row>
    <row r="42" spans="2:4">
      <c r="B42" s="24" t="s">
        <v>51</v>
      </c>
    </row>
    <row r="44" spans="2:4">
      <c r="B44" s="2" t="s">
        <v>52</v>
      </c>
    </row>
    <row r="45" spans="2:4">
      <c r="B45" s="2" t="s">
        <v>37</v>
      </c>
      <c r="C45" s="24" t="s">
        <v>54</v>
      </c>
      <c r="D45" s="24" t="s">
        <v>53</v>
      </c>
    </row>
    <row r="46" spans="2:4">
      <c r="B46" s="24" t="s">
        <v>55</v>
      </c>
      <c r="C46" s="2">
        <v>0.173913043478261</v>
      </c>
      <c r="D46" s="2">
        <v>0.43636363636363634</v>
      </c>
    </row>
    <row r="47" spans="2:4">
      <c r="B47" s="24" t="s">
        <v>56</v>
      </c>
      <c r="C47" s="2">
        <v>0.82608695652173914</v>
      </c>
      <c r="D47" s="2">
        <v>0.5636363636363636</v>
      </c>
    </row>
    <row r="49" spans="2:2">
      <c r="B49" s="24" t="s">
        <v>57</v>
      </c>
    </row>
    <row r="50" spans="2:2" ht="29.25" customHeight="1">
      <c r="B50" s="25" t="s">
        <v>58</v>
      </c>
    </row>
    <row r="51" spans="2:2" ht="30">
      <c r="B51" s="26" t="s">
        <v>59</v>
      </c>
    </row>
    <row r="52" spans="2:2" ht="30">
      <c r="B52" s="26" t="s">
        <v>60</v>
      </c>
    </row>
  </sheetData>
  <mergeCells count="1">
    <mergeCell ref="A1:C1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A2B543-2C68-4FAA-A2F9-3C0CC8515C87}">
  <dimension ref="B1:AC102"/>
  <sheetViews>
    <sheetView tabSelected="1" topLeftCell="A88" workbookViewId="0">
      <selection activeCell="B102" sqref="B102:H102"/>
    </sheetView>
  </sheetViews>
  <sheetFormatPr defaultRowHeight="15"/>
  <cols>
    <col min="2" max="2" width="30.28515625" customWidth="1"/>
    <col min="3" max="3" width="12.7109375" bestFit="1" customWidth="1"/>
    <col min="4" max="4" width="18.140625" bestFit="1" customWidth="1"/>
    <col min="5" max="5" width="12.7109375" bestFit="1" customWidth="1"/>
    <col min="6" max="6" width="18.140625" bestFit="1" customWidth="1"/>
    <col min="7" max="7" width="16.28515625" customWidth="1"/>
    <col min="8" max="8" width="18.140625" bestFit="1" customWidth="1"/>
    <col min="9" max="9" width="12" bestFit="1" customWidth="1"/>
    <col min="10" max="10" width="18.140625" bestFit="1" customWidth="1"/>
    <col min="12" max="12" width="18.140625" bestFit="1" customWidth="1"/>
    <col min="13" max="13" width="12" bestFit="1" customWidth="1"/>
    <col min="14" max="14" width="18.140625" bestFit="1" customWidth="1"/>
    <col min="15" max="15" width="12.7109375" bestFit="1" customWidth="1"/>
    <col min="16" max="16" width="18.140625" bestFit="1" customWidth="1"/>
    <col min="17" max="17" width="12.7109375" bestFit="1" customWidth="1"/>
    <col min="18" max="18" width="18.140625" bestFit="1" customWidth="1"/>
    <col min="19" max="19" width="12.7109375" bestFit="1" customWidth="1"/>
    <col min="20" max="20" width="18.140625" bestFit="1" customWidth="1"/>
    <col min="22" max="22" width="18.140625" bestFit="1" customWidth="1"/>
    <col min="23" max="23" width="12.7109375" bestFit="1" customWidth="1"/>
    <col min="24" max="24" width="18.140625" bestFit="1" customWidth="1"/>
    <col min="25" max="25" width="12" bestFit="1" customWidth="1"/>
    <col min="26" max="26" width="18.140625" bestFit="1" customWidth="1"/>
    <col min="27" max="27" width="12.7109375" bestFit="1" customWidth="1"/>
    <col min="28" max="28" width="18.140625" bestFit="1" customWidth="1"/>
    <col min="29" max="29" width="12.7109375" bestFit="1" customWidth="1"/>
  </cols>
  <sheetData>
    <row r="1" spans="2:29">
      <c r="B1" s="28" t="s">
        <v>0</v>
      </c>
      <c r="C1" s="37"/>
      <c r="D1" s="40" t="s">
        <v>1</v>
      </c>
      <c r="E1" s="37"/>
      <c r="F1" s="40" t="s">
        <v>2</v>
      </c>
      <c r="G1" s="37"/>
      <c r="H1" s="40" t="s">
        <v>3</v>
      </c>
      <c r="I1" s="37"/>
      <c r="J1" s="40" t="s">
        <v>78</v>
      </c>
      <c r="K1" s="37"/>
      <c r="L1" s="40" t="s">
        <v>5</v>
      </c>
      <c r="M1" s="37"/>
      <c r="N1" s="40" t="s">
        <v>6</v>
      </c>
      <c r="O1" s="37"/>
      <c r="P1" s="40" t="s">
        <v>7</v>
      </c>
      <c r="Q1" s="37"/>
      <c r="R1" s="40" t="s">
        <v>8</v>
      </c>
      <c r="S1" s="37"/>
      <c r="T1" s="40" t="s">
        <v>9</v>
      </c>
      <c r="U1" s="37"/>
      <c r="V1" s="40" t="s">
        <v>10</v>
      </c>
      <c r="W1" s="37"/>
      <c r="X1" s="40" t="s">
        <v>11</v>
      </c>
      <c r="Y1" s="37"/>
      <c r="Z1" s="40" t="s">
        <v>12</v>
      </c>
      <c r="AA1" s="37"/>
      <c r="AB1" s="40" t="s">
        <v>13</v>
      </c>
      <c r="AC1" s="37"/>
    </row>
    <row r="2" spans="2:29">
      <c r="C2" s="38"/>
      <c r="D2" s="41"/>
      <c r="E2" s="38"/>
      <c r="F2" s="41"/>
      <c r="G2" s="38"/>
      <c r="H2" s="41"/>
      <c r="I2" s="38"/>
      <c r="J2" s="41"/>
      <c r="K2" s="38"/>
      <c r="L2" s="41"/>
      <c r="M2" s="38"/>
      <c r="N2" s="41"/>
      <c r="O2" s="38"/>
      <c r="P2" s="41"/>
      <c r="Q2" s="38"/>
      <c r="R2" s="41"/>
      <c r="S2" s="38"/>
      <c r="T2" s="41"/>
      <c r="U2" s="38"/>
      <c r="V2" s="41"/>
      <c r="W2" s="38"/>
      <c r="X2" s="41"/>
      <c r="Y2" s="38"/>
      <c r="Z2" s="41"/>
      <c r="AA2" s="38"/>
      <c r="AB2" s="41"/>
      <c r="AC2" s="38"/>
    </row>
    <row r="3" spans="2:29">
      <c r="B3" t="s">
        <v>61</v>
      </c>
      <c r="C3" s="38">
        <v>54.366336633663366</v>
      </c>
      <c r="D3" s="41" t="s">
        <v>61</v>
      </c>
      <c r="E3" s="38">
        <v>0.68316831683168322</v>
      </c>
      <c r="F3" s="41" t="s">
        <v>61</v>
      </c>
      <c r="G3" s="38">
        <v>0.96699669966996704</v>
      </c>
      <c r="H3" s="41" t="s">
        <v>61</v>
      </c>
      <c r="I3" s="38">
        <v>131.62376237623764</v>
      </c>
      <c r="J3" s="41" t="s">
        <v>61</v>
      </c>
      <c r="K3" s="38">
        <v>246.26402640264027</v>
      </c>
      <c r="L3" s="41" t="s">
        <v>61</v>
      </c>
      <c r="M3" s="38">
        <v>0.14851485148514851</v>
      </c>
      <c r="N3" s="41" t="s">
        <v>61</v>
      </c>
      <c r="O3" s="38">
        <v>0.528052805280528</v>
      </c>
      <c r="P3" s="41" t="s">
        <v>61</v>
      </c>
      <c r="Q3" s="38">
        <v>149.64686468646866</v>
      </c>
      <c r="R3" s="41" t="s">
        <v>61</v>
      </c>
      <c r="S3" s="38">
        <v>0.32673267326732675</v>
      </c>
      <c r="T3" s="41" t="s">
        <v>61</v>
      </c>
      <c r="U3" s="38">
        <v>1.0396039603960396</v>
      </c>
      <c r="V3" s="41" t="s">
        <v>61</v>
      </c>
      <c r="W3" s="38">
        <v>1.3993399339933994</v>
      </c>
      <c r="X3" s="41" t="s">
        <v>61</v>
      </c>
      <c r="Y3" s="38">
        <v>0.72937293729372932</v>
      </c>
      <c r="Z3" s="41" t="s">
        <v>61</v>
      </c>
      <c r="AA3" s="38">
        <v>2.3135313531353137</v>
      </c>
      <c r="AB3" s="41" t="s">
        <v>61</v>
      </c>
      <c r="AC3" s="38">
        <v>0.54455445544554459</v>
      </c>
    </row>
    <row r="4" spans="2:29">
      <c r="B4" t="s">
        <v>62</v>
      </c>
      <c r="C4" s="38">
        <v>0.52175306928877474</v>
      </c>
      <c r="D4" s="41" t="s">
        <v>62</v>
      </c>
      <c r="E4" s="38">
        <v>2.6771622300973599E-2</v>
      </c>
      <c r="F4" s="41" t="s">
        <v>62</v>
      </c>
      <c r="G4" s="38">
        <v>5.9289866370957976E-2</v>
      </c>
      <c r="H4" s="41" t="s">
        <v>62</v>
      </c>
      <c r="I4" s="38">
        <v>1.0075399792202466</v>
      </c>
      <c r="J4" s="41" t="s">
        <v>62</v>
      </c>
      <c r="K4" s="38">
        <v>2.9775988443371713</v>
      </c>
      <c r="L4" s="41" t="s">
        <v>62</v>
      </c>
      <c r="M4" s="38">
        <v>2.0463033248117254E-2</v>
      </c>
      <c r="N4" s="41" t="s">
        <v>62</v>
      </c>
      <c r="O4" s="38">
        <v>3.0209844475679867E-2</v>
      </c>
      <c r="P4" s="41" t="s">
        <v>62</v>
      </c>
      <c r="Q4" s="38">
        <v>1.3158671245378502</v>
      </c>
      <c r="R4" s="41" t="s">
        <v>62</v>
      </c>
      <c r="S4" s="38">
        <v>2.6988986807530643E-2</v>
      </c>
      <c r="T4" s="41" t="s">
        <v>62</v>
      </c>
      <c r="U4" s="38">
        <v>6.670201720027967E-2</v>
      </c>
      <c r="V4" s="41" t="s">
        <v>62</v>
      </c>
      <c r="W4" s="38">
        <v>3.5401267071352625E-2</v>
      </c>
      <c r="X4" s="41" t="s">
        <v>62</v>
      </c>
      <c r="Y4" s="38">
        <v>5.8747200696620809E-2</v>
      </c>
      <c r="Z4" s="41" t="s">
        <v>62</v>
      </c>
      <c r="AA4" s="38">
        <v>3.5174366292912561E-2</v>
      </c>
      <c r="AB4" s="41" t="s">
        <v>62</v>
      </c>
      <c r="AC4" s="38">
        <v>2.8657309580348667E-2</v>
      </c>
    </row>
    <row r="5" spans="2:29">
      <c r="B5" t="s">
        <v>63</v>
      </c>
      <c r="C5" s="38">
        <v>55</v>
      </c>
      <c r="D5" s="41" t="s">
        <v>63</v>
      </c>
      <c r="E5" s="38">
        <v>1</v>
      </c>
      <c r="F5" s="41" t="s">
        <v>63</v>
      </c>
      <c r="G5" s="38">
        <v>1</v>
      </c>
      <c r="H5" s="41" t="s">
        <v>63</v>
      </c>
      <c r="I5" s="38">
        <v>130</v>
      </c>
      <c r="J5" s="41" t="s">
        <v>63</v>
      </c>
      <c r="K5" s="38">
        <v>240</v>
      </c>
      <c r="L5" s="41" t="s">
        <v>63</v>
      </c>
      <c r="M5" s="38">
        <v>0</v>
      </c>
      <c r="N5" s="41" t="s">
        <v>63</v>
      </c>
      <c r="O5" s="38">
        <v>1</v>
      </c>
      <c r="P5" s="41" t="s">
        <v>63</v>
      </c>
      <c r="Q5" s="38">
        <v>153</v>
      </c>
      <c r="R5" s="41" t="s">
        <v>63</v>
      </c>
      <c r="S5" s="38">
        <v>0</v>
      </c>
      <c r="T5" s="41" t="s">
        <v>63</v>
      </c>
      <c r="U5" s="38">
        <v>0.8</v>
      </c>
      <c r="V5" s="41" t="s">
        <v>63</v>
      </c>
      <c r="W5" s="38">
        <v>1</v>
      </c>
      <c r="X5" s="41" t="s">
        <v>63</v>
      </c>
      <c r="Y5" s="38">
        <v>0</v>
      </c>
      <c r="Z5" s="41" t="s">
        <v>63</v>
      </c>
      <c r="AA5" s="38">
        <v>2</v>
      </c>
      <c r="AB5" s="41" t="s">
        <v>63</v>
      </c>
      <c r="AC5" s="38">
        <v>1</v>
      </c>
    </row>
    <row r="6" spans="2:29">
      <c r="B6" t="s">
        <v>64</v>
      </c>
      <c r="C6" s="38">
        <v>58</v>
      </c>
      <c r="D6" s="41" t="s">
        <v>64</v>
      </c>
      <c r="E6" s="38">
        <v>1</v>
      </c>
      <c r="F6" s="41" t="s">
        <v>64</v>
      </c>
      <c r="G6" s="38">
        <v>0</v>
      </c>
      <c r="H6" s="41" t="s">
        <v>64</v>
      </c>
      <c r="I6" s="38">
        <v>120</v>
      </c>
      <c r="J6" s="41" t="s">
        <v>64</v>
      </c>
      <c r="K6" s="38">
        <v>204</v>
      </c>
      <c r="L6" s="41" t="s">
        <v>64</v>
      </c>
      <c r="M6" s="38">
        <v>0</v>
      </c>
      <c r="N6" s="41" t="s">
        <v>64</v>
      </c>
      <c r="O6" s="38">
        <v>1</v>
      </c>
      <c r="P6" s="41" t="s">
        <v>64</v>
      </c>
      <c r="Q6" s="38">
        <v>162</v>
      </c>
      <c r="R6" s="41" t="s">
        <v>64</v>
      </c>
      <c r="S6" s="38">
        <v>0</v>
      </c>
      <c r="T6" s="41" t="s">
        <v>64</v>
      </c>
      <c r="U6" s="38">
        <v>0</v>
      </c>
      <c r="V6" s="41" t="s">
        <v>64</v>
      </c>
      <c r="W6" s="38">
        <v>2</v>
      </c>
      <c r="X6" s="41" t="s">
        <v>64</v>
      </c>
      <c r="Y6" s="38">
        <v>0</v>
      </c>
      <c r="Z6" s="41" t="s">
        <v>64</v>
      </c>
      <c r="AA6" s="38">
        <v>2</v>
      </c>
      <c r="AB6" s="41" t="s">
        <v>64</v>
      </c>
      <c r="AC6" s="38">
        <v>1</v>
      </c>
    </row>
    <row r="7" spans="2:29">
      <c r="B7" t="s">
        <v>65</v>
      </c>
      <c r="C7" s="38">
        <v>9.082100989837862</v>
      </c>
      <c r="D7" s="41" t="s">
        <v>65</v>
      </c>
      <c r="E7" s="38">
        <v>0.46601082333962385</v>
      </c>
      <c r="F7" s="41" t="s">
        <v>65</v>
      </c>
      <c r="G7" s="38">
        <v>1.0320524894832988</v>
      </c>
      <c r="H7" s="41" t="s">
        <v>65</v>
      </c>
      <c r="I7" s="38">
        <v>17.538142813517112</v>
      </c>
      <c r="J7" s="41" t="s">
        <v>65</v>
      </c>
      <c r="K7" s="38">
        <v>51.830750987930053</v>
      </c>
      <c r="L7" s="41" t="s">
        <v>65</v>
      </c>
      <c r="M7" s="38">
        <v>0.35619787492797644</v>
      </c>
      <c r="N7" s="41" t="s">
        <v>65</v>
      </c>
      <c r="O7" s="38">
        <v>0.52585959635929813</v>
      </c>
      <c r="P7" s="41" t="s">
        <v>65</v>
      </c>
      <c r="Q7" s="38">
        <v>22.905161114914073</v>
      </c>
      <c r="R7" s="41" t="s">
        <v>65</v>
      </c>
      <c r="S7" s="38">
        <v>0.46979446452231655</v>
      </c>
      <c r="T7" s="41" t="s">
        <v>65</v>
      </c>
      <c r="U7" s="38">
        <v>1.1610750220686348</v>
      </c>
      <c r="V7" s="41" t="s">
        <v>65</v>
      </c>
      <c r="W7" s="38">
        <v>0.61622614534596187</v>
      </c>
      <c r="X7" s="41" t="s">
        <v>65</v>
      </c>
      <c r="Y7" s="38">
        <v>1.0226063649693271</v>
      </c>
      <c r="Z7" s="41" t="s">
        <v>65</v>
      </c>
      <c r="AA7" s="38">
        <v>0.61227650727814065</v>
      </c>
      <c r="AB7" s="41" t="s">
        <v>65</v>
      </c>
      <c r="AC7" s="38">
        <v>0.49883478416439136</v>
      </c>
    </row>
    <row r="8" spans="2:29">
      <c r="B8" t="s">
        <v>66</v>
      </c>
      <c r="C8" s="38">
        <v>82.484558389613881</v>
      </c>
      <c r="D8" s="41" t="s">
        <v>66</v>
      </c>
      <c r="E8" s="38">
        <v>0.21716608746967411</v>
      </c>
      <c r="F8" s="41" t="s">
        <v>66</v>
      </c>
      <c r="G8" s="38">
        <v>1.0651323410486744</v>
      </c>
      <c r="H8" s="41" t="s">
        <v>66</v>
      </c>
      <c r="I8" s="38">
        <v>307.58645334732194</v>
      </c>
      <c r="J8" s="41" t="s">
        <v>66</v>
      </c>
      <c r="K8" s="38">
        <v>2686.4267479728119</v>
      </c>
      <c r="L8" s="41" t="s">
        <v>66</v>
      </c>
      <c r="M8" s="38">
        <v>0.12687692610320636</v>
      </c>
      <c r="N8" s="41" t="s">
        <v>66</v>
      </c>
      <c r="O8" s="38">
        <v>0.27652831508316394</v>
      </c>
      <c r="P8" s="41" t="s">
        <v>66</v>
      </c>
      <c r="Q8" s="38">
        <v>524.64640570017173</v>
      </c>
      <c r="R8" s="41" t="s">
        <v>66</v>
      </c>
      <c r="S8" s="38">
        <v>0.22070683889581014</v>
      </c>
      <c r="T8" s="41" t="s">
        <v>66</v>
      </c>
      <c r="U8" s="38">
        <v>1.3480952068716809</v>
      </c>
      <c r="V8" s="41" t="s">
        <v>66</v>
      </c>
      <c r="W8" s="38">
        <v>0.3797346622079425</v>
      </c>
      <c r="X8" s="41" t="s">
        <v>66</v>
      </c>
      <c r="Y8" s="38">
        <v>1.0457237776757808</v>
      </c>
      <c r="Z8" s="41" t="s">
        <v>66</v>
      </c>
      <c r="AA8" s="38">
        <v>0.37488252136471906</v>
      </c>
      <c r="AB8" s="41" t="s">
        <v>66</v>
      </c>
      <c r="AC8" s="38">
        <v>0.24883614189233491</v>
      </c>
    </row>
    <row r="9" spans="2:29">
      <c r="B9" t="s">
        <v>67</v>
      </c>
      <c r="C9" s="38">
        <v>-0.54216714099084085</v>
      </c>
      <c r="D9" s="41" t="s">
        <v>67</v>
      </c>
      <c r="E9" s="38">
        <v>-1.3829609835171093</v>
      </c>
      <c r="F9" s="41" t="s">
        <v>67</v>
      </c>
      <c r="G9" s="38">
        <v>-1.1930709803257262</v>
      </c>
      <c r="H9" s="41" t="s">
        <v>67</v>
      </c>
      <c r="I9" s="38">
        <v>0.92905405283698084</v>
      </c>
      <c r="J9" s="41" t="s">
        <v>67</v>
      </c>
      <c r="K9" s="38">
        <v>4.5054231677536993</v>
      </c>
      <c r="L9" s="41" t="s">
        <v>67</v>
      </c>
      <c r="M9" s="38">
        <v>1.9596776292633922</v>
      </c>
      <c r="N9" s="41" t="s">
        <v>67</v>
      </c>
      <c r="O9" s="38">
        <v>-1.3626733034314458</v>
      </c>
      <c r="P9" s="41" t="s">
        <v>67</v>
      </c>
      <c r="Q9" s="38">
        <v>-6.1969930576111221E-2</v>
      </c>
      <c r="R9" s="41" t="s">
        <v>67</v>
      </c>
      <c r="S9" s="38">
        <v>-1.4583166825574629</v>
      </c>
      <c r="T9" s="41" t="s">
        <v>67</v>
      </c>
      <c r="U9" s="38">
        <v>1.5758130733382623</v>
      </c>
      <c r="V9" s="41" t="s">
        <v>67</v>
      </c>
      <c r="W9" s="38">
        <v>-0.62752074726690754</v>
      </c>
      <c r="X9" s="41" t="s">
        <v>67</v>
      </c>
      <c r="Y9" s="38">
        <v>0.83925318716651365</v>
      </c>
      <c r="Z9" s="41" t="s">
        <v>67</v>
      </c>
      <c r="AA9" s="38">
        <v>0.2979148532922351</v>
      </c>
      <c r="AB9" s="41" t="s">
        <v>67</v>
      </c>
      <c r="AC9" s="38">
        <v>-1.9807828625705377</v>
      </c>
    </row>
    <row r="10" spans="2:29">
      <c r="B10" t="s">
        <v>68</v>
      </c>
      <c r="C10" s="38">
        <v>-0.20246336548565355</v>
      </c>
      <c r="D10" s="41" t="s">
        <v>68</v>
      </c>
      <c r="E10" s="38">
        <v>-0.79133519148082609</v>
      </c>
      <c r="F10" s="41" t="s">
        <v>68</v>
      </c>
      <c r="G10" s="38">
        <v>0.48473236883889342</v>
      </c>
      <c r="H10" s="41" t="s">
        <v>68</v>
      </c>
      <c r="I10" s="38">
        <v>0.71376843791814737</v>
      </c>
      <c r="J10" s="41" t="s">
        <v>68</v>
      </c>
      <c r="K10" s="38">
        <v>1.1434008206693391</v>
      </c>
      <c r="L10" s="41" t="s">
        <v>68</v>
      </c>
      <c r="M10" s="38">
        <v>1.9866519309144715</v>
      </c>
      <c r="N10" s="41" t="s">
        <v>68</v>
      </c>
      <c r="O10" s="38">
        <v>0.16252224492762007</v>
      </c>
      <c r="P10" s="41" t="s">
        <v>68</v>
      </c>
      <c r="Q10" s="38">
        <v>-0.53740965268322582</v>
      </c>
      <c r="R10" s="41" t="s">
        <v>68</v>
      </c>
      <c r="S10" s="38">
        <v>0.74253154442128289</v>
      </c>
      <c r="T10" s="41" t="s">
        <v>68</v>
      </c>
      <c r="U10" s="38">
        <v>1.2697199306019999</v>
      </c>
      <c r="V10" s="41" t="s">
        <v>68</v>
      </c>
      <c r="W10" s="38">
        <v>-0.50831560981654</v>
      </c>
      <c r="X10" s="41" t="s">
        <v>68</v>
      </c>
      <c r="Y10" s="38">
        <v>1.3104221354767842</v>
      </c>
      <c r="Z10" s="41" t="s">
        <v>68</v>
      </c>
      <c r="AA10" s="38">
        <v>-0.47672219490975914</v>
      </c>
      <c r="AB10" s="41" t="s">
        <v>68</v>
      </c>
      <c r="AC10" s="38">
        <v>-0.17982105403495449</v>
      </c>
    </row>
    <row r="11" spans="2:29">
      <c r="B11" t="s">
        <v>69</v>
      </c>
      <c r="C11" s="38">
        <v>48</v>
      </c>
      <c r="D11" s="41" t="s">
        <v>69</v>
      </c>
      <c r="E11" s="38">
        <v>1</v>
      </c>
      <c r="F11" s="41" t="s">
        <v>69</v>
      </c>
      <c r="G11" s="38">
        <v>3</v>
      </c>
      <c r="H11" s="41" t="s">
        <v>69</v>
      </c>
      <c r="I11" s="38">
        <v>106</v>
      </c>
      <c r="J11" s="41" t="s">
        <v>69</v>
      </c>
      <c r="K11" s="38">
        <v>438</v>
      </c>
      <c r="L11" s="41" t="s">
        <v>69</v>
      </c>
      <c r="M11" s="38">
        <v>1</v>
      </c>
      <c r="N11" s="41" t="s">
        <v>69</v>
      </c>
      <c r="O11" s="38">
        <v>2</v>
      </c>
      <c r="P11" s="41" t="s">
        <v>69</v>
      </c>
      <c r="Q11" s="38">
        <v>131</v>
      </c>
      <c r="R11" s="41" t="s">
        <v>69</v>
      </c>
      <c r="S11" s="38">
        <v>1</v>
      </c>
      <c r="T11" s="41" t="s">
        <v>69</v>
      </c>
      <c r="U11" s="38">
        <v>6.2</v>
      </c>
      <c r="V11" s="41" t="s">
        <v>69</v>
      </c>
      <c r="W11" s="38">
        <v>2</v>
      </c>
      <c r="X11" s="41" t="s">
        <v>69</v>
      </c>
      <c r="Y11" s="38">
        <v>4</v>
      </c>
      <c r="Z11" s="41" t="s">
        <v>69</v>
      </c>
      <c r="AA11" s="38">
        <v>3</v>
      </c>
      <c r="AB11" s="41" t="s">
        <v>69</v>
      </c>
      <c r="AC11" s="38">
        <v>1</v>
      </c>
    </row>
    <row r="12" spans="2:29">
      <c r="B12" t="s">
        <v>70</v>
      </c>
      <c r="C12" s="38">
        <v>29</v>
      </c>
      <c r="D12" s="41" t="s">
        <v>70</v>
      </c>
      <c r="E12" s="38">
        <v>0</v>
      </c>
      <c r="F12" s="41" t="s">
        <v>70</v>
      </c>
      <c r="G12" s="38">
        <v>0</v>
      </c>
      <c r="H12" s="41" t="s">
        <v>70</v>
      </c>
      <c r="I12" s="38">
        <v>94</v>
      </c>
      <c r="J12" s="41" t="s">
        <v>70</v>
      </c>
      <c r="K12" s="38">
        <v>126</v>
      </c>
      <c r="L12" s="41" t="s">
        <v>70</v>
      </c>
      <c r="M12" s="38">
        <v>0</v>
      </c>
      <c r="N12" s="41" t="s">
        <v>70</v>
      </c>
      <c r="O12" s="38">
        <v>0</v>
      </c>
      <c r="P12" s="41" t="s">
        <v>70</v>
      </c>
      <c r="Q12" s="38">
        <v>71</v>
      </c>
      <c r="R12" s="41" t="s">
        <v>70</v>
      </c>
      <c r="S12" s="38">
        <v>0</v>
      </c>
      <c r="T12" s="41" t="s">
        <v>70</v>
      </c>
      <c r="U12" s="38">
        <v>0</v>
      </c>
      <c r="V12" s="41" t="s">
        <v>70</v>
      </c>
      <c r="W12" s="38">
        <v>0</v>
      </c>
      <c r="X12" s="41" t="s">
        <v>70</v>
      </c>
      <c r="Y12" s="38">
        <v>0</v>
      </c>
      <c r="Z12" s="41" t="s">
        <v>70</v>
      </c>
      <c r="AA12" s="38">
        <v>0</v>
      </c>
      <c r="AB12" s="41" t="s">
        <v>70</v>
      </c>
      <c r="AC12" s="38">
        <v>0</v>
      </c>
    </row>
    <row r="13" spans="2:29">
      <c r="B13" t="s">
        <v>71</v>
      </c>
      <c r="C13" s="38">
        <v>77</v>
      </c>
      <c r="D13" s="41" t="s">
        <v>71</v>
      </c>
      <c r="E13" s="38">
        <v>1</v>
      </c>
      <c r="F13" s="41" t="s">
        <v>71</v>
      </c>
      <c r="G13" s="38">
        <v>3</v>
      </c>
      <c r="H13" s="41" t="s">
        <v>71</v>
      </c>
      <c r="I13" s="38">
        <v>200</v>
      </c>
      <c r="J13" s="41" t="s">
        <v>71</v>
      </c>
      <c r="K13" s="38">
        <v>564</v>
      </c>
      <c r="L13" s="41" t="s">
        <v>71</v>
      </c>
      <c r="M13" s="38">
        <v>1</v>
      </c>
      <c r="N13" s="41" t="s">
        <v>71</v>
      </c>
      <c r="O13" s="38">
        <v>2</v>
      </c>
      <c r="P13" s="41" t="s">
        <v>71</v>
      </c>
      <c r="Q13" s="38">
        <v>202</v>
      </c>
      <c r="R13" s="41" t="s">
        <v>71</v>
      </c>
      <c r="S13" s="38">
        <v>1</v>
      </c>
      <c r="T13" s="41" t="s">
        <v>71</v>
      </c>
      <c r="U13" s="38">
        <v>6.2</v>
      </c>
      <c r="V13" s="41" t="s">
        <v>71</v>
      </c>
      <c r="W13" s="38">
        <v>2</v>
      </c>
      <c r="X13" s="41" t="s">
        <v>71</v>
      </c>
      <c r="Y13" s="38">
        <v>4</v>
      </c>
      <c r="Z13" s="41" t="s">
        <v>71</v>
      </c>
      <c r="AA13" s="38">
        <v>3</v>
      </c>
      <c r="AB13" s="41" t="s">
        <v>71</v>
      </c>
      <c r="AC13" s="38">
        <v>1</v>
      </c>
    </row>
    <row r="14" spans="2:29">
      <c r="B14" t="s">
        <v>72</v>
      </c>
      <c r="C14" s="38">
        <v>16473</v>
      </c>
      <c r="D14" s="41" t="s">
        <v>72</v>
      </c>
      <c r="E14" s="38">
        <v>207</v>
      </c>
      <c r="F14" s="41" t="s">
        <v>72</v>
      </c>
      <c r="G14" s="38">
        <v>293</v>
      </c>
      <c r="H14" s="41" t="s">
        <v>72</v>
      </c>
      <c r="I14" s="38">
        <v>39882</v>
      </c>
      <c r="J14" s="41" t="s">
        <v>72</v>
      </c>
      <c r="K14" s="38">
        <v>74618</v>
      </c>
      <c r="L14" s="41" t="s">
        <v>72</v>
      </c>
      <c r="M14" s="38">
        <v>45</v>
      </c>
      <c r="N14" s="41" t="s">
        <v>72</v>
      </c>
      <c r="O14" s="38">
        <v>160</v>
      </c>
      <c r="P14" s="41" t="s">
        <v>72</v>
      </c>
      <c r="Q14" s="38">
        <v>45343</v>
      </c>
      <c r="R14" s="41" t="s">
        <v>72</v>
      </c>
      <c r="S14" s="38">
        <v>99</v>
      </c>
      <c r="T14" s="41" t="s">
        <v>72</v>
      </c>
      <c r="U14" s="38">
        <v>315</v>
      </c>
      <c r="V14" s="41" t="s">
        <v>72</v>
      </c>
      <c r="W14" s="38">
        <v>424</v>
      </c>
      <c r="X14" s="41" t="s">
        <v>72</v>
      </c>
      <c r="Y14" s="38">
        <v>221</v>
      </c>
      <c r="Z14" s="41" t="s">
        <v>72</v>
      </c>
      <c r="AA14" s="38">
        <v>701</v>
      </c>
      <c r="AB14" s="41" t="s">
        <v>72</v>
      </c>
      <c r="AC14" s="38">
        <v>165</v>
      </c>
    </row>
    <row r="15" spans="2:29" ht="15.75" thickBot="1">
      <c r="B15" s="27" t="s">
        <v>73</v>
      </c>
      <c r="C15" s="39">
        <v>303</v>
      </c>
      <c r="D15" s="42" t="s">
        <v>73</v>
      </c>
      <c r="E15" s="39">
        <v>303</v>
      </c>
      <c r="F15" s="42" t="s">
        <v>73</v>
      </c>
      <c r="G15" s="39">
        <v>303</v>
      </c>
      <c r="H15" s="42" t="s">
        <v>73</v>
      </c>
      <c r="I15" s="39">
        <v>303</v>
      </c>
      <c r="J15" s="42" t="s">
        <v>73</v>
      </c>
      <c r="K15" s="39">
        <v>303</v>
      </c>
      <c r="L15" s="42" t="s">
        <v>73</v>
      </c>
      <c r="M15" s="39">
        <v>303</v>
      </c>
      <c r="N15" s="42" t="s">
        <v>73</v>
      </c>
      <c r="O15" s="39">
        <v>303</v>
      </c>
      <c r="P15" s="42" t="s">
        <v>73</v>
      </c>
      <c r="Q15" s="39">
        <v>303</v>
      </c>
      <c r="R15" s="42" t="s">
        <v>73</v>
      </c>
      <c r="S15" s="39">
        <v>303</v>
      </c>
      <c r="T15" s="42" t="s">
        <v>73</v>
      </c>
      <c r="U15" s="39">
        <v>303</v>
      </c>
      <c r="V15" s="42" t="s">
        <v>73</v>
      </c>
      <c r="W15" s="39">
        <v>303</v>
      </c>
      <c r="X15" s="42" t="s">
        <v>73</v>
      </c>
      <c r="Y15" s="39">
        <v>303</v>
      </c>
      <c r="Z15" s="42" t="s">
        <v>73</v>
      </c>
      <c r="AA15" s="39">
        <v>303</v>
      </c>
      <c r="AB15" s="42" t="s">
        <v>73</v>
      </c>
      <c r="AC15" s="39">
        <v>303</v>
      </c>
    </row>
    <row r="17" spans="2:10" ht="18.75" thickBot="1">
      <c r="B17" s="29" t="s">
        <v>74</v>
      </c>
    </row>
    <row r="18" spans="2:10" ht="15.75" thickBot="1">
      <c r="B18" s="36" t="s">
        <v>75</v>
      </c>
      <c r="C18" s="30"/>
      <c r="D18" s="30"/>
      <c r="E18" s="30"/>
      <c r="F18" s="30"/>
      <c r="G18" s="31"/>
    </row>
    <row r="19" spans="2:10">
      <c r="B19" s="57" t="s">
        <v>76</v>
      </c>
      <c r="C19" s="58"/>
      <c r="D19" s="58"/>
      <c r="E19" s="58"/>
      <c r="F19" s="58"/>
      <c r="G19" s="59"/>
      <c r="J19" s="28"/>
    </row>
    <row r="20" spans="2:10">
      <c r="B20" s="34"/>
      <c r="G20" s="33"/>
    </row>
    <row r="21" spans="2:10">
      <c r="B21" s="32" t="s">
        <v>77</v>
      </c>
      <c r="D21" s="35">
        <v>246.26</v>
      </c>
      <c r="G21" s="33"/>
    </row>
    <row r="22" spans="2:10">
      <c r="B22" s="34"/>
      <c r="G22" s="33"/>
    </row>
    <row r="23" spans="2:10">
      <c r="B23" s="32" t="s">
        <v>79</v>
      </c>
      <c r="D23">
        <f>(K3 - 200) / (K7 / SQRT(303))</f>
        <v>15.537360410595833</v>
      </c>
      <c r="G23" s="33"/>
    </row>
    <row r="24" spans="2:10">
      <c r="B24" s="34"/>
      <c r="G24" s="33"/>
    </row>
    <row r="25" spans="2:10">
      <c r="B25" s="32" t="s">
        <v>80</v>
      </c>
      <c r="D25">
        <f>_xlfn.T.DIST.2T(ABS(D23), 302)</f>
        <v>2.0550533807425634E-40</v>
      </c>
      <c r="G25" s="33"/>
    </row>
    <row r="26" spans="2:10" ht="15.75" thickBot="1">
      <c r="B26" s="34"/>
      <c r="G26" s="33"/>
    </row>
    <row r="27" spans="2:10" ht="35.25" customHeight="1" thickBot="1">
      <c r="B27" s="60" t="s">
        <v>81</v>
      </c>
      <c r="C27" s="61"/>
      <c r="D27" s="61"/>
      <c r="E27" s="61"/>
      <c r="F27" s="61"/>
      <c r="G27" s="62"/>
    </row>
    <row r="28" spans="2:10" ht="15.75" thickBot="1"/>
    <row r="29" spans="2:10">
      <c r="B29" s="36" t="s">
        <v>82</v>
      </c>
      <c r="C29" s="30"/>
      <c r="D29" s="30"/>
      <c r="E29" s="30"/>
      <c r="F29" s="30"/>
      <c r="G29" s="31"/>
    </row>
    <row r="30" spans="2:10">
      <c r="B30" s="57" t="s">
        <v>83</v>
      </c>
      <c r="C30" s="76"/>
      <c r="D30" s="1"/>
      <c r="E30" s="1"/>
      <c r="F30" s="1"/>
      <c r="G30" s="33"/>
    </row>
    <row r="31" spans="2:10">
      <c r="B31" s="34"/>
      <c r="G31" s="33"/>
    </row>
    <row r="32" spans="2:10">
      <c r="B32" s="34" t="s">
        <v>84</v>
      </c>
      <c r="G32" s="33"/>
    </row>
    <row r="33" spans="2:7" ht="15.75" thickBot="1">
      <c r="B33" s="34"/>
      <c r="G33" s="33"/>
    </row>
    <row r="34" spans="2:7">
      <c r="B34" s="43"/>
      <c r="C34" s="28" t="s">
        <v>94</v>
      </c>
      <c r="D34" s="28" t="s">
        <v>95</v>
      </c>
      <c r="G34" s="33"/>
    </row>
    <row r="35" spans="2:7">
      <c r="B35" s="34" t="s">
        <v>61</v>
      </c>
      <c r="C35">
        <v>148.96135265700482</v>
      </c>
      <c r="D35">
        <v>151.125</v>
      </c>
      <c r="G35" s="33"/>
    </row>
    <row r="36" spans="2:7">
      <c r="B36" s="34" t="s">
        <v>85</v>
      </c>
      <c r="C36">
        <v>582.29947000609945</v>
      </c>
      <c r="D36">
        <v>401.92105263157896</v>
      </c>
      <c r="G36" s="33"/>
    </row>
    <row r="37" spans="2:7">
      <c r="B37" s="34" t="s">
        <v>86</v>
      </c>
      <c r="C37">
        <v>207</v>
      </c>
      <c r="D37">
        <v>96</v>
      </c>
      <c r="G37" s="33"/>
    </row>
    <row r="38" spans="2:7">
      <c r="B38" s="34" t="s">
        <v>87</v>
      </c>
      <c r="C38">
        <v>0</v>
      </c>
      <c r="G38" s="33"/>
    </row>
    <row r="39" spans="2:7">
      <c r="B39" s="34" t="s">
        <v>88</v>
      </c>
      <c r="C39">
        <v>220</v>
      </c>
      <c r="G39" s="33"/>
    </row>
    <row r="40" spans="2:7">
      <c r="B40" s="34" t="s">
        <v>89</v>
      </c>
      <c r="C40">
        <v>-0.81779826863436744</v>
      </c>
      <c r="G40" s="33"/>
    </row>
    <row r="41" spans="2:7">
      <c r="B41" s="34" t="s">
        <v>90</v>
      </c>
      <c r="C41">
        <v>0.20717860438280811</v>
      </c>
      <c r="G41" s="33"/>
    </row>
    <row r="42" spans="2:7">
      <c r="B42" s="34" t="s">
        <v>91</v>
      </c>
      <c r="C42">
        <v>1.6518092858899067</v>
      </c>
      <c r="G42" s="33"/>
    </row>
    <row r="43" spans="2:7">
      <c r="B43" s="34" t="s">
        <v>92</v>
      </c>
      <c r="C43">
        <v>0.41435720876561621</v>
      </c>
      <c r="G43" s="33"/>
    </row>
    <row r="44" spans="2:7" ht="15.75" thickBot="1">
      <c r="B44" s="44" t="s">
        <v>93</v>
      </c>
      <c r="C44" s="27">
        <v>1.9708055923849004</v>
      </c>
      <c r="D44" s="27"/>
      <c r="G44" s="33"/>
    </row>
    <row r="45" spans="2:7" ht="15.75" thickBot="1">
      <c r="B45" s="34"/>
      <c r="G45" s="33"/>
    </row>
    <row r="46" spans="2:7" ht="45.75" customHeight="1" thickBot="1">
      <c r="B46" s="63" t="s">
        <v>99</v>
      </c>
      <c r="C46" s="64"/>
      <c r="D46" s="64"/>
      <c r="E46" s="64"/>
      <c r="F46" s="64"/>
      <c r="G46" s="65"/>
    </row>
    <row r="47" spans="2:7" ht="15.75" thickBot="1">
      <c r="B47" s="44"/>
      <c r="C47" s="27"/>
      <c r="D47" s="27"/>
      <c r="E47" s="27"/>
      <c r="F47" s="27"/>
      <c r="G47" s="45"/>
    </row>
    <row r="50" spans="2:8" ht="18.75" thickBot="1">
      <c r="B50" s="29" t="s">
        <v>96</v>
      </c>
    </row>
    <row r="51" spans="2:8">
      <c r="B51" s="36" t="s">
        <v>97</v>
      </c>
      <c r="C51" s="30"/>
      <c r="D51" s="30"/>
      <c r="E51" s="30"/>
      <c r="F51" s="30"/>
      <c r="G51" s="31"/>
    </row>
    <row r="52" spans="2:8">
      <c r="B52" s="34" t="s">
        <v>98</v>
      </c>
      <c r="G52" s="33"/>
    </row>
    <row r="53" spans="2:8">
      <c r="B53" s="34"/>
      <c r="G53" s="33"/>
    </row>
    <row r="54" spans="2:8">
      <c r="B54" s="32" t="s">
        <v>117</v>
      </c>
      <c r="C54">
        <v>0.61814833925403834</v>
      </c>
      <c r="G54" s="33"/>
    </row>
    <row r="55" spans="2:8">
      <c r="B55" s="34"/>
      <c r="G55" s="33"/>
    </row>
    <row r="56" spans="2:8">
      <c r="B56" s="32" t="s">
        <v>80</v>
      </c>
      <c r="C56">
        <v>0.60372730903529592</v>
      </c>
      <c r="G56" s="33"/>
    </row>
    <row r="57" spans="2:8">
      <c r="B57" s="34"/>
      <c r="G57" s="33"/>
    </row>
    <row r="58" spans="2:8" ht="29.25" customHeight="1">
      <c r="B58" s="66" t="s">
        <v>118</v>
      </c>
      <c r="C58" s="67"/>
      <c r="D58" s="67"/>
      <c r="E58" s="67"/>
      <c r="F58" s="67"/>
      <c r="G58" s="68"/>
    </row>
    <row r="59" spans="2:8" ht="15.75" thickBot="1">
      <c r="B59" s="44"/>
      <c r="C59" s="27"/>
      <c r="D59" s="27"/>
      <c r="E59" s="27"/>
      <c r="F59" s="27"/>
      <c r="G59" s="45"/>
    </row>
    <row r="60" spans="2:8" ht="15.75" thickBot="1"/>
    <row r="61" spans="2:8">
      <c r="B61" s="36" t="s">
        <v>119</v>
      </c>
      <c r="C61" s="30"/>
      <c r="D61" s="30"/>
      <c r="E61" s="30"/>
      <c r="F61" s="30"/>
      <c r="G61" s="30"/>
      <c r="H61" s="31"/>
    </row>
    <row r="62" spans="2:8">
      <c r="B62" s="32" t="s">
        <v>120</v>
      </c>
      <c r="H62" s="33"/>
    </row>
    <row r="63" spans="2:8">
      <c r="B63" s="34"/>
      <c r="H63" s="33"/>
    </row>
    <row r="64" spans="2:8" ht="15.75" thickBot="1">
      <c r="B64" s="34" t="s">
        <v>108</v>
      </c>
      <c r="H64" s="33"/>
    </row>
    <row r="65" spans="2:8">
      <c r="B65" s="43" t="s">
        <v>109</v>
      </c>
      <c r="C65" s="28" t="s">
        <v>110</v>
      </c>
      <c r="D65" s="28" t="s">
        <v>88</v>
      </c>
      <c r="E65" s="28" t="s">
        <v>111</v>
      </c>
      <c r="F65" s="28" t="s">
        <v>112</v>
      </c>
      <c r="G65" s="28" t="s">
        <v>113</v>
      </c>
      <c r="H65" s="50" t="s">
        <v>114</v>
      </c>
    </row>
    <row r="66" spans="2:8">
      <c r="B66" s="34" t="s">
        <v>122</v>
      </c>
      <c r="C66">
        <v>13392.375</v>
      </c>
      <c r="D66">
        <v>3</v>
      </c>
      <c r="E66">
        <v>4464.125</v>
      </c>
      <c r="F66">
        <v>0.61201652014463692</v>
      </c>
      <c r="G66">
        <v>0.65173052652986818</v>
      </c>
      <c r="H66" s="33">
        <v>9.2766281531448112</v>
      </c>
    </row>
    <row r="67" spans="2:8">
      <c r="B67" s="34" t="s">
        <v>123</v>
      </c>
      <c r="C67">
        <v>2145.125</v>
      </c>
      <c r="D67">
        <v>1</v>
      </c>
      <c r="E67">
        <v>2145.125</v>
      </c>
      <c r="F67">
        <v>0.29408942128082532</v>
      </c>
      <c r="G67">
        <v>0.62530264038075234</v>
      </c>
      <c r="H67" s="33">
        <v>10.127964486013932</v>
      </c>
    </row>
    <row r="68" spans="2:8">
      <c r="B68" s="34" t="s">
        <v>124</v>
      </c>
      <c r="C68">
        <v>21882.375</v>
      </c>
      <c r="D68">
        <v>3</v>
      </c>
      <c r="E68">
        <v>7294.125</v>
      </c>
      <c r="H68" s="33"/>
    </row>
    <row r="69" spans="2:8">
      <c r="B69" s="34"/>
      <c r="H69" s="33"/>
    </row>
    <row r="70" spans="2:8" ht="15.75" thickBot="1">
      <c r="B70" s="44" t="s">
        <v>17</v>
      </c>
      <c r="C70" s="27">
        <v>37419.875</v>
      </c>
      <c r="D70" s="27">
        <v>7</v>
      </c>
      <c r="E70" s="27"/>
      <c r="F70" s="27"/>
      <c r="G70" s="27"/>
      <c r="H70" s="45"/>
    </row>
    <row r="71" spans="2:8">
      <c r="B71" s="34"/>
      <c r="H71" s="33"/>
    </row>
    <row r="72" spans="2:8" ht="18">
      <c r="B72" s="51" t="s">
        <v>126</v>
      </c>
      <c r="H72" s="33"/>
    </row>
    <row r="73" spans="2:8">
      <c r="B73" s="46" t="s">
        <v>127</v>
      </c>
      <c r="H73" s="33"/>
    </row>
    <row r="74" spans="2:8">
      <c r="B74" s="46" t="s">
        <v>129</v>
      </c>
      <c r="C74">
        <v>0.61</v>
      </c>
      <c r="H74" s="33"/>
    </row>
    <row r="75" spans="2:8">
      <c r="B75" s="46" t="s">
        <v>130</v>
      </c>
      <c r="C75">
        <v>0.65173099999999995</v>
      </c>
      <c r="H75" s="33"/>
    </row>
    <row r="76" spans="2:8">
      <c r="B76" s="52" t="s">
        <v>131</v>
      </c>
      <c r="C76">
        <v>9.2766280000000005</v>
      </c>
      <c r="H76" s="33"/>
    </row>
    <row r="77" spans="2:8">
      <c r="B77" s="34"/>
      <c r="H77" s="33"/>
    </row>
    <row r="78" spans="2:8">
      <c r="B78" s="46" t="s">
        <v>128</v>
      </c>
      <c r="H78" s="33"/>
    </row>
    <row r="79" spans="2:8">
      <c r="B79" s="46" t="s">
        <v>129</v>
      </c>
      <c r="C79">
        <v>0.28999999999999998</v>
      </c>
      <c r="H79" s="33"/>
    </row>
    <row r="80" spans="2:8">
      <c r="B80" s="46" t="s">
        <v>130</v>
      </c>
      <c r="C80">
        <v>0.625</v>
      </c>
      <c r="H80" s="33"/>
    </row>
    <row r="81" spans="2:8">
      <c r="B81" s="52" t="s">
        <v>131</v>
      </c>
      <c r="C81">
        <v>10.12796</v>
      </c>
      <c r="H81" s="33"/>
    </row>
    <row r="82" spans="2:8" ht="15.75" thickBot="1">
      <c r="B82" s="54" t="s">
        <v>132</v>
      </c>
      <c r="C82" s="55"/>
      <c r="D82" s="55"/>
      <c r="E82" s="55"/>
      <c r="F82" s="55"/>
      <c r="G82" s="55"/>
      <c r="H82" s="56"/>
    </row>
    <row r="84" spans="2:8" ht="17.25" customHeight="1">
      <c r="B84" s="29" t="s">
        <v>154</v>
      </c>
    </row>
    <row r="85" spans="2:8" ht="15.75" thickBot="1">
      <c r="B85" s="1" t="s">
        <v>161</v>
      </c>
    </row>
    <row r="86" spans="2:8">
      <c r="B86" s="36" t="s">
        <v>155</v>
      </c>
      <c r="C86" s="30">
        <v>179.9</v>
      </c>
      <c r="D86" s="30"/>
      <c r="E86" s="30"/>
      <c r="F86" s="30"/>
      <c r="G86" s="30"/>
      <c r="H86" s="31"/>
    </row>
    <row r="87" spans="2:8">
      <c r="B87" s="32" t="s">
        <v>156</v>
      </c>
      <c r="C87" s="75">
        <v>1.22</v>
      </c>
      <c r="D87" s="75"/>
      <c r="E87" s="75"/>
      <c r="F87" s="75"/>
      <c r="G87" s="75"/>
      <c r="H87" s="33"/>
    </row>
    <row r="88" spans="2:8">
      <c r="B88" s="32" t="s">
        <v>164</v>
      </c>
      <c r="C88" s="75">
        <v>4.5999999999999999E-2</v>
      </c>
      <c r="D88" s="75"/>
      <c r="E88" s="75"/>
      <c r="F88" s="75"/>
      <c r="G88" s="75"/>
      <c r="H88" s="33"/>
    </row>
    <row r="89" spans="2:8">
      <c r="B89" s="32" t="s">
        <v>129</v>
      </c>
      <c r="C89" s="75">
        <v>14.4</v>
      </c>
      <c r="D89" s="75"/>
      <c r="E89" s="75"/>
      <c r="F89" s="75"/>
      <c r="G89" s="75"/>
      <c r="H89" s="33"/>
    </row>
    <row r="90" spans="2:8">
      <c r="B90" s="32" t="s">
        <v>159</v>
      </c>
      <c r="C90" s="75">
        <v>1.7899999999999999E-4</v>
      </c>
      <c r="D90" s="75"/>
      <c r="E90" s="75"/>
      <c r="F90" s="75"/>
      <c r="G90" s="75"/>
      <c r="H90" s="33"/>
    </row>
    <row r="91" spans="2:8" ht="30.75" customHeight="1" thickBot="1">
      <c r="B91" s="54" t="s">
        <v>160</v>
      </c>
      <c r="C91" s="55"/>
      <c r="D91" s="55"/>
      <c r="E91" s="55"/>
      <c r="F91" s="55"/>
      <c r="G91" s="55"/>
      <c r="H91" s="56"/>
    </row>
    <row r="94" spans="2:8" ht="15.75" thickBot="1">
      <c r="B94" s="1" t="s">
        <v>162</v>
      </c>
    </row>
    <row r="95" spans="2:8">
      <c r="B95" s="74" t="s">
        <v>155</v>
      </c>
      <c r="C95" s="69">
        <v>159.15098485684513</v>
      </c>
      <c r="D95" s="30"/>
      <c r="E95" s="30"/>
      <c r="F95" s="30"/>
      <c r="G95" s="30"/>
      <c r="H95" s="31"/>
    </row>
    <row r="96" spans="2:8">
      <c r="B96" s="34" t="s">
        <v>163</v>
      </c>
      <c r="C96" s="70">
        <v>1.1096682507421183</v>
      </c>
      <c r="D96" s="75"/>
      <c r="E96" s="75"/>
      <c r="F96" s="75"/>
      <c r="G96" s="75"/>
      <c r="H96" s="33"/>
    </row>
    <row r="97" spans="2:8" ht="30">
      <c r="B97" s="77" t="s">
        <v>165</v>
      </c>
      <c r="C97" s="70">
        <v>0.20349246511962821</v>
      </c>
      <c r="D97" s="75"/>
      <c r="E97" s="75"/>
      <c r="F97" s="75"/>
      <c r="G97" s="75"/>
      <c r="H97" s="33"/>
    </row>
    <row r="98" spans="2:8">
      <c r="B98" s="77" t="s">
        <v>166</v>
      </c>
      <c r="C98" s="75"/>
      <c r="D98" s="75"/>
      <c r="E98" s="75"/>
      <c r="F98" s="75"/>
      <c r="G98" s="75"/>
      <c r="H98" s="33"/>
    </row>
    <row r="99" spans="2:8">
      <c r="B99" s="32" t="s">
        <v>157</v>
      </c>
      <c r="C99" s="70">
        <v>5.0029486385550312E-2</v>
      </c>
      <c r="D99" s="75"/>
      <c r="E99" s="75"/>
      <c r="F99" s="75"/>
      <c r="G99" s="75"/>
      <c r="H99" s="33"/>
    </row>
    <row r="100" spans="2:8">
      <c r="B100" s="32" t="s">
        <v>158</v>
      </c>
      <c r="C100" s="75">
        <v>14.4</v>
      </c>
      <c r="D100" s="75"/>
      <c r="E100" s="75"/>
      <c r="F100" s="75"/>
      <c r="G100" s="75"/>
      <c r="H100" s="33"/>
    </row>
    <row r="101" spans="2:8">
      <c r="B101" s="34" t="s">
        <v>159</v>
      </c>
      <c r="C101" s="70">
        <v>4.5343892352922577E-4</v>
      </c>
      <c r="D101" s="75"/>
      <c r="E101" s="75"/>
      <c r="F101" s="75"/>
      <c r="G101" s="75"/>
      <c r="H101" s="33"/>
    </row>
    <row r="102" spans="2:8" ht="15.75" thickBot="1">
      <c r="B102" s="54" t="s">
        <v>167</v>
      </c>
      <c r="C102" s="55"/>
      <c r="D102" s="55"/>
      <c r="E102" s="55"/>
      <c r="F102" s="55"/>
      <c r="G102" s="55"/>
      <c r="H102" s="56"/>
    </row>
  </sheetData>
  <mergeCells count="8">
    <mergeCell ref="B91:H91"/>
    <mergeCell ref="B102:H102"/>
    <mergeCell ref="B30:C30"/>
    <mergeCell ref="B82:H82"/>
    <mergeCell ref="B19:G19"/>
    <mergeCell ref="B27:G27"/>
    <mergeCell ref="B46:G46"/>
    <mergeCell ref="B58:G58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EDB08-0F5A-4E61-B055-22AA6FF183A7}">
  <dimension ref="B1:Y340"/>
  <sheetViews>
    <sheetView topLeftCell="A324" workbookViewId="0">
      <selection activeCell="B1" sqref="B1:D304"/>
    </sheetView>
  </sheetViews>
  <sheetFormatPr defaultRowHeight="15"/>
  <cols>
    <col min="10" max="10" width="19.140625" bestFit="1" customWidth="1"/>
  </cols>
  <sheetData>
    <row r="1" spans="2:23">
      <c r="B1" s="1" t="s">
        <v>2</v>
      </c>
      <c r="C1" s="1" t="s">
        <v>5</v>
      </c>
      <c r="D1" s="1" t="s">
        <v>4</v>
      </c>
      <c r="E1" t="s">
        <v>103</v>
      </c>
      <c r="F1" t="s">
        <v>100</v>
      </c>
      <c r="G1" t="s">
        <v>101</v>
      </c>
      <c r="H1" t="s">
        <v>102</v>
      </c>
    </row>
    <row r="2" spans="2:23">
      <c r="B2">
        <v>3</v>
      </c>
      <c r="C2">
        <v>1</v>
      </c>
      <c r="D2">
        <v>233</v>
      </c>
      <c r="E2">
        <v>354</v>
      </c>
      <c r="F2">
        <v>204</v>
      </c>
      <c r="G2">
        <v>250</v>
      </c>
      <c r="H2">
        <v>233</v>
      </c>
      <c r="J2" t="s">
        <v>104</v>
      </c>
    </row>
    <row r="3" spans="2:23" ht="15.75" thickBot="1">
      <c r="B3">
        <v>2</v>
      </c>
      <c r="C3">
        <v>0</v>
      </c>
      <c r="D3">
        <v>250</v>
      </c>
      <c r="E3">
        <v>192</v>
      </c>
      <c r="F3">
        <v>236</v>
      </c>
      <c r="G3">
        <v>199</v>
      </c>
      <c r="H3">
        <v>211</v>
      </c>
    </row>
    <row r="4" spans="2:23" ht="15.75" thickBot="1">
      <c r="B4">
        <v>1</v>
      </c>
      <c r="C4">
        <v>0</v>
      </c>
      <c r="D4">
        <v>204</v>
      </c>
      <c r="E4">
        <v>239</v>
      </c>
      <c r="F4">
        <v>294</v>
      </c>
      <c r="G4">
        <v>168</v>
      </c>
      <c r="H4">
        <v>283</v>
      </c>
      <c r="J4" t="s">
        <v>105</v>
      </c>
      <c r="S4" s="28"/>
      <c r="T4" s="28"/>
      <c r="U4" s="28"/>
      <c r="V4" s="28"/>
      <c r="W4" s="28"/>
    </row>
    <row r="5" spans="2:23">
      <c r="B5">
        <v>1</v>
      </c>
      <c r="C5">
        <v>0</v>
      </c>
      <c r="D5">
        <v>236</v>
      </c>
      <c r="E5">
        <v>247</v>
      </c>
      <c r="F5">
        <v>263</v>
      </c>
      <c r="G5">
        <v>275</v>
      </c>
      <c r="H5">
        <v>226</v>
      </c>
      <c r="J5" s="28" t="s">
        <v>106</v>
      </c>
      <c r="K5" s="28" t="s">
        <v>73</v>
      </c>
      <c r="L5" s="28" t="s">
        <v>72</v>
      </c>
      <c r="M5" s="28" t="s">
        <v>107</v>
      </c>
      <c r="N5" s="28" t="s">
        <v>85</v>
      </c>
    </row>
    <row r="6" spans="2:23">
      <c r="B6">
        <v>0</v>
      </c>
      <c r="C6">
        <v>0</v>
      </c>
      <c r="D6">
        <v>354</v>
      </c>
      <c r="E6">
        <v>234</v>
      </c>
      <c r="F6">
        <v>266</v>
      </c>
      <c r="G6">
        <v>219</v>
      </c>
      <c r="H6">
        <v>239</v>
      </c>
      <c r="J6" t="s">
        <v>103</v>
      </c>
      <c r="K6">
        <v>143</v>
      </c>
      <c r="L6">
        <v>35769</v>
      </c>
      <c r="M6">
        <v>250.13286713286712</v>
      </c>
      <c r="N6">
        <v>2656.4117994681396</v>
      </c>
    </row>
    <row r="7" spans="2:23">
      <c r="B7">
        <v>0</v>
      </c>
      <c r="C7">
        <v>0</v>
      </c>
      <c r="D7">
        <v>192</v>
      </c>
      <c r="E7">
        <v>226</v>
      </c>
      <c r="F7">
        <v>302</v>
      </c>
      <c r="G7">
        <v>340</v>
      </c>
      <c r="H7">
        <v>199</v>
      </c>
      <c r="J7" t="s">
        <v>100</v>
      </c>
      <c r="K7">
        <v>50</v>
      </c>
      <c r="L7">
        <v>12239</v>
      </c>
      <c r="M7">
        <v>244.78</v>
      </c>
      <c r="N7">
        <v>1868.5016326530626</v>
      </c>
    </row>
    <row r="8" spans="2:23">
      <c r="B8">
        <v>1</v>
      </c>
      <c r="C8">
        <v>0</v>
      </c>
      <c r="D8">
        <v>294</v>
      </c>
      <c r="E8">
        <v>177</v>
      </c>
      <c r="F8">
        <v>198</v>
      </c>
      <c r="G8">
        <v>233</v>
      </c>
      <c r="H8">
        <v>213</v>
      </c>
      <c r="J8" t="s">
        <v>101</v>
      </c>
      <c r="K8">
        <v>87</v>
      </c>
      <c r="L8">
        <v>21156</v>
      </c>
      <c r="M8">
        <v>243.17241379310346</v>
      </c>
      <c r="N8">
        <v>3630.8885324779508</v>
      </c>
    </row>
    <row r="9" spans="2:23" ht="15.75" thickBot="1">
      <c r="B9">
        <v>1</v>
      </c>
      <c r="C9">
        <v>0</v>
      </c>
      <c r="D9">
        <v>263</v>
      </c>
      <c r="E9">
        <v>208</v>
      </c>
      <c r="F9">
        <v>219</v>
      </c>
      <c r="G9">
        <v>243</v>
      </c>
      <c r="H9">
        <v>182</v>
      </c>
      <c r="J9" s="27" t="s">
        <v>102</v>
      </c>
      <c r="K9" s="27">
        <v>23</v>
      </c>
      <c r="L9" s="27">
        <v>5454</v>
      </c>
      <c r="M9" s="27">
        <v>237.13043478260869</v>
      </c>
      <c r="N9" s="27">
        <v>1148.9367588932773</v>
      </c>
    </row>
    <row r="10" spans="2:23">
      <c r="B10">
        <v>2</v>
      </c>
      <c r="C10">
        <v>1</v>
      </c>
      <c r="D10">
        <v>199</v>
      </c>
      <c r="E10">
        <v>264</v>
      </c>
      <c r="F10">
        <v>245</v>
      </c>
      <c r="G10">
        <v>212</v>
      </c>
      <c r="H10">
        <v>186</v>
      </c>
    </row>
    <row r="11" spans="2:23">
      <c r="B11">
        <v>2</v>
      </c>
      <c r="C11">
        <v>0</v>
      </c>
      <c r="D11">
        <v>168</v>
      </c>
      <c r="E11">
        <v>234</v>
      </c>
      <c r="F11">
        <v>325</v>
      </c>
      <c r="G11">
        <v>175</v>
      </c>
      <c r="H11">
        <v>298</v>
      </c>
    </row>
    <row r="12" spans="2:23" ht="15.75" thickBot="1">
      <c r="B12">
        <v>0</v>
      </c>
      <c r="C12">
        <v>0</v>
      </c>
      <c r="D12">
        <v>239</v>
      </c>
      <c r="E12">
        <v>302</v>
      </c>
      <c r="F12">
        <v>201</v>
      </c>
      <c r="G12">
        <v>417</v>
      </c>
      <c r="H12">
        <v>244</v>
      </c>
      <c r="J12" t="s">
        <v>108</v>
      </c>
    </row>
    <row r="13" spans="2:23">
      <c r="B13">
        <v>2</v>
      </c>
      <c r="C13">
        <v>0</v>
      </c>
      <c r="D13">
        <v>275</v>
      </c>
      <c r="E13">
        <v>222</v>
      </c>
      <c r="F13">
        <v>309</v>
      </c>
      <c r="G13">
        <v>197</v>
      </c>
      <c r="H13">
        <v>270</v>
      </c>
      <c r="J13" s="28" t="s">
        <v>109</v>
      </c>
      <c r="K13" s="28" t="s">
        <v>110</v>
      </c>
      <c r="L13" s="28" t="s">
        <v>88</v>
      </c>
      <c r="M13" s="28" t="s">
        <v>111</v>
      </c>
      <c r="N13" s="28" t="s">
        <v>112</v>
      </c>
      <c r="O13" s="28" t="s">
        <v>113</v>
      </c>
      <c r="P13" s="28" t="s">
        <v>114</v>
      </c>
    </row>
    <row r="14" spans="2:23">
      <c r="B14">
        <v>1</v>
      </c>
      <c r="C14">
        <v>0</v>
      </c>
      <c r="D14">
        <v>266</v>
      </c>
      <c r="E14">
        <v>260</v>
      </c>
      <c r="F14">
        <v>203</v>
      </c>
      <c r="G14">
        <v>273</v>
      </c>
      <c r="H14">
        <v>234</v>
      </c>
      <c r="J14" t="s">
        <v>115</v>
      </c>
      <c r="K14">
        <v>5000.7998745579971</v>
      </c>
      <c r="L14">
        <v>3</v>
      </c>
      <c r="M14">
        <v>1666.9332915193324</v>
      </c>
      <c r="N14">
        <v>0.61814833925403834</v>
      </c>
      <c r="O14">
        <v>0.60372730903529592</v>
      </c>
      <c r="P14">
        <v>2.6348011164411784</v>
      </c>
    </row>
    <row r="15" spans="2:23">
      <c r="B15">
        <v>3</v>
      </c>
      <c r="C15">
        <v>0</v>
      </c>
      <c r="D15">
        <v>211</v>
      </c>
      <c r="E15">
        <v>303</v>
      </c>
      <c r="F15">
        <v>234</v>
      </c>
      <c r="G15">
        <v>177</v>
      </c>
      <c r="H15">
        <v>193</v>
      </c>
      <c r="J15" t="s">
        <v>116</v>
      </c>
      <c r="K15">
        <v>806300.07801323116</v>
      </c>
      <c r="L15">
        <v>299</v>
      </c>
      <c r="M15">
        <v>2696.6557793084653</v>
      </c>
    </row>
    <row r="16" spans="2:23">
      <c r="B16">
        <v>3</v>
      </c>
      <c r="C16">
        <v>1</v>
      </c>
      <c r="D16">
        <v>283</v>
      </c>
      <c r="E16">
        <v>183</v>
      </c>
      <c r="F16">
        <v>220</v>
      </c>
      <c r="G16">
        <v>304</v>
      </c>
      <c r="H16">
        <v>240</v>
      </c>
    </row>
    <row r="17" spans="2:16" ht="15.75" thickBot="1">
      <c r="B17">
        <v>2</v>
      </c>
      <c r="C17">
        <v>0</v>
      </c>
      <c r="D17">
        <v>219</v>
      </c>
      <c r="E17">
        <v>209</v>
      </c>
      <c r="F17">
        <v>204</v>
      </c>
      <c r="G17">
        <v>232</v>
      </c>
      <c r="H17">
        <v>227</v>
      </c>
      <c r="J17" s="27" t="s">
        <v>17</v>
      </c>
      <c r="K17" s="27">
        <v>811300.87788778916</v>
      </c>
      <c r="L17" s="27">
        <v>302</v>
      </c>
      <c r="M17" s="27"/>
      <c r="N17" s="27"/>
      <c r="O17" s="27"/>
      <c r="P17" s="27"/>
    </row>
    <row r="18" spans="2:16">
      <c r="B18">
        <v>2</v>
      </c>
      <c r="C18">
        <v>0</v>
      </c>
      <c r="D18">
        <v>340</v>
      </c>
      <c r="E18">
        <v>261</v>
      </c>
      <c r="F18">
        <v>250</v>
      </c>
      <c r="G18">
        <v>269</v>
      </c>
      <c r="H18">
        <v>282</v>
      </c>
    </row>
    <row r="19" spans="2:16">
      <c r="B19">
        <v>3</v>
      </c>
      <c r="C19">
        <v>0</v>
      </c>
      <c r="D19">
        <v>226</v>
      </c>
      <c r="E19">
        <v>265</v>
      </c>
      <c r="F19">
        <v>221</v>
      </c>
      <c r="G19">
        <v>360</v>
      </c>
      <c r="H19">
        <v>288</v>
      </c>
    </row>
    <row r="20" spans="2:16">
      <c r="B20">
        <v>0</v>
      </c>
      <c r="C20">
        <v>0</v>
      </c>
      <c r="D20">
        <v>247</v>
      </c>
      <c r="E20">
        <v>248</v>
      </c>
      <c r="F20">
        <v>205</v>
      </c>
      <c r="G20">
        <v>308</v>
      </c>
      <c r="H20">
        <v>273</v>
      </c>
    </row>
    <row r="21" spans="2:16">
      <c r="B21">
        <v>3</v>
      </c>
      <c r="C21">
        <v>0</v>
      </c>
      <c r="D21">
        <v>239</v>
      </c>
      <c r="E21">
        <v>207</v>
      </c>
      <c r="F21">
        <v>308</v>
      </c>
      <c r="G21">
        <v>321</v>
      </c>
      <c r="H21">
        <v>231</v>
      </c>
    </row>
    <row r="22" spans="2:16">
      <c r="B22">
        <v>0</v>
      </c>
      <c r="C22">
        <v>0</v>
      </c>
      <c r="D22">
        <v>234</v>
      </c>
      <c r="E22">
        <v>226</v>
      </c>
      <c r="F22">
        <v>197</v>
      </c>
      <c r="G22">
        <v>235</v>
      </c>
      <c r="H22">
        <v>234</v>
      </c>
    </row>
    <row r="23" spans="2:16">
      <c r="B23">
        <v>2</v>
      </c>
      <c r="C23">
        <v>0</v>
      </c>
      <c r="D23">
        <v>233</v>
      </c>
      <c r="E23">
        <v>394</v>
      </c>
      <c r="F23">
        <v>288</v>
      </c>
      <c r="G23">
        <v>257</v>
      </c>
      <c r="H23">
        <v>204</v>
      </c>
      <c r="J23" t="s">
        <v>121</v>
      </c>
    </row>
    <row r="24" spans="2:16" ht="15.75" thickBot="1">
      <c r="B24">
        <v>0</v>
      </c>
      <c r="C24">
        <v>0</v>
      </c>
      <c r="D24">
        <v>226</v>
      </c>
      <c r="E24">
        <v>233</v>
      </c>
      <c r="F24">
        <v>160</v>
      </c>
      <c r="G24">
        <v>216</v>
      </c>
      <c r="H24">
        <v>264</v>
      </c>
    </row>
    <row r="25" spans="2:16">
      <c r="B25">
        <v>2</v>
      </c>
      <c r="C25">
        <v>1</v>
      </c>
      <c r="D25">
        <v>243</v>
      </c>
      <c r="E25">
        <v>236</v>
      </c>
      <c r="F25">
        <v>195</v>
      </c>
      <c r="G25">
        <v>256</v>
      </c>
      <c r="J25" s="28" t="s">
        <v>105</v>
      </c>
      <c r="K25" s="28" t="s">
        <v>73</v>
      </c>
      <c r="L25" s="28" t="s">
        <v>72</v>
      </c>
      <c r="M25" s="28" t="s">
        <v>107</v>
      </c>
      <c r="N25" s="28" t="s">
        <v>85</v>
      </c>
    </row>
    <row r="26" spans="2:16">
      <c r="B26">
        <v>3</v>
      </c>
      <c r="C26">
        <v>0</v>
      </c>
      <c r="D26">
        <v>199</v>
      </c>
      <c r="E26">
        <v>254</v>
      </c>
      <c r="F26">
        <v>244</v>
      </c>
      <c r="G26">
        <v>231</v>
      </c>
      <c r="J26">
        <v>233</v>
      </c>
      <c r="K26">
        <v>2</v>
      </c>
      <c r="L26">
        <v>4</v>
      </c>
      <c r="M26">
        <v>2</v>
      </c>
      <c r="N26">
        <v>2</v>
      </c>
    </row>
    <row r="27" spans="2:16">
      <c r="B27">
        <v>1</v>
      </c>
      <c r="C27">
        <v>0</v>
      </c>
      <c r="D27">
        <v>302</v>
      </c>
      <c r="E27">
        <v>325</v>
      </c>
      <c r="F27">
        <v>262</v>
      </c>
      <c r="G27">
        <v>141</v>
      </c>
      <c r="J27">
        <v>250</v>
      </c>
      <c r="K27">
        <v>2</v>
      </c>
      <c r="L27">
        <v>2</v>
      </c>
      <c r="M27">
        <v>1</v>
      </c>
      <c r="N27">
        <v>2</v>
      </c>
    </row>
    <row r="28" spans="2:16">
      <c r="B28">
        <v>2</v>
      </c>
      <c r="C28">
        <v>1</v>
      </c>
      <c r="D28">
        <v>212</v>
      </c>
      <c r="E28">
        <v>211</v>
      </c>
      <c r="F28">
        <v>204</v>
      </c>
      <c r="G28">
        <v>252</v>
      </c>
      <c r="J28">
        <v>204</v>
      </c>
      <c r="K28">
        <v>2</v>
      </c>
      <c r="L28">
        <v>1</v>
      </c>
      <c r="M28">
        <v>0.5</v>
      </c>
      <c r="N28">
        <v>0.5</v>
      </c>
    </row>
    <row r="29" spans="2:16">
      <c r="B29">
        <v>2</v>
      </c>
      <c r="C29">
        <v>0</v>
      </c>
      <c r="D29">
        <v>175</v>
      </c>
      <c r="E29">
        <v>243</v>
      </c>
      <c r="F29">
        <v>210</v>
      </c>
      <c r="G29">
        <v>265</v>
      </c>
      <c r="J29">
        <v>236</v>
      </c>
      <c r="K29">
        <v>2</v>
      </c>
      <c r="L29">
        <v>1</v>
      </c>
      <c r="M29">
        <v>0.5</v>
      </c>
      <c r="N29">
        <v>0.5</v>
      </c>
    </row>
    <row r="30" spans="2:16">
      <c r="B30">
        <v>2</v>
      </c>
      <c r="C30">
        <v>1</v>
      </c>
      <c r="D30">
        <v>417</v>
      </c>
      <c r="E30">
        <v>303</v>
      </c>
      <c r="F30">
        <v>269</v>
      </c>
      <c r="G30">
        <v>211</v>
      </c>
      <c r="J30">
        <v>354</v>
      </c>
      <c r="K30">
        <v>2</v>
      </c>
      <c r="L30">
        <v>0</v>
      </c>
      <c r="M30">
        <v>0</v>
      </c>
      <c r="N30">
        <v>0</v>
      </c>
    </row>
    <row r="31" spans="2:16">
      <c r="B31">
        <v>2</v>
      </c>
      <c r="C31">
        <v>1</v>
      </c>
      <c r="D31">
        <v>197</v>
      </c>
      <c r="E31">
        <v>271</v>
      </c>
      <c r="F31">
        <v>271</v>
      </c>
      <c r="G31">
        <v>222</v>
      </c>
      <c r="J31">
        <v>192</v>
      </c>
      <c r="K31">
        <v>2</v>
      </c>
      <c r="L31">
        <v>0</v>
      </c>
      <c r="M31">
        <v>0</v>
      </c>
      <c r="N31">
        <v>0</v>
      </c>
    </row>
    <row r="32" spans="2:16">
      <c r="B32">
        <v>1</v>
      </c>
      <c r="C32">
        <v>0</v>
      </c>
      <c r="D32">
        <v>198</v>
      </c>
      <c r="E32">
        <v>204</v>
      </c>
      <c r="F32">
        <v>295</v>
      </c>
      <c r="G32">
        <v>258</v>
      </c>
      <c r="J32">
        <v>294</v>
      </c>
      <c r="K32">
        <v>2</v>
      </c>
      <c r="L32">
        <v>1</v>
      </c>
      <c r="M32">
        <v>0.5</v>
      </c>
      <c r="N32">
        <v>0.5</v>
      </c>
    </row>
    <row r="33" spans="2:14">
      <c r="B33">
        <v>0</v>
      </c>
      <c r="C33">
        <v>0</v>
      </c>
      <c r="D33">
        <v>177</v>
      </c>
      <c r="E33">
        <v>269</v>
      </c>
      <c r="F33">
        <v>235</v>
      </c>
      <c r="G33">
        <v>227</v>
      </c>
      <c r="J33">
        <v>263</v>
      </c>
      <c r="K33">
        <v>2</v>
      </c>
      <c r="L33">
        <v>1</v>
      </c>
      <c r="M33">
        <v>0.5</v>
      </c>
      <c r="N33">
        <v>0.5</v>
      </c>
    </row>
    <row r="34" spans="2:14">
      <c r="B34">
        <v>1</v>
      </c>
      <c r="C34">
        <v>0</v>
      </c>
      <c r="D34">
        <v>219</v>
      </c>
      <c r="E34">
        <v>201</v>
      </c>
      <c r="F34">
        <v>306</v>
      </c>
      <c r="G34">
        <v>213</v>
      </c>
      <c r="J34">
        <v>199</v>
      </c>
      <c r="K34">
        <v>2</v>
      </c>
      <c r="L34">
        <v>3</v>
      </c>
      <c r="M34">
        <v>1.5</v>
      </c>
      <c r="N34">
        <v>0.5</v>
      </c>
    </row>
    <row r="35" spans="2:14">
      <c r="B35">
        <v>2</v>
      </c>
      <c r="C35">
        <v>0</v>
      </c>
      <c r="D35">
        <v>273</v>
      </c>
      <c r="E35">
        <v>263</v>
      </c>
      <c r="F35">
        <v>208</v>
      </c>
      <c r="G35">
        <v>245</v>
      </c>
      <c r="J35">
        <v>168</v>
      </c>
      <c r="K35">
        <v>2</v>
      </c>
      <c r="L35">
        <v>2</v>
      </c>
      <c r="M35">
        <v>1</v>
      </c>
      <c r="N35">
        <v>2</v>
      </c>
    </row>
    <row r="36" spans="2:14">
      <c r="B36">
        <v>3</v>
      </c>
      <c r="C36">
        <v>0</v>
      </c>
      <c r="D36">
        <v>213</v>
      </c>
      <c r="E36">
        <v>303</v>
      </c>
      <c r="F36">
        <v>245</v>
      </c>
      <c r="G36">
        <v>240</v>
      </c>
      <c r="J36">
        <v>239</v>
      </c>
      <c r="K36">
        <v>2</v>
      </c>
      <c r="L36">
        <v>0</v>
      </c>
      <c r="M36">
        <v>0</v>
      </c>
      <c r="N36">
        <v>0</v>
      </c>
    </row>
    <row r="37" spans="2:14">
      <c r="B37">
        <v>2</v>
      </c>
      <c r="C37">
        <v>0</v>
      </c>
      <c r="D37">
        <v>177</v>
      </c>
      <c r="E37">
        <v>223</v>
      </c>
      <c r="F37">
        <v>192</v>
      </c>
      <c r="G37">
        <v>250</v>
      </c>
      <c r="J37">
        <v>275</v>
      </c>
      <c r="K37">
        <v>2</v>
      </c>
      <c r="L37">
        <v>2</v>
      </c>
      <c r="M37">
        <v>1</v>
      </c>
      <c r="N37">
        <v>2</v>
      </c>
    </row>
    <row r="38" spans="2:14">
      <c r="B38">
        <v>2</v>
      </c>
      <c r="C38">
        <v>1</v>
      </c>
      <c r="D38">
        <v>304</v>
      </c>
      <c r="E38">
        <v>228</v>
      </c>
      <c r="F38">
        <v>220</v>
      </c>
      <c r="G38">
        <v>318</v>
      </c>
      <c r="J38">
        <v>266</v>
      </c>
      <c r="K38">
        <v>2</v>
      </c>
      <c r="L38">
        <v>1</v>
      </c>
      <c r="M38">
        <v>0.5</v>
      </c>
      <c r="N38">
        <v>0.5</v>
      </c>
    </row>
    <row r="39" spans="2:14">
      <c r="B39">
        <v>2</v>
      </c>
      <c r="C39">
        <v>0</v>
      </c>
      <c r="D39">
        <v>232</v>
      </c>
      <c r="E39">
        <v>149</v>
      </c>
      <c r="F39">
        <v>221</v>
      </c>
      <c r="G39">
        <v>564</v>
      </c>
      <c r="J39">
        <v>211</v>
      </c>
      <c r="K39">
        <v>2</v>
      </c>
      <c r="L39">
        <v>3</v>
      </c>
      <c r="M39">
        <v>1.5</v>
      </c>
      <c r="N39">
        <v>4.5</v>
      </c>
    </row>
    <row r="40" spans="2:14">
      <c r="B40">
        <v>2</v>
      </c>
      <c r="C40">
        <v>0</v>
      </c>
      <c r="D40">
        <v>269</v>
      </c>
      <c r="E40">
        <v>197</v>
      </c>
      <c r="F40">
        <v>240</v>
      </c>
      <c r="G40">
        <v>277</v>
      </c>
      <c r="J40">
        <v>283</v>
      </c>
      <c r="K40">
        <v>2</v>
      </c>
      <c r="L40">
        <v>4</v>
      </c>
      <c r="M40">
        <v>2</v>
      </c>
      <c r="N40">
        <v>2</v>
      </c>
    </row>
    <row r="41" spans="2:14">
      <c r="B41">
        <v>2</v>
      </c>
      <c r="C41">
        <v>0</v>
      </c>
      <c r="D41">
        <v>360</v>
      </c>
      <c r="E41">
        <v>286</v>
      </c>
      <c r="F41">
        <v>342</v>
      </c>
      <c r="G41">
        <v>214</v>
      </c>
      <c r="J41">
        <v>219</v>
      </c>
      <c r="K41">
        <v>2</v>
      </c>
      <c r="L41">
        <v>2</v>
      </c>
      <c r="M41">
        <v>1</v>
      </c>
      <c r="N41">
        <v>2</v>
      </c>
    </row>
    <row r="42" spans="2:14">
      <c r="B42">
        <v>2</v>
      </c>
      <c r="C42">
        <v>0</v>
      </c>
      <c r="D42">
        <v>308</v>
      </c>
      <c r="E42">
        <v>229</v>
      </c>
      <c r="F42">
        <v>157</v>
      </c>
      <c r="G42">
        <v>255</v>
      </c>
      <c r="J42">
        <v>340</v>
      </c>
      <c r="K42">
        <v>2</v>
      </c>
      <c r="L42">
        <v>2</v>
      </c>
      <c r="M42">
        <v>1</v>
      </c>
      <c r="N42">
        <v>2</v>
      </c>
    </row>
    <row r="43" spans="2:14">
      <c r="B43">
        <v>1</v>
      </c>
      <c r="C43">
        <v>0</v>
      </c>
      <c r="D43">
        <v>245</v>
      </c>
      <c r="E43">
        <v>268</v>
      </c>
      <c r="F43">
        <v>229</v>
      </c>
      <c r="G43">
        <v>223</v>
      </c>
      <c r="J43">
        <v>226</v>
      </c>
      <c r="K43">
        <v>2</v>
      </c>
      <c r="L43">
        <v>3</v>
      </c>
      <c r="M43">
        <v>1.5</v>
      </c>
      <c r="N43">
        <v>4.5</v>
      </c>
    </row>
    <row r="44" spans="2:14">
      <c r="B44">
        <v>0</v>
      </c>
      <c r="C44">
        <v>0</v>
      </c>
      <c r="D44">
        <v>208</v>
      </c>
      <c r="E44">
        <v>254</v>
      </c>
      <c r="F44">
        <v>284</v>
      </c>
      <c r="G44">
        <v>315</v>
      </c>
      <c r="J44">
        <v>247</v>
      </c>
      <c r="K44">
        <v>2</v>
      </c>
      <c r="L44">
        <v>0</v>
      </c>
      <c r="M44">
        <v>0</v>
      </c>
      <c r="N44">
        <v>0</v>
      </c>
    </row>
    <row r="45" spans="2:14">
      <c r="B45">
        <v>0</v>
      </c>
      <c r="C45">
        <v>0</v>
      </c>
      <c r="D45">
        <v>264</v>
      </c>
      <c r="E45">
        <v>203</v>
      </c>
      <c r="F45">
        <v>281</v>
      </c>
      <c r="G45">
        <v>246</v>
      </c>
      <c r="J45">
        <v>239</v>
      </c>
      <c r="K45">
        <v>2</v>
      </c>
      <c r="L45">
        <v>3</v>
      </c>
      <c r="M45">
        <v>1.5</v>
      </c>
      <c r="N45">
        <v>4.5</v>
      </c>
    </row>
    <row r="46" spans="2:14">
      <c r="B46">
        <v>2</v>
      </c>
      <c r="C46">
        <v>0</v>
      </c>
      <c r="D46">
        <v>321</v>
      </c>
      <c r="E46">
        <v>206</v>
      </c>
      <c r="F46">
        <v>246</v>
      </c>
      <c r="G46">
        <v>240</v>
      </c>
      <c r="J46">
        <v>234</v>
      </c>
      <c r="K46">
        <v>2</v>
      </c>
      <c r="L46">
        <v>0</v>
      </c>
      <c r="M46">
        <v>0</v>
      </c>
      <c r="N46">
        <v>0</v>
      </c>
    </row>
    <row r="47" spans="2:14">
      <c r="B47">
        <v>1</v>
      </c>
      <c r="C47">
        <v>0</v>
      </c>
      <c r="D47">
        <v>325</v>
      </c>
      <c r="E47">
        <v>167</v>
      </c>
      <c r="F47">
        <v>283</v>
      </c>
      <c r="G47">
        <v>196</v>
      </c>
      <c r="J47">
        <v>233</v>
      </c>
      <c r="K47">
        <v>2</v>
      </c>
      <c r="L47">
        <v>2</v>
      </c>
      <c r="M47">
        <v>1</v>
      </c>
      <c r="N47">
        <v>2</v>
      </c>
    </row>
    <row r="48" spans="2:14">
      <c r="B48">
        <v>2</v>
      </c>
      <c r="C48">
        <v>0</v>
      </c>
      <c r="D48">
        <v>235</v>
      </c>
      <c r="E48">
        <v>230</v>
      </c>
      <c r="F48">
        <v>261</v>
      </c>
      <c r="G48">
        <v>211</v>
      </c>
      <c r="J48">
        <v>226</v>
      </c>
      <c r="K48">
        <v>2</v>
      </c>
      <c r="L48">
        <v>0</v>
      </c>
      <c r="M48">
        <v>0</v>
      </c>
      <c r="N48">
        <v>0</v>
      </c>
    </row>
    <row r="49" spans="2:14">
      <c r="B49">
        <v>2</v>
      </c>
      <c r="C49">
        <v>0</v>
      </c>
      <c r="D49">
        <v>257</v>
      </c>
      <c r="E49">
        <v>177</v>
      </c>
      <c r="F49">
        <v>319</v>
      </c>
      <c r="G49">
        <v>126</v>
      </c>
      <c r="J49">
        <v>243</v>
      </c>
      <c r="K49">
        <v>2</v>
      </c>
      <c r="L49">
        <v>3</v>
      </c>
      <c r="M49">
        <v>1.5</v>
      </c>
      <c r="N49">
        <v>0.5</v>
      </c>
    </row>
    <row r="50" spans="2:14">
      <c r="B50">
        <v>2</v>
      </c>
      <c r="C50">
        <v>0</v>
      </c>
      <c r="D50">
        <v>216</v>
      </c>
      <c r="E50">
        <v>276</v>
      </c>
      <c r="F50">
        <v>232</v>
      </c>
      <c r="G50">
        <v>313</v>
      </c>
      <c r="J50">
        <v>199</v>
      </c>
      <c r="K50">
        <v>2</v>
      </c>
      <c r="L50">
        <v>3</v>
      </c>
      <c r="M50">
        <v>1.5</v>
      </c>
      <c r="N50">
        <v>4.5</v>
      </c>
    </row>
    <row r="51" spans="2:14">
      <c r="B51">
        <v>0</v>
      </c>
      <c r="C51">
        <v>0</v>
      </c>
      <c r="D51">
        <v>234</v>
      </c>
      <c r="E51">
        <v>353</v>
      </c>
      <c r="F51">
        <v>236</v>
      </c>
      <c r="G51">
        <v>215</v>
      </c>
      <c r="J51">
        <v>302</v>
      </c>
      <c r="K51">
        <v>2</v>
      </c>
      <c r="L51">
        <v>1</v>
      </c>
      <c r="M51">
        <v>0.5</v>
      </c>
      <c r="N51">
        <v>0.5</v>
      </c>
    </row>
    <row r="52" spans="2:14">
      <c r="B52">
        <v>2</v>
      </c>
      <c r="C52">
        <v>0</v>
      </c>
      <c r="D52">
        <v>256</v>
      </c>
      <c r="E52">
        <v>225</v>
      </c>
      <c r="G52">
        <v>214</v>
      </c>
      <c r="J52">
        <v>212</v>
      </c>
      <c r="K52">
        <v>2</v>
      </c>
      <c r="L52">
        <v>3</v>
      </c>
      <c r="M52">
        <v>1.5</v>
      </c>
      <c r="N52">
        <v>0.5</v>
      </c>
    </row>
    <row r="53" spans="2:14">
      <c r="B53">
        <v>0</v>
      </c>
      <c r="C53">
        <v>0</v>
      </c>
      <c r="D53">
        <v>302</v>
      </c>
      <c r="E53">
        <v>330</v>
      </c>
      <c r="G53">
        <v>268</v>
      </c>
      <c r="J53">
        <v>175</v>
      </c>
      <c r="K53">
        <v>2</v>
      </c>
      <c r="L53">
        <v>2</v>
      </c>
      <c r="M53">
        <v>1</v>
      </c>
      <c r="N53">
        <v>2</v>
      </c>
    </row>
    <row r="54" spans="2:14">
      <c r="B54">
        <v>2</v>
      </c>
      <c r="C54">
        <v>0</v>
      </c>
      <c r="D54">
        <v>231</v>
      </c>
      <c r="E54">
        <v>243</v>
      </c>
      <c r="G54">
        <v>267</v>
      </c>
      <c r="J54">
        <v>417</v>
      </c>
      <c r="K54">
        <v>2</v>
      </c>
      <c r="L54">
        <v>3</v>
      </c>
      <c r="M54">
        <v>1.5</v>
      </c>
      <c r="N54">
        <v>0.5</v>
      </c>
    </row>
    <row r="55" spans="2:14">
      <c r="B55">
        <v>2</v>
      </c>
      <c r="C55">
        <v>0</v>
      </c>
      <c r="D55">
        <v>141</v>
      </c>
      <c r="E55">
        <v>290</v>
      </c>
      <c r="G55">
        <v>199</v>
      </c>
      <c r="J55">
        <v>197</v>
      </c>
      <c r="K55">
        <v>2</v>
      </c>
      <c r="L55">
        <v>3</v>
      </c>
      <c r="M55">
        <v>1.5</v>
      </c>
      <c r="N55">
        <v>0.5</v>
      </c>
    </row>
    <row r="56" spans="2:14">
      <c r="B56">
        <v>2</v>
      </c>
      <c r="C56">
        <v>0</v>
      </c>
      <c r="D56">
        <v>252</v>
      </c>
      <c r="E56">
        <v>253</v>
      </c>
      <c r="G56">
        <v>277</v>
      </c>
      <c r="J56">
        <v>198</v>
      </c>
      <c r="K56">
        <v>2</v>
      </c>
      <c r="L56">
        <v>1</v>
      </c>
      <c r="M56">
        <v>0.5</v>
      </c>
      <c r="N56">
        <v>0.5</v>
      </c>
    </row>
    <row r="57" spans="2:14">
      <c r="B57">
        <v>1</v>
      </c>
      <c r="C57">
        <v>0</v>
      </c>
      <c r="D57">
        <v>201</v>
      </c>
      <c r="E57">
        <v>266</v>
      </c>
      <c r="G57">
        <v>196</v>
      </c>
      <c r="J57">
        <v>177</v>
      </c>
      <c r="K57">
        <v>2</v>
      </c>
      <c r="L57">
        <v>0</v>
      </c>
      <c r="M57">
        <v>0</v>
      </c>
      <c r="N57">
        <v>0</v>
      </c>
    </row>
    <row r="58" spans="2:14">
      <c r="B58">
        <v>0</v>
      </c>
      <c r="C58">
        <v>0</v>
      </c>
      <c r="D58">
        <v>222</v>
      </c>
      <c r="E58">
        <v>172</v>
      </c>
      <c r="G58">
        <v>201</v>
      </c>
      <c r="J58">
        <v>219</v>
      </c>
      <c r="K58">
        <v>2</v>
      </c>
      <c r="L58">
        <v>1</v>
      </c>
      <c r="M58">
        <v>0.5</v>
      </c>
      <c r="N58">
        <v>0.5</v>
      </c>
    </row>
    <row r="59" spans="2:14">
      <c r="B59">
        <v>0</v>
      </c>
      <c r="C59">
        <v>0</v>
      </c>
      <c r="D59">
        <v>260</v>
      </c>
      <c r="E59">
        <v>305</v>
      </c>
      <c r="G59">
        <v>178</v>
      </c>
      <c r="J59">
        <v>273</v>
      </c>
      <c r="K59">
        <v>2</v>
      </c>
      <c r="L59">
        <v>2</v>
      </c>
      <c r="M59">
        <v>1</v>
      </c>
      <c r="N59">
        <v>2</v>
      </c>
    </row>
    <row r="60" spans="2:14">
      <c r="B60">
        <v>3</v>
      </c>
      <c r="C60">
        <v>0</v>
      </c>
      <c r="D60">
        <v>182</v>
      </c>
      <c r="E60">
        <v>216</v>
      </c>
      <c r="G60">
        <v>295</v>
      </c>
      <c r="J60">
        <v>213</v>
      </c>
      <c r="K60">
        <v>2</v>
      </c>
      <c r="L60">
        <v>3</v>
      </c>
      <c r="M60">
        <v>1.5</v>
      </c>
      <c r="N60">
        <v>4.5</v>
      </c>
    </row>
    <row r="61" spans="2:14">
      <c r="B61">
        <v>0</v>
      </c>
      <c r="C61">
        <v>0</v>
      </c>
      <c r="D61">
        <v>303</v>
      </c>
      <c r="E61">
        <v>188</v>
      </c>
      <c r="G61">
        <v>209</v>
      </c>
      <c r="J61">
        <v>177</v>
      </c>
      <c r="K61">
        <v>2</v>
      </c>
      <c r="L61">
        <v>2</v>
      </c>
      <c r="M61">
        <v>1</v>
      </c>
      <c r="N61">
        <v>2</v>
      </c>
    </row>
    <row r="62" spans="2:14">
      <c r="B62">
        <v>2</v>
      </c>
      <c r="C62">
        <v>1</v>
      </c>
      <c r="D62">
        <v>265</v>
      </c>
      <c r="E62">
        <v>282</v>
      </c>
      <c r="G62">
        <v>197</v>
      </c>
      <c r="J62">
        <v>304</v>
      </c>
      <c r="K62">
        <v>2</v>
      </c>
      <c r="L62">
        <v>3</v>
      </c>
      <c r="M62">
        <v>1.5</v>
      </c>
      <c r="N62">
        <v>0.5</v>
      </c>
    </row>
    <row r="63" spans="2:14">
      <c r="B63">
        <v>1</v>
      </c>
      <c r="C63">
        <v>0</v>
      </c>
      <c r="D63">
        <v>309</v>
      </c>
      <c r="E63">
        <v>326</v>
      </c>
      <c r="G63">
        <v>242</v>
      </c>
      <c r="J63">
        <v>232</v>
      </c>
      <c r="K63">
        <v>2</v>
      </c>
      <c r="L63">
        <v>2</v>
      </c>
      <c r="M63">
        <v>1</v>
      </c>
      <c r="N63">
        <v>2</v>
      </c>
    </row>
    <row r="64" spans="2:14">
      <c r="B64">
        <v>3</v>
      </c>
      <c r="C64">
        <v>0</v>
      </c>
      <c r="D64">
        <v>186</v>
      </c>
      <c r="E64">
        <v>254</v>
      </c>
      <c r="G64">
        <v>226</v>
      </c>
      <c r="J64">
        <v>269</v>
      </c>
      <c r="K64">
        <v>2</v>
      </c>
      <c r="L64">
        <v>2</v>
      </c>
      <c r="M64">
        <v>1</v>
      </c>
      <c r="N64">
        <v>2</v>
      </c>
    </row>
    <row r="65" spans="2:14">
      <c r="B65">
        <v>1</v>
      </c>
      <c r="C65">
        <v>0</v>
      </c>
      <c r="D65">
        <v>203</v>
      </c>
      <c r="E65">
        <v>267</v>
      </c>
      <c r="G65">
        <v>180</v>
      </c>
      <c r="J65">
        <v>360</v>
      </c>
      <c r="K65">
        <v>2</v>
      </c>
      <c r="L65">
        <v>2</v>
      </c>
      <c r="M65">
        <v>1</v>
      </c>
      <c r="N65">
        <v>2</v>
      </c>
    </row>
    <row r="66" spans="2:14">
      <c r="B66">
        <v>2</v>
      </c>
      <c r="C66">
        <v>1</v>
      </c>
      <c r="D66">
        <v>211</v>
      </c>
      <c r="E66">
        <v>248</v>
      </c>
      <c r="G66">
        <v>278</v>
      </c>
      <c r="J66">
        <v>308</v>
      </c>
      <c r="K66">
        <v>2</v>
      </c>
      <c r="L66">
        <v>2</v>
      </c>
      <c r="M66">
        <v>1</v>
      </c>
      <c r="N66">
        <v>2</v>
      </c>
    </row>
    <row r="67" spans="2:14">
      <c r="B67">
        <v>0</v>
      </c>
      <c r="C67">
        <v>0</v>
      </c>
      <c r="D67">
        <v>183</v>
      </c>
      <c r="E67">
        <v>197</v>
      </c>
      <c r="G67">
        <v>220</v>
      </c>
      <c r="J67">
        <v>245</v>
      </c>
      <c r="K67">
        <v>2</v>
      </c>
      <c r="L67">
        <v>1</v>
      </c>
      <c r="M67">
        <v>0.5</v>
      </c>
      <c r="N67">
        <v>0.5</v>
      </c>
    </row>
    <row r="68" spans="2:14">
      <c r="B68">
        <v>2</v>
      </c>
      <c r="C68">
        <v>0</v>
      </c>
      <c r="D68">
        <v>222</v>
      </c>
      <c r="E68">
        <v>258</v>
      </c>
      <c r="G68">
        <v>253</v>
      </c>
      <c r="J68">
        <v>208</v>
      </c>
      <c r="K68">
        <v>2</v>
      </c>
      <c r="L68">
        <v>0</v>
      </c>
      <c r="M68">
        <v>0</v>
      </c>
      <c r="N68">
        <v>0</v>
      </c>
    </row>
    <row r="69" spans="2:14">
      <c r="B69">
        <v>1</v>
      </c>
      <c r="C69">
        <v>0</v>
      </c>
      <c r="D69">
        <v>234</v>
      </c>
      <c r="E69">
        <v>270</v>
      </c>
      <c r="G69">
        <v>175</v>
      </c>
      <c r="J69">
        <v>264</v>
      </c>
      <c r="K69">
        <v>2</v>
      </c>
      <c r="L69">
        <v>0</v>
      </c>
      <c r="M69">
        <v>0</v>
      </c>
      <c r="N69">
        <v>0</v>
      </c>
    </row>
    <row r="70" spans="2:14">
      <c r="B70">
        <v>1</v>
      </c>
      <c r="C70">
        <v>0</v>
      </c>
      <c r="D70">
        <v>220</v>
      </c>
      <c r="E70">
        <v>164</v>
      </c>
      <c r="G70">
        <v>175</v>
      </c>
      <c r="J70">
        <v>321</v>
      </c>
      <c r="K70">
        <v>2</v>
      </c>
      <c r="L70">
        <v>2</v>
      </c>
      <c r="M70">
        <v>1</v>
      </c>
      <c r="N70">
        <v>2</v>
      </c>
    </row>
    <row r="71" spans="2:14">
      <c r="B71">
        <v>0</v>
      </c>
      <c r="C71">
        <v>0</v>
      </c>
      <c r="D71">
        <v>209</v>
      </c>
      <c r="E71">
        <v>255</v>
      </c>
      <c r="G71">
        <v>256</v>
      </c>
      <c r="J71">
        <v>325</v>
      </c>
      <c r="K71">
        <v>2</v>
      </c>
      <c r="L71">
        <v>1</v>
      </c>
      <c r="M71">
        <v>0.5</v>
      </c>
      <c r="N71">
        <v>0.5</v>
      </c>
    </row>
    <row r="72" spans="2:14">
      <c r="B72">
        <v>2</v>
      </c>
      <c r="C72">
        <v>0</v>
      </c>
      <c r="D72">
        <v>258</v>
      </c>
      <c r="E72">
        <v>239</v>
      </c>
      <c r="G72">
        <v>224</v>
      </c>
      <c r="J72">
        <v>235</v>
      </c>
      <c r="K72">
        <v>2</v>
      </c>
      <c r="L72">
        <v>2</v>
      </c>
      <c r="M72">
        <v>1</v>
      </c>
      <c r="N72">
        <v>2</v>
      </c>
    </row>
    <row r="73" spans="2:14">
      <c r="B73">
        <v>2</v>
      </c>
      <c r="C73">
        <v>0</v>
      </c>
      <c r="D73">
        <v>227</v>
      </c>
      <c r="E73">
        <v>258</v>
      </c>
      <c r="G73">
        <v>335</v>
      </c>
      <c r="J73">
        <v>257</v>
      </c>
      <c r="K73">
        <v>2</v>
      </c>
      <c r="L73">
        <v>2</v>
      </c>
      <c r="M73">
        <v>1</v>
      </c>
      <c r="N73">
        <v>2</v>
      </c>
    </row>
    <row r="74" spans="2:14">
      <c r="B74">
        <v>1</v>
      </c>
      <c r="C74">
        <v>0</v>
      </c>
      <c r="D74">
        <v>204</v>
      </c>
      <c r="E74">
        <v>177</v>
      </c>
      <c r="G74">
        <v>230</v>
      </c>
      <c r="J74">
        <v>216</v>
      </c>
      <c r="K74">
        <v>2</v>
      </c>
      <c r="L74">
        <v>2</v>
      </c>
      <c r="M74">
        <v>1</v>
      </c>
      <c r="N74">
        <v>2</v>
      </c>
    </row>
    <row r="75" spans="2:14">
      <c r="B75">
        <v>0</v>
      </c>
      <c r="C75">
        <v>0</v>
      </c>
      <c r="D75">
        <v>261</v>
      </c>
      <c r="E75">
        <v>260</v>
      </c>
      <c r="G75">
        <v>233</v>
      </c>
      <c r="J75">
        <v>234</v>
      </c>
      <c r="K75">
        <v>2</v>
      </c>
      <c r="L75">
        <v>0</v>
      </c>
      <c r="M75">
        <v>0</v>
      </c>
      <c r="N75">
        <v>0</v>
      </c>
    </row>
    <row r="76" spans="2:14">
      <c r="B76">
        <v>2</v>
      </c>
      <c r="C76">
        <v>0</v>
      </c>
      <c r="D76">
        <v>213</v>
      </c>
      <c r="E76">
        <v>219</v>
      </c>
      <c r="G76">
        <v>185</v>
      </c>
      <c r="J76">
        <v>256</v>
      </c>
      <c r="K76">
        <v>2</v>
      </c>
      <c r="L76">
        <v>2</v>
      </c>
      <c r="M76">
        <v>1</v>
      </c>
      <c r="N76">
        <v>2</v>
      </c>
    </row>
    <row r="77" spans="2:14">
      <c r="B77">
        <v>1</v>
      </c>
      <c r="C77">
        <v>0</v>
      </c>
      <c r="D77">
        <v>250</v>
      </c>
      <c r="E77">
        <v>307</v>
      </c>
      <c r="G77">
        <v>231</v>
      </c>
      <c r="J77">
        <v>302</v>
      </c>
      <c r="K77">
        <v>2</v>
      </c>
      <c r="L77">
        <v>0</v>
      </c>
      <c r="M77">
        <v>0</v>
      </c>
      <c r="N77">
        <v>0</v>
      </c>
    </row>
    <row r="78" spans="2:14">
      <c r="B78">
        <v>2</v>
      </c>
      <c r="C78">
        <v>1</v>
      </c>
      <c r="D78">
        <v>245</v>
      </c>
      <c r="E78">
        <v>249</v>
      </c>
      <c r="G78">
        <v>274</v>
      </c>
      <c r="J78">
        <v>231</v>
      </c>
      <c r="K78">
        <v>2</v>
      </c>
      <c r="L78">
        <v>2</v>
      </c>
      <c r="M78">
        <v>1</v>
      </c>
      <c r="N78">
        <v>2</v>
      </c>
    </row>
    <row r="79" spans="2:14">
      <c r="B79">
        <v>1</v>
      </c>
      <c r="C79">
        <v>0</v>
      </c>
      <c r="D79">
        <v>221</v>
      </c>
      <c r="E79">
        <v>341</v>
      </c>
      <c r="G79">
        <v>188</v>
      </c>
      <c r="J79">
        <v>141</v>
      </c>
      <c r="K79">
        <v>2</v>
      </c>
      <c r="L79">
        <v>2</v>
      </c>
      <c r="M79">
        <v>1</v>
      </c>
      <c r="N79">
        <v>2</v>
      </c>
    </row>
    <row r="80" spans="2:14">
      <c r="B80">
        <v>1</v>
      </c>
      <c r="C80">
        <v>1</v>
      </c>
      <c r="D80">
        <v>205</v>
      </c>
      <c r="E80">
        <v>330</v>
      </c>
      <c r="G80">
        <v>229</v>
      </c>
      <c r="J80">
        <v>252</v>
      </c>
      <c r="K80">
        <v>2</v>
      </c>
      <c r="L80">
        <v>2</v>
      </c>
      <c r="M80">
        <v>1</v>
      </c>
      <c r="N80">
        <v>2</v>
      </c>
    </row>
    <row r="81" spans="2:14">
      <c r="B81">
        <v>2</v>
      </c>
      <c r="C81">
        <v>0</v>
      </c>
      <c r="D81">
        <v>240</v>
      </c>
      <c r="E81">
        <v>254</v>
      </c>
      <c r="G81">
        <v>263</v>
      </c>
      <c r="J81">
        <v>201</v>
      </c>
      <c r="K81">
        <v>2</v>
      </c>
      <c r="L81">
        <v>1</v>
      </c>
      <c r="M81">
        <v>0.5</v>
      </c>
      <c r="N81">
        <v>0.5</v>
      </c>
    </row>
    <row r="82" spans="2:14">
      <c r="B82">
        <v>2</v>
      </c>
      <c r="C82">
        <v>0</v>
      </c>
      <c r="D82">
        <v>250</v>
      </c>
      <c r="E82">
        <v>256</v>
      </c>
      <c r="G82">
        <v>309</v>
      </c>
      <c r="J82">
        <v>222</v>
      </c>
      <c r="K82">
        <v>2</v>
      </c>
      <c r="L82">
        <v>0</v>
      </c>
      <c r="M82">
        <v>0</v>
      </c>
      <c r="N82">
        <v>0</v>
      </c>
    </row>
    <row r="83" spans="2:14">
      <c r="B83">
        <v>1</v>
      </c>
      <c r="C83">
        <v>0</v>
      </c>
      <c r="D83">
        <v>308</v>
      </c>
      <c r="E83">
        <v>407</v>
      </c>
      <c r="G83">
        <v>243</v>
      </c>
      <c r="J83">
        <v>260</v>
      </c>
      <c r="K83">
        <v>2</v>
      </c>
      <c r="L83">
        <v>0</v>
      </c>
      <c r="M83">
        <v>0</v>
      </c>
      <c r="N83">
        <v>0</v>
      </c>
    </row>
    <row r="84" spans="2:14">
      <c r="B84">
        <v>2</v>
      </c>
      <c r="C84">
        <v>0</v>
      </c>
      <c r="D84">
        <v>318</v>
      </c>
      <c r="E84">
        <v>217</v>
      </c>
      <c r="G84">
        <v>269</v>
      </c>
      <c r="J84">
        <v>182</v>
      </c>
      <c r="K84">
        <v>2</v>
      </c>
      <c r="L84">
        <v>3</v>
      </c>
      <c r="M84">
        <v>1.5</v>
      </c>
      <c r="N84">
        <v>4.5</v>
      </c>
    </row>
    <row r="85" spans="2:14">
      <c r="B85">
        <v>3</v>
      </c>
      <c r="C85">
        <v>1</v>
      </c>
      <c r="D85">
        <v>298</v>
      </c>
      <c r="E85">
        <v>288</v>
      </c>
      <c r="G85">
        <v>254</v>
      </c>
      <c r="J85">
        <v>303</v>
      </c>
      <c r="K85">
        <v>2</v>
      </c>
      <c r="L85">
        <v>0</v>
      </c>
      <c r="M85">
        <v>0</v>
      </c>
      <c r="N85">
        <v>0</v>
      </c>
    </row>
    <row r="86" spans="2:14">
      <c r="B86">
        <v>0</v>
      </c>
      <c r="C86">
        <v>0</v>
      </c>
      <c r="D86">
        <v>265</v>
      </c>
      <c r="E86">
        <v>239</v>
      </c>
      <c r="G86">
        <v>149</v>
      </c>
      <c r="J86">
        <v>265</v>
      </c>
      <c r="K86">
        <v>2</v>
      </c>
      <c r="L86">
        <v>3</v>
      </c>
      <c r="M86">
        <v>1.5</v>
      </c>
      <c r="N86">
        <v>0.5</v>
      </c>
    </row>
    <row r="87" spans="2:14">
      <c r="B87">
        <v>2</v>
      </c>
      <c r="C87">
        <v>0</v>
      </c>
      <c r="D87">
        <v>564</v>
      </c>
      <c r="E87">
        <v>174</v>
      </c>
      <c r="G87">
        <v>218</v>
      </c>
      <c r="J87">
        <v>309</v>
      </c>
      <c r="K87">
        <v>2</v>
      </c>
      <c r="L87">
        <v>1</v>
      </c>
      <c r="M87">
        <v>0.5</v>
      </c>
      <c r="N87">
        <v>0.5</v>
      </c>
    </row>
    <row r="88" spans="2:14">
      <c r="B88">
        <v>2</v>
      </c>
      <c r="C88">
        <v>0</v>
      </c>
      <c r="D88">
        <v>277</v>
      </c>
      <c r="E88">
        <v>198</v>
      </c>
      <c r="G88">
        <v>212</v>
      </c>
      <c r="J88">
        <v>186</v>
      </c>
      <c r="K88">
        <v>2</v>
      </c>
      <c r="L88">
        <v>3</v>
      </c>
      <c r="M88">
        <v>1.5</v>
      </c>
      <c r="N88">
        <v>4.5</v>
      </c>
    </row>
    <row r="89" spans="2:14">
      <c r="B89">
        <v>1</v>
      </c>
      <c r="C89">
        <v>1</v>
      </c>
      <c r="D89">
        <v>197</v>
      </c>
      <c r="E89">
        <v>289</v>
      </c>
      <c r="J89">
        <v>203</v>
      </c>
      <c r="K89">
        <v>2</v>
      </c>
      <c r="L89">
        <v>1</v>
      </c>
      <c r="M89">
        <v>0.5</v>
      </c>
      <c r="N89">
        <v>0.5</v>
      </c>
    </row>
    <row r="90" spans="2:14">
      <c r="B90">
        <v>2</v>
      </c>
      <c r="C90">
        <v>0</v>
      </c>
      <c r="D90">
        <v>214</v>
      </c>
      <c r="E90">
        <v>289</v>
      </c>
      <c r="J90">
        <v>211</v>
      </c>
      <c r="K90">
        <v>2</v>
      </c>
      <c r="L90">
        <v>3</v>
      </c>
      <c r="M90">
        <v>1.5</v>
      </c>
      <c r="N90">
        <v>0.5</v>
      </c>
    </row>
    <row r="91" spans="2:14">
      <c r="B91">
        <v>0</v>
      </c>
      <c r="C91">
        <v>0</v>
      </c>
      <c r="D91">
        <v>248</v>
      </c>
      <c r="E91">
        <v>246</v>
      </c>
      <c r="J91">
        <v>183</v>
      </c>
      <c r="K91">
        <v>2</v>
      </c>
      <c r="L91">
        <v>0</v>
      </c>
      <c r="M91">
        <v>0</v>
      </c>
      <c r="N91">
        <v>0</v>
      </c>
    </row>
    <row r="92" spans="2:14">
      <c r="B92">
        <v>2</v>
      </c>
      <c r="C92">
        <v>1</v>
      </c>
      <c r="D92">
        <v>255</v>
      </c>
      <c r="E92">
        <v>322</v>
      </c>
      <c r="J92">
        <v>222</v>
      </c>
      <c r="K92">
        <v>2</v>
      </c>
      <c r="L92">
        <v>2</v>
      </c>
      <c r="M92">
        <v>1</v>
      </c>
      <c r="N92">
        <v>2</v>
      </c>
    </row>
    <row r="93" spans="2:14">
      <c r="B93">
        <v>0</v>
      </c>
      <c r="C93">
        <v>0</v>
      </c>
      <c r="D93">
        <v>207</v>
      </c>
      <c r="E93">
        <v>299</v>
      </c>
      <c r="J93">
        <v>234</v>
      </c>
      <c r="K93">
        <v>2</v>
      </c>
      <c r="L93">
        <v>1</v>
      </c>
      <c r="M93">
        <v>0.5</v>
      </c>
      <c r="N93">
        <v>0.5</v>
      </c>
    </row>
    <row r="94" spans="2:14">
      <c r="B94">
        <v>2</v>
      </c>
      <c r="C94">
        <v>0</v>
      </c>
      <c r="D94">
        <v>223</v>
      </c>
      <c r="E94">
        <v>300</v>
      </c>
      <c r="J94">
        <v>220</v>
      </c>
      <c r="K94">
        <v>2</v>
      </c>
      <c r="L94">
        <v>1</v>
      </c>
      <c r="M94">
        <v>0.5</v>
      </c>
      <c r="N94">
        <v>0.5</v>
      </c>
    </row>
    <row r="95" spans="2:14">
      <c r="B95">
        <v>1</v>
      </c>
      <c r="C95">
        <v>1</v>
      </c>
      <c r="D95">
        <v>288</v>
      </c>
      <c r="E95">
        <v>293</v>
      </c>
      <c r="J95">
        <v>209</v>
      </c>
      <c r="K95">
        <v>2</v>
      </c>
      <c r="L95">
        <v>0</v>
      </c>
      <c r="M95">
        <v>0</v>
      </c>
      <c r="N95">
        <v>0</v>
      </c>
    </row>
    <row r="96" spans="2:14">
      <c r="B96">
        <v>1</v>
      </c>
      <c r="C96">
        <v>0</v>
      </c>
      <c r="D96">
        <v>160</v>
      </c>
      <c r="E96">
        <v>304</v>
      </c>
      <c r="J96">
        <v>258</v>
      </c>
      <c r="K96">
        <v>2</v>
      </c>
      <c r="L96">
        <v>2</v>
      </c>
      <c r="M96">
        <v>1</v>
      </c>
      <c r="N96">
        <v>2</v>
      </c>
    </row>
    <row r="97" spans="2:14">
      <c r="B97">
        <v>0</v>
      </c>
      <c r="C97">
        <v>0</v>
      </c>
      <c r="D97">
        <v>226</v>
      </c>
      <c r="E97">
        <v>282</v>
      </c>
      <c r="J97">
        <v>227</v>
      </c>
      <c r="K97">
        <v>2</v>
      </c>
      <c r="L97">
        <v>2</v>
      </c>
      <c r="M97">
        <v>1</v>
      </c>
      <c r="N97">
        <v>2</v>
      </c>
    </row>
    <row r="98" spans="2:14">
      <c r="B98">
        <v>0</v>
      </c>
      <c r="C98">
        <v>0</v>
      </c>
      <c r="D98">
        <v>394</v>
      </c>
      <c r="E98">
        <v>249</v>
      </c>
      <c r="J98">
        <v>204</v>
      </c>
      <c r="K98">
        <v>2</v>
      </c>
      <c r="L98">
        <v>1</v>
      </c>
      <c r="M98">
        <v>0.5</v>
      </c>
      <c r="N98">
        <v>0.5</v>
      </c>
    </row>
    <row r="99" spans="2:14">
      <c r="B99">
        <v>0</v>
      </c>
      <c r="C99">
        <v>1</v>
      </c>
      <c r="D99">
        <v>233</v>
      </c>
      <c r="E99">
        <v>212</v>
      </c>
      <c r="J99">
        <v>261</v>
      </c>
      <c r="K99">
        <v>2</v>
      </c>
      <c r="L99">
        <v>0</v>
      </c>
      <c r="M99">
        <v>0</v>
      </c>
      <c r="N99">
        <v>0</v>
      </c>
    </row>
    <row r="100" spans="2:14">
      <c r="B100">
        <v>2</v>
      </c>
      <c r="C100">
        <v>0</v>
      </c>
      <c r="D100">
        <v>315</v>
      </c>
      <c r="E100">
        <v>274</v>
      </c>
      <c r="J100">
        <v>213</v>
      </c>
      <c r="K100">
        <v>2</v>
      </c>
      <c r="L100">
        <v>2</v>
      </c>
      <c r="M100">
        <v>1</v>
      </c>
      <c r="N100">
        <v>2</v>
      </c>
    </row>
    <row r="101" spans="2:14">
      <c r="B101">
        <v>2</v>
      </c>
      <c r="C101">
        <v>1</v>
      </c>
      <c r="D101">
        <v>246</v>
      </c>
      <c r="E101">
        <v>184</v>
      </c>
      <c r="J101">
        <v>250</v>
      </c>
      <c r="K101">
        <v>2</v>
      </c>
      <c r="L101">
        <v>1</v>
      </c>
      <c r="M101">
        <v>0.5</v>
      </c>
      <c r="N101">
        <v>0.5</v>
      </c>
    </row>
    <row r="102" spans="2:14">
      <c r="B102">
        <v>3</v>
      </c>
      <c r="C102">
        <v>0</v>
      </c>
      <c r="D102">
        <v>244</v>
      </c>
      <c r="E102">
        <v>274</v>
      </c>
      <c r="J102">
        <v>245</v>
      </c>
      <c r="K102">
        <v>2</v>
      </c>
      <c r="L102">
        <v>3</v>
      </c>
      <c r="M102">
        <v>1.5</v>
      </c>
      <c r="N102">
        <v>0.5</v>
      </c>
    </row>
    <row r="103" spans="2:14">
      <c r="B103">
        <v>3</v>
      </c>
      <c r="C103">
        <v>0</v>
      </c>
      <c r="D103">
        <v>270</v>
      </c>
      <c r="E103">
        <v>409</v>
      </c>
      <c r="J103">
        <v>221</v>
      </c>
      <c r="K103">
        <v>2</v>
      </c>
      <c r="L103">
        <v>1</v>
      </c>
      <c r="M103">
        <v>0.5</v>
      </c>
      <c r="N103">
        <v>0.5</v>
      </c>
    </row>
    <row r="104" spans="2:14">
      <c r="B104">
        <v>1</v>
      </c>
      <c r="C104">
        <v>0</v>
      </c>
      <c r="D104">
        <v>195</v>
      </c>
      <c r="E104">
        <v>298</v>
      </c>
      <c r="J104">
        <v>205</v>
      </c>
      <c r="K104">
        <v>2</v>
      </c>
      <c r="L104">
        <v>2</v>
      </c>
      <c r="M104">
        <v>1</v>
      </c>
      <c r="N104">
        <v>0</v>
      </c>
    </row>
    <row r="105" spans="2:14">
      <c r="B105">
        <v>2</v>
      </c>
      <c r="C105">
        <v>1</v>
      </c>
      <c r="D105">
        <v>240</v>
      </c>
      <c r="E105">
        <v>247</v>
      </c>
      <c r="J105">
        <v>240</v>
      </c>
      <c r="K105">
        <v>2</v>
      </c>
      <c r="L105">
        <v>2</v>
      </c>
      <c r="M105">
        <v>1</v>
      </c>
      <c r="N105">
        <v>2</v>
      </c>
    </row>
    <row r="106" spans="2:14">
      <c r="B106">
        <v>2</v>
      </c>
      <c r="C106">
        <v>0</v>
      </c>
      <c r="D106">
        <v>196</v>
      </c>
      <c r="E106">
        <v>294</v>
      </c>
      <c r="J106">
        <v>250</v>
      </c>
      <c r="K106">
        <v>2</v>
      </c>
      <c r="L106">
        <v>2</v>
      </c>
      <c r="M106">
        <v>1</v>
      </c>
      <c r="N106">
        <v>2</v>
      </c>
    </row>
    <row r="107" spans="2:14">
      <c r="B107">
        <v>2</v>
      </c>
      <c r="C107">
        <v>0</v>
      </c>
      <c r="D107">
        <v>211</v>
      </c>
      <c r="E107">
        <v>299</v>
      </c>
      <c r="J107">
        <v>308</v>
      </c>
      <c r="K107">
        <v>2</v>
      </c>
      <c r="L107">
        <v>1</v>
      </c>
      <c r="M107">
        <v>0.5</v>
      </c>
      <c r="N107">
        <v>0.5</v>
      </c>
    </row>
    <row r="108" spans="2:14">
      <c r="B108">
        <v>3</v>
      </c>
      <c r="C108">
        <v>1</v>
      </c>
      <c r="D108">
        <v>234</v>
      </c>
      <c r="E108">
        <v>309</v>
      </c>
      <c r="J108">
        <v>318</v>
      </c>
      <c r="K108">
        <v>2</v>
      </c>
      <c r="L108">
        <v>2</v>
      </c>
      <c r="M108">
        <v>1</v>
      </c>
      <c r="N108">
        <v>2</v>
      </c>
    </row>
    <row r="109" spans="2:14">
      <c r="B109">
        <v>0</v>
      </c>
      <c r="C109">
        <v>0</v>
      </c>
      <c r="D109">
        <v>236</v>
      </c>
      <c r="E109">
        <v>259</v>
      </c>
      <c r="J109">
        <v>298</v>
      </c>
      <c r="K109">
        <v>2</v>
      </c>
      <c r="L109">
        <v>4</v>
      </c>
      <c r="M109">
        <v>2</v>
      </c>
      <c r="N109">
        <v>2</v>
      </c>
    </row>
    <row r="110" spans="2:14">
      <c r="B110">
        <v>1</v>
      </c>
      <c r="C110">
        <v>0</v>
      </c>
      <c r="D110">
        <v>244</v>
      </c>
      <c r="E110">
        <v>200</v>
      </c>
      <c r="J110">
        <v>265</v>
      </c>
      <c r="K110">
        <v>2</v>
      </c>
      <c r="L110">
        <v>0</v>
      </c>
      <c r="M110">
        <v>0</v>
      </c>
      <c r="N110">
        <v>0</v>
      </c>
    </row>
    <row r="111" spans="2:14">
      <c r="B111">
        <v>0</v>
      </c>
      <c r="C111">
        <v>0</v>
      </c>
      <c r="D111">
        <v>254</v>
      </c>
      <c r="E111">
        <v>244</v>
      </c>
      <c r="J111">
        <v>564</v>
      </c>
      <c r="K111">
        <v>2</v>
      </c>
      <c r="L111">
        <v>2</v>
      </c>
      <c r="M111">
        <v>1</v>
      </c>
      <c r="N111">
        <v>2</v>
      </c>
    </row>
    <row r="112" spans="2:14">
      <c r="B112">
        <v>0</v>
      </c>
      <c r="C112">
        <v>0</v>
      </c>
      <c r="D112">
        <v>325</v>
      </c>
      <c r="E112">
        <v>228</v>
      </c>
      <c r="J112">
        <v>277</v>
      </c>
      <c r="K112">
        <v>2</v>
      </c>
      <c r="L112">
        <v>2</v>
      </c>
      <c r="M112">
        <v>1</v>
      </c>
      <c r="N112">
        <v>2</v>
      </c>
    </row>
    <row r="113" spans="2:14">
      <c r="B113">
        <v>2</v>
      </c>
      <c r="C113">
        <v>1</v>
      </c>
      <c r="D113">
        <v>126</v>
      </c>
      <c r="E113">
        <v>230</v>
      </c>
      <c r="J113">
        <v>197</v>
      </c>
      <c r="K113">
        <v>2</v>
      </c>
      <c r="L113">
        <v>2</v>
      </c>
      <c r="M113">
        <v>1</v>
      </c>
      <c r="N113">
        <v>0</v>
      </c>
    </row>
    <row r="114" spans="2:14">
      <c r="B114">
        <v>2</v>
      </c>
      <c r="C114">
        <v>0</v>
      </c>
      <c r="D114">
        <v>313</v>
      </c>
      <c r="E114">
        <v>282</v>
      </c>
      <c r="J114">
        <v>214</v>
      </c>
      <c r="K114">
        <v>2</v>
      </c>
      <c r="L114">
        <v>2</v>
      </c>
      <c r="M114">
        <v>1</v>
      </c>
      <c r="N114">
        <v>2</v>
      </c>
    </row>
    <row r="115" spans="2:14">
      <c r="B115">
        <v>0</v>
      </c>
      <c r="C115">
        <v>0</v>
      </c>
      <c r="D115">
        <v>211</v>
      </c>
      <c r="E115">
        <v>269</v>
      </c>
      <c r="J115">
        <v>248</v>
      </c>
      <c r="K115">
        <v>2</v>
      </c>
      <c r="L115">
        <v>0</v>
      </c>
      <c r="M115">
        <v>0</v>
      </c>
      <c r="N115">
        <v>0</v>
      </c>
    </row>
    <row r="116" spans="2:14">
      <c r="B116">
        <v>1</v>
      </c>
      <c r="C116">
        <v>0</v>
      </c>
      <c r="D116">
        <v>262</v>
      </c>
      <c r="E116">
        <v>206</v>
      </c>
      <c r="J116">
        <v>255</v>
      </c>
      <c r="K116">
        <v>2</v>
      </c>
      <c r="L116">
        <v>3</v>
      </c>
      <c r="M116">
        <v>1.5</v>
      </c>
      <c r="N116">
        <v>0.5</v>
      </c>
    </row>
    <row r="117" spans="2:14">
      <c r="B117">
        <v>2</v>
      </c>
      <c r="C117">
        <v>0</v>
      </c>
      <c r="D117">
        <v>215</v>
      </c>
      <c r="E117">
        <v>212</v>
      </c>
      <c r="J117">
        <v>207</v>
      </c>
      <c r="K117">
        <v>2</v>
      </c>
      <c r="L117">
        <v>0</v>
      </c>
      <c r="M117">
        <v>0</v>
      </c>
      <c r="N117">
        <v>0</v>
      </c>
    </row>
    <row r="118" spans="2:14">
      <c r="B118">
        <v>2</v>
      </c>
      <c r="C118">
        <v>0</v>
      </c>
      <c r="D118">
        <v>214</v>
      </c>
      <c r="E118">
        <v>327</v>
      </c>
      <c r="J118">
        <v>223</v>
      </c>
      <c r="K118">
        <v>2</v>
      </c>
      <c r="L118">
        <v>2</v>
      </c>
      <c r="M118">
        <v>1</v>
      </c>
      <c r="N118">
        <v>2</v>
      </c>
    </row>
    <row r="119" spans="2:14">
      <c r="B119">
        <v>3</v>
      </c>
      <c r="C119">
        <v>0</v>
      </c>
      <c r="D119">
        <v>193</v>
      </c>
      <c r="E119">
        <v>286</v>
      </c>
      <c r="J119">
        <v>288</v>
      </c>
      <c r="K119">
        <v>2</v>
      </c>
      <c r="L119">
        <v>2</v>
      </c>
      <c r="M119">
        <v>1</v>
      </c>
      <c r="N119">
        <v>0</v>
      </c>
    </row>
    <row r="120" spans="2:14">
      <c r="B120">
        <v>1</v>
      </c>
      <c r="C120">
        <v>0</v>
      </c>
      <c r="D120">
        <v>204</v>
      </c>
      <c r="E120">
        <v>283</v>
      </c>
      <c r="J120">
        <v>160</v>
      </c>
      <c r="K120">
        <v>2</v>
      </c>
      <c r="L120">
        <v>1</v>
      </c>
      <c r="M120">
        <v>0.5</v>
      </c>
      <c r="N120">
        <v>0.5</v>
      </c>
    </row>
    <row r="121" spans="2:14">
      <c r="B121">
        <v>0</v>
      </c>
      <c r="C121">
        <v>0</v>
      </c>
      <c r="D121">
        <v>243</v>
      </c>
      <c r="E121">
        <v>249</v>
      </c>
      <c r="J121">
        <v>226</v>
      </c>
      <c r="K121">
        <v>2</v>
      </c>
      <c r="L121">
        <v>0</v>
      </c>
      <c r="M121">
        <v>0</v>
      </c>
      <c r="N121">
        <v>0</v>
      </c>
    </row>
    <row r="122" spans="2:14">
      <c r="B122">
        <v>0</v>
      </c>
      <c r="C122">
        <v>0</v>
      </c>
      <c r="D122">
        <v>303</v>
      </c>
      <c r="E122">
        <v>237</v>
      </c>
      <c r="J122">
        <v>394</v>
      </c>
      <c r="K122">
        <v>2</v>
      </c>
      <c r="L122">
        <v>0</v>
      </c>
      <c r="M122">
        <v>0</v>
      </c>
      <c r="N122">
        <v>0</v>
      </c>
    </row>
    <row r="123" spans="2:14">
      <c r="B123">
        <v>0</v>
      </c>
      <c r="C123">
        <v>0</v>
      </c>
      <c r="D123">
        <v>271</v>
      </c>
      <c r="E123">
        <v>234</v>
      </c>
      <c r="J123">
        <v>233</v>
      </c>
      <c r="K123">
        <v>2</v>
      </c>
      <c r="L123">
        <v>1</v>
      </c>
      <c r="M123">
        <v>0.5</v>
      </c>
      <c r="N123">
        <v>0.5</v>
      </c>
    </row>
    <row r="124" spans="2:14">
      <c r="B124">
        <v>2</v>
      </c>
      <c r="C124">
        <v>0</v>
      </c>
      <c r="D124">
        <v>268</v>
      </c>
      <c r="E124">
        <v>275</v>
      </c>
      <c r="J124">
        <v>315</v>
      </c>
      <c r="K124">
        <v>2</v>
      </c>
      <c r="L124">
        <v>2</v>
      </c>
      <c r="M124">
        <v>1</v>
      </c>
      <c r="N124">
        <v>2</v>
      </c>
    </row>
    <row r="125" spans="2:14">
      <c r="B125">
        <v>2</v>
      </c>
      <c r="C125">
        <v>0</v>
      </c>
      <c r="D125">
        <v>267</v>
      </c>
      <c r="E125">
        <v>212</v>
      </c>
      <c r="J125">
        <v>246</v>
      </c>
      <c r="K125">
        <v>2</v>
      </c>
      <c r="L125">
        <v>3</v>
      </c>
      <c r="M125">
        <v>1.5</v>
      </c>
      <c r="N125">
        <v>0.5</v>
      </c>
    </row>
    <row r="126" spans="2:14">
      <c r="B126">
        <v>2</v>
      </c>
      <c r="C126">
        <v>0</v>
      </c>
      <c r="D126">
        <v>199</v>
      </c>
      <c r="E126">
        <v>218</v>
      </c>
      <c r="J126">
        <v>244</v>
      </c>
      <c r="K126">
        <v>2</v>
      </c>
      <c r="L126">
        <v>3</v>
      </c>
      <c r="M126">
        <v>1.5</v>
      </c>
      <c r="N126">
        <v>4.5</v>
      </c>
    </row>
    <row r="127" spans="2:14">
      <c r="B127">
        <v>1</v>
      </c>
      <c r="C127">
        <v>0</v>
      </c>
      <c r="D127">
        <v>210</v>
      </c>
      <c r="E127">
        <v>166</v>
      </c>
      <c r="J127">
        <v>270</v>
      </c>
      <c r="K127">
        <v>2</v>
      </c>
      <c r="L127">
        <v>3</v>
      </c>
      <c r="M127">
        <v>1.5</v>
      </c>
      <c r="N127">
        <v>4.5</v>
      </c>
    </row>
    <row r="128" spans="2:14">
      <c r="B128">
        <v>0</v>
      </c>
      <c r="C128">
        <v>0</v>
      </c>
      <c r="D128">
        <v>204</v>
      </c>
      <c r="E128">
        <v>315</v>
      </c>
      <c r="J128">
        <v>195</v>
      </c>
      <c r="K128">
        <v>2</v>
      </c>
      <c r="L128">
        <v>1</v>
      </c>
      <c r="M128">
        <v>0.5</v>
      </c>
      <c r="N128">
        <v>0.5</v>
      </c>
    </row>
    <row r="129" spans="2:14">
      <c r="B129">
        <v>2</v>
      </c>
      <c r="C129">
        <v>0</v>
      </c>
      <c r="D129">
        <v>277</v>
      </c>
      <c r="E129">
        <v>204</v>
      </c>
      <c r="J129">
        <v>240</v>
      </c>
      <c r="K129">
        <v>2</v>
      </c>
      <c r="L129">
        <v>3</v>
      </c>
      <c r="M129">
        <v>1.5</v>
      </c>
      <c r="N129">
        <v>0.5</v>
      </c>
    </row>
    <row r="130" spans="2:14">
      <c r="B130">
        <v>2</v>
      </c>
      <c r="C130">
        <v>0</v>
      </c>
      <c r="D130">
        <v>196</v>
      </c>
      <c r="E130">
        <v>223</v>
      </c>
      <c r="J130">
        <v>196</v>
      </c>
      <c r="K130">
        <v>2</v>
      </c>
      <c r="L130">
        <v>2</v>
      </c>
      <c r="M130">
        <v>1</v>
      </c>
      <c r="N130">
        <v>2</v>
      </c>
    </row>
    <row r="131" spans="2:14">
      <c r="B131">
        <v>1</v>
      </c>
      <c r="C131">
        <v>0</v>
      </c>
      <c r="D131">
        <v>269</v>
      </c>
      <c r="E131">
        <v>207</v>
      </c>
      <c r="J131">
        <v>211</v>
      </c>
      <c r="K131">
        <v>2</v>
      </c>
      <c r="L131">
        <v>2</v>
      </c>
      <c r="M131">
        <v>1</v>
      </c>
      <c r="N131">
        <v>2</v>
      </c>
    </row>
    <row r="132" spans="2:14">
      <c r="B132">
        <v>2</v>
      </c>
      <c r="C132">
        <v>0</v>
      </c>
      <c r="D132">
        <v>201</v>
      </c>
      <c r="E132">
        <v>311</v>
      </c>
      <c r="J132">
        <v>234</v>
      </c>
      <c r="K132">
        <v>2</v>
      </c>
      <c r="L132">
        <v>4</v>
      </c>
      <c r="M132">
        <v>2</v>
      </c>
      <c r="N132">
        <v>2</v>
      </c>
    </row>
    <row r="133" spans="2:14">
      <c r="B133">
        <v>1</v>
      </c>
      <c r="C133">
        <v>0</v>
      </c>
      <c r="D133">
        <v>271</v>
      </c>
      <c r="E133">
        <v>335</v>
      </c>
      <c r="J133">
        <v>236</v>
      </c>
      <c r="K133">
        <v>2</v>
      </c>
      <c r="L133">
        <v>0</v>
      </c>
      <c r="M133">
        <v>0</v>
      </c>
      <c r="N133">
        <v>0</v>
      </c>
    </row>
    <row r="134" spans="2:14">
      <c r="B134">
        <v>1</v>
      </c>
      <c r="C134">
        <v>0</v>
      </c>
      <c r="D134">
        <v>295</v>
      </c>
      <c r="E134">
        <v>205</v>
      </c>
      <c r="J134">
        <v>244</v>
      </c>
      <c r="K134">
        <v>2</v>
      </c>
      <c r="L134">
        <v>1</v>
      </c>
      <c r="M134">
        <v>0.5</v>
      </c>
      <c r="N134">
        <v>0.5</v>
      </c>
    </row>
    <row r="135" spans="2:14">
      <c r="B135">
        <v>1</v>
      </c>
      <c r="C135">
        <v>0</v>
      </c>
      <c r="D135">
        <v>235</v>
      </c>
      <c r="E135">
        <v>203</v>
      </c>
      <c r="J135">
        <v>254</v>
      </c>
      <c r="K135">
        <v>2</v>
      </c>
      <c r="L135">
        <v>0</v>
      </c>
      <c r="M135">
        <v>0</v>
      </c>
      <c r="N135">
        <v>0</v>
      </c>
    </row>
    <row r="136" spans="2:14">
      <c r="B136">
        <v>1</v>
      </c>
      <c r="C136">
        <v>0</v>
      </c>
      <c r="D136">
        <v>306</v>
      </c>
      <c r="E136">
        <v>318</v>
      </c>
      <c r="J136">
        <v>325</v>
      </c>
      <c r="K136">
        <v>2</v>
      </c>
      <c r="L136">
        <v>0</v>
      </c>
      <c r="M136">
        <v>0</v>
      </c>
      <c r="N136">
        <v>0</v>
      </c>
    </row>
    <row r="137" spans="2:14">
      <c r="B137">
        <v>0</v>
      </c>
      <c r="C137">
        <v>0</v>
      </c>
      <c r="D137">
        <v>269</v>
      </c>
      <c r="E137">
        <v>225</v>
      </c>
      <c r="J137">
        <v>126</v>
      </c>
      <c r="K137">
        <v>2</v>
      </c>
      <c r="L137">
        <v>3</v>
      </c>
      <c r="M137">
        <v>1.5</v>
      </c>
      <c r="N137">
        <v>0.5</v>
      </c>
    </row>
    <row r="138" spans="2:14">
      <c r="B138">
        <v>2</v>
      </c>
      <c r="C138">
        <v>1</v>
      </c>
      <c r="D138">
        <v>178</v>
      </c>
      <c r="E138">
        <v>169</v>
      </c>
      <c r="J138">
        <v>313</v>
      </c>
      <c r="K138">
        <v>2</v>
      </c>
      <c r="L138">
        <v>2</v>
      </c>
      <c r="M138">
        <v>1</v>
      </c>
      <c r="N138">
        <v>2</v>
      </c>
    </row>
    <row r="139" spans="2:14">
      <c r="B139">
        <v>1</v>
      </c>
      <c r="C139">
        <v>1</v>
      </c>
      <c r="D139">
        <v>208</v>
      </c>
      <c r="E139">
        <v>187</v>
      </c>
      <c r="J139">
        <v>211</v>
      </c>
      <c r="K139">
        <v>2</v>
      </c>
      <c r="L139">
        <v>0</v>
      </c>
      <c r="M139">
        <v>0</v>
      </c>
      <c r="N139">
        <v>0</v>
      </c>
    </row>
    <row r="140" spans="2:14">
      <c r="B140">
        <v>0</v>
      </c>
      <c r="C140">
        <v>0</v>
      </c>
      <c r="D140">
        <v>201</v>
      </c>
      <c r="E140">
        <v>197</v>
      </c>
      <c r="J140">
        <v>262</v>
      </c>
      <c r="K140">
        <v>2</v>
      </c>
      <c r="L140">
        <v>1</v>
      </c>
      <c r="M140">
        <v>0.5</v>
      </c>
      <c r="N140">
        <v>0.5</v>
      </c>
    </row>
    <row r="141" spans="2:14">
      <c r="B141">
        <v>0</v>
      </c>
      <c r="C141">
        <v>0</v>
      </c>
      <c r="D141">
        <v>263</v>
      </c>
      <c r="E141">
        <v>176</v>
      </c>
      <c r="J141">
        <v>215</v>
      </c>
      <c r="K141">
        <v>2</v>
      </c>
      <c r="L141">
        <v>2</v>
      </c>
      <c r="M141">
        <v>1</v>
      </c>
      <c r="N141">
        <v>2</v>
      </c>
    </row>
    <row r="142" spans="2:14">
      <c r="B142">
        <v>2</v>
      </c>
      <c r="C142">
        <v>0</v>
      </c>
      <c r="D142">
        <v>295</v>
      </c>
      <c r="E142">
        <v>241</v>
      </c>
      <c r="J142">
        <v>214</v>
      </c>
      <c r="K142">
        <v>2</v>
      </c>
      <c r="L142">
        <v>2</v>
      </c>
      <c r="M142">
        <v>1</v>
      </c>
      <c r="N142">
        <v>2</v>
      </c>
    </row>
    <row r="143" spans="2:14">
      <c r="B143">
        <v>0</v>
      </c>
      <c r="C143">
        <v>0</v>
      </c>
      <c r="D143">
        <v>303</v>
      </c>
      <c r="E143">
        <v>193</v>
      </c>
      <c r="J143">
        <v>193</v>
      </c>
      <c r="K143">
        <v>2</v>
      </c>
      <c r="L143">
        <v>3</v>
      </c>
      <c r="M143">
        <v>1.5</v>
      </c>
      <c r="N143">
        <v>4.5</v>
      </c>
    </row>
    <row r="144" spans="2:14">
      <c r="B144">
        <v>2</v>
      </c>
      <c r="C144">
        <v>0</v>
      </c>
      <c r="D144">
        <v>209</v>
      </c>
      <c r="E144">
        <v>131</v>
      </c>
      <c r="J144">
        <v>204</v>
      </c>
      <c r="K144">
        <v>2</v>
      </c>
      <c r="L144">
        <v>1</v>
      </c>
      <c r="M144">
        <v>0.5</v>
      </c>
      <c r="N144">
        <v>0.5</v>
      </c>
    </row>
    <row r="145" spans="2:14">
      <c r="B145">
        <v>0</v>
      </c>
      <c r="C145">
        <v>0</v>
      </c>
      <c r="D145">
        <v>223</v>
      </c>
      <c r="J145">
        <v>243</v>
      </c>
      <c r="K145">
        <v>2</v>
      </c>
      <c r="L145">
        <v>0</v>
      </c>
      <c r="M145">
        <v>0</v>
      </c>
      <c r="N145">
        <v>0</v>
      </c>
    </row>
    <row r="146" spans="2:14">
      <c r="B146">
        <v>2</v>
      </c>
      <c r="C146">
        <v>0</v>
      </c>
      <c r="D146">
        <v>197</v>
      </c>
      <c r="J146">
        <v>303</v>
      </c>
      <c r="K146">
        <v>2</v>
      </c>
      <c r="L146">
        <v>0</v>
      </c>
      <c r="M146">
        <v>0</v>
      </c>
      <c r="N146">
        <v>0</v>
      </c>
    </row>
    <row r="147" spans="2:14">
      <c r="B147">
        <v>1</v>
      </c>
      <c r="C147">
        <v>0</v>
      </c>
      <c r="D147">
        <v>245</v>
      </c>
      <c r="J147">
        <v>271</v>
      </c>
      <c r="K147">
        <v>2</v>
      </c>
      <c r="L147">
        <v>0</v>
      </c>
      <c r="M147">
        <v>0</v>
      </c>
      <c r="N147">
        <v>0</v>
      </c>
    </row>
    <row r="148" spans="2:14">
      <c r="B148">
        <v>2</v>
      </c>
      <c r="C148">
        <v>0</v>
      </c>
      <c r="D148">
        <v>242</v>
      </c>
      <c r="J148">
        <v>268</v>
      </c>
      <c r="K148">
        <v>2</v>
      </c>
      <c r="L148">
        <v>2</v>
      </c>
      <c r="M148">
        <v>1</v>
      </c>
      <c r="N148">
        <v>2</v>
      </c>
    </row>
    <row r="149" spans="2:14">
      <c r="B149">
        <v>3</v>
      </c>
      <c r="C149">
        <v>0</v>
      </c>
      <c r="D149">
        <v>240</v>
      </c>
      <c r="J149">
        <v>267</v>
      </c>
      <c r="K149">
        <v>2</v>
      </c>
      <c r="L149">
        <v>2</v>
      </c>
      <c r="M149">
        <v>1</v>
      </c>
      <c r="N149">
        <v>2</v>
      </c>
    </row>
    <row r="150" spans="2:14">
      <c r="B150">
        <v>2</v>
      </c>
      <c r="C150">
        <v>0</v>
      </c>
      <c r="D150">
        <v>226</v>
      </c>
      <c r="J150">
        <v>199</v>
      </c>
      <c r="K150">
        <v>2</v>
      </c>
      <c r="L150">
        <v>2</v>
      </c>
      <c r="M150">
        <v>1</v>
      </c>
      <c r="N150">
        <v>2</v>
      </c>
    </row>
    <row r="151" spans="2:14">
      <c r="B151">
        <v>2</v>
      </c>
      <c r="C151">
        <v>0</v>
      </c>
      <c r="D151">
        <v>180</v>
      </c>
      <c r="J151">
        <v>210</v>
      </c>
      <c r="K151">
        <v>2</v>
      </c>
      <c r="L151">
        <v>1</v>
      </c>
      <c r="M151">
        <v>0.5</v>
      </c>
      <c r="N151">
        <v>0.5</v>
      </c>
    </row>
    <row r="152" spans="2:14">
      <c r="B152">
        <v>0</v>
      </c>
      <c r="C152">
        <v>0</v>
      </c>
      <c r="D152">
        <v>228</v>
      </c>
      <c r="J152">
        <v>204</v>
      </c>
      <c r="K152">
        <v>2</v>
      </c>
      <c r="L152">
        <v>0</v>
      </c>
      <c r="M152">
        <v>0</v>
      </c>
      <c r="N152">
        <v>0</v>
      </c>
    </row>
    <row r="153" spans="2:14">
      <c r="B153">
        <v>0</v>
      </c>
      <c r="C153">
        <v>0</v>
      </c>
      <c r="D153">
        <v>149</v>
      </c>
      <c r="J153">
        <v>277</v>
      </c>
      <c r="K153">
        <v>2</v>
      </c>
      <c r="L153">
        <v>2</v>
      </c>
      <c r="M153">
        <v>1</v>
      </c>
      <c r="N153">
        <v>2</v>
      </c>
    </row>
    <row r="154" spans="2:14">
      <c r="B154">
        <v>3</v>
      </c>
      <c r="C154">
        <v>0</v>
      </c>
      <c r="D154">
        <v>227</v>
      </c>
      <c r="J154">
        <v>196</v>
      </c>
      <c r="K154">
        <v>2</v>
      </c>
      <c r="L154">
        <v>2</v>
      </c>
      <c r="M154">
        <v>1</v>
      </c>
      <c r="N154">
        <v>2</v>
      </c>
    </row>
    <row r="155" spans="2:14">
      <c r="B155">
        <v>2</v>
      </c>
      <c r="C155">
        <v>0</v>
      </c>
      <c r="D155">
        <v>278</v>
      </c>
      <c r="J155">
        <v>269</v>
      </c>
      <c r="K155">
        <v>2</v>
      </c>
      <c r="L155">
        <v>1</v>
      </c>
      <c r="M155">
        <v>0.5</v>
      </c>
      <c r="N155">
        <v>0.5</v>
      </c>
    </row>
    <row r="156" spans="2:14">
      <c r="B156">
        <v>2</v>
      </c>
      <c r="C156">
        <v>0</v>
      </c>
      <c r="D156">
        <v>220</v>
      </c>
      <c r="J156">
        <v>201</v>
      </c>
      <c r="K156">
        <v>2</v>
      </c>
      <c r="L156">
        <v>2</v>
      </c>
      <c r="M156">
        <v>1</v>
      </c>
      <c r="N156">
        <v>2</v>
      </c>
    </row>
    <row r="157" spans="2:14">
      <c r="B157">
        <v>0</v>
      </c>
      <c r="C157">
        <v>0</v>
      </c>
      <c r="D157">
        <v>197</v>
      </c>
      <c r="J157">
        <v>271</v>
      </c>
      <c r="K157">
        <v>2</v>
      </c>
      <c r="L157">
        <v>1</v>
      </c>
      <c r="M157">
        <v>0.5</v>
      </c>
      <c r="N157">
        <v>0.5</v>
      </c>
    </row>
    <row r="158" spans="2:14">
      <c r="B158">
        <v>2</v>
      </c>
      <c r="C158">
        <v>0</v>
      </c>
      <c r="D158">
        <v>253</v>
      </c>
      <c r="J158">
        <v>295</v>
      </c>
      <c r="K158">
        <v>2</v>
      </c>
      <c r="L158">
        <v>1</v>
      </c>
      <c r="M158">
        <v>0.5</v>
      </c>
      <c r="N158">
        <v>0.5</v>
      </c>
    </row>
    <row r="159" spans="2:14">
      <c r="B159">
        <v>1</v>
      </c>
      <c r="C159">
        <v>0</v>
      </c>
      <c r="D159">
        <v>192</v>
      </c>
      <c r="J159">
        <v>235</v>
      </c>
      <c r="K159">
        <v>2</v>
      </c>
      <c r="L159">
        <v>1</v>
      </c>
      <c r="M159">
        <v>0.5</v>
      </c>
      <c r="N159">
        <v>0.5</v>
      </c>
    </row>
    <row r="160" spans="2:14">
      <c r="B160">
        <v>1</v>
      </c>
      <c r="C160">
        <v>0</v>
      </c>
      <c r="D160">
        <v>220</v>
      </c>
      <c r="J160">
        <v>306</v>
      </c>
      <c r="K160">
        <v>2</v>
      </c>
      <c r="L160">
        <v>1</v>
      </c>
      <c r="M160">
        <v>0.5</v>
      </c>
      <c r="N160">
        <v>0.5</v>
      </c>
    </row>
    <row r="161" spans="2:14">
      <c r="B161">
        <v>1</v>
      </c>
      <c r="C161">
        <v>0</v>
      </c>
      <c r="D161">
        <v>221</v>
      </c>
      <c r="J161">
        <v>269</v>
      </c>
      <c r="K161">
        <v>2</v>
      </c>
      <c r="L161">
        <v>0</v>
      </c>
      <c r="M161">
        <v>0</v>
      </c>
      <c r="N161">
        <v>0</v>
      </c>
    </row>
    <row r="162" spans="2:14">
      <c r="B162">
        <v>1</v>
      </c>
      <c r="C162">
        <v>0</v>
      </c>
      <c r="D162">
        <v>240</v>
      </c>
      <c r="J162">
        <v>178</v>
      </c>
      <c r="K162">
        <v>2</v>
      </c>
      <c r="L162">
        <v>3</v>
      </c>
      <c r="M162">
        <v>1.5</v>
      </c>
      <c r="N162">
        <v>0.5</v>
      </c>
    </row>
    <row r="163" spans="2:14">
      <c r="B163">
        <v>1</v>
      </c>
      <c r="C163">
        <v>0</v>
      </c>
      <c r="D163">
        <v>342</v>
      </c>
      <c r="J163">
        <v>208</v>
      </c>
      <c r="K163">
        <v>2</v>
      </c>
      <c r="L163">
        <v>2</v>
      </c>
      <c r="M163">
        <v>1</v>
      </c>
      <c r="N163">
        <v>0</v>
      </c>
    </row>
    <row r="164" spans="2:14">
      <c r="B164">
        <v>1</v>
      </c>
      <c r="C164">
        <v>0</v>
      </c>
      <c r="D164">
        <v>157</v>
      </c>
      <c r="J164">
        <v>201</v>
      </c>
      <c r="K164">
        <v>2</v>
      </c>
      <c r="L164">
        <v>0</v>
      </c>
      <c r="M164">
        <v>0</v>
      </c>
      <c r="N164">
        <v>0</v>
      </c>
    </row>
    <row r="165" spans="2:14">
      <c r="B165">
        <v>2</v>
      </c>
      <c r="C165">
        <v>0</v>
      </c>
      <c r="D165">
        <v>175</v>
      </c>
      <c r="J165">
        <v>263</v>
      </c>
      <c r="K165">
        <v>2</v>
      </c>
      <c r="L165">
        <v>0</v>
      </c>
      <c r="M165">
        <v>0</v>
      </c>
      <c r="N165">
        <v>0</v>
      </c>
    </row>
    <row r="166" spans="2:14">
      <c r="B166">
        <v>2</v>
      </c>
      <c r="C166">
        <v>0</v>
      </c>
      <c r="D166">
        <v>175</v>
      </c>
      <c r="J166">
        <v>295</v>
      </c>
      <c r="K166">
        <v>2</v>
      </c>
      <c r="L166">
        <v>2</v>
      </c>
      <c r="M166">
        <v>1</v>
      </c>
      <c r="N166">
        <v>2</v>
      </c>
    </row>
    <row r="167" spans="2:14">
      <c r="B167">
        <v>0</v>
      </c>
      <c r="C167">
        <v>0</v>
      </c>
      <c r="D167">
        <v>286</v>
      </c>
      <c r="J167">
        <v>303</v>
      </c>
      <c r="K167">
        <v>2</v>
      </c>
      <c r="L167">
        <v>0</v>
      </c>
      <c r="M167">
        <v>0</v>
      </c>
      <c r="N167">
        <v>0</v>
      </c>
    </row>
    <row r="168" spans="2:14">
      <c r="B168">
        <v>0</v>
      </c>
      <c r="C168">
        <v>0</v>
      </c>
      <c r="D168">
        <v>229</v>
      </c>
      <c r="J168">
        <v>209</v>
      </c>
      <c r="K168">
        <v>2</v>
      </c>
      <c r="L168">
        <v>2</v>
      </c>
      <c r="M168">
        <v>1</v>
      </c>
      <c r="N168">
        <v>2</v>
      </c>
    </row>
    <row r="169" spans="2:14">
      <c r="B169">
        <v>0</v>
      </c>
      <c r="C169">
        <v>0</v>
      </c>
      <c r="D169">
        <v>268</v>
      </c>
      <c r="J169">
        <v>223</v>
      </c>
      <c r="K169">
        <v>2</v>
      </c>
      <c r="L169">
        <v>0</v>
      </c>
      <c r="M169">
        <v>0</v>
      </c>
      <c r="N169">
        <v>0</v>
      </c>
    </row>
    <row r="170" spans="2:14">
      <c r="B170">
        <v>0</v>
      </c>
      <c r="C170">
        <v>0</v>
      </c>
      <c r="D170">
        <v>254</v>
      </c>
      <c r="J170">
        <v>197</v>
      </c>
      <c r="K170">
        <v>2</v>
      </c>
      <c r="L170">
        <v>2</v>
      </c>
      <c r="M170">
        <v>1</v>
      </c>
      <c r="N170">
        <v>2</v>
      </c>
    </row>
    <row r="171" spans="2:14">
      <c r="B171">
        <v>0</v>
      </c>
      <c r="C171">
        <v>1</v>
      </c>
      <c r="D171">
        <v>203</v>
      </c>
      <c r="J171">
        <v>245</v>
      </c>
      <c r="K171">
        <v>2</v>
      </c>
      <c r="L171">
        <v>1</v>
      </c>
      <c r="M171">
        <v>0.5</v>
      </c>
      <c r="N171">
        <v>0.5</v>
      </c>
    </row>
    <row r="172" spans="2:14">
      <c r="B172">
        <v>2</v>
      </c>
      <c r="C172">
        <v>1</v>
      </c>
      <c r="D172">
        <v>256</v>
      </c>
      <c r="J172">
        <v>242</v>
      </c>
      <c r="K172">
        <v>2</v>
      </c>
      <c r="L172">
        <v>2</v>
      </c>
      <c r="M172">
        <v>1</v>
      </c>
      <c r="N172">
        <v>2</v>
      </c>
    </row>
    <row r="173" spans="2:14">
      <c r="B173">
        <v>1</v>
      </c>
      <c r="C173">
        <v>0</v>
      </c>
      <c r="D173">
        <v>229</v>
      </c>
      <c r="J173">
        <v>240</v>
      </c>
      <c r="K173">
        <v>2</v>
      </c>
      <c r="L173">
        <v>3</v>
      </c>
      <c r="M173">
        <v>1.5</v>
      </c>
      <c r="N173">
        <v>4.5</v>
      </c>
    </row>
    <row r="174" spans="2:14">
      <c r="B174">
        <v>1</v>
      </c>
      <c r="C174">
        <v>0</v>
      </c>
      <c r="D174">
        <v>284</v>
      </c>
      <c r="J174">
        <v>226</v>
      </c>
      <c r="K174">
        <v>2</v>
      </c>
      <c r="L174">
        <v>2</v>
      </c>
      <c r="M174">
        <v>1</v>
      </c>
      <c r="N174">
        <v>2</v>
      </c>
    </row>
    <row r="175" spans="2:14">
      <c r="B175">
        <v>2</v>
      </c>
      <c r="C175">
        <v>0</v>
      </c>
      <c r="D175">
        <v>224</v>
      </c>
      <c r="J175">
        <v>180</v>
      </c>
      <c r="K175">
        <v>2</v>
      </c>
      <c r="L175">
        <v>2</v>
      </c>
      <c r="M175">
        <v>1</v>
      </c>
      <c r="N175">
        <v>2</v>
      </c>
    </row>
    <row r="176" spans="2:14">
      <c r="B176">
        <v>0</v>
      </c>
      <c r="C176">
        <v>0</v>
      </c>
      <c r="D176">
        <v>206</v>
      </c>
      <c r="J176">
        <v>228</v>
      </c>
      <c r="K176">
        <v>2</v>
      </c>
      <c r="L176">
        <v>0</v>
      </c>
      <c r="M176">
        <v>0</v>
      </c>
      <c r="N176">
        <v>0</v>
      </c>
    </row>
    <row r="177" spans="2:14">
      <c r="B177">
        <v>0</v>
      </c>
      <c r="C177">
        <v>0</v>
      </c>
      <c r="D177">
        <v>167</v>
      </c>
      <c r="J177">
        <v>149</v>
      </c>
      <c r="K177">
        <v>2</v>
      </c>
      <c r="L177">
        <v>0</v>
      </c>
      <c r="M177">
        <v>0</v>
      </c>
      <c r="N177">
        <v>0</v>
      </c>
    </row>
    <row r="178" spans="2:14">
      <c r="B178">
        <v>0</v>
      </c>
      <c r="C178">
        <v>1</v>
      </c>
      <c r="D178">
        <v>230</v>
      </c>
      <c r="J178">
        <v>227</v>
      </c>
      <c r="K178">
        <v>2</v>
      </c>
      <c r="L178">
        <v>3</v>
      </c>
      <c r="M178">
        <v>1.5</v>
      </c>
      <c r="N178">
        <v>4.5</v>
      </c>
    </row>
    <row r="179" spans="2:14">
      <c r="B179">
        <v>2</v>
      </c>
      <c r="C179">
        <v>0</v>
      </c>
      <c r="D179">
        <v>335</v>
      </c>
      <c r="J179">
        <v>278</v>
      </c>
      <c r="K179">
        <v>2</v>
      </c>
      <c r="L179">
        <v>2</v>
      </c>
      <c r="M179">
        <v>1</v>
      </c>
      <c r="N179">
        <v>2</v>
      </c>
    </row>
    <row r="180" spans="2:14">
      <c r="B180">
        <v>0</v>
      </c>
      <c r="C180">
        <v>0</v>
      </c>
      <c r="D180">
        <v>177</v>
      </c>
      <c r="J180">
        <v>220</v>
      </c>
      <c r="K180">
        <v>2</v>
      </c>
      <c r="L180">
        <v>2</v>
      </c>
      <c r="M180">
        <v>1</v>
      </c>
      <c r="N180">
        <v>2</v>
      </c>
    </row>
    <row r="181" spans="2:14">
      <c r="B181">
        <v>0</v>
      </c>
      <c r="C181">
        <v>0</v>
      </c>
      <c r="D181">
        <v>276</v>
      </c>
      <c r="J181">
        <v>197</v>
      </c>
      <c r="K181">
        <v>2</v>
      </c>
      <c r="L181">
        <v>0</v>
      </c>
      <c r="M181">
        <v>0</v>
      </c>
      <c r="N181">
        <v>0</v>
      </c>
    </row>
    <row r="182" spans="2:14">
      <c r="B182">
        <v>0</v>
      </c>
      <c r="C182">
        <v>0</v>
      </c>
      <c r="D182">
        <v>353</v>
      </c>
      <c r="J182">
        <v>253</v>
      </c>
      <c r="K182">
        <v>2</v>
      </c>
      <c r="L182">
        <v>2</v>
      </c>
      <c r="M182">
        <v>1</v>
      </c>
      <c r="N182">
        <v>2</v>
      </c>
    </row>
    <row r="183" spans="2:14">
      <c r="B183">
        <v>0</v>
      </c>
      <c r="C183">
        <v>0</v>
      </c>
      <c r="D183">
        <v>225</v>
      </c>
      <c r="J183">
        <v>192</v>
      </c>
      <c r="K183">
        <v>2</v>
      </c>
      <c r="L183">
        <v>1</v>
      </c>
      <c r="M183">
        <v>0.5</v>
      </c>
      <c r="N183">
        <v>0.5</v>
      </c>
    </row>
    <row r="184" spans="2:14">
      <c r="B184">
        <v>0</v>
      </c>
      <c r="C184">
        <v>0</v>
      </c>
      <c r="D184">
        <v>330</v>
      </c>
      <c r="J184">
        <v>220</v>
      </c>
      <c r="K184">
        <v>2</v>
      </c>
      <c r="L184">
        <v>1</v>
      </c>
      <c r="M184">
        <v>0.5</v>
      </c>
      <c r="N184">
        <v>0.5</v>
      </c>
    </row>
    <row r="185" spans="2:14">
      <c r="B185">
        <v>2</v>
      </c>
      <c r="C185">
        <v>0</v>
      </c>
      <c r="D185">
        <v>230</v>
      </c>
      <c r="J185">
        <v>221</v>
      </c>
      <c r="K185">
        <v>2</v>
      </c>
      <c r="L185">
        <v>1</v>
      </c>
      <c r="M185">
        <v>0.5</v>
      </c>
      <c r="N185">
        <v>0.5</v>
      </c>
    </row>
    <row r="186" spans="2:14">
      <c r="B186">
        <v>0</v>
      </c>
      <c r="C186">
        <v>0</v>
      </c>
      <c r="D186">
        <v>243</v>
      </c>
      <c r="J186">
        <v>240</v>
      </c>
      <c r="K186">
        <v>2</v>
      </c>
      <c r="L186">
        <v>1</v>
      </c>
      <c r="M186">
        <v>0.5</v>
      </c>
      <c r="N186">
        <v>0.5</v>
      </c>
    </row>
    <row r="187" spans="2:14">
      <c r="B187">
        <v>0</v>
      </c>
      <c r="C187">
        <v>0</v>
      </c>
      <c r="D187">
        <v>290</v>
      </c>
      <c r="J187">
        <v>342</v>
      </c>
      <c r="K187">
        <v>2</v>
      </c>
      <c r="L187">
        <v>1</v>
      </c>
      <c r="M187">
        <v>0.5</v>
      </c>
      <c r="N187">
        <v>0.5</v>
      </c>
    </row>
    <row r="188" spans="2:14">
      <c r="B188">
        <v>0</v>
      </c>
      <c r="C188">
        <v>0</v>
      </c>
      <c r="D188">
        <v>253</v>
      </c>
      <c r="J188">
        <v>157</v>
      </c>
      <c r="K188">
        <v>2</v>
      </c>
      <c r="L188">
        <v>1</v>
      </c>
      <c r="M188">
        <v>0.5</v>
      </c>
      <c r="N188">
        <v>0.5</v>
      </c>
    </row>
    <row r="189" spans="2:14">
      <c r="B189">
        <v>0</v>
      </c>
      <c r="C189">
        <v>0</v>
      </c>
      <c r="D189">
        <v>266</v>
      </c>
      <c r="J189">
        <v>175</v>
      </c>
      <c r="K189">
        <v>2</v>
      </c>
      <c r="L189">
        <v>2</v>
      </c>
      <c r="M189">
        <v>1</v>
      </c>
      <c r="N189">
        <v>2</v>
      </c>
    </row>
    <row r="190" spans="2:14">
      <c r="B190">
        <v>2</v>
      </c>
      <c r="C190">
        <v>0</v>
      </c>
      <c r="D190">
        <v>233</v>
      </c>
      <c r="J190">
        <v>175</v>
      </c>
      <c r="K190">
        <v>2</v>
      </c>
      <c r="L190">
        <v>2</v>
      </c>
      <c r="M190">
        <v>1</v>
      </c>
      <c r="N190">
        <v>2</v>
      </c>
    </row>
    <row r="191" spans="2:14">
      <c r="B191">
        <v>0</v>
      </c>
      <c r="C191">
        <v>0</v>
      </c>
      <c r="D191">
        <v>172</v>
      </c>
      <c r="J191">
        <v>286</v>
      </c>
      <c r="K191">
        <v>2</v>
      </c>
      <c r="L191">
        <v>0</v>
      </c>
      <c r="M191">
        <v>0</v>
      </c>
      <c r="N191">
        <v>0</v>
      </c>
    </row>
    <row r="192" spans="2:14">
      <c r="B192">
        <v>0</v>
      </c>
      <c r="C192">
        <v>0</v>
      </c>
      <c r="D192">
        <v>305</v>
      </c>
      <c r="J192">
        <v>229</v>
      </c>
      <c r="K192">
        <v>2</v>
      </c>
      <c r="L192">
        <v>0</v>
      </c>
      <c r="M192">
        <v>0</v>
      </c>
      <c r="N192">
        <v>0</v>
      </c>
    </row>
    <row r="193" spans="2:14">
      <c r="B193">
        <v>0</v>
      </c>
      <c r="C193">
        <v>0</v>
      </c>
      <c r="D193">
        <v>216</v>
      </c>
      <c r="J193">
        <v>268</v>
      </c>
      <c r="K193">
        <v>2</v>
      </c>
      <c r="L193">
        <v>0</v>
      </c>
      <c r="M193">
        <v>0</v>
      </c>
      <c r="N193">
        <v>0</v>
      </c>
    </row>
    <row r="194" spans="2:14">
      <c r="B194">
        <v>0</v>
      </c>
      <c r="C194">
        <v>0</v>
      </c>
      <c r="D194">
        <v>188</v>
      </c>
      <c r="J194">
        <v>254</v>
      </c>
      <c r="K194">
        <v>2</v>
      </c>
      <c r="L194">
        <v>0</v>
      </c>
      <c r="M194">
        <v>0</v>
      </c>
      <c r="N194">
        <v>0</v>
      </c>
    </row>
    <row r="195" spans="2:14">
      <c r="B195">
        <v>0</v>
      </c>
      <c r="C195">
        <v>0</v>
      </c>
      <c r="D195">
        <v>282</v>
      </c>
      <c r="J195">
        <v>203</v>
      </c>
      <c r="K195">
        <v>2</v>
      </c>
      <c r="L195">
        <v>1</v>
      </c>
      <c r="M195">
        <v>0.5</v>
      </c>
      <c r="N195">
        <v>0.5</v>
      </c>
    </row>
    <row r="196" spans="2:14">
      <c r="B196">
        <v>2</v>
      </c>
      <c r="C196">
        <v>0</v>
      </c>
      <c r="D196">
        <v>185</v>
      </c>
      <c r="J196">
        <v>256</v>
      </c>
      <c r="K196">
        <v>2</v>
      </c>
      <c r="L196">
        <v>3</v>
      </c>
      <c r="M196">
        <v>1.5</v>
      </c>
      <c r="N196">
        <v>0.5</v>
      </c>
    </row>
    <row r="197" spans="2:14">
      <c r="B197">
        <v>0</v>
      </c>
      <c r="C197">
        <v>0</v>
      </c>
      <c r="D197">
        <v>326</v>
      </c>
      <c r="J197">
        <v>229</v>
      </c>
      <c r="K197">
        <v>2</v>
      </c>
      <c r="L197">
        <v>1</v>
      </c>
      <c r="M197">
        <v>0.5</v>
      </c>
      <c r="N197">
        <v>0.5</v>
      </c>
    </row>
    <row r="198" spans="2:14">
      <c r="B198">
        <v>2</v>
      </c>
      <c r="C198">
        <v>0</v>
      </c>
      <c r="D198">
        <v>231</v>
      </c>
      <c r="J198">
        <v>284</v>
      </c>
      <c r="K198">
        <v>2</v>
      </c>
      <c r="L198">
        <v>1</v>
      </c>
      <c r="M198">
        <v>0.5</v>
      </c>
      <c r="N198">
        <v>0.5</v>
      </c>
    </row>
    <row r="199" spans="2:14">
      <c r="B199">
        <v>0</v>
      </c>
      <c r="C199">
        <v>1</v>
      </c>
      <c r="D199">
        <v>254</v>
      </c>
      <c r="J199">
        <v>224</v>
      </c>
      <c r="K199">
        <v>2</v>
      </c>
      <c r="L199">
        <v>2</v>
      </c>
      <c r="M199">
        <v>1</v>
      </c>
      <c r="N199">
        <v>2</v>
      </c>
    </row>
    <row r="200" spans="2:14">
      <c r="B200">
        <v>0</v>
      </c>
      <c r="C200">
        <v>0</v>
      </c>
      <c r="D200">
        <v>267</v>
      </c>
      <c r="J200">
        <v>206</v>
      </c>
      <c r="K200">
        <v>2</v>
      </c>
      <c r="L200">
        <v>0</v>
      </c>
      <c r="M200">
        <v>0</v>
      </c>
      <c r="N200">
        <v>0</v>
      </c>
    </row>
    <row r="201" spans="2:14">
      <c r="B201">
        <v>0</v>
      </c>
      <c r="C201">
        <v>0</v>
      </c>
      <c r="D201">
        <v>248</v>
      </c>
      <c r="J201">
        <v>167</v>
      </c>
      <c r="K201">
        <v>2</v>
      </c>
      <c r="L201">
        <v>0</v>
      </c>
      <c r="M201">
        <v>0</v>
      </c>
      <c r="N201">
        <v>0</v>
      </c>
    </row>
    <row r="202" spans="2:14">
      <c r="B202">
        <v>0</v>
      </c>
      <c r="C202">
        <v>0</v>
      </c>
      <c r="D202">
        <v>197</v>
      </c>
      <c r="J202">
        <v>230</v>
      </c>
      <c r="K202">
        <v>2</v>
      </c>
      <c r="L202">
        <v>1</v>
      </c>
      <c r="M202">
        <v>0.5</v>
      </c>
      <c r="N202">
        <v>0.5</v>
      </c>
    </row>
    <row r="203" spans="2:14">
      <c r="B203">
        <v>0</v>
      </c>
      <c r="C203">
        <v>0</v>
      </c>
      <c r="D203">
        <v>258</v>
      </c>
      <c r="J203">
        <v>335</v>
      </c>
      <c r="K203">
        <v>2</v>
      </c>
      <c r="L203">
        <v>2</v>
      </c>
      <c r="M203">
        <v>1</v>
      </c>
      <c r="N203">
        <v>2</v>
      </c>
    </row>
    <row r="204" spans="2:14">
      <c r="B204">
        <v>0</v>
      </c>
      <c r="C204">
        <v>0</v>
      </c>
      <c r="D204">
        <v>270</v>
      </c>
      <c r="J204">
        <v>177</v>
      </c>
      <c r="K204">
        <v>2</v>
      </c>
      <c r="L204">
        <v>0</v>
      </c>
      <c r="M204">
        <v>0</v>
      </c>
      <c r="N204">
        <v>0</v>
      </c>
    </row>
    <row r="205" spans="2:14">
      <c r="B205">
        <v>2</v>
      </c>
      <c r="C205">
        <v>1</v>
      </c>
      <c r="D205">
        <v>274</v>
      </c>
      <c r="J205">
        <v>276</v>
      </c>
      <c r="K205">
        <v>2</v>
      </c>
      <c r="L205">
        <v>0</v>
      </c>
      <c r="M205">
        <v>0</v>
      </c>
      <c r="N205">
        <v>0</v>
      </c>
    </row>
    <row r="206" spans="2:14">
      <c r="B206">
        <v>0</v>
      </c>
      <c r="C206">
        <v>0</v>
      </c>
      <c r="D206">
        <v>164</v>
      </c>
      <c r="J206">
        <v>353</v>
      </c>
      <c r="K206">
        <v>2</v>
      </c>
      <c r="L206">
        <v>0</v>
      </c>
      <c r="M206">
        <v>0</v>
      </c>
      <c r="N206">
        <v>0</v>
      </c>
    </row>
    <row r="207" spans="2:14">
      <c r="B207">
        <v>0</v>
      </c>
      <c r="C207">
        <v>0</v>
      </c>
      <c r="D207">
        <v>255</v>
      </c>
      <c r="J207">
        <v>225</v>
      </c>
      <c r="K207">
        <v>2</v>
      </c>
      <c r="L207">
        <v>0</v>
      </c>
      <c r="M207">
        <v>0</v>
      </c>
      <c r="N207">
        <v>0</v>
      </c>
    </row>
    <row r="208" spans="2:14">
      <c r="B208">
        <v>0</v>
      </c>
      <c r="C208">
        <v>0</v>
      </c>
      <c r="D208">
        <v>239</v>
      </c>
      <c r="J208">
        <v>330</v>
      </c>
      <c r="K208">
        <v>2</v>
      </c>
      <c r="L208">
        <v>0</v>
      </c>
      <c r="M208">
        <v>0</v>
      </c>
      <c r="N208">
        <v>0</v>
      </c>
    </row>
    <row r="209" spans="2:14">
      <c r="B209">
        <v>0</v>
      </c>
      <c r="C209">
        <v>0</v>
      </c>
      <c r="D209">
        <v>258</v>
      </c>
      <c r="J209">
        <v>230</v>
      </c>
      <c r="K209">
        <v>2</v>
      </c>
      <c r="L209">
        <v>2</v>
      </c>
      <c r="M209">
        <v>1</v>
      </c>
      <c r="N209">
        <v>2</v>
      </c>
    </row>
    <row r="210" spans="2:14">
      <c r="B210">
        <v>2</v>
      </c>
      <c r="C210">
        <v>0</v>
      </c>
      <c r="D210">
        <v>188</v>
      </c>
      <c r="J210">
        <v>243</v>
      </c>
      <c r="K210">
        <v>2</v>
      </c>
      <c r="L210">
        <v>0</v>
      </c>
      <c r="M210">
        <v>0</v>
      </c>
      <c r="N210">
        <v>0</v>
      </c>
    </row>
    <row r="211" spans="2:14">
      <c r="B211">
        <v>0</v>
      </c>
      <c r="C211">
        <v>0</v>
      </c>
      <c r="D211">
        <v>177</v>
      </c>
      <c r="J211">
        <v>290</v>
      </c>
      <c r="K211">
        <v>2</v>
      </c>
      <c r="L211">
        <v>0</v>
      </c>
      <c r="M211">
        <v>0</v>
      </c>
      <c r="N211">
        <v>0</v>
      </c>
    </row>
    <row r="212" spans="2:14">
      <c r="B212">
        <v>2</v>
      </c>
      <c r="C212">
        <v>0</v>
      </c>
      <c r="D212">
        <v>229</v>
      </c>
      <c r="J212">
        <v>253</v>
      </c>
      <c r="K212">
        <v>2</v>
      </c>
      <c r="L212">
        <v>0</v>
      </c>
      <c r="M212">
        <v>0</v>
      </c>
      <c r="N212">
        <v>0</v>
      </c>
    </row>
    <row r="213" spans="2:14">
      <c r="B213">
        <v>0</v>
      </c>
      <c r="C213">
        <v>0</v>
      </c>
      <c r="D213">
        <v>260</v>
      </c>
      <c r="J213">
        <v>266</v>
      </c>
      <c r="K213">
        <v>2</v>
      </c>
      <c r="L213">
        <v>0</v>
      </c>
      <c r="M213">
        <v>0</v>
      </c>
      <c r="N213">
        <v>0</v>
      </c>
    </row>
    <row r="214" spans="2:14">
      <c r="B214">
        <v>0</v>
      </c>
      <c r="C214">
        <v>0</v>
      </c>
      <c r="D214">
        <v>219</v>
      </c>
      <c r="J214">
        <v>233</v>
      </c>
      <c r="K214">
        <v>2</v>
      </c>
      <c r="L214">
        <v>2</v>
      </c>
      <c r="M214">
        <v>1</v>
      </c>
      <c r="N214">
        <v>2</v>
      </c>
    </row>
    <row r="215" spans="2:14">
      <c r="B215">
        <v>0</v>
      </c>
      <c r="C215">
        <v>0</v>
      </c>
      <c r="D215">
        <v>307</v>
      </c>
      <c r="J215">
        <v>172</v>
      </c>
      <c r="K215">
        <v>2</v>
      </c>
      <c r="L215">
        <v>0</v>
      </c>
      <c r="M215">
        <v>0</v>
      </c>
      <c r="N215">
        <v>0</v>
      </c>
    </row>
    <row r="216" spans="2:14">
      <c r="B216">
        <v>0</v>
      </c>
      <c r="C216">
        <v>1</v>
      </c>
      <c r="D216">
        <v>249</v>
      </c>
      <c r="J216">
        <v>305</v>
      </c>
      <c r="K216">
        <v>2</v>
      </c>
      <c r="L216">
        <v>0</v>
      </c>
      <c r="M216">
        <v>0</v>
      </c>
      <c r="N216">
        <v>0</v>
      </c>
    </row>
    <row r="217" spans="2:14">
      <c r="B217">
        <v>0</v>
      </c>
      <c r="C217">
        <v>1</v>
      </c>
      <c r="D217">
        <v>341</v>
      </c>
      <c r="J217">
        <v>216</v>
      </c>
      <c r="K217">
        <v>2</v>
      </c>
      <c r="L217">
        <v>0</v>
      </c>
      <c r="M217">
        <v>0</v>
      </c>
      <c r="N217">
        <v>0</v>
      </c>
    </row>
    <row r="218" spans="2:14">
      <c r="B218">
        <v>2</v>
      </c>
      <c r="C218">
        <v>0</v>
      </c>
      <c r="D218">
        <v>263</v>
      </c>
      <c r="J218">
        <v>188</v>
      </c>
      <c r="K218">
        <v>2</v>
      </c>
      <c r="L218">
        <v>0</v>
      </c>
      <c r="M218">
        <v>0</v>
      </c>
      <c r="N218">
        <v>0</v>
      </c>
    </row>
    <row r="219" spans="2:14">
      <c r="B219">
        <v>0</v>
      </c>
      <c r="C219">
        <v>1</v>
      </c>
      <c r="D219">
        <v>330</v>
      </c>
      <c r="J219">
        <v>282</v>
      </c>
      <c r="K219">
        <v>2</v>
      </c>
      <c r="L219">
        <v>0</v>
      </c>
      <c r="M219">
        <v>0</v>
      </c>
      <c r="N219">
        <v>0</v>
      </c>
    </row>
    <row r="220" spans="2:14">
      <c r="B220">
        <v>0</v>
      </c>
      <c r="C220">
        <v>0</v>
      </c>
      <c r="D220">
        <v>254</v>
      </c>
      <c r="J220">
        <v>185</v>
      </c>
      <c r="K220">
        <v>2</v>
      </c>
      <c r="L220">
        <v>2</v>
      </c>
      <c r="M220">
        <v>1</v>
      </c>
      <c r="N220">
        <v>2</v>
      </c>
    </row>
    <row r="221" spans="2:14">
      <c r="B221">
        <v>0</v>
      </c>
      <c r="C221">
        <v>1</v>
      </c>
      <c r="D221">
        <v>256</v>
      </c>
      <c r="J221">
        <v>326</v>
      </c>
      <c r="K221">
        <v>2</v>
      </c>
      <c r="L221">
        <v>0</v>
      </c>
      <c r="M221">
        <v>0</v>
      </c>
      <c r="N221">
        <v>0</v>
      </c>
    </row>
    <row r="222" spans="2:14">
      <c r="B222">
        <v>0</v>
      </c>
      <c r="C222">
        <v>0</v>
      </c>
      <c r="D222">
        <v>407</v>
      </c>
      <c r="J222">
        <v>231</v>
      </c>
      <c r="K222">
        <v>2</v>
      </c>
      <c r="L222">
        <v>2</v>
      </c>
      <c r="M222">
        <v>1</v>
      </c>
      <c r="N222">
        <v>2</v>
      </c>
    </row>
    <row r="223" spans="2:14">
      <c r="B223">
        <v>0</v>
      </c>
      <c r="C223">
        <v>0</v>
      </c>
      <c r="D223">
        <v>217</v>
      </c>
      <c r="J223">
        <v>254</v>
      </c>
      <c r="K223">
        <v>2</v>
      </c>
      <c r="L223">
        <v>1</v>
      </c>
      <c r="M223">
        <v>0.5</v>
      </c>
      <c r="N223">
        <v>0.5</v>
      </c>
    </row>
    <row r="224" spans="2:14">
      <c r="B224">
        <v>3</v>
      </c>
      <c r="C224">
        <v>1</v>
      </c>
      <c r="D224">
        <v>282</v>
      </c>
      <c r="J224">
        <v>267</v>
      </c>
      <c r="K224">
        <v>2</v>
      </c>
      <c r="L224">
        <v>0</v>
      </c>
      <c r="M224">
        <v>0</v>
      </c>
      <c r="N224">
        <v>0</v>
      </c>
    </row>
    <row r="225" spans="2:14">
      <c r="B225">
        <v>0</v>
      </c>
      <c r="C225">
        <v>1</v>
      </c>
      <c r="D225">
        <v>288</v>
      </c>
      <c r="J225">
        <v>248</v>
      </c>
      <c r="K225">
        <v>2</v>
      </c>
      <c r="L225">
        <v>0</v>
      </c>
      <c r="M225">
        <v>0</v>
      </c>
      <c r="N225">
        <v>0</v>
      </c>
    </row>
    <row r="226" spans="2:14">
      <c r="B226">
        <v>0</v>
      </c>
      <c r="C226">
        <v>0</v>
      </c>
      <c r="D226">
        <v>239</v>
      </c>
      <c r="J226">
        <v>197</v>
      </c>
      <c r="K226">
        <v>2</v>
      </c>
      <c r="L226">
        <v>0</v>
      </c>
      <c r="M226">
        <v>0</v>
      </c>
      <c r="N226">
        <v>0</v>
      </c>
    </row>
    <row r="227" spans="2:14">
      <c r="B227">
        <v>0</v>
      </c>
      <c r="C227">
        <v>0</v>
      </c>
      <c r="D227">
        <v>174</v>
      </c>
      <c r="J227">
        <v>258</v>
      </c>
      <c r="K227">
        <v>2</v>
      </c>
      <c r="L227">
        <v>0</v>
      </c>
      <c r="M227">
        <v>0</v>
      </c>
      <c r="N227">
        <v>0</v>
      </c>
    </row>
    <row r="228" spans="2:14">
      <c r="B228">
        <v>1</v>
      </c>
      <c r="C228">
        <v>0</v>
      </c>
      <c r="D228">
        <v>281</v>
      </c>
      <c r="J228">
        <v>270</v>
      </c>
      <c r="K228">
        <v>2</v>
      </c>
      <c r="L228">
        <v>0</v>
      </c>
      <c r="M228">
        <v>0</v>
      </c>
      <c r="N228">
        <v>0</v>
      </c>
    </row>
    <row r="229" spans="2:14">
      <c r="B229">
        <v>0</v>
      </c>
      <c r="C229">
        <v>0</v>
      </c>
      <c r="D229">
        <v>198</v>
      </c>
      <c r="J229">
        <v>274</v>
      </c>
      <c r="K229">
        <v>2</v>
      </c>
      <c r="L229">
        <v>3</v>
      </c>
      <c r="M229">
        <v>1.5</v>
      </c>
      <c r="N229">
        <v>0.5</v>
      </c>
    </row>
    <row r="230" spans="2:14">
      <c r="B230">
        <v>3</v>
      </c>
      <c r="C230">
        <v>0</v>
      </c>
      <c r="D230">
        <v>288</v>
      </c>
      <c r="J230">
        <v>164</v>
      </c>
      <c r="K230">
        <v>2</v>
      </c>
      <c r="L230">
        <v>0</v>
      </c>
      <c r="M230">
        <v>0</v>
      </c>
      <c r="N230">
        <v>0</v>
      </c>
    </row>
    <row r="231" spans="2:14">
      <c r="B231">
        <v>2</v>
      </c>
      <c r="C231">
        <v>0</v>
      </c>
      <c r="D231">
        <v>309</v>
      </c>
      <c r="J231">
        <v>255</v>
      </c>
      <c r="K231">
        <v>2</v>
      </c>
      <c r="L231">
        <v>0</v>
      </c>
      <c r="M231">
        <v>0</v>
      </c>
      <c r="N231">
        <v>0</v>
      </c>
    </row>
    <row r="232" spans="2:14">
      <c r="B232">
        <v>2</v>
      </c>
      <c r="C232">
        <v>0</v>
      </c>
      <c r="D232">
        <v>243</v>
      </c>
      <c r="J232">
        <v>239</v>
      </c>
      <c r="K232">
        <v>2</v>
      </c>
      <c r="L232">
        <v>0</v>
      </c>
      <c r="M232">
        <v>0</v>
      </c>
      <c r="N232">
        <v>0</v>
      </c>
    </row>
    <row r="233" spans="2:14">
      <c r="B233">
        <v>0</v>
      </c>
      <c r="C233">
        <v>1</v>
      </c>
      <c r="D233">
        <v>289</v>
      </c>
      <c r="J233">
        <v>258</v>
      </c>
      <c r="K233">
        <v>2</v>
      </c>
      <c r="L233">
        <v>0</v>
      </c>
      <c r="M233">
        <v>0</v>
      </c>
      <c r="N233">
        <v>0</v>
      </c>
    </row>
    <row r="234" spans="2:14">
      <c r="B234">
        <v>0</v>
      </c>
      <c r="C234">
        <v>0</v>
      </c>
      <c r="D234">
        <v>289</v>
      </c>
      <c r="J234">
        <v>188</v>
      </c>
      <c r="K234">
        <v>2</v>
      </c>
      <c r="L234">
        <v>2</v>
      </c>
      <c r="M234">
        <v>1</v>
      </c>
      <c r="N234">
        <v>2</v>
      </c>
    </row>
    <row r="235" spans="2:14">
      <c r="B235">
        <v>0</v>
      </c>
      <c r="C235">
        <v>0</v>
      </c>
      <c r="D235">
        <v>246</v>
      </c>
      <c r="J235">
        <v>177</v>
      </c>
      <c r="K235">
        <v>2</v>
      </c>
      <c r="L235">
        <v>0</v>
      </c>
      <c r="M235">
        <v>0</v>
      </c>
      <c r="N235">
        <v>0</v>
      </c>
    </row>
    <row r="236" spans="2:14">
      <c r="B236">
        <v>0</v>
      </c>
      <c r="C236">
        <v>0</v>
      </c>
      <c r="D236">
        <v>322</v>
      </c>
      <c r="J236">
        <v>229</v>
      </c>
      <c r="K236">
        <v>2</v>
      </c>
      <c r="L236">
        <v>2</v>
      </c>
      <c r="M236">
        <v>1</v>
      </c>
      <c r="N236">
        <v>2</v>
      </c>
    </row>
    <row r="237" spans="2:14">
      <c r="B237">
        <v>0</v>
      </c>
      <c r="C237">
        <v>0</v>
      </c>
      <c r="D237">
        <v>299</v>
      </c>
      <c r="J237">
        <v>260</v>
      </c>
      <c r="K237">
        <v>2</v>
      </c>
      <c r="L237">
        <v>0</v>
      </c>
      <c r="M237">
        <v>0</v>
      </c>
      <c r="N237">
        <v>0</v>
      </c>
    </row>
    <row r="238" spans="2:14">
      <c r="B238">
        <v>0</v>
      </c>
      <c r="C238">
        <v>0</v>
      </c>
      <c r="D238">
        <v>300</v>
      </c>
      <c r="J238">
        <v>219</v>
      </c>
      <c r="K238">
        <v>2</v>
      </c>
      <c r="L238">
        <v>0</v>
      </c>
      <c r="M238">
        <v>0</v>
      </c>
      <c r="N238">
        <v>0</v>
      </c>
    </row>
    <row r="239" spans="2:14">
      <c r="B239">
        <v>0</v>
      </c>
      <c r="C239">
        <v>0</v>
      </c>
      <c r="D239">
        <v>293</v>
      </c>
      <c r="J239">
        <v>307</v>
      </c>
      <c r="K239">
        <v>2</v>
      </c>
      <c r="L239">
        <v>0</v>
      </c>
      <c r="M239">
        <v>0</v>
      </c>
      <c r="N239">
        <v>0</v>
      </c>
    </row>
    <row r="240" spans="2:14">
      <c r="B240">
        <v>0</v>
      </c>
      <c r="C240">
        <v>0</v>
      </c>
      <c r="D240">
        <v>304</v>
      </c>
      <c r="J240">
        <v>249</v>
      </c>
      <c r="K240">
        <v>2</v>
      </c>
      <c r="L240">
        <v>1</v>
      </c>
      <c r="M240">
        <v>0.5</v>
      </c>
      <c r="N240">
        <v>0.5</v>
      </c>
    </row>
    <row r="241" spans="2:14">
      <c r="B241">
        <v>0</v>
      </c>
      <c r="C241">
        <v>0</v>
      </c>
      <c r="D241">
        <v>282</v>
      </c>
      <c r="J241">
        <v>341</v>
      </c>
      <c r="K241">
        <v>2</v>
      </c>
      <c r="L241">
        <v>1</v>
      </c>
      <c r="M241">
        <v>0.5</v>
      </c>
      <c r="N241">
        <v>0.5</v>
      </c>
    </row>
    <row r="242" spans="2:14">
      <c r="B242">
        <v>2</v>
      </c>
      <c r="C242">
        <v>0</v>
      </c>
      <c r="D242">
        <v>269</v>
      </c>
      <c r="J242">
        <v>263</v>
      </c>
      <c r="K242">
        <v>2</v>
      </c>
      <c r="L242">
        <v>2</v>
      </c>
      <c r="M242">
        <v>1</v>
      </c>
      <c r="N242">
        <v>2</v>
      </c>
    </row>
    <row r="243" spans="2:14">
      <c r="B243">
        <v>0</v>
      </c>
      <c r="C243">
        <v>0</v>
      </c>
      <c r="D243">
        <v>249</v>
      </c>
      <c r="J243">
        <v>330</v>
      </c>
      <c r="K243">
        <v>2</v>
      </c>
      <c r="L243">
        <v>1</v>
      </c>
      <c r="M243">
        <v>0.5</v>
      </c>
      <c r="N243">
        <v>0.5</v>
      </c>
    </row>
    <row r="244" spans="2:14">
      <c r="B244">
        <v>0</v>
      </c>
      <c r="C244">
        <v>0</v>
      </c>
      <c r="D244">
        <v>212</v>
      </c>
      <c r="J244">
        <v>254</v>
      </c>
      <c r="K244">
        <v>2</v>
      </c>
      <c r="L244">
        <v>0</v>
      </c>
      <c r="M244">
        <v>0</v>
      </c>
      <c r="N244">
        <v>0</v>
      </c>
    </row>
    <row r="245" spans="2:14">
      <c r="B245">
        <v>0</v>
      </c>
      <c r="C245">
        <v>0</v>
      </c>
      <c r="D245">
        <v>274</v>
      </c>
      <c r="J245">
        <v>256</v>
      </c>
      <c r="K245">
        <v>2</v>
      </c>
      <c r="L245">
        <v>1</v>
      </c>
      <c r="M245">
        <v>0.5</v>
      </c>
      <c r="N245">
        <v>0.5</v>
      </c>
    </row>
    <row r="246" spans="2:14">
      <c r="B246">
        <v>0</v>
      </c>
      <c r="C246">
        <v>0</v>
      </c>
      <c r="D246">
        <v>184</v>
      </c>
      <c r="J246">
        <v>407</v>
      </c>
      <c r="K246">
        <v>2</v>
      </c>
      <c r="L246">
        <v>0</v>
      </c>
      <c r="M246">
        <v>0</v>
      </c>
      <c r="N246">
        <v>0</v>
      </c>
    </row>
    <row r="247" spans="2:14">
      <c r="B247">
        <v>0</v>
      </c>
      <c r="C247">
        <v>0</v>
      </c>
      <c r="D247">
        <v>274</v>
      </c>
      <c r="J247">
        <v>217</v>
      </c>
      <c r="K247">
        <v>2</v>
      </c>
      <c r="L247">
        <v>0</v>
      </c>
      <c r="M247">
        <v>0</v>
      </c>
      <c r="N247">
        <v>0</v>
      </c>
    </row>
    <row r="248" spans="2:14">
      <c r="B248">
        <v>0</v>
      </c>
      <c r="C248">
        <v>0</v>
      </c>
      <c r="D248">
        <v>409</v>
      </c>
      <c r="J248">
        <v>282</v>
      </c>
      <c r="K248">
        <v>2</v>
      </c>
      <c r="L248">
        <v>4</v>
      </c>
      <c r="M248">
        <v>2</v>
      </c>
      <c r="N248">
        <v>2</v>
      </c>
    </row>
    <row r="249" spans="2:14">
      <c r="B249">
        <v>1</v>
      </c>
      <c r="C249">
        <v>0</v>
      </c>
      <c r="D249">
        <v>246</v>
      </c>
      <c r="J249">
        <v>288</v>
      </c>
      <c r="K249">
        <v>2</v>
      </c>
      <c r="L249">
        <v>1</v>
      </c>
      <c r="M249">
        <v>0.5</v>
      </c>
      <c r="N249">
        <v>0.5</v>
      </c>
    </row>
    <row r="250" spans="2:14">
      <c r="B250">
        <v>1</v>
      </c>
      <c r="C250">
        <v>0</v>
      </c>
      <c r="D250">
        <v>283</v>
      </c>
      <c r="J250">
        <v>239</v>
      </c>
      <c r="K250">
        <v>2</v>
      </c>
      <c r="L250">
        <v>0</v>
      </c>
      <c r="M250">
        <v>0</v>
      </c>
      <c r="N250">
        <v>0</v>
      </c>
    </row>
    <row r="251" spans="2:14">
      <c r="B251">
        <v>2</v>
      </c>
      <c r="C251">
        <v>0</v>
      </c>
      <c r="D251">
        <v>254</v>
      </c>
      <c r="J251">
        <v>174</v>
      </c>
      <c r="K251">
        <v>2</v>
      </c>
      <c r="L251">
        <v>0</v>
      </c>
      <c r="M251">
        <v>0</v>
      </c>
      <c r="N251">
        <v>0</v>
      </c>
    </row>
    <row r="252" spans="2:14">
      <c r="B252">
        <v>0</v>
      </c>
      <c r="C252">
        <v>0</v>
      </c>
      <c r="D252">
        <v>298</v>
      </c>
      <c r="J252">
        <v>281</v>
      </c>
      <c r="K252">
        <v>2</v>
      </c>
      <c r="L252">
        <v>1</v>
      </c>
      <c r="M252">
        <v>0.5</v>
      </c>
      <c r="N252">
        <v>0.5</v>
      </c>
    </row>
    <row r="253" spans="2:14">
      <c r="B253">
        <v>0</v>
      </c>
      <c r="C253">
        <v>1</v>
      </c>
      <c r="D253">
        <v>247</v>
      </c>
      <c r="J253">
        <v>198</v>
      </c>
      <c r="K253">
        <v>2</v>
      </c>
      <c r="L253">
        <v>0</v>
      </c>
      <c r="M253">
        <v>0</v>
      </c>
      <c r="N253">
        <v>0</v>
      </c>
    </row>
    <row r="254" spans="2:14">
      <c r="B254">
        <v>0</v>
      </c>
      <c r="C254">
        <v>1</v>
      </c>
      <c r="D254">
        <v>294</v>
      </c>
      <c r="J254">
        <v>288</v>
      </c>
      <c r="K254">
        <v>2</v>
      </c>
      <c r="L254">
        <v>3</v>
      </c>
      <c r="M254">
        <v>1.5</v>
      </c>
      <c r="N254">
        <v>4.5</v>
      </c>
    </row>
    <row r="255" spans="2:14">
      <c r="B255">
        <v>0</v>
      </c>
      <c r="C255">
        <v>0</v>
      </c>
      <c r="D255">
        <v>299</v>
      </c>
      <c r="J255">
        <v>309</v>
      </c>
      <c r="K255">
        <v>2</v>
      </c>
      <c r="L255">
        <v>2</v>
      </c>
      <c r="M255">
        <v>1</v>
      </c>
      <c r="N255">
        <v>2</v>
      </c>
    </row>
    <row r="256" spans="2:14">
      <c r="B256">
        <v>3</v>
      </c>
      <c r="C256">
        <v>0</v>
      </c>
      <c r="D256">
        <v>273</v>
      </c>
      <c r="J256">
        <v>243</v>
      </c>
      <c r="K256">
        <v>2</v>
      </c>
      <c r="L256">
        <v>2</v>
      </c>
      <c r="M256">
        <v>1</v>
      </c>
      <c r="N256">
        <v>2</v>
      </c>
    </row>
    <row r="257" spans="2:14">
      <c r="B257">
        <v>0</v>
      </c>
      <c r="C257">
        <v>0</v>
      </c>
      <c r="D257">
        <v>309</v>
      </c>
      <c r="J257">
        <v>289</v>
      </c>
      <c r="K257">
        <v>2</v>
      </c>
      <c r="L257">
        <v>1</v>
      </c>
      <c r="M257">
        <v>0.5</v>
      </c>
      <c r="N257">
        <v>0.5</v>
      </c>
    </row>
    <row r="258" spans="2:14">
      <c r="B258">
        <v>0</v>
      </c>
      <c r="C258">
        <v>0</v>
      </c>
      <c r="D258">
        <v>259</v>
      </c>
      <c r="J258">
        <v>289</v>
      </c>
      <c r="K258">
        <v>2</v>
      </c>
      <c r="L258">
        <v>0</v>
      </c>
      <c r="M258">
        <v>0</v>
      </c>
      <c r="N258">
        <v>0</v>
      </c>
    </row>
    <row r="259" spans="2:14">
      <c r="B259">
        <v>0</v>
      </c>
      <c r="C259">
        <v>0</v>
      </c>
      <c r="D259">
        <v>200</v>
      </c>
      <c r="J259">
        <v>246</v>
      </c>
      <c r="K259">
        <v>2</v>
      </c>
      <c r="L259">
        <v>0</v>
      </c>
      <c r="M259">
        <v>0</v>
      </c>
      <c r="N259">
        <v>0</v>
      </c>
    </row>
    <row r="260" spans="2:14">
      <c r="B260">
        <v>0</v>
      </c>
      <c r="C260">
        <v>0</v>
      </c>
      <c r="D260">
        <v>244</v>
      </c>
      <c r="J260">
        <v>322</v>
      </c>
      <c r="K260">
        <v>2</v>
      </c>
      <c r="L260">
        <v>0</v>
      </c>
      <c r="M260">
        <v>0</v>
      </c>
      <c r="N260">
        <v>0</v>
      </c>
    </row>
    <row r="261" spans="2:14">
      <c r="B261">
        <v>3</v>
      </c>
      <c r="C261">
        <v>0</v>
      </c>
      <c r="D261">
        <v>231</v>
      </c>
      <c r="J261">
        <v>299</v>
      </c>
      <c r="K261">
        <v>2</v>
      </c>
      <c r="L261">
        <v>0</v>
      </c>
      <c r="M261">
        <v>0</v>
      </c>
      <c r="N261">
        <v>0</v>
      </c>
    </row>
    <row r="262" spans="2:14">
      <c r="B262">
        <v>0</v>
      </c>
      <c r="C262">
        <v>1</v>
      </c>
      <c r="D262">
        <v>228</v>
      </c>
      <c r="J262">
        <v>300</v>
      </c>
      <c r="K262">
        <v>2</v>
      </c>
      <c r="L262">
        <v>0</v>
      </c>
      <c r="M262">
        <v>0</v>
      </c>
      <c r="N262">
        <v>0</v>
      </c>
    </row>
    <row r="263" spans="2:14">
      <c r="B263">
        <v>0</v>
      </c>
      <c r="C263">
        <v>0</v>
      </c>
      <c r="D263">
        <v>230</v>
      </c>
      <c r="J263">
        <v>293</v>
      </c>
      <c r="K263">
        <v>2</v>
      </c>
      <c r="L263">
        <v>0</v>
      </c>
      <c r="M263">
        <v>0</v>
      </c>
      <c r="N263">
        <v>0</v>
      </c>
    </row>
    <row r="264" spans="2:14">
      <c r="B264">
        <v>0</v>
      </c>
      <c r="C264">
        <v>0</v>
      </c>
      <c r="D264">
        <v>282</v>
      </c>
      <c r="J264">
        <v>304</v>
      </c>
      <c r="K264">
        <v>2</v>
      </c>
      <c r="L264">
        <v>0</v>
      </c>
      <c r="M264">
        <v>0</v>
      </c>
      <c r="N264">
        <v>0</v>
      </c>
    </row>
    <row r="265" spans="2:14">
      <c r="B265">
        <v>0</v>
      </c>
      <c r="C265">
        <v>0</v>
      </c>
      <c r="D265">
        <v>269</v>
      </c>
      <c r="J265">
        <v>282</v>
      </c>
      <c r="K265">
        <v>2</v>
      </c>
      <c r="L265">
        <v>0</v>
      </c>
      <c r="M265">
        <v>0</v>
      </c>
      <c r="N265">
        <v>0</v>
      </c>
    </row>
    <row r="266" spans="2:14">
      <c r="B266">
        <v>0</v>
      </c>
      <c r="C266">
        <v>0</v>
      </c>
      <c r="D266">
        <v>206</v>
      </c>
      <c r="J266">
        <v>269</v>
      </c>
      <c r="K266">
        <v>2</v>
      </c>
      <c r="L266">
        <v>2</v>
      </c>
      <c r="M266">
        <v>1</v>
      </c>
      <c r="N266">
        <v>2</v>
      </c>
    </row>
    <row r="267" spans="2:14">
      <c r="B267">
        <v>0</v>
      </c>
      <c r="C267">
        <v>0</v>
      </c>
      <c r="D267">
        <v>212</v>
      </c>
      <c r="J267">
        <v>249</v>
      </c>
      <c r="K267">
        <v>2</v>
      </c>
      <c r="L267">
        <v>0</v>
      </c>
      <c r="M267">
        <v>0</v>
      </c>
      <c r="N267">
        <v>0</v>
      </c>
    </row>
    <row r="268" spans="2:14">
      <c r="B268">
        <v>0</v>
      </c>
      <c r="C268">
        <v>0</v>
      </c>
      <c r="D268">
        <v>327</v>
      </c>
      <c r="J268">
        <v>212</v>
      </c>
      <c r="K268">
        <v>2</v>
      </c>
      <c r="L268">
        <v>0</v>
      </c>
      <c r="M268">
        <v>0</v>
      </c>
      <c r="N268">
        <v>0</v>
      </c>
    </row>
    <row r="269" spans="2:14">
      <c r="B269">
        <v>2</v>
      </c>
      <c r="C269">
        <v>0</v>
      </c>
      <c r="D269">
        <v>149</v>
      </c>
      <c r="J269">
        <v>274</v>
      </c>
      <c r="K269">
        <v>2</v>
      </c>
      <c r="L269">
        <v>0</v>
      </c>
      <c r="M269">
        <v>0</v>
      </c>
      <c r="N269">
        <v>0</v>
      </c>
    </row>
    <row r="270" spans="2:14">
      <c r="B270">
        <v>0</v>
      </c>
      <c r="C270">
        <v>0</v>
      </c>
      <c r="D270">
        <v>286</v>
      </c>
      <c r="J270">
        <v>184</v>
      </c>
      <c r="K270">
        <v>2</v>
      </c>
      <c r="L270">
        <v>0</v>
      </c>
      <c r="M270">
        <v>0</v>
      </c>
      <c r="N270">
        <v>0</v>
      </c>
    </row>
    <row r="271" spans="2:14">
      <c r="B271">
        <v>0</v>
      </c>
      <c r="C271">
        <v>1</v>
      </c>
      <c r="D271">
        <v>283</v>
      </c>
      <c r="J271">
        <v>274</v>
      </c>
      <c r="K271">
        <v>2</v>
      </c>
      <c r="L271">
        <v>0</v>
      </c>
      <c r="M271">
        <v>0</v>
      </c>
      <c r="N271">
        <v>0</v>
      </c>
    </row>
    <row r="272" spans="2:14">
      <c r="B272">
        <v>0</v>
      </c>
      <c r="C272">
        <v>0</v>
      </c>
      <c r="D272">
        <v>249</v>
      </c>
      <c r="J272">
        <v>409</v>
      </c>
      <c r="K272">
        <v>2</v>
      </c>
      <c r="L272">
        <v>0</v>
      </c>
      <c r="M272">
        <v>0</v>
      </c>
      <c r="N272">
        <v>0</v>
      </c>
    </row>
    <row r="273" spans="2:14">
      <c r="B273">
        <v>3</v>
      </c>
      <c r="C273">
        <v>0</v>
      </c>
      <c r="D273">
        <v>234</v>
      </c>
      <c r="J273">
        <v>246</v>
      </c>
      <c r="K273">
        <v>2</v>
      </c>
      <c r="L273">
        <v>1</v>
      </c>
      <c r="M273">
        <v>0.5</v>
      </c>
      <c r="N273">
        <v>0.5</v>
      </c>
    </row>
    <row r="274" spans="2:14">
      <c r="B274">
        <v>0</v>
      </c>
      <c r="C274">
        <v>0</v>
      </c>
      <c r="D274">
        <v>237</v>
      </c>
      <c r="J274">
        <v>283</v>
      </c>
      <c r="K274">
        <v>2</v>
      </c>
      <c r="L274">
        <v>1</v>
      </c>
      <c r="M274">
        <v>0.5</v>
      </c>
      <c r="N274">
        <v>0.5</v>
      </c>
    </row>
    <row r="275" spans="2:14">
      <c r="B275">
        <v>0</v>
      </c>
      <c r="C275">
        <v>0</v>
      </c>
      <c r="D275">
        <v>234</v>
      </c>
      <c r="J275">
        <v>254</v>
      </c>
      <c r="K275">
        <v>2</v>
      </c>
      <c r="L275">
        <v>2</v>
      </c>
      <c r="M275">
        <v>1</v>
      </c>
      <c r="N275">
        <v>2</v>
      </c>
    </row>
    <row r="276" spans="2:14">
      <c r="B276">
        <v>0</v>
      </c>
      <c r="C276">
        <v>0</v>
      </c>
      <c r="D276">
        <v>275</v>
      </c>
      <c r="J276">
        <v>298</v>
      </c>
      <c r="K276">
        <v>2</v>
      </c>
      <c r="L276">
        <v>0</v>
      </c>
      <c r="M276">
        <v>0</v>
      </c>
      <c r="N276">
        <v>0</v>
      </c>
    </row>
    <row r="277" spans="2:14">
      <c r="B277">
        <v>0</v>
      </c>
      <c r="C277">
        <v>0</v>
      </c>
      <c r="D277">
        <v>212</v>
      </c>
      <c r="J277">
        <v>247</v>
      </c>
      <c r="K277">
        <v>2</v>
      </c>
      <c r="L277">
        <v>1</v>
      </c>
      <c r="M277">
        <v>0.5</v>
      </c>
      <c r="N277">
        <v>0.5</v>
      </c>
    </row>
    <row r="278" spans="2:14">
      <c r="B278">
        <v>0</v>
      </c>
      <c r="C278">
        <v>0</v>
      </c>
      <c r="D278">
        <v>218</v>
      </c>
      <c r="J278">
        <v>294</v>
      </c>
      <c r="K278">
        <v>2</v>
      </c>
      <c r="L278">
        <v>1</v>
      </c>
      <c r="M278">
        <v>0.5</v>
      </c>
      <c r="N278">
        <v>0.5</v>
      </c>
    </row>
    <row r="279" spans="2:14">
      <c r="B279">
        <v>1</v>
      </c>
      <c r="C279">
        <v>0</v>
      </c>
      <c r="D279">
        <v>261</v>
      </c>
      <c r="J279">
        <v>299</v>
      </c>
      <c r="K279">
        <v>2</v>
      </c>
      <c r="L279">
        <v>0</v>
      </c>
      <c r="M279">
        <v>0</v>
      </c>
      <c r="N279">
        <v>0</v>
      </c>
    </row>
    <row r="280" spans="2:14">
      <c r="B280">
        <v>1</v>
      </c>
      <c r="C280">
        <v>1</v>
      </c>
      <c r="D280">
        <v>319</v>
      </c>
      <c r="J280">
        <v>273</v>
      </c>
      <c r="K280">
        <v>2</v>
      </c>
      <c r="L280">
        <v>3</v>
      </c>
      <c r="M280">
        <v>1.5</v>
      </c>
      <c r="N280">
        <v>4.5</v>
      </c>
    </row>
    <row r="281" spans="2:14">
      <c r="B281">
        <v>0</v>
      </c>
      <c r="C281">
        <v>0</v>
      </c>
      <c r="D281">
        <v>166</v>
      </c>
      <c r="J281">
        <v>309</v>
      </c>
      <c r="K281">
        <v>2</v>
      </c>
      <c r="L281">
        <v>0</v>
      </c>
      <c r="M281">
        <v>0</v>
      </c>
      <c r="N281">
        <v>0</v>
      </c>
    </row>
    <row r="282" spans="2:14">
      <c r="B282">
        <v>0</v>
      </c>
      <c r="C282">
        <v>0</v>
      </c>
      <c r="D282">
        <v>315</v>
      </c>
      <c r="J282">
        <v>259</v>
      </c>
      <c r="K282">
        <v>2</v>
      </c>
      <c r="L282">
        <v>0</v>
      </c>
      <c r="M282">
        <v>0</v>
      </c>
      <c r="N282">
        <v>0</v>
      </c>
    </row>
    <row r="283" spans="2:14">
      <c r="B283">
        <v>0</v>
      </c>
      <c r="C283">
        <v>1</v>
      </c>
      <c r="D283">
        <v>204</v>
      </c>
      <c r="J283">
        <v>200</v>
      </c>
      <c r="K283">
        <v>2</v>
      </c>
      <c r="L283">
        <v>0</v>
      </c>
      <c r="M283">
        <v>0</v>
      </c>
      <c r="N283">
        <v>0</v>
      </c>
    </row>
    <row r="284" spans="2:14">
      <c r="B284">
        <v>2</v>
      </c>
      <c r="C284">
        <v>1</v>
      </c>
      <c r="D284">
        <v>218</v>
      </c>
      <c r="J284">
        <v>244</v>
      </c>
      <c r="K284">
        <v>2</v>
      </c>
      <c r="L284">
        <v>0</v>
      </c>
      <c r="M284">
        <v>0</v>
      </c>
      <c r="N284">
        <v>0</v>
      </c>
    </row>
    <row r="285" spans="2:14">
      <c r="B285">
        <v>0</v>
      </c>
      <c r="C285">
        <v>0</v>
      </c>
      <c r="D285">
        <v>223</v>
      </c>
      <c r="J285">
        <v>231</v>
      </c>
      <c r="K285">
        <v>2</v>
      </c>
      <c r="L285">
        <v>3</v>
      </c>
      <c r="M285">
        <v>1.5</v>
      </c>
      <c r="N285">
        <v>4.5</v>
      </c>
    </row>
    <row r="286" spans="2:14">
      <c r="B286">
        <v>0</v>
      </c>
      <c r="C286">
        <v>0</v>
      </c>
      <c r="D286">
        <v>207</v>
      </c>
      <c r="J286">
        <v>228</v>
      </c>
      <c r="K286">
        <v>2</v>
      </c>
      <c r="L286">
        <v>1</v>
      </c>
      <c r="M286">
        <v>0.5</v>
      </c>
      <c r="N286">
        <v>0.5</v>
      </c>
    </row>
    <row r="287" spans="2:14">
      <c r="B287">
        <v>0</v>
      </c>
      <c r="C287">
        <v>0</v>
      </c>
      <c r="D287">
        <v>311</v>
      </c>
      <c r="J287">
        <v>230</v>
      </c>
      <c r="K287">
        <v>2</v>
      </c>
      <c r="L287">
        <v>0</v>
      </c>
      <c r="M287">
        <v>0</v>
      </c>
      <c r="N287">
        <v>0</v>
      </c>
    </row>
    <row r="288" spans="2:14">
      <c r="B288">
        <v>3</v>
      </c>
      <c r="C288">
        <v>0</v>
      </c>
      <c r="D288">
        <v>204</v>
      </c>
      <c r="J288">
        <v>282</v>
      </c>
      <c r="K288">
        <v>2</v>
      </c>
      <c r="L288">
        <v>0</v>
      </c>
      <c r="M288">
        <v>0</v>
      </c>
      <c r="N288">
        <v>0</v>
      </c>
    </row>
    <row r="289" spans="2:14">
      <c r="B289">
        <v>1</v>
      </c>
      <c r="C289">
        <v>0</v>
      </c>
      <c r="D289">
        <v>232</v>
      </c>
      <c r="J289">
        <v>269</v>
      </c>
      <c r="K289">
        <v>2</v>
      </c>
      <c r="L289">
        <v>0</v>
      </c>
      <c r="M289">
        <v>0</v>
      </c>
      <c r="N289">
        <v>0</v>
      </c>
    </row>
    <row r="290" spans="2:14">
      <c r="B290">
        <v>0</v>
      </c>
      <c r="C290">
        <v>0</v>
      </c>
      <c r="D290">
        <v>335</v>
      </c>
      <c r="J290">
        <v>206</v>
      </c>
      <c r="K290">
        <v>2</v>
      </c>
      <c r="L290">
        <v>0</v>
      </c>
      <c r="M290">
        <v>0</v>
      </c>
      <c r="N290">
        <v>0</v>
      </c>
    </row>
    <row r="291" spans="2:14">
      <c r="B291">
        <v>0</v>
      </c>
      <c r="C291">
        <v>0</v>
      </c>
      <c r="D291">
        <v>205</v>
      </c>
      <c r="J291">
        <v>212</v>
      </c>
      <c r="K291">
        <v>2</v>
      </c>
      <c r="L291">
        <v>0</v>
      </c>
      <c r="M291">
        <v>0</v>
      </c>
      <c r="N291">
        <v>0</v>
      </c>
    </row>
    <row r="292" spans="2:14">
      <c r="B292">
        <v>0</v>
      </c>
      <c r="C292">
        <v>0</v>
      </c>
      <c r="D292">
        <v>203</v>
      </c>
      <c r="J292">
        <v>327</v>
      </c>
      <c r="K292">
        <v>2</v>
      </c>
      <c r="L292">
        <v>0</v>
      </c>
      <c r="M292">
        <v>0</v>
      </c>
      <c r="N292">
        <v>0</v>
      </c>
    </row>
    <row r="293" spans="2:14">
      <c r="B293">
        <v>0</v>
      </c>
      <c r="C293">
        <v>0</v>
      </c>
      <c r="D293">
        <v>318</v>
      </c>
      <c r="J293">
        <v>149</v>
      </c>
      <c r="K293">
        <v>2</v>
      </c>
      <c r="L293">
        <v>2</v>
      </c>
      <c r="M293">
        <v>1</v>
      </c>
      <c r="N293">
        <v>2</v>
      </c>
    </row>
    <row r="294" spans="2:14">
      <c r="B294">
        <v>0</v>
      </c>
      <c r="C294">
        <v>1</v>
      </c>
      <c r="D294">
        <v>225</v>
      </c>
      <c r="J294">
        <v>286</v>
      </c>
      <c r="K294">
        <v>2</v>
      </c>
      <c r="L294">
        <v>0</v>
      </c>
      <c r="M294">
        <v>0</v>
      </c>
      <c r="N294">
        <v>0</v>
      </c>
    </row>
    <row r="295" spans="2:14">
      <c r="B295">
        <v>2</v>
      </c>
      <c r="C295">
        <v>0</v>
      </c>
      <c r="D295">
        <v>212</v>
      </c>
      <c r="J295">
        <v>283</v>
      </c>
      <c r="K295">
        <v>2</v>
      </c>
      <c r="L295">
        <v>1</v>
      </c>
      <c r="M295">
        <v>0.5</v>
      </c>
      <c r="N295">
        <v>0.5</v>
      </c>
    </row>
    <row r="296" spans="2:14">
      <c r="B296">
        <v>0</v>
      </c>
      <c r="C296">
        <v>0</v>
      </c>
      <c r="D296">
        <v>169</v>
      </c>
      <c r="J296">
        <v>249</v>
      </c>
      <c r="K296">
        <v>2</v>
      </c>
      <c r="L296">
        <v>0</v>
      </c>
      <c r="M296">
        <v>0</v>
      </c>
      <c r="N296">
        <v>0</v>
      </c>
    </row>
    <row r="297" spans="2:14">
      <c r="B297">
        <v>0</v>
      </c>
      <c r="C297">
        <v>0</v>
      </c>
      <c r="D297">
        <v>187</v>
      </c>
      <c r="J297">
        <v>234</v>
      </c>
      <c r="K297">
        <v>2</v>
      </c>
      <c r="L297">
        <v>3</v>
      </c>
      <c r="M297">
        <v>1.5</v>
      </c>
      <c r="N297">
        <v>4.5</v>
      </c>
    </row>
    <row r="298" spans="2:14">
      <c r="B298">
        <v>0</v>
      </c>
      <c r="C298">
        <v>0</v>
      </c>
      <c r="D298">
        <v>197</v>
      </c>
      <c r="J298">
        <v>237</v>
      </c>
      <c r="K298">
        <v>2</v>
      </c>
      <c r="L298">
        <v>0</v>
      </c>
      <c r="M298">
        <v>0</v>
      </c>
      <c r="N298">
        <v>0</v>
      </c>
    </row>
    <row r="299" spans="2:14">
      <c r="B299">
        <v>0</v>
      </c>
      <c r="C299">
        <v>1</v>
      </c>
      <c r="D299">
        <v>176</v>
      </c>
      <c r="J299">
        <v>234</v>
      </c>
      <c r="K299">
        <v>2</v>
      </c>
      <c r="L299">
        <v>0</v>
      </c>
      <c r="M299">
        <v>0</v>
      </c>
      <c r="N299">
        <v>0</v>
      </c>
    </row>
    <row r="300" spans="2:14">
      <c r="B300">
        <v>0</v>
      </c>
      <c r="C300">
        <v>0</v>
      </c>
      <c r="D300">
        <v>241</v>
      </c>
      <c r="J300">
        <v>275</v>
      </c>
      <c r="K300">
        <v>2</v>
      </c>
      <c r="L300">
        <v>0</v>
      </c>
      <c r="M300">
        <v>0</v>
      </c>
      <c r="N300">
        <v>0</v>
      </c>
    </row>
    <row r="301" spans="2:14">
      <c r="B301">
        <v>3</v>
      </c>
      <c r="C301">
        <v>0</v>
      </c>
      <c r="D301">
        <v>264</v>
      </c>
      <c r="J301">
        <v>212</v>
      </c>
      <c r="K301">
        <v>2</v>
      </c>
      <c r="L301">
        <v>0</v>
      </c>
      <c r="M301">
        <v>0</v>
      </c>
      <c r="N301">
        <v>0</v>
      </c>
    </row>
    <row r="302" spans="2:14">
      <c r="B302">
        <v>0</v>
      </c>
      <c r="C302">
        <v>1</v>
      </c>
      <c r="D302">
        <v>193</v>
      </c>
      <c r="J302">
        <v>218</v>
      </c>
      <c r="K302">
        <v>2</v>
      </c>
      <c r="L302">
        <v>0</v>
      </c>
      <c r="M302">
        <v>0</v>
      </c>
      <c r="N302">
        <v>0</v>
      </c>
    </row>
    <row r="303" spans="2:14">
      <c r="B303">
        <v>0</v>
      </c>
      <c r="C303">
        <v>0</v>
      </c>
      <c r="D303">
        <v>131</v>
      </c>
      <c r="J303">
        <v>261</v>
      </c>
      <c r="K303">
        <v>2</v>
      </c>
      <c r="L303">
        <v>1</v>
      </c>
      <c r="M303">
        <v>0.5</v>
      </c>
      <c r="N303">
        <v>0.5</v>
      </c>
    </row>
    <row r="304" spans="2:14">
      <c r="B304">
        <v>1</v>
      </c>
      <c r="C304">
        <v>0</v>
      </c>
      <c r="D304">
        <v>236</v>
      </c>
      <c r="J304">
        <v>319</v>
      </c>
      <c r="K304">
        <v>2</v>
      </c>
      <c r="L304">
        <v>2</v>
      </c>
      <c r="M304">
        <v>1</v>
      </c>
      <c r="N304">
        <v>0</v>
      </c>
    </row>
    <row r="305" spans="10:25">
      <c r="J305">
        <v>166</v>
      </c>
      <c r="K305">
        <v>2</v>
      </c>
      <c r="L305">
        <v>0</v>
      </c>
      <c r="M305">
        <v>0</v>
      </c>
      <c r="N305">
        <v>0</v>
      </c>
    </row>
    <row r="306" spans="10:25">
      <c r="J306">
        <v>315</v>
      </c>
      <c r="K306">
        <v>2</v>
      </c>
      <c r="L306">
        <v>0</v>
      </c>
      <c r="M306">
        <v>0</v>
      </c>
      <c r="N306">
        <v>0</v>
      </c>
    </row>
    <row r="307" spans="10:25">
      <c r="J307">
        <v>204</v>
      </c>
      <c r="K307">
        <v>2</v>
      </c>
      <c r="L307">
        <v>1</v>
      </c>
      <c r="M307">
        <v>0.5</v>
      </c>
      <c r="N307">
        <v>0.5</v>
      </c>
    </row>
    <row r="308" spans="10:25">
      <c r="J308">
        <v>218</v>
      </c>
      <c r="K308">
        <v>2</v>
      </c>
      <c r="L308">
        <v>3</v>
      </c>
      <c r="M308">
        <v>1.5</v>
      </c>
      <c r="N308">
        <v>0.5</v>
      </c>
    </row>
    <row r="309" spans="10:25">
      <c r="J309">
        <v>223</v>
      </c>
      <c r="K309">
        <v>2</v>
      </c>
      <c r="L309">
        <v>0</v>
      </c>
      <c r="M309">
        <v>0</v>
      </c>
      <c r="N309">
        <v>0</v>
      </c>
    </row>
    <row r="310" spans="10:25" ht="15.75" thickBot="1">
      <c r="J310">
        <v>207</v>
      </c>
      <c r="K310">
        <v>2</v>
      </c>
      <c r="L310">
        <v>0</v>
      </c>
      <c r="M310">
        <v>0</v>
      </c>
      <c r="N310">
        <v>0</v>
      </c>
      <c r="S310" s="27"/>
      <c r="T310" s="27"/>
      <c r="U310" s="27"/>
      <c r="V310" s="27"/>
      <c r="W310" s="27"/>
    </row>
    <row r="311" spans="10:25">
      <c r="J311">
        <v>311</v>
      </c>
      <c r="K311">
        <v>2</v>
      </c>
      <c r="L311">
        <v>0</v>
      </c>
      <c r="M311">
        <v>0</v>
      </c>
      <c r="N311">
        <v>0</v>
      </c>
    </row>
    <row r="312" spans="10:25">
      <c r="J312">
        <v>204</v>
      </c>
      <c r="K312">
        <v>2</v>
      </c>
      <c r="L312">
        <v>3</v>
      </c>
      <c r="M312">
        <v>1.5</v>
      </c>
      <c r="N312">
        <v>4.5</v>
      </c>
    </row>
    <row r="313" spans="10:25" ht="15.75" thickBot="1">
      <c r="J313">
        <v>232</v>
      </c>
      <c r="K313">
        <v>2</v>
      </c>
      <c r="L313">
        <v>1</v>
      </c>
      <c r="M313">
        <v>0.5</v>
      </c>
      <c r="N313">
        <v>0.5</v>
      </c>
    </row>
    <row r="314" spans="10:25">
      <c r="J314">
        <v>335</v>
      </c>
      <c r="K314">
        <v>2</v>
      </c>
      <c r="L314">
        <v>0</v>
      </c>
      <c r="M314">
        <v>0</v>
      </c>
      <c r="N314">
        <v>0</v>
      </c>
      <c r="S314" s="28"/>
      <c r="T314" s="28"/>
      <c r="U314" s="28"/>
      <c r="V314" s="28"/>
      <c r="W314" s="28"/>
      <c r="X314" s="28"/>
      <c r="Y314" s="28"/>
    </row>
    <row r="315" spans="10:25">
      <c r="J315">
        <v>205</v>
      </c>
      <c r="K315">
        <v>2</v>
      </c>
      <c r="L315">
        <v>0</v>
      </c>
      <c r="M315">
        <v>0</v>
      </c>
      <c r="N315">
        <v>0</v>
      </c>
    </row>
    <row r="316" spans="10:25">
      <c r="J316">
        <v>203</v>
      </c>
      <c r="K316">
        <v>2</v>
      </c>
      <c r="L316">
        <v>0</v>
      </c>
      <c r="M316">
        <v>0</v>
      </c>
      <c r="N316">
        <v>0</v>
      </c>
    </row>
    <row r="317" spans="10:25">
      <c r="J317">
        <v>318</v>
      </c>
      <c r="K317">
        <v>2</v>
      </c>
      <c r="L317">
        <v>0</v>
      </c>
      <c r="M317">
        <v>0</v>
      </c>
      <c r="N317">
        <v>0</v>
      </c>
    </row>
    <row r="318" spans="10:25">
      <c r="J318">
        <v>225</v>
      </c>
      <c r="K318">
        <v>2</v>
      </c>
      <c r="L318">
        <v>1</v>
      </c>
      <c r="M318">
        <v>0.5</v>
      </c>
      <c r="N318">
        <v>0.5</v>
      </c>
    </row>
    <row r="319" spans="10:25" ht="15.75" thickBot="1">
      <c r="J319">
        <v>212</v>
      </c>
      <c r="K319">
        <v>2</v>
      </c>
      <c r="L319">
        <v>2</v>
      </c>
      <c r="M319">
        <v>1</v>
      </c>
      <c r="N319">
        <v>2</v>
      </c>
      <c r="S319" s="27"/>
      <c r="T319" s="27"/>
      <c r="U319" s="27"/>
      <c r="V319" s="27"/>
      <c r="W319" s="27"/>
      <c r="X319" s="27"/>
      <c r="Y319" s="27"/>
    </row>
    <row r="320" spans="10:25">
      <c r="J320">
        <v>169</v>
      </c>
      <c r="K320">
        <v>2</v>
      </c>
      <c r="L320">
        <v>0</v>
      </c>
      <c r="M320">
        <v>0</v>
      </c>
      <c r="N320">
        <v>0</v>
      </c>
    </row>
    <row r="321" spans="10:16">
      <c r="J321">
        <v>187</v>
      </c>
      <c r="K321">
        <v>2</v>
      </c>
      <c r="L321">
        <v>0</v>
      </c>
      <c r="M321">
        <v>0</v>
      </c>
      <c r="N321">
        <v>0</v>
      </c>
    </row>
    <row r="322" spans="10:16">
      <c r="J322">
        <v>197</v>
      </c>
      <c r="K322">
        <v>2</v>
      </c>
      <c r="L322">
        <v>0</v>
      </c>
      <c r="M322">
        <v>0</v>
      </c>
      <c r="N322">
        <v>0</v>
      </c>
    </row>
    <row r="323" spans="10:16">
      <c r="J323">
        <v>176</v>
      </c>
      <c r="K323">
        <v>2</v>
      </c>
      <c r="L323">
        <v>1</v>
      </c>
      <c r="M323">
        <v>0.5</v>
      </c>
      <c r="N323">
        <v>0.5</v>
      </c>
    </row>
    <row r="324" spans="10:16">
      <c r="J324">
        <v>241</v>
      </c>
      <c r="K324">
        <v>2</v>
      </c>
      <c r="L324">
        <v>0</v>
      </c>
      <c r="M324">
        <v>0</v>
      </c>
      <c r="N324">
        <v>0</v>
      </c>
    </row>
    <row r="325" spans="10:16">
      <c r="J325">
        <v>264</v>
      </c>
      <c r="K325">
        <v>2</v>
      </c>
      <c r="L325">
        <v>3</v>
      </c>
      <c r="M325">
        <v>1.5</v>
      </c>
      <c r="N325">
        <v>4.5</v>
      </c>
    </row>
    <row r="326" spans="10:16">
      <c r="J326">
        <v>193</v>
      </c>
      <c r="K326">
        <v>2</v>
      </c>
      <c r="L326">
        <v>1</v>
      </c>
      <c r="M326">
        <v>0.5</v>
      </c>
      <c r="N326">
        <v>0.5</v>
      </c>
    </row>
    <row r="327" spans="10:16">
      <c r="J327">
        <v>131</v>
      </c>
      <c r="K327">
        <v>2</v>
      </c>
      <c r="L327">
        <v>0</v>
      </c>
      <c r="M327">
        <v>0</v>
      </c>
      <c r="N327">
        <v>0</v>
      </c>
    </row>
    <row r="328" spans="10:16">
      <c r="J328">
        <v>236</v>
      </c>
      <c r="K328">
        <v>2</v>
      </c>
      <c r="L328">
        <v>1</v>
      </c>
      <c r="M328">
        <v>0.5</v>
      </c>
      <c r="N328">
        <v>0.5</v>
      </c>
    </row>
    <row r="330" spans="10:16">
      <c r="J330" t="s">
        <v>2</v>
      </c>
      <c r="K330">
        <v>303</v>
      </c>
      <c r="L330">
        <v>293</v>
      </c>
      <c r="M330">
        <v>0.96699669966996704</v>
      </c>
      <c r="N330">
        <v>1.0651323410486744</v>
      </c>
    </row>
    <row r="331" spans="10:16" ht="15.75" thickBot="1">
      <c r="J331" s="27" t="s">
        <v>5</v>
      </c>
      <c r="K331" s="27">
        <v>303</v>
      </c>
      <c r="L331" s="27">
        <v>45</v>
      </c>
      <c r="M331" s="27">
        <v>0.14851485148514851</v>
      </c>
      <c r="N331" s="27">
        <v>0.12687692610320636</v>
      </c>
    </row>
    <row r="334" spans="10:16" ht="15.75" thickBot="1">
      <c r="J334" t="s">
        <v>108</v>
      </c>
    </row>
    <row r="335" spans="10:16">
      <c r="J335" s="28" t="s">
        <v>109</v>
      </c>
      <c r="K335" s="28" t="s">
        <v>110</v>
      </c>
      <c r="L335" s="28" t="s">
        <v>88</v>
      </c>
      <c r="M335" s="28" t="s">
        <v>111</v>
      </c>
      <c r="N335" s="28" t="s">
        <v>112</v>
      </c>
      <c r="O335" s="28" t="s">
        <v>113</v>
      </c>
      <c r="P335" s="28" t="s">
        <v>114</v>
      </c>
    </row>
    <row r="336" spans="10:16">
      <c r="J336" t="s">
        <v>122</v>
      </c>
      <c r="K336">
        <v>190.47854785478319</v>
      </c>
      <c r="L336">
        <v>302</v>
      </c>
      <c r="M336">
        <v>0.63072366839332183</v>
      </c>
      <c r="N336">
        <v>1.1237125445376543</v>
      </c>
      <c r="O336">
        <v>0.15568518115235508</v>
      </c>
      <c r="P336">
        <v>1.2087656829738305</v>
      </c>
    </row>
    <row r="337" spans="10:16">
      <c r="J337" t="s">
        <v>123</v>
      </c>
      <c r="K337">
        <v>101.49174917491501</v>
      </c>
      <c r="L337">
        <v>1</v>
      </c>
      <c r="M337">
        <v>101.49174917491501</v>
      </c>
      <c r="N337">
        <v>180.8201553707996</v>
      </c>
      <c r="O337">
        <v>1.2645799823303946E-32</v>
      </c>
      <c r="P337">
        <v>3.8724345173444776</v>
      </c>
    </row>
    <row r="338" spans="10:16">
      <c r="J338" t="s">
        <v>124</v>
      </c>
      <c r="K338">
        <v>169.50825082508499</v>
      </c>
      <c r="L338">
        <v>302</v>
      </c>
      <c r="M338">
        <v>0.56128559875855955</v>
      </c>
    </row>
    <row r="340" spans="10:16" ht="15.75" thickBot="1">
      <c r="J340" s="27" t="s">
        <v>17</v>
      </c>
      <c r="K340" s="27">
        <v>461.47854785478319</v>
      </c>
      <c r="L340" s="27">
        <v>605</v>
      </c>
      <c r="M340" s="27"/>
      <c r="N340" s="27"/>
      <c r="O340" s="27"/>
      <c r="P340" s="2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094667-3AA6-46CF-927C-71993E1C8B00}">
  <dimension ref="A1:AH329"/>
  <sheetViews>
    <sheetView topLeftCell="R1" workbookViewId="0">
      <selection activeCell="AD13" sqref="AD13"/>
    </sheetView>
  </sheetViews>
  <sheetFormatPr defaultRowHeight="15"/>
  <cols>
    <col min="1" max="1" width="18" bestFit="1" customWidth="1"/>
    <col min="6" max="6" width="20.140625" bestFit="1" customWidth="1"/>
    <col min="26" max="26" width="18" bestFit="1" customWidth="1"/>
  </cols>
  <sheetData>
    <row r="1" spans="1:31">
      <c r="A1" t="s">
        <v>133</v>
      </c>
      <c r="V1" s="1" t="s">
        <v>0</v>
      </c>
      <c r="W1" s="1" t="s">
        <v>3</v>
      </c>
      <c r="X1" s="1" t="s">
        <v>4</v>
      </c>
    </row>
    <row r="2" spans="1:31" ht="15.75" thickBot="1">
      <c r="V2">
        <v>63</v>
      </c>
      <c r="W2">
        <v>145</v>
      </c>
      <c r="X2">
        <v>233</v>
      </c>
      <c r="Z2" t="s">
        <v>133</v>
      </c>
    </row>
    <row r="3" spans="1:31" ht="15.75" thickBot="1">
      <c r="A3" s="73" t="s">
        <v>134</v>
      </c>
      <c r="B3" s="73"/>
      <c r="V3">
        <v>37</v>
      </c>
      <c r="W3">
        <v>130</v>
      </c>
      <c r="X3">
        <v>250</v>
      </c>
    </row>
    <row r="4" spans="1:31">
      <c r="A4" s="70" t="s">
        <v>135</v>
      </c>
      <c r="B4" s="70">
        <v>0.21367795655956348</v>
      </c>
      <c r="V4">
        <v>41</v>
      </c>
      <c r="W4">
        <v>130</v>
      </c>
      <c r="X4">
        <v>204</v>
      </c>
      <c r="Z4" s="73" t="s">
        <v>134</v>
      </c>
      <c r="AA4" s="73"/>
    </row>
    <row r="5" spans="1:31">
      <c r="A5" s="70" t="s">
        <v>136</v>
      </c>
      <c r="B5" s="70">
        <v>4.5658269119470699E-2</v>
      </c>
      <c r="V5">
        <v>56</v>
      </c>
      <c r="W5">
        <v>120</v>
      </c>
      <c r="X5">
        <v>236</v>
      </c>
      <c r="Z5" s="70" t="s">
        <v>135</v>
      </c>
      <c r="AA5" s="70">
        <v>0.22367272159463325</v>
      </c>
    </row>
    <row r="6" spans="1:31">
      <c r="A6" s="70" t="s">
        <v>137</v>
      </c>
      <c r="B6" s="70">
        <v>4.2487698584983892E-2</v>
      </c>
      <c r="V6">
        <v>57</v>
      </c>
      <c r="W6">
        <v>120</v>
      </c>
      <c r="X6">
        <v>354</v>
      </c>
      <c r="Z6" s="70" t="s">
        <v>136</v>
      </c>
      <c r="AA6" s="70">
        <v>5.0029486385550312E-2</v>
      </c>
    </row>
    <row r="7" spans="1:31">
      <c r="A7" s="70" t="s">
        <v>62</v>
      </c>
      <c r="B7" s="70">
        <v>50.717715426015637</v>
      </c>
      <c r="V7">
        <v>57</v>
      </c>
      <c r="W7">
        <v>140</v>
      </c>
      <c r="X7">
        <v>192</v>
      </c>
      <c r="Z7" s="70" t="s">
        <v>137</v>
      </c>
      <c r="AA7" s="70">
        <v>4.3696349628120648E-2</v>
      </c>
    </row>
    <row r="8" spans="1:31" ht="15.75" thickBot="1">
      <c r="A8" s="71" t="s">
        <v>86</v>
      </c>
      <c r="B8" s="71">
        <v>303</v>
      </c>
      <c r="V8">
        <v>56</v>
      </c>
      <c r="W8">
        <v>140</v>
      </c>
      <c r="X8">
        <v>294</v>
      </c>
      <c r="Z8" s="70" t="s">
        <v>62</v>
      </c>
      <c r="AA8" s="70">
        <v>50.685695275324541</v>
      </c>
    </row>
    <row r="9" spans="1:31" ht="15.75" thickBot="1">
      <c r="V9">
        <v>44</v>
      </c>
      <c r="W9">
        <v>120</v>
      </c>
      <c r="X9">
        <v>263</v>
      </c>
      <c r="Z9" s="71" t="s">
        <v>86</v>
      </c>
      <c r="AA9" s="71">
        <v>303</v>
      </c>
    </row>
    <row r="10" spans="1:31" ht="15.75" thickBot="1">
      <c r="A10" t="s">
        <v>108</v>
      </c>
      <c r="V10">
        <v>52</v>
      </c>
      <c r="W10">
        <v>172</v>
      </c>
      <c r="X10">
        <v>199</v>
      </c>
    </row>
    <row r="11" spans="1:31" ht="15.75" thickBot="1">
      <c r="A11" s="72"/>
      <c r="B11" s="72" t="s">
        <v>88</v>
      </c>
      <c r="C11" s="72" t="s">
        <v>110</v>
      </c>
      <c r="D11" s="72" t="s">
        <v>111</v>
      </c>
      <c r="E11" s="72" t="s">
        <v>112</v>
      </c>
      <c r="F11" s="72" t="s">
        <v>141</v>
      </c>
      <c r="V11">
        <v>57</v>
      </c>
      <c r="W11">
        <v>150</v>
      </c>
      <c r="X11">
        <v>168</v>
      </c>
      <c r="Z11" t="s">
        <v>108</v>
      </c>
    </row>
    <row r="12" spans="1:31">
      <c r="A12" s="70" t="s">
        <v>138</v>
      </c>
      <c r="B12" s="70">
        <v>1</v>
      </c>
      <c r="C12" s="70">
        <v>37042.593819463509</v>
      </c>
      <c r="D12" s="70">
        <v>37042.593819463509</v>
      </c>
      <c r="E12" s="70">
        <v>14.400647650900153</v>
      </c>
      <c r="F12" s="70">
        <v>1.7862864341446988E-4</v>
      </c>
      <c r="V12">
        <v>54</v>
      </c>
      <c r="W12">
        <v>140</v>
      </c>
      <c r="X12">
        <v>239</v>
      </c>
      <c r="Z12" s="72"/>
      <c r="AA12" s="72" t="s">
        <v>88</v>
      </c>
      <c r="AB12" s="72" t="s">
        <v>110</v>
      </c>
      <c r="AC12" s="72" t="s">
        <v>111</v>
      </c>
      <c r="AD12" s="72" t="s">
        <v>112</v>
      </c>
      <c r="AE12" s="72" t="s">
        <v>141</v>
      </c>
    </row>
    <row r="13" spans="1:31">
      <c r="A13" s="70" t="s">
        <v>139</v>
      </c>
      <c r="B13" s="70">
        <v>301</v>
      </c>
      <c r="C13" s="70">
        <v>774258.28406832553</v>
      </c>
      <c r="D13" s="70">
        <v>2572.2866580343043</v>
      </c>
      <c r="E13" s="70"/>
      <c r="F13" s="70"/>
      <c r="V13">
        <v>48</v>
      </c>
      <c r="W13">
        <v>130</v>
      </c>
      <c r="X13">
        <v>275</v>
      </c>
      <c r="Z13" s="70" t="s">
        <v>138</v>
      </c>
      <c r="AA13" s="70">
        <v>2</v>
      </c>
      <c r="AB13" s="70">
        <v>40588.966224872158</v>
      </c>
      <c r="AC13" s="70">
        <v>20294.483112436079</v>
      </c>
      <c r="AD13" s="70">
        <v>7.8996377785239922</v>
      </c>
      <c r="AE13" s="70">
        <v>4.5343892352922577E-4</v>
      </c>
    </row>
    <row r="14" spans="1:31" ht="15.75" thickBot="1">
      <c r="A14" s="71" t="s">
        <v>17</v>
      </c>
      <c r="B14" s="71">
        <v>302</v>
      </c>
      <c r="C14" s="71">
        <v>811300.87788778904</v>
      </c>
      <c r="D14" s="71"/>
      <c r="E14" s="71"/>
      <c r="F14" s="71"/>
      <c r="V14">
        <v>49</v>
      </c>
      <c r="W14">
        <v>130</v>
      </c>
      <c r="X14">
        <v>266</v>
      </c>
      <c r="Z14" s="70" t="s">
        <v>139</v>
      </c>
      <c r="AA14" s="70">
        <v>300</v>
      </c>
      <c r="AB14" s="70">
        <v>770711.91166291689</v>
      </c>
      <c r="AC14" s="70">
        <v>2569.0397055430562</v>
      </c>
      <c r="AD14" s="70"/>
      <c r="AE14" s="70"/>
    </row>
    <row r="15" spans="1:31" ht="15.75" thickBot="1">
      <c r="V15">
        <v>64</v>
      </c>
      <c r="W15">
        <v>110</v>
      </c>
      <c r="X15">
        <v>211</v>
      </c>
      <c r="Z15" s="71" t="s">
        <v>17</v>
      </c>
      <c r="AA15" s="71">
        <v>302</v>
      </c>
      <c r="AB15" s="71">
        <v>811300.87788778904</v>
      </c>
      <c r="AC15" s="71"/>
      <c r="AD15" s="71"/>
      <c r="AE15" s="71"/>
    </row>
    <row r="16" spans="1:31" ht="15.75" thickBot="1">
      <c r="A16" s="72"/>
      <c r="B16" s="72" t="s">
        <v>142</v>
      </c>
      <c r="C16" s="72" t="s">
        <v>62</v>
      </c>
      <c r="D16" s="72" t="s">
        <v>89</v>
      </c>
      <c r="E16" s="72" t="s">
        <v>113</v>
      </c>
      <c r="F16" s="72" t="s">
        <v>143</v>
      </c>
      <c r="G16" s="72" t="s">
        <v>144</v>
      </c>
      <c r="H16" s="72" t="s">
        <v>145</v>
      </c>
      <c r="I16" s="72" t="s">
        <v>146</v>
      </c>
      <c r="V16">
        <v>58</v>
      </c>
      <c r="W16">
        <v>150</v>
      </c>
      <c r="X16">
        <v>283</v>
      </c>
    </row>
    <row r="17" spans="1:34">
      <c r="A17" s="70" t="s">
        <v>140</v>
      </c>
      <c r="B17" s="70">
        <v>179.96747065912444</v>
      </c>
      <c r="C17" s="70">
        <v>17.711583858760786</v>
      </c>
      <c r="D17" s="70">
        <v>10.161003786801713</v>
      </c>
      <c r="E17" s="70">
        <v>4.7717142062870311E-21</v>
      </c>
      <c r="F17" s="70">
        <v>145.11326045157048</v>
      </c>
      <c r="G17" s="70">
        <v>214.82168086667841</v>
      </c>
      <c r="H17" s="70">
        <v>145.11326045157048</v>
      </c>
      <c r="I17" s="70">
        <v>214.82168086667841</v>
      </c>
      <c r="V17">
        <v>50</v>
      </c>
      <c r="W17">
        <v>120</v>
      </c>
      <c r="X17">
        <v>219</v>
      </c>
      <c r="Z17" s="72"/>
      <c r="AA17" s="72" t="s">
        <v>142</v>
      </c>
      <c r="AB17" s="72" t="s">
        <v>62</v>
      </c>
      <c r="AC17" s="72" t="s">
        <v>89</v>
      </c>
      <c r="AD17" s="72" t="s">
        <v>113</v>
      </c>
      <c r="AE17" s="72" t="s">
        <v>143</v>
      </c>
      <c r="AF17" s="72" t="s">
        <v>144</v>
      </c>
      <c r="AG17" s="72" t="s">
        <v>145</v>
      </c>
      <c r="AH17" s="72" t="s">
        <v>146</v>
      </c>
    </row>
    <row r="18" spans="1:34" ht="15.75" thickBot="1">
      <c r="A18" s="71" t="s">
        <v>0</v>
      </c>
      <c r="B18" s="71">
        <v>1.219441291221107</v>
      </c>
      <c r="C18" s="71">
        <v>0.32134376983455715</v>
      </c>
      <c r="D18" s="71">
        <v>3.7948185267414165</v>
      </c>
      <c r="E18" s="71">
        <v>1.7862864341449314E-4</v>
      </c>
      <c r="F18" s="71">
        <v>0.58707642808880856</v>
      </c>
      <c r="G18" s="71">
        <v>1.8518061543534055</v>
      </c>
      <c r="H18" s="71">
        <v>0.58707642808880856</v>
      </c>
      <c r="I18" s="71">
        <v>1.8518061543534055</v>
      </c>
      <c r="V18">
        <v>58</v>
      </c>
      <c r="W18">
        <v>120</v>
      </c>
      <c r="X18">
        <v>340</v>
      </c>
      <c r="Z18" s="70" t="s">
        <v>140</v>
      </c>
      <c r="AA18" s="70">
        <v>159.15098485684513</v>
      </c>
      <c r="AB18" s="70">
        <v>25.044189863774001</v>
      </c>
      <c r="AC18" s="70">
        <v>6.3548066726268653</v>
      </c>
      <c r="AD18" s="70">
        <v>7.7392992170120973E-10</v>
      </c>
      <c r="AE18" s="70">
        <v>109.86644820932989</v>
      </c>
      <c r="AF18" s="70">
        <v>208.43552150436037</v>
      </c>
      <c r="AG18" s="70">
        <v>109.86644820932989</v>
      </c>
      <c r="AH18" s="70">
        <v>208.43552150436037</v>
      </c>
    </row>
    <row r="19" spans="1:34">
      <c r="V19">
        <v>66</v>
      </c>
      <c r="W19">
        <v>150</v>
      </c>
      <c r="X19">
        <v>226</v>
      </c>
      <c r="Z19" s="70" t="s">
        <v>0</v>
      </c>
      <c r="AA19" s="70">
        <v>1.1096682507421183</v>
      </c>
      <c r="AB19" s="70">
        <v>0.33445588882585708</v>
      </c>
      <c r="AC19" s="70">
        <v>3.3178314026334728</v>
      </c>
      <c r="AD19" s="70">
        <v>1.0188989834501671E-3</v>
      </c>
      <c r="AE19" s="70">
        <v>0.45149149998771088</v>
      </c>
      <c r="AF19" s="70">
        <v>1.7678450014965257</v>
      </c>
      <c r="AG19" s="70">
        <v>0.45149149998771088</v>
      </c>
      <c r="AH19" s="70">
        <v>1.7678450014965257</v>
      </c>
    </row>
    <row r="20" spans="1:34" ht="15.75" thickBot="1">
      <c r="V20">
        <v>43</v>
      </c>
      <c r="W20">
        <v>150</v>
      </c>
      <c r="X20">
        <v>247</v>
      </c>
      <c r="Z20" s="71" t="s">
        <v>3</v>
      </c>
      <c r="AA20" s="71">
        <v>0.20349246511962821</v>
      </c>
      <c r="AB20" s="71">
        <v>0.17319748112789274</v>
      </c>
      <c r="AC20" s="71">
        <v>1.174915846318602</v>
      </c>
      <c r="AD20" s="71">
        <v>0.24096008346165809</v>
      </c>
      <c r="AE20" s="71">
        <v>-0.13734337953478715</v>
      </c>
      <c r="AF20" s="71">
        <v>0.54432830977404356</v>
      </c>
      <c r="AG20" s="71">
        <v>-0.13734337953478715</v>
      </c>
      <c r="AH20" s="71">
        <v>0.54432830977404356</v>
      </c>
    </row>
    <row r="21" spans="1:34">
      <c r="V21">
        <v>69</v>
      </c>
      <c r="W21">
        <v>140</v>
      </c>
      <c r="X21">
        <v>239</v>
      </c>
    </row>
    <row r="22" spans="1:34">
      <c r="A22" t="s">
        <v>147</v>
      </c>
      <c r="F22" t="s">
        <v>152</v>
      </c>
      <c r="V22">
        <v>59</v>
      </c>
      <c r="W22">
        <v>135</v>
      </c>
      <c r="X22">
        <v>234</v>
      </c>
    </row>
    <row r="23" spans="1:34" ht="15.75" thickBot="1">
      <c r="V23">
        <v>44</v>
      </c>
      <c r="W23">
        <v>130</v>
      </c>
      <c r="X23">
        <v>233</v>
      </c>
    </row>
    <row r="24" spans="1:34">
      <c r="A24" s="72" t="s">
        <v>148</v>
      </c>
      <c r="B24" s="72" t="s">
        <v>149</v>
      </c>
      <c r="C24" s="72" t="s">
        <v>150</v>
      </c>
      <c r="D24" s="72" t="s">
        <v>151</v>
      </c>
      <c r="F24" s="72" t="s">
        <v>153</v>
      </c>
      <c r="G24" s="72" t="s">
        <v>4</v>
      </c>
      <c r="V24">
        <v>42</v>
      </c>
      <c r="W24">
        <v>140</v>
      </c>
      <c r="X24">
        <v>226</v>
      </c>
      <c r="Z24" t="s">
        <v>147</v>
      </c>
      <c r="AE24" t="s">
        <v>152</v>
      </c>
    </row>
    <row r="25" spans="1:34" ht="15.75" thickBot="1">
      <c r="A25" s="70">
        <v>1</v>
      </c>
      <c r="B25" s="70">
        <v>256.79227200605419</v>
      </c>
      <c r="C25" s="70">
        <v>-23.792272006054191</v>
      </c>
      <c r="D25" s="70">
        <v>-0.46989027564017605</v>
      </c>
      <c r="F25" s="70">
        <v>0.16501650165016502</v>
      </c>
      <c r="G25" s="70">
        <v>126</v>
      </c>
      <c r="V25">
        <v>61</v>
      </c>
      <c r="W25">
        <v>150</v>
      </c>
      <c r="X25">
        <v>243</v>
      </c>
    </row>
    <row r="26" spans="1:34">
      <c r="A26" s="70">
        <v>2</v>
      </c>
      <c r="B26" s="70">
        <v>225.08679843430539</v>
      </c>
      <c r="C26" s="70">
        <v>24.913201565694607</v>
      </c>
      <c r="D26" s="70">
        <v>0.49202830010537335</v>
      </c>
      <c r="F26" s="70">
        <v>0.49504950495049505</v>
      </c>
      <c r="G26" s="70">
        <v>131</v>
      </c>
      <c r="V26">
        <v>40</v>
      </c>
      <c r="W26">
        <v>140</v>
      </c>
      <c r="X26">
        <v>199</v>
      </c>
      <c r="Z26" s="72" t="s">
        <v>148</v>
      </c>
      <c r="AA26" s="72" t="s">
        <v>149</v>
      </c>
      <c r="AB26" s="72" t="s">
        <v>150</v>
      </c>
      <c r="AC26" s="72" t="s">
        <v>151</v>
      </c>
      <c r="AE26" s="72" t="s">
        <v>153</v>
      </c>
      <c r="AF26" s="72" t="s">
        <v>4</v>
      </c>
    </row>
    <row r="27" spans="1:34">
      <c r="A27" s="70">
        <v>3</v>
      </c>
      <c r="B27" s="70">
        <v>229.96456359918983</v>
      </c>
      <c r="C27" s="70">
        <v>-25.96456359918983</v>
      </c>
      <c r="D27" s="70">
        <v>-0.51279238667898752</v>
      </c>
      <c r="F27" s="70">
        <v>0.82508250825082508</v>
      </c>
      <c r="G27" s="70">
        <v>141</v>
      </c>
      <c r="V27">
        <v>71</v>
      </c>
      <c r="W27">
        <v>160</v>
      </c>
      <c r="X27">
        <v>302</v>
      </c>
      <c r="Z27" s="70">
        <v>1</v>
      </c>
      <c r="AA27" s="70">
        <v>258.56649209594468</v>
      </c>
      <c r="AB27" s="70">
        <v>-25.566492095944682</v>
      </c>
      <c r="AC27" s="70">
        <v>-0.50609095983290808</v>
      </c>
      <c r="AE27" s="70">
        <v>0.16501650165016502</v>
      </c>
      <c r="AF27" s="70">
        <v>126</v>
      </c>
    </row>
    <row r="28" spans="1:34">
      <c r="A28" s="70">
        <v>4</v>
      </c>
      <c r="B28" s="70">
        <v>248.25618296750645</v>
      </c>
      <c r="C28" s="70">
        <v>-12.256182967506447</v>
      </c>
      <c r="D28" s="70">
        <v>-0.2420559579779763</v>
      </c>
      <c r="F28" s="70">
        <v>1.1551155115511551</v>
      </c>
      <c r="G28" s="70">
        <v>149</v>
      </c>
      <c r="V28">
        <v>59</v>
      </c>
      <c r="W28">
        <v>150</v>
      </c>
      <c r="X28">
        <v>212</v>
      </c>
      <c r="Z28" s="70">
        <v>2</v>
      </c>
      <c r="AA28" s="70">
        <v>226.66273059985517</v>
      </c>
      <c r="AB28" s="70">
        <v>23.337269400144834</v>
      </c>
      <c r="AC28" s="70">
        <v>0.46196330049017015</v>
      </c>
      <c r="AE28" s="70">
        <v>0.49504950495049505</v>
      </c>
      <c r="AF28" s="70">
        <v>131</v>
      </c>
    </row>
    <row r="29" spans="1:34">
      <c r="A29" s="70">
        <v>5</v>
      </c>
      <c r="B29" s="70">
        <v>249.47562425872755</v>
      </c>
      <c r="C29" s="70">
        <v>104.52437574127245</v>
      </c>
      <c r="D29" s="70">
        <v>2.0643252445872351</v>
      </c>
      <c r="F29" s="70">
        <v>1.4851485148514851</v>
      </c>
      <c r="G29" s="70">
        <v>149</v>
      </c>
      <c r="V29">
        <v>51</v>
      </c>
      <c r="W29">
        <v>110</v>
      </c>
      <c r="X29">
        <v>175</v>
      </c>
      <c r="Z29" s="70">
        <v>3</v>
      </c>
      <c r="AA29" s="70">
        <v>231.10140360282367</v>
      </c>
      <c r="AB29" s="70">
        <v>-27.101403602823666</v>
      </c>
      <c r="AC29" s="70">
        <v>-0.53647466812029476</v>
      </c>
      <c r="AE29" s="70">
        <v>0.82508250825082508</v>
      </c>
      <c r="AF29" s="70">
        <v>141</v>
      </c>
    </row>
    <row r="30" spans="1:34">
      <c r="A30" s="70">
        <v>6</v>
      </c>
      <c r="B30" s="70">
        <v>249.47562425872755</v>
      </c>
      <c r="C30" s="70">
        <v>-57.475624258727549</v>
      </c>
      <c r="D30" s="70">
        <v>-1.1351264359558602</v>
      </c>
      <c r="F30" s="70">
        <v>1.8151815181518152</v>
      </c>
      <c r="G30" s="70">
        <v>157</v>
      </c>
      <c r="V30">
        <v>65</v>
      </c>
      <c r="W30">
        <v>140</v>
      </c>
      <c r="X30">
        <v>417</v>
      </c>
      <c r="Z30" s="70">
        <v>4</v>
      </c>
      <c r="AA30" s="70">
        <v>245.71150271275914</v>
      </c>
      <c r="AB30" s="70">
        <v>-9.7115027127591418</v>
      </c>
      <c r="AC30" s="70">
        <v>-0.19224005040956554</v>
      </c>
      <c r="AE30" s="70">
        <v>1.1551155115511551</v>
      </c>
      <c r="AF30" s="70">
        <v>149</v>
      </c>
    </row>
    <row r="31" spans="1:34">
      <c r="A31" s="70">
        <v>7</v>
      </c>
      <c r="B31" s="70">
        <v>248.25618296750645</v>
      </c>
      <c r="C31" s="70">
        <v>45.743817032493553</v>
      </c>
      <c r="D31" s="70">
        <v>0.90342674246337873</v>
      </c>
      <c r="F31" s="70">
        <v>2.1452145214521452</v>
      </c>
      <c r="G31" s="70">
        <v>160</v>
      </c>
      <c r="V31">
        <v>53</v>
      </c>
      <c r="W31">
        <v>130</v>
      </c>
      <c r="X31">
        <v>197</v>
      </c>
      <c r="Z31" s="70">
        <v>5</v>
      </c>
      <c r="AA31" s="70">
        <v>246.82117096350126</v>
      </c>
      <c r="AB31" s="70">
        <v>107.17882903649874</v>
      </c>
      <c r="AC31" s="70">
        <v>2.1216143480807297</v>
      </c>
      <c r="AE31" s="70">
        <v>1.4851485148514851</v>
      </c>
      <c r="AF31" s="70">
        <v>149</v>
      </c>
    </row>
    <row r="32" spans="1:34">
      <c r="A32" s="70">
        <v>8</v>
      </c>
      <c r="B32" s="70">
        <v>233.62288747285317</v>
      </c>
      <c r="C32" s="70">
        <v>29.377112527146835</v>
      </c>
      <c r="D32" s="70">
        <v>0.58018921015113301</v>
      </c>
      <c r="F32" s="70">
        <v>2.4752475247524752</v>
      </c>
      <c r="G32" s="70">
        <v>164</v>
      </c>
      <c r="V32">
        <v>41</v>
      </c>
      <c r="W32">
        <v>105</v>
      </c>
      <c r="X32">
        <v>198</v>
      </c>
      <c r="Z32" s="70">
        <v>6</v>
      </c>
      <c r="AA32" s="70">
        <v>250.89102026589381</v>
      </c>
      <c r="AB32" s="70">
        <v>-58.891020265893815</v>
      </c>
      <c r="AC32" s="70">
        <v>-1.1657529261369783</v>
      </c>
      <c r="AE32" s="70">
        <v>1.8151815181518152</v>
      </c>
      <c r="AF32" s="70">
        <v>157</v>
      </c>
    </row>
    <row r="33" spans="1:32">
      <c r="A33" s="70">
        <v>9</v>
      </c>
      <c r="B33" s="70">
        <v>243.37841780262201</v>
      </c>
      <c r="C33" s="70">
        <v>-44.37841780262201</v>
      </c>
      <c r="D33" s="70">
        <v>-0.87646051492865806</v>
      </c>
      <c r="F33" s="70">
        <v>2.8052805280528053</v>
      </c>
      <c r="G33" s="70">
        <v>166</v>
      </c>
      <c r="V33">
        <v>65</v>
      </c>
      <c r="W33">
        <v>120</v>
      </c>
      <c r="X33">
        <v>177</v>
      </c>
      <c r="Z33" s="70">
        <v>7</v>
      </c>
      <c r="AA33" s="70">
        <v>249.7813520151517</v>
      </c>
      <c r="AB33" s="70">
        <v>44.218647984848303</v>
      </c>
      <c r="AC33" s="70">
        <v>0.87531202627188076</v>
      </c>
      <c r="AE33" s="70">
        <v>2.1452145214521452</v>
      </c>
      <c r="AF33" s="70">
        <v>160</v>
      </c>
    </row>
    <row r="34" spans="1:32">
      <c r="A34" s="70">
        <v>10</v>
      </c>
      <c r="B34" s="70">
        <v>249.47562425872755</v>
      </c>
      <c r="C34" s="70">
        <v>-81.475624258727549</v>
      </c>
      <c r="D34" s="70">
        <v>-1.6091192775178003</v>
      </c>
      <c r="F34" s="70">
        <v>3.1353135313531353</v>
      </c>
      <c r="G34" s="70">
        <v>167</v>
      </c>
      <c r="V34">
        <v>44</v>
      </c>
      <c r="W34">
        <v>130</v>
      </c>
      <c r="X34">
        <v>219</v>
      </c>
      <c r="Z34" s="70">
        <v>8</v>
      </c>
      <c r="AA34" s="70">
        <v>232.39548370385373</v>
      </c>
      <c r="AB34" s="70">
        <v>30.604516296146272</v>
      </c>
      <c r="AC34" s="70">
        <v>0.60581909201361783</v>
      </c>
      <c r="AE34" s="70">
        <v>2.4752475247524752</v>
      </c>
      <c r="AF34" s="70">
        <v>164</v>
      </c>
    </row>
    <row r="35" spans="1:32">
      <c r="A35" s="70">
        <v>11</v>
      </c>
      <c r="B35" s="70">
        <v>245.81730038506424</v>
      </c>
      <c r="C35" s="70">
        <v>-6.8173003850642431</v>
      </c>
      <c r="D35" s="70">
        <v>-0.1346396492207462</v>
      </c>
      <c r="F35" s="70">
        <v>3.4653465346534653</v>
      </c>
      <c r="G35" s="70">
        <v>168</v>
      </c>
      <c r="V35">
        <v>54</v>
      </c>
      <c r="W35">
        <v>125</v>
      </c>
      <c r="X35">
        <v>273</v>
      </c>
      <c r="Z35" s="70">
        <v>9</v>
      </c>
      <c r="AA35" s="70">
        <v>251.85443789601135</v>
      </c>
      <c r="AB35" s="70">
        <v>-52.854437896011348</v>
      </c>
      <c r="AC35" s="70">
        <v>-1.0462582471556245</v>
      </c>
      <c r="AE35" s="70">
        <v>2.8052805280528053</v>
      </c>
      <c r="AF35" s="70">
        <v>166</v>
      </c>
    </row>
    <row r="36" spans="1:32">
      <c r="A36" s="70">
        <v>12</v>
      </c>
      <c r="B36" s="70">
        <v>238.50065263773757</v>
      </c>
      <c r="C36" s="70">
        <v>36.499347362262426</v>
      </c>
      <c r="D36" s="70">
        <v>0.72085122380812783</v>
      </c>
      <c r="F36" s="70">
        <v>3.7953795379537953</v>
      </c>
      <c r="G36" s="70">
        <v>169</v>
      </c>
      <c r="V36">
        <v>51</v>
      </c>
      <c r="W36">
        <v>125</v>
      </c>
      <c r="X36">
        <v>213</v>
      </c>
      <c r="Z36" s="70">
        <v>10</v>
      </c>
      <c r="AA36" s="70">
        <v>252.92594491709011</v>
      </c>
      <c r="AB36" s="70">
        <v>-84.925944917090106</v>
      </c>
      <c r="AC36" s="70">
        <v>-1.681116549603779</v>
      </c>
      <c r="AE36" s="70">
        <v>3.1353135313531353</v>
      </c>
      <c r="AF36" s="70">
        <v>167</v>
      </c>
    </row>
    <row r="37" spans="1:32">
      <c r="A37" s="70">
        <v>13</v>
      </c>
      <c r="B37" s="70">
        <v>239.7200939289587</v>
      </c>
      <c r="C37" s="70">
        <v>26.279906071041296</v>
      </c>
      <c r="D37" s="70">
        <v>0.51902030644140595</v>
      </c>
      <c r="F37" s="70">
        <v>4.1254125412541249</v>
      </c>
      <c r="G37" s="70">
        <v>172</v>
      </c>
      <c r="V37">
        <v>46</v>
      </c>
      <c r="W37">
        <v>142</v>
      </c>
      <c r="X37">
        <v>177</v>
      </c>
      <c r="Z37" s="70">
        <v>11</v>
      </c>
      <c r="AA37" s="70">
        <v>247.56201551366746</v>
      </c>
      <c r="AB37" s="70">
        <v>-8.5620155136674612</v>
      </c>
      <c r="AC37" s="70">
        <v>-0.16948585019622359</v>
      </c>
      <c r="AE37" s="70">
        <v>3.4653465346534653</v>
      </c>
      <c r="AF37" s="70">
        <v>168</v>
      </c>
    </row>
    <row r="38" spans="1:32">
      <c r="A38" s="70">
        <v>14</v>
      </c>
      <c r="B38" s="70">
        <v>258.01171329727526</v>
      </c>
      <c r="C38" s="70">
        <v>-47.011713297275264</v>
      </c>
      <c r="D38" s="70">
        <v>-0.92846731551961426</v>
      </c>
      <c r="F38" s="70">
        <v>4.4554455445544559</v>
      </c>
      <c r="G38" s="70">
        <v>174</v>
      </c>
      <c r="V38">
        <v>54</v>
      </c>
      <c r="W38">
        <v>135</v>
      </c>
      <c r="X38">
        <v>304</v>
      </c>
      <c r="Z38" s="70">
        <v>12</v>
      </c>
      <c r="AA38" s="70">
        <v>238.86908135801849</v>
      </c>
      <c r="AB38" s="70">
        <v>36.130918641981509</v>
      </c>
      <c r="AC38" s="70">
        <v>0.71521471254421942</v>
      </c>
      <c r="AE38" s="70">
        <v>3.7953795379537953</v>
      </c>
      <c r="AF38" s="70">
        <v>169</v>
      </c>
    </row>
    <row r="39" spans="1:32">
      <c r="A39" s="70">
        <v>15</v>
      </c>
      <c r="B39" s="70">
        <v>250.69506554994865</v>
      </c>
      <c r="C39" s="70">
        <v>32.304934450051348</v>
      </c>
      <c r="D39" s="70">
        <v>0.63801281985216862</v>
      </c>
      <c r="F39" s="70">
        <v>4.785478547854785</v>
      </c>
      <c r="G39" s="70">
        <v>175</v>
      </c>
      <c r="V39">
        <v>54</v>
      </c>
      <c r="W39">
        <v>150</v>
      </c>
      <c r="X39">
        <v>232</v>
      </c>
      <c r="Z39" s="70">
        <v>13</v>
      </c>
      <c r="AA39" s="70">
        <v>239.97874960876061</v>
      </c>
      <c r="AB39" s="70">
        <v>26.021250391239391</v>
      </c>
      <c r="AC39" s="70">
        <v>0.51509294028818464</v>
      </c>
      <c r="AE39" s="70">
        <v>4.1254125412541249</v>
      </c>
      <c r="AF39" s="70">
        <v>172</v>
      </c>
    </row>
    <row r="40" spans="1:32">
      <c r="A40" s="70">
        <v>16</v>
      </c>
      <c r="B40" s="70">
        <v>240.93953522017978</v>
      </c>
      <c r="C40" s="70">
        <v>-21.939535220179778</v>
      </c>
      <c r="D40" s="70">
        <v>-0.43329927673171986</v>
      </c>
      <c r="F40" s="70">
        <v>5.1155115511551159</v>
      </c>
      <c r="G40" s="70">
        <v>175</v>
      </c>
      <c r="V40">
        <v>65</v>
      </c>
      <c r="W40">
        <v>155</v>
      </c>
      <c r="X40">
        <v>269</v>
      </c>
      <c r="Z40" s="70">
        <v>14</v>
      </c>
      <c r="AA40" s="70">
        <v>252.55392406749979</v>
      </c>
      <c r="AB40" s="70">
        <v>-41.553924067499793</v>
      </c>
      <c r="AC40" s="70">
        <v>-0.82256358194249524</v>
      </c>
      <c r="AE40" s="70">
        <v>4.4554455445544559</v>
      </c>
      <c r="AF40" s="70">
        <v>174</v>
      </c>
    </row>
    <row r="41" spans="1:32">
      <c r="A41" s="70">
        <v>17</v>
      </c>
      <c r="B41" s="70">
        <v>250.69506554994865</v>
      </c>
      <c r="C41" s="70">
        <v>89.304934450051348</v>
      </c>
      <c r="D41" s="70">
        <v>1.7637458185617763</v>
      </c>
      <c r="F41" s="70">
        <v>5.4455445544554451</v>
      </c>
      <c r="G41" s="70">
        <v>175</v>
      </c>
      <c r="V41">
        <v>65</v>
      </c>
      <c r="W41">
        <v>160</v>
      </c>
      <c r="X41">
        <v>360</v>
      </c>
      <c r="Z41" s="70">
        <v>15</v>
      </c>
      <c r="AA41" s="70">
        <v>254.03561316783222</v>
      </c>
      <c r="AB41" s="70">
        <v>28.964386832167776</v>
      </c>
      <c r="AC41" s="70">
        <v>0.5733525850106187</v>
      </c>
      <c r="AE41" s="70">
        <v>4.785478547854785</v>
      </c>
      <c r="AF41" s="70">
        <v>175</v>
      </c>
    </row>
    <row r="42" spans="1:32">
      <c r="A42" s="70">
        <v>18</v>
      </c>
      <c r="B42" s="70">
        <v>260.45059587971753</v>
      </c>
      <c r="C42" s="70">
        <v>-34.450595879717525</v>
      </c>
      <c r="D42" s="70">
        <v>-0.68038899310539058</v>
      </c>
      <c r="F42" s="70">
        <v>5.775577557755776</v>
      </c>
      <c r="G42" s="70">
        <v>176</v>
      </c>
      <c r="V42">
        <v>51</v>
      </c>
      <c r="W42">
        <v>140</v>
      </c>
      <c r="X42">
        <v>308</v>
      </c>
      <c r="Z42" s="70">
        <v>16</v>
      </c>
      <c r="AA42" s="70">
        <v>239.05349320830643</v>
      </c>
      <c r="AB42" s="70">
        <v>-20.053493208306435</v>
      </c>
      <c r="AC42" s="70">
        <v>-0.39696066193626572</v>
      </c>
      <c r="AE42" s="70">
        <v>5.1155115511551159</v>
      </c>
      <c r="AF42" s="70">
        <v>175</v>
      </c>
    </row>
    <row r="43" spans="1:32">
      <c r="A43" s="70">
        <v>19</v>
      </c>
      <c r="B43" s="70">
        <v>232.40344618163203</v>
      </c>
      <c r="C43" s="70">
        <v>14.596553818367966</v>
      </c>
      <c r="D43" s="70">
        <v>0.28827758422416738</v>
      </c>
      <c r="F43" s="70">
        <v>6.1056105610561051</v>
      </c>
      <c r="G43" s="70">
        <v>177</v>
      </c>
      <c r="V43">
        <v>48</v>
      </c>
      <c r="W43">
        <v>130</v>
      </c>
      <c r="X43">
        <v>245</v>
      </c>
      <c r="Z43" s="70">
        <v>17</v>
      </c>
      <c r="AA43" s="70">
        <v>247.93083921424338</v>
      </c>
      <c r="AB43" s="70">
        <v>92.069160785756623</v>
      </c>
      <c r="AC43" s="70">
        <v>1.8225171360315322</v>
      </c>
      <c r="AE43" s="70">
        <v>5.4455445544554451</v>
      </c>
      <c r="AF43" s="70">
        <v>175</v>
      </c>
    </row>
    <row r="44" spans="1:32">
      <c r="A44" s="70">
        <v>20</v>
      </c>
      <c r="B44" s="70">
        <v>264.10891975338086</v>
      </c>
      <c r="C44" s="70">
        <v>-25.10891975338086</v>
      </c>
      <c r="D44" s="70">
        <v>-0.49589367593565503</v>
      </c>
      <c r="F44" s="70">
        <v>6.435643564356436</v>
      </c>
      <c r="G44" s="70">
        <v>177</v>
      </c>
      <c r="V44">
        <v>45</v>
      </c>
      <c r="W44">
        <v>104</v>
      </c>
      <c r="X44">
        <v>208</v>
      </c>
      <c r="Z44" s="70">
        <v>18</v>
      </c>
      <c r="AA44" s="70">
        <v>262.91295917376914</v>
      </c>
      <c r="AB44" s="70">
        <v>-36.912959173769138</v>
      </c>
      <c r="AC44" s="70">
        <v>-0.73069527365817133</v>
      </c>
      <c r="AE44" s="70">
        <v>5.775577557755776</v>
      </c>
      <c r="AF44" s="70">
        <v>176</v>
      </c>
    </row>
    <row r="45" spans="1:32">
      <c r="A45" s="70">
        <v>21</v>
      </c>
      <c r="B45" s="70">
        <v>251.91450684116975</v>
      </c>
      <c r="C45" s="70">
        <v>-17.914506841169754</v>
      </c>
      <c r="D45" s="70">
        <v>-0.35380616678445276</v>
      </c>
      <c r="F45" s="70">
        <v>6.7656765676567652</v>
      </c>
      <c r="G45" s="70">
        <v>177</v>
      </c>
      <c r="V45">
        <v>53</v>
      </c>
      <c r="W45">
        <v>130</v>
      </c>
      <c r="X45">
        <v>264</v>
      </c>
      <c r="Z45" s="70">
        <v>19</v>
      </c>
      <c r="AA45" s="70">
        <v>237.39058940670046</v>
      </c>
      <c r="AB45" s="70">
        <v>9.6094105932995433</v>
      </c>
      <c r="AC45" s="70">
        <v>0.19021912792497955</v>
      </c>
      <c r="AE45" s="70">
        <v>6.1056105610561051</v>
      </c>
      <c r="AF45" s="70">
        <v>177</v>
      </c>
    </row>
    <row r="46" spans="1:32">
      <c r="A46" s="70">
        <v>22</v>
      </c>
      <c r="B46" s="70">
        <v>233.62288747285317</v>
      </c>
      <c r="C46" s="70">
        <v>-0.62288747285316504</v>
      </c>
      <c r="D46" s="70">
        <v>-1.2301841801291978E-2</v>
      </c>
      <c r="F46" s="70">
        <v>7.0957095709570961</v>
      </c>
      <c r="G46" s="70">
        <v>177</v>
      </c>
      <c r="V46">
        <v>39</v>
      </c>
      <c r="W46">
        <v>140</v>
      </c>
      <c r="X46">
        <v>321</v>
      </c>
      <c r="Z46" s="70">
        <v>20</v>
      </c>
      <c r="AA46" s="70">
        <v>264.20703927479923</v>
      </c>
      <c r="AB46" s="70">
        <v>-25.207039274799229</v>
      </c>
      <c r="AC46" s="70">
        <v>-0.4989755596213552</v>
      </c>
      <c r="AE46" s="70">
        <v>6.435643564356436</v>
      </c>
      <c r="AF46" s="70">
        <v>177</v>
      </c>
    </row>
    <row r="47" spans="1:32">
      <c r="A47" s="70">
        <v>23</v>
      </c>
      <c r="B47" s="70">
        <v>231.18400489041093</v>
      </c>
      <c r="C47" s="70">
        <v>-5.1840048904109324</v>
      </c>
      <c r="D47" s="70">
        <v>-0.1023825503615363</v>
      </c>
      <c r="F47" s="70">
        <v>7.4257425742574252</v>
      </c>
      <c r="G47" s="70">
        <v>178</v>
      </c>
      <c r="V47">
        <v>52</v>
      </c>
      <c r="W47">
        <v>120</v>
      </c>
      <c r="X47">
        <v>325</v>
      </c>
      <c r="Z47" s="70">
        <v>21</v>
      </c>
      <c r="AA47" s="70">
        <v>252.09289444177992</v>
      </c>
      <c r="AB47" s="70">
        <v>-18.092894441779919</v>
      </c>
      <c r="AC47" s="70">
        <v>-0.35815043690128689</v>
      </c>
      <c r="AE47" s="70">
        <v>6.7656765676567652</v>
      </c>
      <c r="AF47" s="70">
        <v>177</v>
      </c>
    </row>
    <row r="48" spans="1:32">
      <c r="A48" s="70">
        <v>24</v>
      </c>
      <c r="B48" s="70">
        <v>254.35338942361199</v>
      </c>
      <c r="C48" s="70">
        <v>-11.353389423611986</v>
      </c>
      <c r="D48" s="70">
        <v>-0.22422605476071342</v>
      </c>
      <c r="F48" s="70">
        <v>7.7557755775577562</v>
      </c>
      <c r="G48" s="70">
        <v>180</v>
      </c>
      <c r="V48">
        <v>44</v>
      </c>
      <c r="W48">
        <v>140</v>
      </c>
      <c r="X48">
        <v>235</v>
      </c>
      <c r="Z48" s="70">
        <v>22</v>
      </c>
      <c r="AA48" s="70">
        <v>234.43040835505002</v>
      </c>
      <c r="AB48" s="70">
        <v>-1.4304083550500195</v>
      </c>
      <c r="AC48" s="70">
        <v>-2.831505920497799E-2</v>
      </c>
      <c r="AE48" s="70">
        <v>7.0957095709570961</v>
      </c>
      <c r="AF48" s="70">
        <v>177</v>
      </c>
    </row>
    <row r="49" spans="1:32">
      <c r="A49" s="70">
        <v>25</v>
      </c>
      <c r="B49" s="70">
        <v>228.74512230796873</v>
      </c>
      <c r="C49" s="70">
        <v>-29.745122307968728</v>
      </c>
      <c r="D49" s="70">
        <v>-0.58745729355673126</v>
      </c>
      <c r="F49" s="70">
        <v>8.0858085808580853</v>
      </c>
      <c r="G49" s="70">
        <v>182</v>
      </c>
      <c r="V49">
        <v>47</v>
      </c>
      <c r="W49">
        <v>138</v>
      </c>
      <c r="X49">
        <v>257</v>
      </c>
      <c r="Z49" s="70">
        <v>23</v>
      </c>
      <c r="AA49" s="70">
        <v>234.24599650476205</v>
      </c>
      <c r="AB49" s="70">
        <v>-8.2459965047620472</v>
      </c>
      <c r="AC49" s="70">
        <v>-0.16323022611834104</v>
      </c>
      <c r="AE49" s="70">
        <v>7.4257425742574252</v>
      </c>
      <c r="AF49" s="70">
        <v>178</v>
      </c>
    </row>
    <row r="50" spans="1:32">
      <c r="A50" s="70">
        <v>26</v>
      </c>
      <c r="B50" s="70">
        <v>266.54780233582301</v>
      </c>
      <c r="C50" s="70">
        <v>35.452197664176992</v>
      </c>
      <c r="D50" s="70">
        <v>0.70017032960245107</v>
      </c>
      <c r="F50" s="70">
        <v>8.4158415841584144</v>
      </c>
      <c r="G50" s="70">
        <v>183</v>
      </c>
      <c r="V50">
        <v>53</v>
      </c>
      <c r="W50">
        <v>128</v>
      </c>
      <c r="X50">
        <v>216</v>
      </c>
      <c r="Z50" s="70">
        <v>24</v>
      </c>
      <c r="AA50" s="70">
        <v>257.36461792005855</v>
      </c>
      <c r="AB50" s="70">
        <v>-14.364617920058549</v>
      </c>
      <c r="AC50" s="70">
        <v>-0.28434887521970792</v>
      </c>
      <c r="AE50" s="70">
        <v>7.7557755775577562</v>
      </c>
      <c r="AF50" s="70">
        <v>180</v>
      </c>
    </row>
    <row r="51" spans="1:32">
      <c r="A51" s="70">
        <v>27</v>
      </c>
      <c r="B51" s="70">
        <v>251.91450684116975</v>
      </c>
      <c r="C51" s="70">
        <v>-39.914506841169754</v>
      </c>
      <c r="D51" s="70">
        <v>-0.78829960488289774</v>
      </c>
      <c r="F51" s="70">
        <v>8.7458745874587454</v>
      </c>
      <c r="G51" s="70">
        <v>184</v>
      </c>
      <c r="V51">
        <v>53</v>
      </c>
      <c r="W51">
        <v>138</v>
      </c>
      <c r="X51">
        <v>234</v>
      </c>
      <c r="Z51" s="70">
        <v>25</v>
      </c>
      <c r="AA51" s="70">
        <v>232.02666000327778</v>
      </c>
      <c r="AB51" s="70">
        <v>-33.026660003277783</v>
      </c>
      <c r="AC51" s="70">
        <v>-0.65376563974473434</v>
      </c>
      <c r="AE51" s="70">
        <v>8.0858085808580853</v>
      </c>
      <c r="AF51" s="70">
        <v>182</v>
      </c>
    </row>
    <row r="52" spans="1:32">
      <c r="A52" s="70">
        <v>28</v>
      </c>
      <c r="B52" s="70">
        <v>242.15897651140091</v>
      </c>
      <c r="C52" s="70">
        <v>-67.158976511400908</v>
      </c>
      <c r="D52" s="70">
        <v>-1.3263697547096043</v>
      </c>
      <c r="F52" s="70">
        <v>9.0759075907590763</v>
      </c>
      <c r="G52" s="70">
        <v>185</v>
      </c>
      <c r="V52">
        <v>51</v>
      </c>
      <c r="W52">
        <v>130</v>
      </c>
      <c r="X52">
        <v>256</v>
      </c>
      <c r="Z52" s="70">
        <v>26</v>
      </c>
      <c r="AA52" s="70">
        <v>270.49622507867605</v>
      </c>
      <c r="AB52" s="70">
        <v>31.503774921323952</v>
      </c>
      <c r="AC52" s="70">
        <v>0.62361999559656889</v>
      </c>
      <c r="AE52" s="70">
        <v>8.4158415841584144</v>
      </c>
      <c r="AF52" s="70">
        <v>183</v>
      </c>
    </row>
    <row r="53" spans="1:32">
      <c r="A53" s="70">
        <v>29</v>
      </c>
      <c r="B53" s="70">
        <v>259.23115458849639</v>
      </c>
      <c r="C53" s="70">
        <v>157.76884541150361</v>
      </c>
      <c r="D53" s="70">
        <v>3.1158876394393764</v>
      </c>
      <c r="F53" s="70">
        <v>9.4059405940594054</v>
      </c>
      <c r="G53" s="70">
        <v>186</v>
      </c>
      <c r="V53">
        <v>66</v>
      </c>
      <c r="W53">
        <v>120</v>
      </c>
      <c r="X53">
        <v>302</v>
      </c>
      <c r="Z53" s="70">
        <v>27</v>
      </c>
      <c r="AA53" s="70">
        <v>255.14528141857434</v>
      </c>
      <c r="AB53" s="70">
        <v>-43.145281418574342</v>
      </c>
      <c r="AC53" s="70">
        <v>-0.85406464068063237</v>
      </c>
      <c r="AE53" s="70">
        <v>8.7458745874587454</v>
      </c>
      <c r="AF53" s="70">
        <v>184</v>
      </c>
    </row>
    <row r="54" spans="1:32">
      <c r="A54" s="70">
        <v>30</v>
      </c>
      <c r="B54" s="70">
        <v>244.59785909384311</v>
      </c>
      <c r="C54" s="70">
        <v>-47.597859093843113</v>
      </c>
      <c r="D54" s="70">
        <v>-0.94004352017314685</v>
      </c>
      <c r="F54" s="70">
        <v>9.7359735973597346</v>
      </c>
      <c r="G54" s="70">
        <v>187</v>
      </c>
      <c r="V54">
        <v>62</v>
      </c>
      <c r="W54">
        <v>130</v>
      </c>
      <c r="X54">
        <v>231</v>
      </c>
      <c r="Z54" s="70">
        <v>28</v>
      </c>
      <c r="AA54" s="70">
        <v>238.12823680785226</v>
      </c>
      <c r="AB54" s="70">
        <v>-63.128236807852261</v>
      </c>
      <c r="AC54" s="70">
        <v>-1.2496290002848185</v>
      </c>
      <c r="AE54" s="70">
        <v>9.0759075907590763</v>
      </c>
      <c r="AF54" s="70">
        <v>185</v>
      </c>
    </row>
    <row r="55" spans="1:32">
      <c r="A55" s="70">
        <v>31</v>
      </c>
      <c r="B55" s="70">
        <v>229.96456359918983</v>
      </c>
      <c r="C55" s="70">
        <v>-31.96456359918983</v>
      </c>
      <c r="D55" s="70">
        <v>-0.63129059706947255</v>
      </c>
      <c r="F55" s="70">
        <v>10.066006600660065</v>
      </c>
      <c r="G55" s="70">
        <v>188</v>
      </c>
      <c r="V55">
        <v>44</v>
      </c>
      <c r="W55">
        <v>108</v>
      </c>
      <c r="X55">
        <v>141</v>
      </c>
      <c r="Z55" s="70">
        <v>29</v>
      </c>
      <c r="AA55" s="70">
        <v>259.76836627183076</v>
      </c>
      <c r="AB55" s="70">
        <v>157.23163372816924</v>
      </c>
      <c r="AC55" s="70">
        <v>3.1124140195286016</v>
      </c>
      <c r="AE55" s="70">
        <v>9.4059405940594054</v>
      </c>
      <c r="AF55" s="70">
        <v>186</v>
      </c>
    </row>
    <row r="56" spans="1:32">
      <c r="A56" s="70">
        <v>32</v>
      </c>
      <c r="B56" s="70">
        <v>259.23115458849639</v>
      </c>
      <c r="C56" s="70">
        <v>-82.231154588496395</v>
      </c>
      <c r="D56" s="70">
        <v>-1.6240407761800237</v>
      </c>
      <c r="F56" s="70">
        <v>10.396039603960396</v>
      </c>
      <c r="G56" s="70">
        <v>188</v>
      </c>
      <c r="V56">
        <v>63</v>
      </c>
      <c r="W56">
        <v>135</v>
      </c>
      <c r="X56">
        <v>252</v>
      </c>
      <c r="Z56" s="70">
        <v>30</v>
      </c>
      <c r="AA56" s="70">
        <v>244.41742261172908</v>
      </c>
      <c r="AB56" s="70">
        <v>-47.41742261172908</v>
      </c>
      <c r="AC56" s="70">
        <v>-0.93863205137082772</v>
      </c>
      <c r="AE56" s="70">
        <v>9.7359735973597346</v>
      </c>
      <c r="AF56" s="70">
        <v>187</v>
      </c>
    </row>
    <row r="57" spans="1:32">
      <c r="A57" s="70">
        <v>33</v>
      </c>
      <c r="B57" s="70">
        <v>233.62288747285317</v>
      </c>
      <c r="C57" s="70">
        <v>-14.622887472853165</v>
      </c>
      <c r="D57" s="70">
        <v>-0.28879766604575702</v>
      </c>
      <c r="F57" s="70">
        <v>10.726072607260726</v>
      </c>
      <c r="G57" s="70">
        <v>192</v>
      </c>
      <c r="V57">
        <v>52</v>
      </c>
      <c r="W57">
        <v>134</v>
      </c>
      <c r="X57">
        <v>201</v>
      </c>
      <c r="Z57" s="70">
        <v>31</v>
      </c>
      <c r="AA57" s="70">
        <v>226.01409197483295</v>
      </c>
      <c r="AB57" s="70">
        <v>-28.014091974832951</v>
      </c>
      <c r="AC57" s="70">
        <v>-0.55454141472303964</v>
      </c>
      <c r="AE57" s="70">
        <v>10.066006600660065</v>
      </c>
      <c r="AF57" s="70">
        <v>188</v>
      </c>
    </row>
    <row r="58" spans="1:32">
      <c r="A58" s="70">
        <v>34</v>
      </c>
      <c r="B58" s="70">
        <v>245.81730038506424</v>
      </c>
      <c r="C58" s="70">
        <v>27.182699614935757</v>
      </c>
      <c r="D58" s="70">
        <v>0.53685020965866881</v>
      </c>
      <c r="F58" s="70">
        <v>11.056105610561055</v>
      </c>
      <c r="G58" s="70">
        <v>192</v>
      </c>
      <c r="V58">
        <v>48</v>
      </c>
      <c r="W58">
        <v>122</v>
      </c>
      <c r="X58">
        <v>222</v>
      </c>
      <c r="Z58" s="70">
        <v>32</v>
      </c>
      <c r="AA58" s="70">
        <v>255.6985169694382</v>
      </c>
      <c r="AB58" s="70">
        <v>-78.698516969438202</v>
      </c>
      <c r="AC58" s="70">
        <v>-1.5578440656239632</v>
      </c>
      <c r="AE58" s="70">
        <v>10.396039603960396</v>
      </c>
      <c r="AF58" s="70">
        <v>188</v>
      </c>
    </row>
    <row r="59" spans="1:32">
      <c r="A59" s="70">
        <v>35</v>
      </c>
      <c r="B59" s="70">
        <v>242.15897651140091</v>
      </c>
      <c r="C59" s="70">
        <v>-29.158976511400908</v>
      </c>
      <c r="D59" s="70">
        <v>-0.57588108890319922</v>
      </c>
      <c r="F59" s="70">
        <v>11.386138613861386</v>
      </c>
      <c r="G59" s="70">
        <v>193</v>
      </c>
      <c r="V59">
        <v>45</v>
      </c>
      <c r="W59">
        <v>115</v>
      </c>
      <c r="X59">
        <v>260</v>
      </c>
      <c r="Z59" s="70">
        <v>33</v>
      </c>
      <c r="AA59" s="70">
        <v>234.43040835505002</v>
      </c>
      <c r="AB59" s="70">
        <v>-15.43040835505002</v>
      </c>
      <c r="AC59" s="70">
        <v>-0.30544629062583328</v>
      </c>
      <c r="AE59" s="70">
        <v>10.726072607260726</v>
      </c>
      <c r="AF59" s="70">
        <v>192</v>
      </c>
    </row>
    <row r="60" spans="1:32">
      <c r="A60" s="70">
        <v>36</v>
      </c>
      <c r="B60" s="70">
        <v>236.06177005529537</v>
      </c>
      <c r="C60" s="70">
        <v>-59.061770055295369</v>
      </c>
      <c r="D60" s="70">
        <v>-1.1664523423411397</v>
      </c>
      <c r="F60" s="70">
        <v>11.716171617161717</v>
      </c>
      <c r="G60" s="70">
        <v>193</v>
      </c>
      <c r="V60">
        <v>34</v>
      </c>
      <c r="W60">
        <v>118</v>
      </c>
      <c r="X60">
        <v>182</v>
      </c>
      <c r="Z60" s="70">
        <v>34</v>
      </c>
      <c r="AA60" s="70">
        <v>244.50962853687304</v>
      </c>
      <c r="AB60" s="70">
        <v>28.490371463126962</v>
      </c>
      <c r="AC60" s="70">
        <v>0.56396940908671211</v>
      </c>
      <c r="AE60" s="70">
        <v>11.056105610561055</v>
      </c>
      <c r="AF60" s="70">
        <v>192</v>
      </c>
    </row>
    <row r="61" spans="1:32">
      <c r="A61" s="70">
        <v>37</v>
      </c>
      <c r="B61" s="70">
        <v>245.81730038506424</v>
      </c>
      <c r="C61" s="70">
        <v>58.182699614935757</v>
      </c>
      <c r="D61" s="70">
        <v>1.1490909633428414</v>
      </c>
      <c r="F61" s="70">
        <v>12.046204620462046</v>
      </c>
      <c r="G61" s="70">
        <v>195</v>
      </c>
      <c r="V61">
        <v>57</v>
      </c>
      <c r="W61">
        <v>128</v>
      </c>
      <c r="X61">
        <v>303</v>
      </c>
      <c r="Z61" s="70">
        <v>35</v>
      </c>
      <c r="AA61" s="70">
        <v>241.18062378464668</v>
      </c>
      <c r="AB61" s="70">
        <v>-28.180623784646684</v>
      </c>
      <c r="AC61" s="70">
        <v>-0.55783792654621278</v>
      </c>
      <c r="AE61" s="70">
        <v>11.386138613861386</v>
      </c>
      <c r="AF61" s="70">
        <v>193</v>
      </c>
    </row>
    <row r="62" spans="1:32">
      <c r="A62" s="70">
        <v>38</v>
      </c>
      <c r="B62" s="70">
        <v>245.81730038506424</v>
      </c>
      <c r="C62" s="70">
        <v>-13.817300385064243</v>
      </c>
      <c r="D62" s="70">
        <v>-0.2728875613429787</v>
      </c>
      <c r="F62" s="70">
        <v>12.376237623762375</v>
      </c>
      <c r="G62" s="70">
        <v>196</v>
      </c>
      <c r="V62">
        <v>71</v>
      </c>
      <c r="W62">
        <v>110</v>
      </c>
      <c r="X62">
        <v>265</v>
      </c>
      <c r="Z62" s="70">
        <v>36</v>
      </c>
      <c r="AA62" s="70">
        <v>239.09165443796979</v>
      </c>
      <c r="AB62" s="70">
        <v>-62.091654437969794</v>
      </c>
      <c r="AC62" s="70">
        <v>-1.2291097610966273</v>
      </c>
      <c r="AE62" s="70">
        <v>11.716171617161717</v>
      </c>
      <c r="AF62" s="70">
        <v>193</v>
      </c>
    </row>
    <row r="63" spans="1:32">
      <c r="A63" s="70">
        <v>39</v>
      </c>
      <c r="B63" s="70">
        <v>259.23115458849639</v>
      </c>
      <c r="C63" s="70">
        <v>9.7688454115036052</v>
      </c>
      <c r="D63" s="70">
        <v>0.19293178314074638</v>
      </c>
      <c r="F63" s="70">
        <v>12.706270627062706</v>
      </c>
      <c r="G63" s="70">
        <v>196</v>
      </c>
      <c r="V63">
        <v>54</v>
      </c>
      <c r="W63">
        <v>108</v>
      </c>
      <c r="X63">
        <v>309</v>
      </c>
      <c r="Z63" s="70">
        <v>37</v>
      </c>
      <c r="AA63" s="70">
        <v>246.54455318806933</v>
      </c>
      <c r="AB63" s="70">
        <v>57.45544681193067</v>
      </c>
      <c r="AC63" s="70">
        <v>1.1373356233447001</v>
      </c>
      <c r="AE63" s="70">
        <v>12.046204620462046</v>
      </c>
      <c r="AF63" s="70">
        <v>195</v>
      </c>
    </row>
    <row r="64" spans="1:32">
      <c r="A64" s="70">
        <v>40</v>
      </c>
      <c r="B64" s="70">
        <v>259.23115458849639</v>
      </c>
      <c r="C64" s="70">
        <v>100.76884541150361</v>
      </c>
      <c r="D64" s="70">
        <v>1.990154640729769</v>
      </c>
      <c r="F64" s="70">
        <v>13.036303630363037</v>
      </c>
      <c r="G64" s="70">
        <v>197</v>
      </c>
      <c r="V64">
        <v>52</v>
      </c>
      <c r="W64">
        <v>118</v>
      </c>
      <c r="X64">
        <v>186</v>
      </c>
      <c r="Z64" s="70">
        <v>38</v>
      </c>
      <c r="AA64" s="70">
        <v>249.59694016486375</v>
      </c>
      <c r="AB64" s="70">
        <v>-17.596940164863753</v>
      </c>
      <c r="AC64" s="70">
        <v>-0.34833297836627142</v>
      </c>
      <c r="AE64" s="70">
        <v>12.376237623762375</v>
      </c>
      <c r="AF64" s="70">
        <v>196</v>
      </c>
    </row>
    <row r="65" spans="1:32">
      <c r="A65" s="70">
        <v>41</v>
      </c>
      <c r="B65" s="70">
        <v>242.15897651140091</v>
      </c>
      <c r="C65" s="70">
        <v>65.841023488599092</v>
      </c>
      <c r="D65" s="70">
        <v>1.3003405756128135</v>
      </c>
      <c r="F65" s="70">
        <v>13.366336633663366</v>
      </c>
      <c r="G65" s="70">
        <v>197</v>
      </c>
      <c r="V65">
        <v>41</v>
      </c>
      <c r="W65">
        <v>135</v>
      </c>
      <c r="X65">
        <v>203</v>
      </c>
      <c r="Z65" s="70">
        <v>39</v>
      </c>
      <c r="AA65" s="70">
        <v>262.82075324862518</v>
      </c>
      <c r="AB65" s="70">
        <v>6.1792467513748193</v>
      </c>
      <c r="AC65" s="70">
        <v>0.1223187329615588</v>
      </c>
      <c r="AE65" s="70">
        <v>12.706270627062706</v>
      </c>
      <c r="AF65" s="70">
        <v>196</v>
      </c>
    </row>
    <row r="66" spans="1:32">
      <c r="A66" s="70">
        <v>42</v>
      </c>
      <c r="B66" s="70">
        <v>238.50065263773757</v>
      </c>
      <c r="C66" s="70">
        <v>6.4993473622624265</v>
      </c>
      <c r="D66" s="70">
        <v>0.12836017185570281</v>
      </c>
      <c r="F66" s="70">
        <v>13.696369636963695</v>
      </c>
      <c r="G66" s="70">
        <v>197</v>
      </c>
      <c r="V66">
        <v>58</v>
      </c>
      <c r="W66">
        <v>140</v>
      </c>
      <c r="X66">
        <v>211</v>
      </c>
      <c r="Z66" s="70">
        <v>40</v>
      </c>
      <c r="AA66" s="70">
        <v>263.83821557422334</v>
      </c>
      <c r="AB66" s="70">
        <v>96.161784425776659</v>
      </c>
      <c r="AC66" s="70">
        <v>1.9035309809673078</v>
      </c>
      <c r="AE66" s="70">
        <v>13.036303630363037</v>
      </c>
      <c r="AF66" s="70">
        <v>197</v>
      </c>
    </row>
    <row r="67" spans="1:32">
      <c r="A67" s="70">
        <v>43</v>
      </c>
      <c r="B67" s="70">
        <v>234.84232876407427</v>
      </c>
      <c r="C67" s="70">
        <v>-26.842328764074267</v>
      </c>
      <c r="D67" s="70">
        <v>-0.53012798687597329</v>
      </c>
      <c r="F67" s="70">
        <v>14.026402640264026</v>
      </c>
      <c r="G67" s="70">
        <v>197</v>
      </c>
      <c r="V67">
        <v>35</v>
      </c>
      <c r="W67">
        <v>138</v>
      </c>
      <c r="X67">
        <v>183</v>
      </c>
      <c r="Z67" s="70">
        <v>41</v>
      </c>
      <c r="AA67" s="70">
        <v>244.23301076144111</v>
      </c>
      <c r="AB67" s="70">
        <v>63.766989238558892</v>
      </c>
      <c r="AC67" s="70">
        <v>1.2622731608344466</v>
      </c>
      <c r="AE67" s="70">
        <v>13.366336633663366</v>
      </c>
      <c r="AF67" s="70">
        <v>197</v>
      </c>
    </row>
    <row r="68" spans="1:32">
      <c r="A68" s="70">
        <v>44</v>
      </c>
      <c r="B68" s="70">
        <v>244.59785909384311</v>
      </c>
      <c r="C68" s="70">
        <v>19.402140906156887</v>
      </c>
      <c r="D68" s="70">
        <v>0.38318649585393572</v>
      </c>
      <c r="F68" s="70">
        <v>14.356435643564357</v>
      </c>
      <c r="G68" s="70">
        <v>197</v>
      </c>
      <c r="V68">
        <v>51</v>
      </c>
      <c r="W68">
        <v>100</v>
      </c>
      <c r="X68">
        <v>222</v>
      </c>
      <c r="Z68" s="70">
        <v>42</v>
      </c>
      <c r="AA68" s="70">
        <v>238.86908135801849</v>
      </c>
      <c r="AB68" s="70">
        <v>6.1309186419815092</v>
      </c>
      <c r="AC68" s="70">
        <v>0.12136207378524382</v>
      </c>
      <c r="AE68" s="70">
        <v>13.696369636963695</v>
      </c>
      <c r="AF68" s="70">
        <v>197</v>
      </c>
    </row>
    <row r="69" spans="1:32">
      <c r="A69" s="70">
        <v>45</v>
      </c>
      <c r="B69" s="70">
        <v>227.52568101674763</v>
      </c>
      <c r="C69" s="70">
        <v>93.474318983252374</v>
      </c>
      <c r="D69" s="70">
        <v>1.8460899194974576</v>
      </c>
      <c r="F69" s="70">
        <v>14.686468646864686</v>
      </c>
      <c r="G69" s="70">
        <v>197</v>
      </c>
      <c r="V69">
        <v>45</v>
      </c>
      <c r="W69">
        <v>130</v>
      </c>
      <c r="X69">
        <v>234</v>
      </c>
      <c r="Z69" s="70">
        <v>43</v>
      </c>
      <c r="AA69" s="70">
        <v>230.24927251268178</v>
      </c>
      <c r="AB69" s="70">
        <v>-22.249272512681785</v>
      </c>
      <c r="AC69" s="70">
        <v>-0.44042630640412073</v>
      </c>
      <c r="AE69" s="70">
        <v>14.026402640264026</v>
      </c>
      <c r="AF69" s="70">
        <v>197</v>
      </c>
    </row>
    <row r="70" spans="1:32">
      <c r="A70" s="70">
        <v>46</v>
      </c>
      <c r="B70" s="70">
        <v>243.37841780262201</v>
      </c>
      <c r="C70" s="70">
        <v>81.62158219737799</v>
      </c>
      <c r="D70" s="70">
        <v>1.6120019032715271</v>
      </c>
      <c r="F70" s="70">
        <v>15.016501650165015</v>
      </c>
      <c r="G70" s="70">
        <v>198</v>
      </c>
      <c r="V70">
        <v>44</v>
      </c>
      <c r="W70">
        <v>120</v>
      </c>
      <c r="X70">
        <v>220</v>
      </c>
      <c r="Z70" s="70">
        <v>44</v>
      </c>
      <c r="AA70" s="70">
        <v>244.41742261172908</v>
      </c>
      <c r="AB70" s="70">
        <v>19.58257738827092</v>
      </c>
      <c r="AC70" s="70">
        <v>0.38763884185755115</v>
      </c>
      <c r="AE70" s="70">
        <v>14.356435643564357</v>
      </c>
      <c r="AF70" s="70">
        <v>197</v>
      </c>
    </row>
    <row r="71" spans="1:32">
      <c r="A71" s="70">
        <v>47</v>
      </c>
      <c r="B71" s="70">
        <v>233.62288747285317</v>
      </c>
      <c r="C71" s="70">
        <v>1.377112527146835</v>
      </c>
      <c r="D71" s="70">
        <v>2.7197561662203024E-2</v>
      </c>
      <c r="F71" s="70">
        <v>15.346534653465346</v>
      </c>
      <c r="G71" s="70">
        <v>198</v>
      </c>
      <c r="V71">
        <v>62</v>
      </c>
      <c r="W71">
        <v>124</v>
      </c>
      <c r="X71">
        <v>209</v>
      </c>
      <c r="Z71" s="70">
        <v>45</v>
      </c>
      <c r="AA71" s="70">
        <v>230.91699175253567</v>
      </c>
      <c r="AB71" s="70">
        <v>90.083008247464335</v>
      </c>
      <c r="AC71" s="70">
        <v>1.7832010718367752</v>
      </c>
      <c r="AE71" s="70">
        <v>14.686468646864686</v>
      </c>
      <c r="AF71" s="70">
        <v>197</v>
      </c>
    </row>
    <row r="72" spans="1:32">
      <c r="A72" s="70">
        <v>48</v>
      </c>
      <c r="B72" s="70">
        <v>237.28121134651647</v>
      </c>
      <c r="C72" s="70">
        <v>19.718788653483529</v>
      </c>
      <c r="D72" s="70">
        <v>0.38944019441766664</v>
      </c>
      <c r="F72" s="70">
        <v>15.676567656765677</v>
      </c>
      <c r="G72" s="70">
        <v>199</v>
      </c>
      <c r="V72">
        <v>54</v>
      </c>
      <c r="W72">
        <v>120</v>
      </c>
      <c r="X72">
        <v>258</v>
      </c>
      <c r="Z72" s="70">
        <v>46</v>
      </c>
      <c r="AA72" s="70">
        <v>241.27282970979067</v>
      </c>
      <c r="AB72" s="70">
        <v>83.72717029020933</v>
      </c>
      <c r="AC72" s="70">
        <v>1.6573867004220972</v>
      </c>
      <c r="AE72" s="70">
        <v>15.016501650165015</v>
      </c>
      <c r="AF72" s="70">
        <v>198</v>
      </c>
    </row>
    <row r="73" spans="1:32">
      <c r="A73" s="70">
        <v>49</v>
      </c>
      <c r="B73" s="70">
        <v>244.59785909384311</v>
      </c>
      <c r="C73" s="70">
        <v>-28.597859093843113</v>
      </c>
      <c r="D73" s="70">
        <v>-0.56479918726994438</v>
      </c>
      <c r="F73" s="70">
        <v>16.006600660066006</v>
      </c>
      <c r="G73" s="70">
        <v>199</v>
      </c>
      <c r="V73">
        <v>51</v>
      </c>
      <c r="W73">
        <v>94</v>
      </c>
      <c r="X73">
        <v>227</v>
      </c>
      <c r="Z73" s="70">
        <v>47</v>
      </c>
      <c r="AA73" s="70">
        <v>236.46533300624628</v>
      </c>
      <c r="AB73" s="70">
        <v>-1.4653330062462828</v>
      </c>
      <c r="AC73" s="70">
        <v>-2.9006395747332585E-2</v>
      </c>
      <c r="AE73" s="70">
        <v>15.346534653465346</v>
      </c>
      <c r="AF73" s="70">
        <v>198</v>
      </c>
    </row>
    <row r="74" spans="1:32">
      <c r="A74" s="70">
        <v>50</v>
      </c>
      <c r="B74" s="70">
        <v>244.59785909384311</v>
      </c>
      <c r="C74" s="70">
        <v>-10.597859093843113</v>
      </c>
      <c r="D74" s="70">
        <v>-0.20930455609848933</v>
      </c>
      <c r="F74" s="70">
        <v>16.336633663366335</v>
      </c>
      <c r="G74" s="70">
        <v>199</v>
      </c>
      <c r="V74">
        <v>29</v>
      </c>
      <c r="W74">
        <v>130</v>
      </c>
      <c r="X74">
        <v>204</v>
      </c>
      <c r="Z74" s="70">
        <v>48</v>
      </c>
      <c r="AA74" s="70">
        <v>239.38735282823339</v>
      </c>
      <c r="AB74" s="70">
        <v>17.612647171766611</v>
      </c>
      <c r="AC74" s="70">
        <v>0.34864389994948036</v>
      </c>
      <c r="AE74" s="70">
        <v>15.676567656765677</v>
      </c>
      <c r="AF74" s="70">
        <v>199</v>
      </c>
    </row>
    <row r="75" spans="1:32">
      <c r="A75" s="70">
        <v>51</v>
      </c>
      <c r="B75" s="70">
        <v>242.15897651140091</v>
      </c>
      <c r="C75" s="70">
        <v>13.841023488599092</v>
      </c>
      <c r="D75" s="70">
        <v>0.2733560855619433</v>
      </c>
      <c r="F75" s="70">
        <v>16.666666666666664</v>
      </c>
      <c r="G75" s="70">
        <v>200</v>
      </c>
      <c r="V75">
        <v>51</v>
      </c>
      <c r="W75">
        <v>140</v>
      </c>
      <c r="X75">
        <v>261</v>
      </c>
      <c r="Z75" s="70">
        <v>49</v>
      </c>
      <c r="AA75" s="70">
        <v>244.0104376814898</v>
      </c>
      <c r="AB75" s="70">
        <v>-28.010437681489805</v>
      </c>
      <c r="AC75" s="70">
        <v>-0.5544690776648854</v>
      </c>
      <c r="AE75" s="70">
        <v>16.006600660066006</v>
      </c>
      <c r="AF75" s="70">
        <v>199</v>
      </c>
    </row>
    <row r="76" spans="1:32">
      <c r="A76" s="70">
        <v>52</v>
      </c>
      <c r="B76" s="70">
        <v>260.45059587971753</v>
      </c>
      <c r="C76" s="70">
        <v>41.549404120282475</v>
      </c>
      <c r="D76" s="70">
        <v>0.82058833850741952</v>
      </c>
      <c r="F76" s="70">
        <v>16.996699669966997</v>
      </c>
      <c r="G76" s="70">
        <v>201</v>
      </c>
      <c r="V76">
        <v>43</v>
      </c>
      <c r="W76">
        <v>122</v>
      </c>
      <c r="X76">
        <v>213</v>
      </c>
      <c r="Z76" s="70">
        <v>50</v>
      </c>
      <c r="AA76" s="70">
        <v>246.0453623326861</v>
      </c>
      <c r="AB76" s="70">
        <v>-12.045362332686096</v>
      </c>
      <c r="AC76" s="70">
        <v>-0.23843900686912026</v>
      </c>
      <c r="AE76" s="70">
        <v>16.336633663366335</v>
      </c>
      <c r="AF76" s="70">
        <v>199</v>
      </c>
    </row>
    <row r="77" spans="1:32">
      <c r="A77" s="70">
        <v>53</v>
      </c>
      <c r="B77" s="70">
        <v>255.57283071483306</v>
      </c>
      <c r="C77" s="70">
        <v>-24.57283071483306</v>
      </c>
      <c r="D77" s="70">
        <v>-0.48530607732267667</v>
      </c>
      <c r="F77" s="70">
        <v>17.326732673267326</v>
      </c>
      <c r="G77" s="70">
        <v>201</v>
      </c>
      <c r="V77">
        <v>55</v>
      </c>
      <c r="W77">
        <v>135</v>
      </c>
      <c r="X77">
        <v>250</v>
      </c>
      <c r="Z77" s="70">
        <v>51</v>
      </c>
      <c r="AA77" s="70">
        <v>242.19808611024484</v>
      </c>
      <c r="AB77" s="70">
        <v>13.801913889755156</v>
      </c>
      <c r="AC77" s="70">
        <v>0.27321009944517521</v>
      </c>
      <c r="AE77" s="70">
        <v>16.666666666666664</v>
      </c>
      <c r="AF77" s="70">
        <v>200</v>
      </c>
    </row>
    <row r="78" spans="1:32">
      <c r="A78" s="70">
        <v>54</v>
      </c>
      <c r="B78" s="70">
        <v>233.62288747285317</v>
      </c>
      <c r="C78" s="70">
        <v>-92.622887472853165</v>
      </c>
      <c r="D78" s="70">
        <v>-1.8292744011220621</v>
      </c>
      <c r="F78" s="70">
        <v>17.656765676567655</v>
      </c>
      <c r="G78" s="70">
        <v>201</v>
      </c>
      <c r="V78">
        <v>51</v>
      </c>
      <c r="W78">
        <v>125</v>
      </c>
      <c r="X78">
        <v>245</v>
      </c>
      <c r="Z78" s="70">
        <v>52</v>
      </c>
      <c r="AA78" s="70">
        <v>256.80818522018029</v>
      </c>
      <c r="AB78" s="70">
        <v>45.191814779819708</v>
      </c>
      <c r="AC78" s="70">
        <v>0.89457594857676026</v>
      </c>
      <c r="AE78" s="70">
        <v>16.996699669966997</v>
      </c>
      <c r="AF78" s="70">
        <v>201</v>
      </c>
    </row>
    <row r="79" spans="1:32">
      <c r="A79" s="70">
        <v>55</v>
      </c>
      <c r="B79" s="70">
        <v>256.79227200605419</v>
      </c>
      <c r="C79" s="70">
        <v>-4.7922720060541906</v>
      </c>
      <c r="D79" s="70">
        <v>-9.4645942736973521E-2</v>
      </c>
      <c r="F79" s="70">
        <v>17.986798679867988</v>
      </c>
      <c r="G79" s="70">
        <v>203</v>
      </c>
      <c r="V79">
        <v>59</v>
      </c>
      <c r="W79">
        <v>140</v>
      </c>
      <c r="X79">
        <v>221</v>
      </c>
      <c r="Z79" s="70">
        <v>53</v>
      </c>
      <c r="AA79" s="70">
        <v>254.40443686840814</v>
      </c>
      <c r="AB79" s="70">
        <v>-23.404436868408141</v>
      </c>
      <c r="AC79" s="70">
        <v>-0.46329288643240096</v>
      </c>
      <c r="AE79" s="70">
        <v>17.326732673267326</v>
      </c>
      <c r="AF79" s="70">
        <v>201</v>
      </c>
    </row>
    <row r="80" spans="1:32">
      <c r="A80" s="70">
        <v>56</v>
      </c>
      <c r="B80" s="70">
        <v>243.37841780262201</v>
      </c>
      <c r="C80" s="70">
        <v>-42.37841780262201</v>
      </c>
      <c r="D80" s="70">
        <v>-0.83696111146516305</v>
      </c>
      <c r="F80" s="70">
        <v>18.316831683168317</v>
      </c>
      <c r="G80" s="70">
        <v>203</v>
      </c>
      <c r="V80">
        <v>52</v>
      </c>
      <c r="W80">
        <v>128</v>
      </c>
      <c r="X80">
        <v>205</v>
      </c>
      <c r="Z80" s="70">
        <v>54</v>
      </c>
      <c r="AA80" s="70">
        <v>229.95357412241819</v>
      </c>
      <c r="AB80" s="70">
        <v>-88.953574122418189</v>
      </c>
      <c r="AC80" s="70">
        <v>-1.7608438239880055</v>
      </c>
      <c r="AE80" s="70">
        <v>17.656765676567655</v>
      </c>
      <c r="AF80" s="70">
        <v>201</v>
      </c>
    </row>
    <row r="81" spans="1:32">
      <c r="A81" s="70">
        <v>57</v>
      </c>
      <c r="B81" s="70">
        <v>238.50065263773757</v>
      </c>
      <c r="C81" s="70">
        <v>-16.500652637737574</v>
      </c>
      <c r="D81" s="70">
        <v>-0.32588296797448973</v>
      </c>
      <c r="F81" s="70">
        <v>18.646864686468646</v>
      </c>
      <c r="G81" s="70">
        <v>203</v>
      </c>
      <c r="V81">
        <v>58</v>
      </c>
      <c r="W81">
        <v>105</v>
      </c>
      <c r="X81">
        <v>240</v>
      </c>
      <c r="Z81" s="70">
        <v>55</v>
      </c>
      <c r="AA81" s="70">
        <v>256.53156744474836</v>
      </c>
      <c r="AB81" s="70">
        <v>-4.5315674447483616</v>
      </c>
      <c r="AC81" s="70">
        <v>-8.9702776159269429E-2</v>
      </c>
      <c r="AE81" s="70">
        <v>17.986798679867988</v>
      </c>
      <c r="AF81" s="70">
        <v>203</v>
      </c>
    </row>
    <row r="82" spans="1:32">
      <c r="A82" s="70">
        <v>58</v>
      </c>
      <c r="B82" s="70">
        <v>234.84232876407427</v>
      </c>
      <c r="C82" s="70">
        <v>25.157671235925733</v>
      </c>
      <c r="D82" s="70">
        <v>0.49685650317489671</v>
      </c>
      <c r="F82" s="70">
        <v>18.976897689768975</v>
      </c>
      <c r="G82" s="70">
        <v>204</v>
      </c>
      <c r="V82">
        <v>41</v>
      </c>
      <c r="W82">
        <v>112</v>
      </c>
      <c r="X82">
        <v>250</v>
      </c>
      <c r="Z82" s="70">
        <v>56</v>
      </c>
      <c r="AA82" s="70">
        <v>244.12172422146546</v>
      </c>
      <c r="AB82" s="70">
        <v>-43.121724221465456</v>
      </c>
      <c r="AC82" s="70">
        <v>-0.85359832389180312</v>
      </c>
      <c r="AE82" s="70">
        <v>18.316831683168317</v>
      </c>
      <c r="AF82" s="70">
        <v>203</v>
      </c>
    </row>
    <row r="83" spans="1:32">
      <c r="A83" s="70">
        <v>59</v>
      </c>
      <c r="B83" s="70">
        <v>221.42847456064209</v>
      </c>
      <c r="C83" s="70">
        <v>-39.428474560642087</v>
      </c>
      <c r="D83" s="70">
        <v>-0.77870061231047527</v>
      </c>
      <c r="F83" s="70">
        <v>19.306930693069305</v>
      </c>
      <c r="G83" s="70">
        <v>204</v>
      </c>
      <c r="V83">
        <v>45</v>
      </c>
      <c r="W83">
        <v>128</v>
      </c>
      <c r="X83">
        <v>308</v>
      </c>
      <c r="Z83" s="70">
        <v>57</v>
      </c>
      <c r="AA83" s="70">
        <v>237.24114163706145</v>
      </c>
      <c r="AB83" s="70">
        <v>-15.241141637061446</v>
      </c>
      <c r="AC83" s="70">
        <v>-0.30169973929560778</v>
      </c>
      <c r="AE83" s="70">
        <v>18.646864686468646</v>
      </c>
      <c r="AF83" s="70">
        <v>203</v>
      </c>
    </row>
    <row r="84" spans="1:32">
      <c r="A84" s="70">
        <v>60</v>
      </c>
      <c r="B84" s="70">
        <v>249.47562425872755</v>
      </c>
      <c r="C84" s="70">
        <v>53.524375741272451</v>
      </c>
      <c r="D84" s="70">
        <v>1.0570904562681125</v>
      </c>
      <c r="F84" s="70">
        <v>19.636963696369637</v>
      </c>
      <c r="G84" s="70">
        <v>204</v>
      </c>
      <c r="V84">
        <v>60</v>
      </c>
      <c r="W84">
        <v>102</v>
      </c>
      <c r="X84">
        <v>318</v>
      </c>
      <c r="Z84" s="70">
        <v>58</v>
      </c>
      <c r="AA84" s="70">
        <v>232.48768962899771</v>
      </c>
      <c r="AB84" s="70">
        <v>27.512310371002286</v>
      </c>
      <c r="AC84" s="70">
        <v>0.54460860373918796</v>
      </c>
      <c r="AE84" s="70">
        <v>18.976897689768975</v>
      </c>
      <c r="AF84" s="70">
        <v>204</v>
      </c>
    </row>
    <row r="85" spans="1:32">
      <c r="A85" s="70">
        <v>61</v>
      </c>
      <c r="B85" s="70">
        <v>266.54780233582301</v>
      </c>
      <c r="C85" s="70">
        <v>-1.5478023358230075</v>
      </c>
      <c r="D85" s="70">
        <v>-3.056863447220648E-2</v>
      </c>
      <c r="F85" s="70">
        <v>19.966996699669966</v>
      </c>
      <c r="G85" s="70">
        <v>204</v>
      </c>
      <c r="V85">
        <v>52</v>
      </c>
      <c r="W85">
        <v>152</v>
      </c>
      <c r="X85">
        <v>298</v>
      </c>
      <c r="Z85" s="70">
        <v>59</v>
      </c>
      <c r="AA85" s="70">
        <v>220.89181626619327</v>
      </c>
      <c r="AB85" s="70">
        <v>-38.891816266193274</v>
      </c>
      <c r="AC85" s="70">
        <v>-0.76986692386027089</v>
      </c>
      <c r="AE85" s="70">
        <v>19.306930693069305</v>
      </c>
      <c r="AF85" s="70">
        <v>204</v>
      </c>
    </row>
    <row r="86" spans="1:32">
      <c r="A86" s="70">
        <v>62</v>
      </c>
      <c r="B86" s="70">
        <v>245.81730038506424</v>
      </c>
      <c r="C86" s="70">
        <v>63.182699614935757</v>
      </c>
      <c r="D86" s="70">
        <v>1.2478394720015789</v>
      </c>
      <c r="F86" s="70">
        <v>20.297029702970296</v>
      </c>
      <c r="G86" s="70">
        <v>204</v>
      </c>
      <c r="V86">
        <v>42</v>
      </c>
      <c r="W86">
        <v>102</v>
      </c>
      <c r="X86">
        <v>265</v>
      </c>
      <c r="Z86" s="70">
        <v>60</v>
      </c>
      <c r="AA86" s="70">
        <v>248.44911068445828</v>
      </c>
      <c r="AB86" s="70">
        <v>54.550889315541724</v>
      </c>
      <c r="AC86" s="70">
        <v>1.0798396522227753</v>
      </c>
      <c r="AE86" s="70">
        <v>19.636963696369637</v>
      </c>
      <c r="AF86" s="70">
        <v>204</v>
      </c>
    </row>
    <row r="87" spans="1:32">
      <c r="A87" s="70">
        <v>63</v>
      </c>
      <c r="B87" s="70">
        <v>243.37841780262201</v>
      </c>
      <c r="C87" s="70">
        <v>-57.37841780262201</v>
      </c>
      <c r="D87" s="70">
        <v>-1.1332066374413756</v>
      </c>
      <c r="F87" s="70">
        <v>20.627062706270628</v>
      </c>
      <c r="G87" s="70">
        <v>204</v>
      </c>
      <c r="V87">
        <v>67</v>
      </c>
      <c r="W87">
        <v>115</v>
      </c>
      <c r="X87">
        <v>564</v>
      </c>
      <c r="Z87" s="70">
        <v>61</v>
      </c>
      <c r="AA87" s="70">
        <v>260.32160182269462</v>
      </c>
      <c r="AB87" s="70">
        <v>4.6783981773053824</v>
      </c>
      <c r="AC87" s="70">
        <v>9.2609303425266104E-2</v>
      </c>
      <c r="AE87" s="70">
        <v>19.966996699669966</v>
      </c>
      <c r="AF87" s="70">
        <v>204</v>
      </c>
    </row>
    <row r="88" spans="1:32">
      <c r="A88" s="70">
        <v>64</v>
      </c>
      <c r="B88" s="70">
        <v>229.96456359918983</v>
      </c>
      <c r="C88" s="70">
        <v>-26.96456359918983</v>
      </c>
      <c r="D88" s="70">
        <v>-0.53254208841073503</v>
      </c>
      <c r="F88" s="70">
        <v>20.957095709570957</v>
      </c>
      <c r="G88" s="70">
        <v>205</v>
      </c>
      <c r="V88">
        <v>68</v>
      </c>
      <c r="W88">
        <v>118</v>
      </c>
      <c r="X88">
        <v>277</v>
      </c>
      <c r="Z88" s="70">
        <v>62</v>
      </c>
      <c r="AA88" s="70">
        <v>241.05025662983937</v>
      </c>
      <c r="AB88" s="70">
        <v>67.949743370160633</v>
      </c>
      <c r="AC88" s="70">
        <v>1.3450711467788365</v>
      </c>
      <c r="AE88" s="70">
        <v>20.297029702970296</v>
      </c>
      <c r="AF88" s="70">
        <v>204</v>
      </c>
    </row>
    <row r="89" spans="1:32">
      <c r="A89" s="70">
        <v>65</v>
      </c>
      <c r="B89" s="70">
        <v>250.69506554994865</v>
      </c>
      <c r="C89" s="70">
        <v>-39.695065549948652</v>
      </c>
      <c r="D89" s="70">
        <v>-0.78396570483365147</v>
      </c>
      <c r="F89" s="70">
        <v>21.287128712871286</v>
      </c>
      <c r="G89" s="70">
        <v>205</v>
      </c>
      <c r="V89">
        <v>46</v>
      </c>
      <c r="W89">
        <v>101</v>
      </c>
      <c r="X89">
        <v>197</v>
      </c>
      <c r="Z89" s="70">
        <v>63</v>
      </c>
      <c r="AA89" s="70">
        <v>240.86584477955142</v>
      </c>
      <c r="AB89" s="70">
        <v>-54.865844779551423</v>
      </c>
      <c r="AC89" s="70">
        <v>-1.0860742233358993</v>
      </c>
      <c r="AE89" s="70">
        <v>20.627062706270628</v>
      </c>
      <c r="AF89" s="70">
        <v>204</v>
      </c>
    </row>
    <row r="90" spans="1:32">
      <c r="A90" s="70">
        <v>66</v>
      </c>
      <c r="B90" s="70">
        <v>222.64791585186319</v>
      </c>
      <c r="C90" s="70">
        <v>-39.647915851863189</v>
      </c>
      <c r="D90" s="70">
        <v>-0.78303451235972166</v>
      </c>
      <c r="F90" s="70">
        <v>21.617161716171616</v>
      </c>
      <c r="G90" s="70">
        <v>206</v>
      </c>
      <c r="V90">
        <v>54</v>
      </c>
      <c r="W90">
        <v>110</v>
      </c>
      <c r="X90">
        <v>214</v>
      </c>
      <c r="Z90" s="70">
        <v>64</v>
      </c>
      <c r="AA90" s="70">
        <v>232.1188659284218</v>
      </c>
      <c r="AB90" s="70">
        <v>-29.118865928421798</v>
      </c>
      <c r="AC90" s="70">
        <v>-0.57641051230873708</v>
      </c>
      <c r="AE90" s="70">
        <v>20.957095709570957</v>
      </c>
      <c r="AF90" s="70">
        <v>205</v>
      </c>
    </row>
    <row r="91" spans="1:32">
      <c r="A91" s="70">
        <v>67</v>
      </c>
      <c r="B91" s="70">
        <v>242.15897651140091</v>
      </c>
      <c r="C91" s="70">
        <v>-20.158976511400908</v>
      </c>
      <c r="D91" s="70">
        <v>-0.39813377331747174</v>
      </c>
      <c r="F91" s="70">
        <v>21.947194719471945</v>
      </c>
      <c r="G91" s="70">
        <v>206</v>
      </c>
      <c r="V91">
        <v>58</v>
      </c>
      <c r="W91">
        <v>100</v>
      </c>
      <c r="X91">
        <v>248</v>
      </c>
      <c r="Z91" s="70">
        <v>65</v>
      </c>
      <c r="AA91" s="70">
        <v>252.00068851663593</v>
      </c>
      <c r="AB91" s="70">
        <v>-41.000688516635933</v>
      </c>
      <c r="AC91" s="70">
        <v>-0.81161223555130257</v>
      </c>
      <c r="AE91" s="70">
        <v>21.287128712871286</v>
      </c>
      <c r="AF91" s="70">
        <v>205</v>
      </c>
    </row>
    <row r="92" spans="1:32">
      <c r="A92" s="70">
        <v>68</v>
      </c>
      <c r="B92" s="70">
        <v>234.84232876407427</v>
      </c>
      <c r="C92" s="70">
        <v>-0.84232876407426716</v>
      </c>
      <c r="D92" s="70">
        <v>-1.6635741850538285E-2</v>
      </c>
      <c r="F92" s="70">
        <v>22.277227722772277</v>
      </c>
      <c r="G92" s="70">
        <v>207</v>
      </c>
      <c r="V92">
        <v>48</v>
      </c>
      <c r="W92">
        <v>124</v>
      </c>
      <c r="X92">
        <v>255</v>
      </c>
      <c r="Z92" s="70">
        <v>66</v>
      </c>
      <c r="AA92" s="70">
        <v>226.07133381932795</v>
      </c>
      <c r="AB92" s="70">
        <v>-43.071333819327947</v>
      </c>
      <c r="AC92" s="70">
        <v>-0.85260084144922021</v>
      </c>
      <c r="AE92" s="70">
        <v>21.617161716171616</v>
      </c>
      <c r="AF92" s="70">
        <v>206</v>
      </c>
    </row>
    <row r="93" spans="1:32">
      <c r="A93" s="70">
        <v>69</v>
      </c>
      <c r="B93" s="70">
        <v>233.62288747285317</v>
      </c>
      <c r="C93" s="70">
        <v>-13.622887472853165</v>
      </c>
      <c r="D93" s="70">
        <v>-0.26904796431400951</v>
      </c>
      <c r="F93" s="70">
        <v>22.607260726072607</v>
      </c>
      <c r="G93" s="70">
        <v>207</v>
      </c>
      <c r="V93">
        <v>57</v>
      </c>
      <c r="W93">
        <v>132</v>
      </c>
      <c r="X93">
        <v>207</v>
      </c>
      <c r="Z93" s="70">
        <v>67</v>
      </c>
      <c r="AA93" s="70">
        <v>236.093312156656</v>
      </c>
      <c r="AB93" s="70">
        <v>-14.093312156655998</v>
      </c>
      <c r="AC93" s="70">
        <v>-0.27897835376947044</v>
      </c>
      <c r="AE93" s="70">
        <v>21.947194719471945</v>
      </c>
      <c r="AF93" s="70">
        <v>206</v>
      </c>
    </row>
    <row r="94" spans="1:32">
      <c r="A94" s="70">
        <v>70</v>
      </c>
      <c r="B94" s="70">
        <v>255.57283071483306</v>
      </c>
      <c r="C94" s="70">
        <v>-46.57283071483306</v>
      </c>
      <c r="D94" s="70">
        <v>-0.91979951542112171</v>
      </c>
      <c r="F94" s="70">
        <v>22.937293729372936</v>
      </c>
      <c r="G94" s="70">
        <v>208</v>
      </c>
      <c r="V94">
        <v>52</v>
      </c>
      <c r="W94">
        <v>138</v>
      </c>
      <c r="X94">
        <v>223</v>
      </c>
      <c r="Z94" s="70">
        <v>68</v>
      </c>
      <c r="AA94" s="70">
        <v>235.54007660579214</v>
      </c>
      <c r="AB94" s="70">
        <v>-1.5400766057921373</v>
      </c>
      <c r="AC94" s="70">
        <v>-3.048595187468758E-2</v>
      </c>
      <c r="AE94" s="70">
        <v>22.277227722772277</v>
      </c>
      <c r="AF94" s="70">
        <v>207</v>
      </c>
    </row>
    <row r="95" spans="1:32">
      <c r="A95" s="70">
        <v>71</v>
      </c>
      <c r="B95" s="70">
        <v>245.81730038506424</v>
      </c>
      <c r="C95" s="70">
        <v>12.182699614935757</v>
      </c>
      <c r="D95" s="70">
        <v>0.24060468368245633</v>
      </c>
      <c r="F95" s="70">
        <v>23.267326732673268</v>
      </c>
      <c r="G95" s="70">
        <v>208</v>
      </c>
      <c r="V95">
        <v>54</v>
      </c>
      <c r="W95">
        <v>132</v>
      </c>
      <c r="X95">
        <v>288</v>
      </c>
      <c r="Z95" s="70">
        <v>69</v>
      </c>
      <c r="AA95" s="70">
        <v>232.39548370385373</v>
      </c>
      <c r="AB95" s="70">
        <v>-12.395483703853728</v>
      </c>
      <c r="AC95" s="70">
        <v>-0.24536969020758057</v>
      </c>
      <c r="AE95" s="70">
        <v>22.607260726072607</v>
      </c>
      <c r="AF95" s="70">
        <v>207</v>
      </c>
    </row>
    <row r="96" spans="1:32">
      <c r="A96" s="70">
        <v>72</v>
      </c>
      <c r="B96" s="70">
        <v>242.15897651140091</v>
      </c>
      <c r="C96" s="70">
        <v>-15.158976511400908</v>
      </c>
      <c r="D96" s="70">
        <v>-0.29938526465873422</v>
      </c>
      <c r="F96" s="70">
        <v>23.597359735973598</v>
      </c>
      <c r="G96" s="70">
        <v>209</v>
      </c>
      <c r="V96">
        <v>45</v>
      </c>
      <c r="W96">
        <v>112</v>
      </c>
      <c r="X96">
        <v>160</v>
      </c>
      <c r="Z96" s="70">
        <v>70</v>
      </c>
      <c r="AA96" s="70">
        <v>253.18348207769037</v>
      </c>
      <c r="AB96" s="70">
        <v>-44.183482077690371</v>
      </c>
      <c r="AC96" s="70">
        <v>-0.87461591404654437</v>
      </c>
      <c r="AE96" s="70">
        <v>22.937293729372936</v>
      </c>
      <c r="AF96" s="70">
        <v>208</v>
      </c>
    </row>
    <row r="97" spans="1:32">
      <c r="A97" s="70">
        <v>73</v>
      </c>
      <c r="B97" s="70">
        <v>215.33126810453655</v>
      </c>
      <c r="C97" s="70">
        <v>-11.331268104536548</v>
      </c>
      <c r="D97" s="70">
        <v>-0.22378916530706069</v>
      </c>
      <c r="F97" s="70">
        <v>23.927392739273927</v>
      </c>
      <c r="G97" s="70">
        <v>209</v>
      </c>
      <c r="V97">
        <v>53</v>
      </c>
      <c r="W97">
        <v>142</v>
      </c>
      <c r="X97">
        <v>226</v>
      </c>
      <c r="Z97" s="70">
        <v>71</v>
      </c>
      <c r="AA97" s="70">
        <v>243.49216621127491</v>
      </c>
      <c r="AB97" s="70">
        <v>14.507833788725094</v>
      </c>
      <c r="AC97" s="70">
        <v>0.28718384593703411</v>
      </c>
      <c r="AE97" s="70">
        <v>23.267326732673268</v>
      </c>
      <c r="AF97" s="70">
        <v>208</v>
      </c>
    </row>
    <row r="98" spans="1:32">
      <c r="A98" s="70">
        <v>74</v>
      </c>
      <c r="B98" s="70">
        <v>242.15897651140091</v>
      </c>
      <c r="C98" s="70">
        <v>18.841023488599092</v>
      </c>
      <c r="D98" s="70">
        <v>0.37210459422068082</v>
      </c>
      <c r="F98" s="70">
        <v>24.257425742574256</v>
      </c>
      <c r="G98" s="70">
        <v>210</v>
      </c>
      <c r="V98">
        <v>62</v>
      </c>
      <c r="W98">
        <v>140</v>
      </c>
      <c r="X98">
        <v>394</v>
      </c>
      <c r="Z98" s="70">
        <v>72</v>
      </c>
      <c r="AA98" s="70">
        <v>234.87235736593823</v>
      </c>
      <c r="AB98" s="70">
        <v>-7.8723573659382282</v>
      </c>
      <c r="AC98" s="70">
        <v>-0.15583400650053583</v>
      </c>
      <c r="AE98" s="70">
        <v>23.597359735973598</v>
      </c>
      <c r="AF98" s="70">
        <v>209</v>
      </c>
    </row>
    <row r="99" spans="1:32">
      <c r="A99" s="70">
        <v>75</v>
      </c>
      <c r="B99" s="70">
        <v>232.40344618163203</v>
      </c>
      <c r="C99" s="70">
        <v>-19.403446181632034</v>
      </c>
      <c r="D99" s="70">
        <v>-0.38321227465524765</v>
      </c>
      <c r="F99" s="70">
        <v>24.587458745874585</v>
      </c>
      <c r="G99" s="70">
        <v>211</v>
      </c>
      <c r="V99">
        <v>52</v>
      </c>
      <c r="W99">
        <v>108</v>
      </c>
      <c r="X99">
        <v>233</v>
      </c>
      <c r="Z99" s="70">
        <v>73</v>
      </c>
      <c r="AA99" s="70">
        <v>217.78538459391822</v>
      </c>
      <c r="AB99" s="70">
        <v>-13.785384593918224</v>
      </c>
      <c r="AC99" s="70">
        <v>-0.27288290058018888</v>
      </c>
      <c r="AE99" s="70">
        <v>23.927392739273927</v>
      </c>
      <c r="AF99" s="70">
        <v>209</v>
      </c>
    </row>
    <row r="100" spans="1:32">
      <c r="A100" s="70">
        <v>76</v>
      </c>
      <c r="B100" s="70">
        <v>247.03674167628532</v>
      </c>
      <c r="C100" s="70">
        <v>2.9632583237146832</v>
      </c>
      <c r="D100" s="70">
        <v>5.8523468047483075E-2</v>
      </c>
      <c r="F100" s="70">
        <v>24.917491749174918</v>
      </c>
      <c r="G100" s="70">
        <v>211</v>
      </c>
      <c r="V100">
        <v>43</v>
      </c>
      <c r="W100">
        <v>130</v>
      </c>
      <c r="X100">
        <v>315</v>
      </c>
      <c r="Z100" s="70">
        <v>74</v>
      </c>
      <c r="AA100" s="70">
        <v>244.23301076144111</v>
      </c>
      <c r="AB100" s="70">
        <v>16.766989238558892</v>
      </c>
      <c r="AC100" s="70">
        <v>0.33190402677871816</v>
      </c>
      <c r="AE100" s="70">
        <v>24.257425742574256</v>
      </c>
      <c r="AF100" s="70">
        <v>210</v>
      </c>
    </row>
    <row r="101" spans="1:32">
      <c r="A101" s="70">
        <v>77</v>
      </c>
      <c r="B101" s="70">
        <v>242.15897651140091</v>
      </c>
      <c r="C101" s="70">
        <v>2.8410234885990917</v>
      </c>
      <c r="D101" s="70">
        <v>5.6109366512720811E-2</v>
      </c>
      <c r="F101" s="70">
        <v>25.247524752475247</v>
      </c>
      <c r="G101" s="70">
        <v>211</v>
      </c>
      <c r="V101">
        <v>53</v>
      </c>
      <c r="W101">
        <v>130</v>
      </c>
      <c r="X101">
        <v>246</v>
      </c>
      <c r="Z101" s="70">
        <v>75</v>
      </c>
      <c r="AA101" s="70">
        <v>231.69280038335086</v>
      </c>
      <c r="AB101" s="70">
        <v>-18.692800383350857</v>
      </c>
      <c r="AC101" s="70">
        <v>-0.37002562778158987</v>
      </c>
      <c r="AE101" s="70">
        <v>24.587458745874585</v>
      </c>
      <c r="AF101" s="70">
        <v>211</v>
      </c>
    </row>
    <row r="102" spans="1:32">
      <c r="A102" s="70">
        <v>78</v>
      </c>
      <c r="B102" s="70">
        <v>251.91450684116975</v>
      </c>
      <c r="C102" s="70">
        <v>-30.914506841169754</v>
      </c>
      <c r="D102" s="70">
        <v>-0.6105522892971702</v>
      </c>
      <c r="F102" s="70">
        <v>25.577557755775576</v>
      </c>
      <c r="G102" s="70">
        <v>211</v>
      </c>
      <c r="V102">
        <v>42</v>
      </c>
      <c r="W102">
        <v>148</v>
      </c>
      <c r="X102">
        <v>244</v>
      </c>
      <c r="Z102" s="70">
        <v>76</v>
      </c>
      <c r="AA102" s="70">
        <v>247.65422143881145</v>
      </c>
      <c r="AB102" s="70">
        <v>2.3457785611885527</v>
      </c>
      <c r="AC102" s="70">
        <v>4.6434892950201839E-2</v>
      </c>
      <c r="AE102" s="70">
        <v>24.917491749174918</v>
      </c>
      <c r="AF102" s="70">
        <v>211</v>
      </c>
    </row>
    <row r="103" spans="1:32">
      <c r="A103" s="70">
        <v>79</v>
      </c>
      <c r="B103" s="70">
        <v>243.37841780262201</v>
      </c>
      <c r="C103" s="70">
        <v>-38.37841780262201</v>
      </c>
      <c r="D103" s="70">
        <v>-0.75796230453817304</v>
      </c>
      <c r="F103" s="70">
        <v>25.907590759075909</v>
      </c>
      <c r="G103" s="70">
        <v>212</v>
      </c>
      <c r="V103">
        <v>59</v>
      </c>
      <c r="W103">
        <v>178</v>
      </c>
      <c r="X103">
        <v>270</v>
      </c>
      <c r="Z103" s="70">
        <v>77</v>
      </c>
      <c r="AA103" s="70">
        <v>241.18062378464668</v>
      </c>
      <c r="AB103" s="70">
        <v>3.8193762153533157</v>
      </c>
      <c r="AC103" s="70">
        <v>7.5604888130027872E-2</v>
      </c>
      <c r="AE103" s="70">
        <v>25.247524752475247</v>
      </c>
      <c r="AF103" s="70">
        <v>211</v>
      </c>
    </row>
    <row r="104" spans="1:32">
      <c r="A104" s="70">
        <v>80</v>
      </c>
      <c r="B104" s="70">
        <v>250.69506554994865</v>
      </c>
      <c r="C104" s="70">
        <v>-10.695065549948652</v>
      </c>
      <c r="D104" s="70">
        <v>-0.21122435461297392</v>
      </c>
      <c r="F104" s="70">
        <v>26.237623762376238</v>
      </c>
      <c r="G104" s="70">
        <v>212</v>
      </c>
      <c r="V104">
        <v>63</v>
      </c>
      <c r="W104">
        <v>140</v>
      </c>
      <c r="X104">
        <v>195</v>
      </c>
      <c r="Z104" s="70">
        <v>78</v>
      </c>
      <c r="AA104" s="70">
        <v>253.11035676737805</v>
      </c>
      <c r="AB104" s="70">
        <v>-32.11035676737805</v>
      </c>
      <c r="AC104" s="70">
        <v>-0.63562733659331949</v>
      </c>
      <c r="AE104" s="70">
        <v>25.577557755775576</v>
      </c>
      <c r="AF104" s="70">
        <v>211</v>
      </c>
    </row>
    <row r="105" spans="1:32">
      <c r="A105" s="70">
        <v>81</v>
      </c>
      <c r="B105" s="70">
        <v>229.96456359918983</v>
      </c>
      <c r="C105" s="70">
        <v>20.03543640081017</v>
      </c>
      <c r="D105" s="70">
        <v>0.39569389298139751</v>
      </c>
      <c r="F105" s="70">
        <v>26.567656765676567</v>
      </c>
      <c r="G105" s="70">
        <v>212</v>
      </c>
      <c r="V105">
        <v>42</v>
      </c>
      <c r="W105">
        <v>120</v>
      </c>
      <c r="X105">
        <v>240</v>
      </c>
      <c r="Z105" s="70">
        <v>79</v>
      </c>
      <c r="AA105" s="70">
        <v>242.90076943074769</v>
      </c>
      <c r="AB105" s="70">
        <v>-37.900769430747687</v>
      </c>
      <c r="AC105" s="70">
        <v>-0.75024906458150109</v>
      </c>
      <c r="AE105" s="70">
        <v>25.907590759075909</v>
      </c>
      <c r="AF105" s="70">
        <v>212</v>
      </c>
    </row>
    <row r="106" spans="1:32">
      <c r="A106" s="70">
        <v>82</v>
      </c>
      <c r="B106" s="70">
        <v>234.84232876407427</v>
      </c>
      <c r="C106" s="70">
        <v>73.157671235925733</v>
      </c>
      <c r="D106" s="70">
        <v>1.4448421862987768</v>
      </c>
      <c r="F106" s="70">
        <v>26.897689768976896</v>
      </c>
      <c r="G106" s="70">
        <v>212</v>
      </c>
      <c r="V106">
        <v>50</v>
      </c>
      <c r="W106">
        <v>129</v>
      </c>
      <c r="X106">
        <v>196</v>
      </c>
      <c r="Z106" s="70">
        <v>80</v>
      </c>
      <c r="AA106" s="70">
        <v>244.87845223744895</v>
      </c>
      <c r="AB106" s="70">
        <v>-4.8784522374489541</v>
      </c>
      <c r="AC106" s="70">
        <v>-9.6569391142289671E-2</v>
      </c>
      <c r="AE106" s="70">
        <v>26.237623762376238</v>
      </c>
      <c r="AF106" s="70">
        <v>212</v>
      </c>
    </row>
    <row r="107" spans="1:32">
      <c r="A107" s="70">
        <v>83</v>
      </c>
      <c r="B107" s="70">
        <v>253.13394813239086</v>
      </c>
      <c r="C107" s="70">
        <v>64.866051867609144</v>
      </c>
      <c r="D107" s="70">
        <v>1.2810851769013436</v>
      </c>
      <c r="F107" s="70">
        <v>27.227722772277225</v>
      </c>
      <c r="G107" s="70">
        <v>212</v>
      </c>
      <c r="V107">
        <v>68</v>
      </c>
      <c r="W107">
        <v>120</v>
      </c>
      <c r="X107">
        <v>211</v>
      </c>
      <c r="Z107" s="70">
        <v>81</v>
      </c>
      <c r="AA107" s="70">
        <v>227.43853923067036</v>
      </c>
      <c r="AB107" s="70">
        <v>22.561460769329642</v>
      </c>
      <c r="AC107" s="70">
        <v>0.44660610040411719</v>
      </c>
      <c r="AE107" s="70">
        <v>26.567656765676567</v>
      </c>
      <c r="AF107" s="70">
        <v>212</v>
      </c>
    </row>
    <row r="108" spans="1:32">
      <c r="A108" s="70">
        <v>84</v>
      </c>
      <c r="B108" s="70">
        <v>243.37841780262201</v>
      </c>
      <c r="C108" s="70">
        <v>54.62158219737799</v>
      </c>
      <c r="D108" s="70">
        <v>1.0787599565143446</v>
      </c>
      <c r="F108" s="70">
        <v>27.557755775577558</v>
      </c>
      <c r="G108" s="70">
        <v>213</v>
      </c>
      <c r="V108">
        <v>69</v>
      </c>
      <c r="W108">
        <v>160</v>
      </c>
      <c r="X108">
        <v>234</v>
      </c>
      <c r="Z108" s="70">
        <v>82</v>
      </c>
      <c r="AA108" s="70">
        <v>235.13309167555286</v>
      </c>
      <c r="AB108" s="70">
        <v>72.866908324447138</v>
      </c>
      <c r="AC108" s="70">
        <v>1.4424068595560433</v>
      </c>
      <c r="AE108" s="70">
        <v>26.897689768976896</v>
      </c>
      <c r="AF108" s="70">
        <v>212</v>
      </c>
    </row>
    <row r="109" spans="1:32">
      <c r="A109" s="70">
        <v>85</v>
      </c>
      <c r="B109" s="70">
        <v>231.18400489041093</v>
      </c>
      <c r="C109" s="70">
        <v>33.815995109589068</v>
      </c>
      <c r="D109" s="70">
        <v>0.66785581717661624</v>
      </c>
      <c r="F109" s="70">
        <v>27.887788778877887</v>
      </c>
      <c r="G109" s="70">
        <v>213</v>
      </c>
      <c r="V109">
        <v>45</v>
      </c>
      <c r="W109">
        <v>138</v>
      </c>
      <c r="X109">
        <v>236</v>
      </c>
      <c r="Z109" s="70">
        <v>83</v>
      </c>
      <c r="AA109" s="70">
        <v>246.48731134357431</v>
      </c>
      <c r="AB109" s="70">
        <v>71.512688656425695</v>
      </c>
      <c r="AC109" s="70">
        <v>1.4155999621122486</v>
      </c>
      <c r="AE109" s="70">
        <v>27.227722772277225</v>
      </c>
      <c r="AF109" s="70">
        <v>212</v>
      </c>
    </row>
    <row r="110" spans="1:32">
      <c r="A110" s="70">
        <v>86</v>
      </c>
      <c r="B110" s="70">
        <v>261.6700371709386</v>
      </c>
      <c r="C110" s="70">
        <v>302.3299628290614</v>
      </c>
      <c r="D110" s="70">
        <v>5.9709265904442717</v>
      </c>
      <c r="F110" s="70">
        <v>28.217821782178216</v>
      </c>
      <c r="G110" s="70">
        <v>214</v>
      </c>
      <c r="V110">
        <v>50</v>
      </c>
      <c r="W110">
        <v>120</v>
      </c>
      <c r="X110">
        <v>244</v>
      </c>
      <c r="Z110" s="70">
        <v>84</v>
      </c>
      <c r="AA110" s="70">
        <v>247.78458859361876</v>
      </c>
      <c r="AB110" s="70">
        <v>50.215411406381236</v>
      </c>
      <c r="AC110" s="70">
        <v>0.99401848566823525</v>
      </c>
      <c r="AE110" s="70">
        <v>27.557755775577558</v>
      </c>
      <c r="AF110" s="70">
        <v>213</v>
      </c>
    </row>
    <row r="111" spans="1:32">
      <c r="A111" s="70">
        <v>87</v>
      </c>
      <c r="B111" s="70">
        <v>262.88947846215973</v>
      </c>
      <c r="C111" s="70">
        <v>14.11052153784027</v>
      </c>
      <c r="D111" s="70">
        <v>0.27867859165174441</v>
      </c>
      <c r="F111" s="70">
        <v>28.547854785478549</v>
      </c>
      <c r="G111" s="70">
        <v>214</v>
      </c>
      <c r="V111">
        <v>50</v>
      </c>
      <c r="W111">
        <v>110</v>
      </c>
      <c r="X111">
        <v>254</v>
      </c>
      <c r="Z111" s="70">
        <v>85</v>
      </c>
      <c r="AA111" s="70">
        <v>226.51328283021618</v>
      </c>
      <c r="AB111" s="70">
        <v>38.486717169783816</v>
      </c>
      <c r="AC111" s="70">
        <v>0.76184795161488306</v>
      </c>
      <c r="AE111" s="70">
        <v>27.887788778877887</v>
      </c>
      <c r="AF111" s="70">
        <v>213</v>
      </c>
    </row>
    <row r="112" spans="1:32">
      <c r="A112" s="70">
        <v>88</v>
      </c>
      <c r="B112" s="70">
        <v>236.06177005529537</v>
      </c>
      <c r="C112" s="70">
        <v>-39.061770055295369</v>
      </c>
      <c r="D112" s="70">
        <v>-0.77145830770618962</v>
      </c>
      <c r="F112" s="70">
        <v>28.877887788778878</v>
      </c>
      <c r="G112" s="70">
        <v>215</v>
      </c>
      <c r="V112">
        <v>64</v>
      </c>
      <c r="W112">
        <v>180</v>
      </c>
      <c r="X112">
        <v>325</v>
      </c>
      <c r="Z112" s="70">
        <v>86</v>
      </c>
      <c r="AA112" s="70">
        <v>256.90039114532431</v>
      </c>
      <c r="AB112" s="70">
        <v>307.09960885467569</v>
      </c>
      <c r="AC112" s="70">
        <v>6.0790637693399479</v>
      </c>
      <c r="AE112" s="70">
        <v>28.217821782178216</v>
      </c>
      <c r="AF112" s="70">
        <v>214</v>
      </c>
    </row>
    <row r="113" spans="1:32">
      <c r="A113" s="70">
        <v>89</v>
      </c>
      <c r="B113" s="70">
        <v>245.81730038506424</v>
      </c>
      <c r="C113" s="70">
        <v>-31.817300385064243</v>
      </c>
      <c r="D113" s="70">
        <v>-0.62838219251443372</v>
      </c>
      <c r="F113" s="70">
        <v>29.207920792079207</v>
      </c>
      <c r="G113" s="70">
        <v>216</v>
      </c>
      <c r="V113">
        <v>57</v>
      </c>
      <c r="W113">
        <v>150</v>
      </c>
      <c r="X113">
        <v>126</v>
      </c>
      <c r="Z113" s="70">
        <v>87</v>
      </c>
      <c r="AA113" s="70">
        <v>258.62053679142531</v>
      </c>
      <c r="AB113" s="70">
        <v>18.379463208574691</v>
      </c>
      <c r="AC113" s="70">
        <v>0.3638230908461863</v>
      </c>
      <c r="AE113" s="70">
        <v>28.547854785478549</v>
      </c>
      <c r="AF113" s="70">
        <v>214</v>
      </c>
    </row>
    <row r="114" spans="1:32">
      <c r="A114" s="70">
        <v>90</v>
      </c>
      <c r="B114" s="70">
        <v>250.69506554994865</v>
      </c>
      <c r="C114" s="70">
        <v>-2.6950655499486516</v>
      </c>
      <c r="D114" s="70">
        <v>-5.3226740758993918E-2</v>
      </c>
      <c r="F114" s="70">
        <v>29.537953795379536</v>
      </c>
      <c r="G114" s="70">
        <v>216</v>
      </c>
      <c r="V114">
        <v>64</v>
      </c>
      <c r="W114">
        <v>140</v>
      </c>
      <c r="X114">
        <v>313</v>
      </c>
      <c r="Z114" s="70">
        <v>88</v>
      </c>
      <c r="AA114" s="70">
        <v>230.74846336806502</v>
      </c>
      <c r="AB114" s="70">
        <v>-33.748463368065018</v>
      </c>
      <c r="AC114" s="70">
        <v>-0.66805380083953447</v>
      </c>
      <c r="AE114" s="70">
        <v>28.877887788778878</v>
      </c>
      <c r="AF114" s="70">
        <v>215</v>
      </c>
    </row>
    <row r="115" spans="1:32">
      <c r="A115" s="70">
        <v>91</v>
      </c>
      <c r="B115" s="70">
        <v>238.50065263773757</v>
      </c>
      <c r="C115" s="70">
        <v>16.499347362262426</v>
      </c>
      <c r="D115" s="70">
        <v>0.3258571891731778</v>
      </c>
      <c r="F115" s="70">
        <v>29.867986798679866</v>
      </c>
      <c r="G115" s="70">
        <v>217</v>
      </c>
      <c r="V115">
        <v>43</v>
      </c>
      <c r="W115">
        <v>110</v>
      </c>
      <c r="X115">
        <v>211</v>
      </c>
      <c r="Z115" s="70">
        <v>89</v>
      </c>
      <c r="AA115" s="70">
        <v>241.45724156007861</v>
      </c>
      <c r="AB115" s="70">
        <v>-27.457241560078614</v>
      </c>
      <c r="AC115" s="70">
        <v>-0.54351851178317656</v>
      </c>
      <c r="AE115" s="70">
        <v>29.207920792079207</v>
      </c>
      <c r="AF115" s="70">
        <v>216</v>
      </c>
    </row>
    <row r="116" spans="1:32">
      <c r="A116" s="70">
        <v>92</v>
      </c>
      <c r="B116" s="70">
        <v>249.47562425872755</v>
      </c>
      <c r="C116" s="70">
        <v>-42.475624258727549</v>
      </c>
      <c r="D116" s="70">
        <v>-0.83888090997964759</v>
      </c>
      <c r="F116" s="70">
        <v>30.198019801980198</v>
      </c>
      <c r="G116" s="70">
        <v>218</v>
      </c>
      <c r="V116">
        <v>55</v>
      </c>
      <c r="W116">
        <v>130</v>
      </c>
      <c r="X116">
        <v>262</v>
      </c>
      <c r="Z116" s="70">
        <v>90</v>
      </c>
      <c r="AA116" s="70">
        <v>243.86098991185082</v>
      </c>
      <c r="AB116" s="70">
        <v>4.1390100881491776</v>
      </c>
      <c r="AC116" s="70">
        <v>8.1932068756580309E-2</v>
      </c>
      <c r="AE116" s="70">
        <v>29.537953795379536</v>
      </c>
      <c r="AF116" s="70">
        <v>216</v>
      </c>
    </row>
    <row r="117" spans="1:32">
      <c r="A117" s="70">
        <v>93</v>
      </c>
      <c r="B117" s="70">
        <v>243.37841780262201</v>
      </c>
      <c r="C117" s="70">
        <v>-20.37841780262201</v>
      </c>
      <c r="D117" s="70">
        <v>-0.40246767336671802</v>
      </c>
      <c r="F117" s="70">
        <v>30.528052805280527</v>
      </c>
      <c r="G117" s="70">
        <v>218</v>
      </c>
      <c r="V117">
        <v>37</v>
      </c>
      <c r="W117">
        <v>120</v>
      </c>
      <c r="X117">
        <v>215</v>
      </c>
      <c r="Z117" s="70">
        <v>91</v>
      </c>
      <c r="AA117" s="70">
        <v>237.64812656730072</v>
      </c>
      <c r="AB117" s="70">
        <v>17.351873432699279</v>
      </c>
      <c r="AC117" s="70">
        <v>0.343481860847341</v>
      </c>
      <c r="AE117" s="70">
        <v>29.867986798679866</v>
      </c>
      <c r="AF117" s="70">
        <v>217</v>
      </c>
    </row>
    <row r="118" spans="1:32">
      <c r="A118" s="70">
        <v>94</v>
      </c>
      <c r="B118" s="70">
        <v>245.81730038506424</v>
      </c>
      <c r="C118" s="70">
        <v>42.182699614935757</v>
      </c>
      <c r="D118" s="70">
        <v>0.83309573563488137</v>
      </c>
      <c r="F118" s="70">
        <v>30.858085808580856</v>
      </c>
      <c r="G118" s="70">
        <v>219</v>
      </c>
      <c r="V118">
        <v>41</v>
      </c>
      <c r="W118">
        <v>130</v>
      </c>
      <c r="X118">
        <v>214</v>
      </c>
      <c r="Z118" s="70">
        <v>92</v>
      </c>
      <c r="AA118" s="70">
        <v>249.2630805449368</v>
      </c>
      <c r="AB118" s="70">
        <v>-42.263080544936798</v>
      </c>
      <c r="AC118" s="70">
        <v>-0.83660139678979473</v>
      </c>
      <c r="AE118" s="70">
        <v>30.198019801980198</v>
      </c>
      <c r="AF118" s="70">
        <v>218</v>
      </c>
    </row>
    <row r="119" spans="1:32">
      <c r="A119" s="70">
        <v>95</v>
      </c>
      <c r="B119" s="70">
        <v>234.84232876407427</v>
      </c>
      <c r="C119" s="70">
        <v>-74.842328764074267</v>
      </c>
      <c r="D119" s="70">
        <v>-1.4781136699998534</v>
      </c>
      <c r="F119" s="70">
        <v>31.188118811881189</v>
      </c>
      <c r="G119" s="70">
        <v>219</v>
      </c>
      <c r="V119">
        <v>56</v>
      </c>
      <c r="W119">
        <v>120</v>
      </c>
      <c r="X119">
        <v>193</v>
      </c>
      <c r="Z119" s="70">
        <v>93</v>
      </c>
      <c r="AA119" s="70">
        <v>244.93569408194398</v>
      </c>
      <c r="AB119" s="70">
        <v>-21.935694081943979</v>
      </c>
      <c r="AC119" s="70">
        <v>-0.43421899378573586</v>
      </c>
      <c r="AE119" s="70">
        <v>30.528052805280527</v>
      </c>
      <c r="AF119" s="70">
        <v>218</v>
      </c>
    </row>
    <row r="120" spans="1:32">
      <c r="A120" s="70">
        <v>96</v>
      </c>
      <c r="B120" s="70">
        <v>244.59785909384311</v>
      </c>
      <c r="C120" s="70">
        <v>-18.597859093843113</v>
      </c>
      <c r="D120" s="70">
        <v>-0.36730216995246934</v>
      </c>
      <c r="F120" s="70">
        <v>31.518151815181518</v>
      </c>
      <c r="G120" s="70">
        <v>219</v>
      </c>
      <c r="V120">
        <v>46</v>
      </c>
      <c r="W120">
        <v>105</v>
      </c>
      <c r="X120">
        <v>204</v>
      </c>
      <c r="Z120" s="70">
        <v>94</v>
      </c>
      <c r="AA120" s="70">
        <v>245.93407579271044</v>
      </c>
      <c r="AB120" s="70">
        <v>42.065924207289555</v>
      </c>
      <c r="AC120" s="70">
        <v>0.83269866974446571</v>
      </c>
      <c r="AE120" s="70">
        <v>30.858085808580856</v>
      </c>
      <c r="AF120" s="70">
        <v>219</v>
      </c>
    </row>
    <row r="121" spans="1:32">
      <c r="A121" s="70">
        <v>97</v>
      </c>
      <c r="B121" s="70">
        <v>255.57283071483306</v>
      </c>
      <c r="C121" s="70">
        <v>138.42716928516694</v>
      </c>
      <c r="D121" s="70">
        <v>2.7338953049521661</v>
      </c>
      <c r="F121" s="70">
        <v>31.848184818481847</v>
      </c>
      <c r="G121" s="70">
        <v>220</v>
      </c>
      <c r="V121">
        <v>46</v>
      </c>
      <c r="W121">
        <v>138</v>
      </c>
      <c r="X121">
        <v>243</v>
      </c>
      <c r="Z121" s="70">
        <v>95</v>
      </c>
      <c r="AA121" s="70">
        <v>231.87721223363883</v>
      </c>
      <c r="AB121" s="70">
        <v>-71.877212233638829</v>
      </c>
      <c r="AC121" s="70">
        <v>-1.4228157383861779</v>
      </c>
      <c r="AE121" s="70">
        <v>31.188118811881189</v>
      </c>
      <c r="AF121" s="70">
        <v>219</v>
      </c>
    </row>
    <row r="122" spans="1:32">
      <c r="A122" s="70">
        <v>98</v>
      </c>
      <c r="B122" s="70">
        <v>243.37841780262201</v>
      </c>
      <c r="C122" s="70">
        <v>-10.37841780262201</v>
      </c>
      <c r="D122" s="70">
        <v>-0.204970656049243</v>
      </c>
      <c r="F122" s="70">
        <v>32.178217821782177</v>
      </c>
      <c r="G122" s="70">
        <v>220</v>
      </c>
      <c r="V122">
        <v>64</v>
      </c>
      <c r="W122">
        <v>130</v>
      </c>
      <c r="X122">
        <v>303</v>
      </c>
      <c r="Z122" s="70">
        <v>96</v>
      </c>
      <c r="AA122" s="70">
        <v>246.85933219316462</v>
      </c>
      <c r="AB122" s="70">
        <v>-20.859332193164619</v>
      </c>
      <c r="AC122" s="70">
        <v>-0.41291231552202862</v>
      </c>
      <c r="AE122" s="70">
        <v>31.518151815181518</v>
      </c>
      <c r="AF122" s="70">
        <v>219</v>
      </c>
    </row>
    <row r="123" spans="1:32">
      <c r="A123" s="70">
        <v>99</v>
      </c>
      <c r="B123" s="70">
        <v>232.40344618163203</v>
      </c>
      <c r="C123" s="70">
        <v>82.596553818367966</v>
      </c>
      <c r="D123" s="70">
        <v>1.6312573019829975</v>
      </c>
      <c r="F123" s="70">
        <v>32.508250825082506</v>
      </c>
      <c r="G123" s="70">
        <v>220</v>
      </c>
      <c r="V123">
        <v>59</v>
      </c>
      <c r="W123">
        <v>138</v>
      </c>
      <c r="X123">
        <v>271</v>
      </c>
      <c r="Z123" s="70">
        <v>97</v>
      </c>
      <c r="AA123" s="70">
        <v>256.4393615196044</v>
      </c>
      <c r="AB123" s="70">
        <v>137.5606384803956</v>
      </c>
      <c r="AC123" s="70">
        <v>2.72302493836508</v>
      </c>
      <c r="AE123" s="70">
        <v>31.848184818481847</v>
      </c>
      <c r="AF123" s="70">
        <v>220</v>
      </c>
    </row>
    <row r="124" spans="1:32">
      <c r="A124" s="70">
        <v>100</v>
      </c>
      <c r="B124" s="70">
        <v>244.59785909384311</v>
      </c>
      <c r="C124" s="70">
        <v>1.4021409061568875</v>
      </c>
      <c r="D124" s="70">
        <v>2.769186468248069E-2</v>
      </c>
      <c r="F124" s="70">
        <v>32.838283828382835</v>
      </c>
      <c r="G124" s="70">
        <v>221</v>
      </c>
      <c r="V124">
        <v>41</v>
      </c>
      <c r="W124">
        <v>112</v>
      </c>
      <c r="X124">
        <v>268</v>
      </c>
      <c r="Z124" s="70">
        <v>98</v>
      </c>
      <c r="AA124" s="70">
        <v>238.83092012835513</v>
      </c>
      <c r="AB124" s="70">
        <v>-5.8309201283551317</v>
      </c>
      <c r="AC124" s="70">
        <v>-0.11542357682055066</v>
      </c>
      <c r="AE124" s="70">
        <v>32.178217821782177</v>
      </c>
      <c r="AF124" s="70">
        <v>220</v>
      </c>
    </row>
    <row r="125" spans="1:32">
      <c r="A125" s="70">
        <v>101</v>
      </c>
      <c r="B125" s="70">
        <v>231.18400489041093</v>
      </c>
      <c r="C125" s="70">
        <v>12.815995109589068</v>
      </c>
      <c r="D125" s="70">
        <v>0.2531120808099187</v>
      </c>
      <c r="F125" s="70">
        <v>33.168316831683164</v>
      </c>
      <c r="G125" s="70">
        <v>221</v>
      </c>
      <c r="V125">
        <v>54</v>
      </c>
      <c r="W125">
        <v>108</v>
      </c>
      <c r="X125">
        <v>267</v>
      </c>
      <c r="Z125" s="70">
        <v>99</v>
      </c>
      <c r="AA125" s="70">
        <v>233.3207401043079</v>
      </c>
      <c r="AB125" s="70">
        <v>81.679259895692098</v>
      </c>
      <c r="AC125" s="70">
        <v>1.6168481340312308</v>
      </c>
      <c r="AE125" s="70">
        <v>32.508250825082506</v>
      </c>
      <c r="AF125" s="70">
        <v>220</v>
      </c>
    </row>
    <row r="126" spans="1:32">
      <c r="A126" s="70">
        <v>102</v>
      </c>
      <c r="B126" s="70">
        <v>251.91450684116975</v>
      </c>
      <c r="C126" s="70">
        <v>18.085493158830246</v>
      </c>
      <c r="D126" s="70">
        <v>0.35718309555845729</v>
      </c>
      <c r="F126" s="70">
        <v>33.4983498349835</v>
      </c>
      <c r="G126" s="70">
        <v>222</v>
      </c>
      <c r="V126">
        <v>39</v>
      </c>
      <c r="W126">
        <v>94</v>
      </c>
      <c r="X126">
        <v>199</v>
      </c>
      <c r="Z126" s="70">
        <v>100</v>
      </c>
      <c r="AA126" s="70">
        <v>244.41742261172908</v>
      </c>
      <c r="AB126" s="70">
        <v>1.58257738827092</v>
      </c>
      <c r="AC126" s="70">
        <v>3.1327258602165793E-2</v>
      </c>
      <c r="AE126" s="70">
        <v>32.838283828382835</v>
      </c>
      <c r="AF126" s="70">
        <v>221</v>
      </c>
    </row>
    <row r="127" spans="1:32">
      <c r="A127" s="70">
        <v>103</v>
      </c>
      <c r="B127" s="70">
        <v>256.79227200605419</v>
      </c>
      <c r="C127" s="70">
        <v>-61.792272006054191</v>
      </c>
      <c r="D127" s="70">
        <v>-1.2203789414465811</v>
      </c>
      <c r="F127" s="70">
        <v>33.828382838283829</v>
      </c>
      <c r="G127" s="70">
        <v>222</v>
      </c>
      <c r="V127">
        <v>34</v>
      </c>
      <c r="W127">
        <v>118</v>
      </c>
      <c r="X127">
        <v>210</v>
      </c>
      <c r="Z127" s="70">
        <v>101</v>
      </c>
      <c r="AA127" s="70">
        <v>235.87393622571909</v>
      </c>
      <c r="AB127" s="70">
        <v>8.1260637742809081</v>
      </c>
      <c r="AC127" s="70">
        <v>0.16085614716934793</v>
      </c>
      <c r="AE127" s="70">
        <v>33.168316831683164</v>
      </c>
      <c r="AF127" s="70">
        <v>221</v>
      </c>
    </row>
    <row r="128" spans="1:32">
      <c r="A128" s="70">
        <v>104</v>
      </c>
      <c r="B128" s="70">
        <v>231.18400489041093</v>
      </c>
      <c r="C128" s="70">
        <v>8.8159951095890676</v>
      </c>
      <c r="D128" s="70">
        <v>0.17411327388292872</v>
      </c>
      <c r="F128" s="70">
        <v>34.158415841584159</v>
      </c>
      <c r="G128" s="70">
        <v>223</v>
      </c>
      <c r="V128">
        <v>47</v>
      </c>
      <c r="W128">
        <v>112</v>
      </c>
      <c r="X128">
        <v>204</v>
      </c>
      <c r="Z128" s="70">
        <v>102</v>
      </c>
      <c r="AA128" s="70">
        <v>260.84307044192394</v>
      </c>
      <c r="AB128" s="70">
        <v>9.1569295580760581</v>
      </c>
      <c r="AC128" s="70">
        <v>0.18126222603311759</v>
      </c>
      <c r="AE128" s="70">
        <v>33.4983498349835</v>
      </c>
      <c r="AF128" s="70">
        <v>222</v>
      </c>
    </row>
    <row r="129" spans="1:32">
      <c r="A129" s="70">
        <v>105</v>
      </c>
      <c r="B129" s="70">
        <v>240.93953522017978</v>
      </c>
      <c r="C129" s="70">
        <v>-44.939535220179778</v>
      </c>
      <c r="D129" s="70">
        <v>-0.88754241656191235</v>
      </c>
      <c r="F129" s="70">
        <v>34.488448844884488</v>
      </c>
      <c r="G129" s="70">
        <v>223</v>
      </c>
      <c r="V129">
        <v>67</v>
      </c>
      <c r="W129">
        <v>152</v>
      </c>
      <c r="X129">
        <v>277</v>
      </c>
      <c r="Z129" s="70">
        <v>103</v>
      </c>
      <c r="AA129" s="70">
        <v>257.54902977034652</v>
      </c>
      <c r="AB129" s="70">
        <v>-62.549029770346522</v>
      </c>
      <c r="AC129" s="70">
        <v>-1.2381635460311335</v>
      </c>
      <c r="AE129" s="70">
        <v>33.828382838283829</v>
      </c>
      <c r="AF129" s="70">
        <v>222</v>
      </c>
    </row>
    <row r="130" spans="1:32">
      <c r="A130" s="70">
        <v>106</v>
      </c>
      <c r="B130" s="70">
        <v>262.88947846215973</v>
      </c>
      <c r="C130" s="70">
        <v>-51.88947846215973</v>
      </c>
      <c r="D130" s="70">
        <v>-1.0248017226435906</v>
      </c>
      <c r="F130" s="70">
        <v>34.818481848184817</v>
      </c>
      <c r="G130" s="70">
        <v>223</v>
      </c>
      <c r="V130">
        <v>52</v>
      </c>
      <c r="W130">
        <v>136</v>
      </c>
      <c r="X130">
        <v>196</v>
      </c>
      <c r="Z130" s="70">
        <v>104</v>
      </c>
      <c r="AA130" s="70">
        <v>230.17614720236949</v>
      </c>
      <c r="AB130" s="70">
        <v>9.8238527976305079</v>
      </c>
      <c r="AC130" s="70">
        <v>0.19446403022175407</v>
      </c>
      <c r="AE130" s="70">
        <v>34.158415841584159</v>
      </c>
      <c r="AF130" s="70">
        <v>223</v>
      </c>
    </row>
    <row r="131" spans="1:32">
      <c r="A131" s="70">
        <v>107</v>
      </c>
      <c r="B131" s="70">
        <v>264.10891975338086</v>
      </c>
      <c r="C131" s="70">
        <v>-30.10891975338086</v>
      </c>
      <c r="D131" s="70">
        <v>-0.59464218459439255</v>
      </c>
      <c r="F131" s="70">
        <v>35.148514851485146</v>
      </c>
      <c r="G131" s="70">
        <v>224</v>
      </c>
      <c r="V131">
        <v>74</v>
      </c>
      <c r="W131">
        <v>120</v>
      </c>
      <c r="X131">
        <v>269</v>
      </c>
      <c r="Z131" s="70">
        <v>105</v>
      </c>
      <c r="AA131" s="70">
        <v>240.88492539438309</v>
      </c>
      <c r="AB131" s="70">
        <v>-44.884925394383089</v>
      </c>
      <c r="AC131" s="70">
        <v>-0.8885010461984717</v>
      </c>
      <c r="AE131" s="70">
        <v>34.488448844884488</v>
      </c>
      <c r="AF131" s="70">
        <v>223</v>
      </c>
    </row>
    <row r="132" spans="1:32">
      <c r="A132" s="70">
        <v>108</v>
      </c>
      <c r="B132" s="70">
        <v>234.84232876407427</v>
      </c>
      <c r="C132" s="70">
        <v>1.1576712359257328</v>
      </c>
      <c r="D132" s="70">
        <v>2.2863661612956717E-2</v>
      </c>
      <c r="F132" s="70">
        <v>35.478547854785475</v>
      </c>
      <c r="G132" s="70">
        <v>225</v>
      </c>
      <c r="V132">
        <v>54</v>
      </c>
      <c r="W132">
        <v>160</v>
      </c>
      <c r="X132">
        <v>201</v>
      </c>
      <c r="Z132" s="70">
        <v>106</v>
      </c>
      <c r="AA132" s="70">
        <v>259.02752172166453</v>
      </c>
      <c r="AB132" s="70">
        <v>-48.027521721664527</v>
      </c>
      <c r="AC132" s="70">
        <v>-0.95070901691548326</v>
      </c>
      <c r="AE132" s="70">
        <v>34.818481848184817</v>
      </c>
      <c r="AF132" s="70">
        <v>223</v>
      </c>
    </row>
    <row r="133" spans="1:32">
      <c r="A133" s="70">
        <v>109</v>
      </c>
      <c r="B133" s="70">
        <v>240.93953522017978</v>
      </c>
      <c r="C133" s="70">
        <v>3.0604647798202222</v>
      </c>
      <c r="D133" s="70">
        <v>6.0443266561967676E-2</v>
      </c>
      <c r="F133" s="70">
        <v>35.808580858085811</v>
      </c>
      <c r="G133" s="70">
        <v>225</v>
      </c>
      <c r="V133">
        <v>49</v>
      </c>
      <c r="W133">
        <v>134</v>
      </c>
      <c r="X133">
        <v>271</v>
      </c>
      <c r="Z133" s="70">
        <v>107</v>
      </c>
      <c r="AA133" s="70">
        <v>268.27688857719181</v>
      </c>
      <c r="AB133" s="70">
        <v>-34.276888577191812</v>
      </c>
      <c r="AC133" s="70">
        <v>-0.67851402433375818</v>
      </c>
      <c r="AE133" s="70">
        <v>35.148514851485146</v>
      </c>
      <c r="AF133" s="70">
        <v>224</v>
      </c>
    </row>
    <row r="134" spans="1:32">
      <c r="A134" s="70">
        <v>110</v>
      </c>
      <c r="B134" s="70">
        <v>240.93953522017978</v>
      </c>
      <c r="C134" s="70">
        <v>13.060464779820222</v>
      </c>
      <c r="D134" s="70">
        <v>0.25794028387944268</v>
      </c>
      <c r="F134" s="70">
        <v>36.138613861386141</v>
      </c>
      <c r="G134" s="70">
        <v>226</v>
      </c>
      <c r="V134">
        <v>42</v>
      </c>
      <c r="W134">
        <v>120</v>
      </c>
      <c r="X134">
        <v>295</v>
      </c>
      <c r="Z134" s="70">
        <v>108</v>
      </c>
      <c r="AA134" s="70">
        <v>237.16801632674915</v>
      </c>
      <c r="AB134" s="70">
        <v>-1.1680163267491537</v>
      </c>
      <c r="AC134" s="70">
        <v>-2.3120985925118357E-2</v>
      </c>
      <c r="AE134" s="70">
        <v>35.478547854785475</v>
      </c>
      <c r="AF134" s="70">
        <v>225</v>
      </c>
    </row>
    <row r="135" spans="1:32">
      <c r="A135" s="70">
        <v>111</v>
      </c>
      <c r="B135" s="70">
        <v>258.01171329727526</v>
      </c>
      <c r="C135" s="70">
        <v>66.988286702724736</v>
      </c>
      <c r="D135" s="70">
        <v>1.3229986818996009</v>
      </c>
      <c r="F135" s="70">
        <v>36.46864686468647</v>
      </c>
      <c r="G135" s="70">
        <v>226</v>
      </c>
      <c r="V135">
        <v>41</v>
      </c>
      <c r="W135">
        <v>110</v>
      </c>
      <c r="X135">
        <v>235</v>
      </c>
      <c r="Z135" s="70">
        <v>109</v>
      </c>
      <c r="AA135" s="70">
        <v>239.05349320830643</v>
      </c>
      <c r="AB135" s="70">
        <v>4.9465067916935652</v>
      </c>
      <c r="AC135" s="70">
        <v>9.7916537029547265E-2</v>
      </c>
      <c r="AE135" s="70">
        <v>35.808580858085811</v>
      </c>
      <c r="AF135" s="70">
        <v>225</v>
      </c>
    </row>
    <row r="136" spans="1:32">
      <c r="A136" s="70">
        <v>112</v>
      </c>
      <c r="B136" s="70">
        <v>249.47562425872755</v>
      </c>
      <c r="C136" s="70">
        <v>-123.47562425872755</v>
      </c>
      <c r="D136" s="70">
        <v>-2.438606750251195</v>
      </c>
      <c r="F136" s="70">
        <v>36.798679867986799</v>
      </c>
      <c r="G136" s="70">
        <v>226</v>
      </c>
      <c r="V136">
        <v>41</v>
      </c>
      <c r="W136">
        <v>126</v>
      </c>
      <c r="X136">
        <v>306</v>
      </c>
      <c r="Z136" s="70">
        <v>110</v>
      </c>
      <c r="AA136" s="70">
        <v>237.01856855711014</v>
      </c>
      <c r="AB136" s="70">
        <v>16.981431442889857</v>
      </c>
      <c r="AC136" s="70">
        <v>0.33614892907549265</v>
      </c>
      <c r="AE136" s="70">
        <v>36.138613861386141</v>
      </c>
      <c r="AF136" s="70">
        <v>226</v>
      </c>
    </row>
    <row r="137" spans="1:32">
      <c r="A137" s="70">
        <v>113</v>
      </c>
      <c r="B137" s="70">
        <v>258.01171329727526</v>
      </c>
      <c r="C137" s="70">
        <v>54.988286702724736</v>
      </c>
      <c r="D137" s="70">
        <v>1.0860022611186309</v>
      </c>
      <c r="F137" s="70">
        <v>37.128712871287128</v>
      </c>
      <c r="G137" s="70">
        <v>226</v>
      </c>
      <c r="V137">
        <v>49</v>
      </c>
      <c r="W137">
        <v>130</v>
      </c>
      <c r="X137">
        <v>269</v>
      </c>
      <c r="Z137" s="70">
        <v>111</v>
      </c>
      <c r="AA137" s="70">
        <v>266.79839662587381</v>
      </c>
      <c r="AB137" s="70">
        <v>58.201603374126194</v>
      </c>
      <c r="AC137" s="70">
        <v>1.1521058581242714</v>
      </c>
      <c r="AE137" s="70">
        <v>36.46864686468647</v>
      </c>
      <c r="AF137" s="70">
        <v>226</v>
      </c>
    </row>
    <row r="138" spans="1:32">
      <c r="A138" s="70">
        <v>114</v>
      </c>
      <c r="B138" s="70">
        <v>232.40344618163203</v>
      </c>
      <c r="C138" s="70">
        <v>-21.403446181632034</v>
      </c>
      <c r="D138" s="70">
        <v>-0.42271167811874261</v>
      </c>
      <c r="F138" s="70">
        <v>37.458745874587457</v>
      </c>
      <c r="G138" s="70">
        <v>227</v>
      </c>
      <c r="V138">
        <v>60</v>
      </c>
      <c r="W138">
        <v>120</v>
      </c>
      <c r="X138">
        <v>178</v>
      </c>
      <c r="Z138" s="70">
        <v>112</v>
      </c>
      <c r="AA138" s="70">
        <v>252.92594491709011</v>
      </c>
      <c r="AB138" s="70">
        <v>-126.92594491709011</v>
      </c>
      <c r="AC138" s="70">
        <v>-2.5125102438663447</v>
      </c>
      <c r="AE138" s="70">
        <v>36.798679867986799</v>
      </c>
      <c r="AF138" s="70">
        <v>226</v>
      </c>
    </row>
    <row r="139" spans="1:32">
      <c r="A139" s="70">
        <v>115</v>
      </c>
      <c r="B139" s="70">
        <v>247.03674167628532</v>
      </c>
      <c r="C139" s="70">
        <v>14.963258323714683</v>
      </c>
      <c r="D139" s="70">
        <v>0.29551988882845309</v>
      </c>
      <c r="F139" s="70">
        <v>37.788778877887786</v>
      </c>
      <c r="G139" s="70">
        <v>227</v>
      </c>
      <c r="V139">
        <v>62</v>
      </c>
      <c r="W139">
        <v>128</v>
      </c>
      <c r="X139">
        <v>208</v>
      </c>
      <c r="Z139" s="70">
        <v>113</v>
      </c>
      <c r="AA139" s="70">
        <v>258.65869802108864</v>
      </c>
      <c r="AB139" s="70">
        <v>54.34130197891136</v>
      </c>
      <c r="AC139" s="70">
        <v>1.0756908524591617</v>
      </c>
      <c r="AE139" s="70">
        <v>37.128712871287128</v>
      </c>
      <c r="AF139" s="70">
        <v>226</v>
      </c>
    </row>
    <row r="140" spans="1:32">
      <c r="A140" s="70">
        <v>116</v>
      </c>
      <c r="B140" s="70">
        <v>225.08679843430539</v>
      </c>
      <c r="C140" s="70">
        <v>-10.086798434305393</v>
      </c>
      <c r="D140" s="70">
        <v>-0.19921126050578922</v>
      </c>
      <c r="F140" s="70">
        <v>38.118811881188115</v>
      </c>
      <c r="G140" s="70">
        <v>228</v>
      </c>
      <c r="V140">
        <v>57</v>
      </c>
      <c r="W140">
        <v>110</v>
      </c>
      <c r="X140">
        <v>201</v>
      </c>
      <c r="Z140" s="70">
        <v>114</v>
      </c>
      <c r="AA140" s="70">
        <v>229.25089080191532</v>
      </c>
      <c r="AB140" s="70">
        <v>-18.250890801915318</v>
      </c>
      <c r="AC140" s="70">
        <v>-0.36127798874731093</v>
      </c>
      <c r="AE140" s="70">
        <v>37.458745874587457</v>
      </c>
      <c r="AF140" s="70">
        <v>227</v>
      </c>
    </row>
    <row r="141" spans="1:32">
      <c r="A141" s="70">
        <v>117</v>
      </c>
      <c r="B141" s="70">
        <v>229.96456359918983</v>
      </c>
      <c r="C141" s="70">
        <v>-15.96456359918983</v>
      </c>
      <c r="D141" s="70">
        <v>-0.31529536936151253</v>
      </c>
      <c r="F141" s="70">
        <v>38.448844884488445</v>
      </c>
      <c r="G141" s="70">
        <v>228</v>
      </c>
      <c r="V141">
        <v>64</v>
      </c>
      <c r="W141">
        <v>128</v>
      </c>
      <c r="X141">
        <v>263</v>
      </c>
      <c r="Z141" s="70">
        <v>115</v>
      </c>
      <c r="AA141" s="70">
        <v>246.63675911321332</v>
      </c>
      <c r="AB141" s="70">
        <v>15.363240886786684</v>
      </c>
      <c r="AC141" s="70">
        <v>0.30411670468360191</v>
      </c>
      <c r="AE141" s="70">
        <v>37.788778877887786</v>
      </c>
      <c r="AF141" s="70">
        <v>227</v>
      </c>
    </row>
    <row r="142" spans="1:32">
      <c r="A142" s="70">
        <v>118</v>
      </c>
      <c r="B142" s="70">
        <v>248.25618296750645</v>
      </c>
      <c r="C142" s="70">
        <v>-55.256182967506447</v>
      </c>
      <c r="D142" s="70">
        <v>-1.0912931324431188</v>
      </c>
      <c r="F142" s="70">
        <v>38.778877887788781</v>
      </c>
      <c r="G142" s="70">
        <v>229</v>
      </c>
      <c r="V142">
        <v>51</v>
      </c>
      <c r="W142">
        <v>120</v>
      </c>
      <c r="X142">
        <v>295</v>
      </c>
      <c r="Z142" s="70">
        <v>116</v>
      </c>
      <c r="AA142" s="70">
        <v>224.62780594865887</v>
      </c>
      <c r="AB142" s="70">
        <v>-9.6278059486588745</v>
      </c>
      <c r="AC142" s="70">
        <v>-0.19058326560234784</v>
      </c>
      <c r="AE142" s="70">
        <v>38.118811881188115</v>
      </c>
      <c r="AF142" s="70">
        <v>228</v>
      </c>
    </row>
    <row r="143" spans="1:32">
      <c r="A143" s="70">
        <v>119</v>
      </c>
      <c r="B143" s="70">
        <v>236.06177005529537</v>
      </c>
      <c r="C143" s="70">
        <v>-32.061770055295369</v>
      </c>
      <c r="D143" s="70">
        <v>-0.63321039558395709</v>
      </c>
      <c r="F143" s="70">
        <v>39.10891089108911</v>
      </c>
      <c r="G143" s="70">
        <v>229</v>
      </c>
      <c r="V143">
        <v>43</v>
      </c>
      <c r="W143">
        <v>115</v>
      </c>
      <c r="X143">
        <v>303</v>
      </c>
      <c r="Z143" s="70">
        <v>117</v>
      </c>
      <c r="AA143" s="70">
        <v>231.10140360282367</v>
      </c>
      <c r="AB143" s="70">
        <v>-17.101403602823666</v>
      </c>
      <c r="AC143" s="70">
        <v>-0.33852378853396953</v>
      </c>
      <c r="AE143" s="70">
        <v>38.448844884488445</v>
      </c>
      <c r="AF143" s="70">
        <v>228</v>
      </c>
    </row>
    <row r="144" spans="1:32">
      <c r="A144" s="70">
        <v>120</v>
      </c>
      <c r="B144" s="70">
        <v>236.06177005529537</v>
      </c>
      <c r="C144" s="70">
        <v>6.9382299447046307</v>
      </c>
      <c r="D144" s="70">
        <v>0.13702797195419542</v>
      </c>
      <c r="F144" s="70">
        <v>39.438943894389439</v>
      </c>
      <c r="G144" s="70">
        <v>229</v>
      </c>
      <c r="V144">
        <v>42</v>
      </c>
      <c r="W144">
        <v>120</v>
      </c>
      <c r="X144">
        <v>209</v>
      </c>
      <c r="Z144" s="70">
        <v>118</v>
      </c>
      <c r="AA144" s="70">
        <v>245.71150271275914</v>
      </c>
      <c r="AB144" s="70">
        <v>-52.711502712759142</v>
      </c>
      <c r="AC144" s="70">
        <v>-1.0434288326307639</v>
      </c>
      <c r="AE144" s="70">
        <v>38.778877887788781</v>
      </c>
      <c r="AF144" s="70">
        <v>229</v>
      </c>
    </row>
    <row r="145" spans="1:32">
      <c r="A145" s="70">
        <v>121</v>
      </c>
      <c r="B145" s="70">
        <v>258.01171329727526</v>
      </c>
      <c r="C145" s="70">
        <v>44.988286702724736</v>
      </c>
      <c r="D145" s="70">
        <v>0.88850524380115581</v>
      </c>
      <c r="F145" s="70">
        <v>39.768976897689768</v>
      </c>
      <c r="G145" s="70">
        <v>230</v>
      </c>
      <c r="V145">
        <v>67</v>
      </c>
      <c r="W145">
        <v>106</v>
      </c>
      <c r="X145">
        <v>223</v>
      </c>
      <c r="Z145" s="70">
        <v>119</v>
      </c>
      <c r="AA145" s="70">
        <v>231.56243322854354</v>
      </c>
      <c r="AB145" s="70">
        <v>-27.56243322854354</v>
      </c>
      <c r="AC145" s="70">
        <v>-0.54560079011295504</v>
      </c>
      <c r="AE145" s="70">
        <v>39.10891089108911</v>
      </c>
      <c r="AF145" s="70">
        <v>229</v>
      </c>
    </row>
    <row r="146" spans="1:32">
      <c r="A146" s="70">
        <v>122</v>
      </c>
      <c r="B146" s="70">
        <v>251.91450684116975</v>
      </c>
      <c r="C146" s="70">
        <v>19.085493158830246</v>
      </c>
      <c r="D146" s="70">
        <v>0.37693279729020479</v>
      </c>
      <c r="F146" s="70">
        <v>40.099009900990097</v>
      </c>
      <c r="G146" s="70">
        <v>230</v>
      </c>
      <c r="V146">
        <v>76</v>
      </c>
      <c r="W146">
        <v>140</v>
      </c>
      <c r="X146">
        <v>197</v>
      </c>
      <c r="Z146" s="70">
        <v>120</v>
      </c>
      <c r="AA146" s="70">
        <v>238.27768457749127</v>
      </c>
      <c r="AB146" s="70">
        <v>4.7223154225087285</v>
      </c>
      <c r="AC146" s="70">
        <v>9.3478649156967172E-2</v>
      </c>
      <c r="AE146" s="70">
        <v>39.438943894389439</v>
      </c>
      <c r="AF146" s="70">
        <v>229</v>
      </c>
    </row>
    <row r="147" spans="1:32">
      <c r="A147" s="70">
        <v>123</v>
      </c>
      <c r="B147" s="70">
        <v>229.96456359918983</v>
      </c>
      <c r="C147" s="70">
        <v>38.03543640081017</v>
      </c>
      <c r="D147" s="70">
        <v>0.75118852415285253</v>
      </c>
      <c r="F147" s="70">
        <v>40.429042904290426</v>
      </c>
      <c r="G147" s="70">
        <v>230</v>
      </c>
      <c r="V147">
        <v>70</v>
      </c>
      <c r="W147">
        <v>156</v>
      </c>
      <c r="X147">
        <v>245</v>
      </c>
      <c r="Z147" s="70">
        <v>121</v>
      </c>
      <c r="AA147" s="70">
        <v>256.62377336989238</v>
      </c>
      <c r="AB147" s="70">
        <v>46.376226630107624</v>
      </c>
      <c r="AC147" s="70">
        <v>0.9180214853324562</v>
      </c>
      <c r="AE147" s="70">
        <v>39.768976897689768</v>
      </c>
      <c r="AF147" s="70">
        <v>230</v>
      </c>
    </row>
    <row r="148" spans="1:32">
      <c r="A148" s="70">
        <v>124</v>
      </c>
      <c r="B148" s="70">
        <v>245.81730038506424</v>
      </c>
      <c r="C148" s="70">
        <v>21.182699614935757</v>
      </c>
      <c r="D148" s="70">
        <v>0.41835199926818384</v>
      </c>
      <c r="F148" s="70">
        <v>40.759075907590756</v>
      </c>
      <c r="G148" s="70">
        <v>231</v>
      </c>
      <c r="V148">
        <v>44</v>
      </c>
      <c r="W148">
        <v>118</v>
      </c>
      <c r="X148">
        <v>242</v>
      </c>
      <c r="Z148" s="70">
        <v>122</v>
      </c>
      <c r="AA148" s="70">
        <v>252.7033718371388</v>
      </c>
      <c r="AB148" s="70">
        <v>18.296628162861197</v>
      </c>
      <c r="AC148" s="70">
        <v>0.36218336383023031</v>
      </c>
      <c r="AE148" s="70">
        <v>40.099009900990097</v>
      </c>
      <c r="AF148" s="70">
        <v>230</v>
      </c>
    </row>
    <row r="149" spans="1:32">
      <c r="A149" s="70">
        <v>125</v>
      </c>
      <c r="B149" s="70">
        <v>227.52568101674763</v>
      </c>
      <c r="C149" s="70">
        <v>-28.525681016747626</v>
      </c>
      <c r="D149" s="70">
        <v>-0.56337369177573737</v>
      </c>
      <c r="F149" s="70">
        <v>41.089108910891092</v>
      </c>
      <c r="G149" s="70">
        <v>231</v>
      </c>
      <c r="V149">
        <v>60</v>
      </c>
      <c r="W149">
        <v>150</v>
      </c>
      <c r="X149">
        <v>240</v>
      </c>
      <c r="Z149" s="70">
        <v>123</v>
      </c>
      <c r="AA149" s="70">
        <v>227.43853923067036</v>
      </c>
      <c r="AB149" s="70">
        <v>40.561460769329642</v>
      </c>
      <c r="AC149" s="70">
        <v>0.80291768365950256</v>
      </c>
      <c r="AE149" s="70">
        <v>40.429042904290426</v>
      </c>
      <c r="AF149" s="70">
        <v>230</v>
      </c>
    </row>
    <row r="150" spans="1:32">
      <c r="A150" s="70">
        <v>126</v>
      </c>
      <c r="B150" s="70">
        <v>221.42847456064209</v>
      </c>
      <c r="C150" s="70">
        <v>-11.428474560642087</v>
      </c>
      <c r="D150" s="70">
        <v>-0.22570896382154529</v>
      </c>
      <c r="F150" s="70">
        <v>41.419141914191421</v>
      </c>
      <c r="G150" s="70">
        <v>231</v>
      </c>
      <c r="V150">
        <v>44</v>
      </c>
      <c r="W150">
        <v>120</v>
      </c>
      <c r="X150">
        <v>226</v>
      </c>
      <c r="Z150" s="70">
        <v>124</v>
      </c>
      <c r="AA150" s="70">
        <v>241.05025662983937</v>
      </c>
      <c r="AB150" s="70">
        <v>25.949743370160633</v>
      </c>
      <c r="AC150" s="70">
        <v>0.51367745251627084</v>
      </c>
      <c r="AE150" s="70">
        <v>40.759075907590756</v>
      </c>
      <c r="AF150" s="70">
        <v>231</v>
      </c>
    </row>
    <row r="151" spans="1:32">
      <c r="A151" s="70">
        <v>127</v>
      </c>
      <c r="B151" s="70">
        <v>237.28121134651647</v>
      </c>
      <c r="C151" s="70">
        <v>-33.281211346516471</v>
      </c>
      <c r="D151" s="70">
        <v>-0.65729399736495098</v>
      </c>
      <c r="F151" s="70">
        <v>41.74917491749175</v>
      </c>
      <c r="G151" s="70">
        <v>232</v>
      </c>
      <c r="V151">
        <v>42</v>
      </c>
      <c r="W151">
        <v>130</v>
      </c>
      <c r="X151">
        <v>180</v>
      </c>
      <c r="Z151" s="70">
        <v>125</v>
      </c>
      <c r="AA151" s="70">
        <v>221.55633835703279</v>
      </c>
      <c r="AB151" s="70">
        <v>-22.556338357032786</v>
      </c>
      <c r="AC151" s="70">
        <v>-0.44650470180214052</v>
      </c>
      <c r="AE151" s="70">
        <v>41.089108910891092</v>
      </c>
      <c r="AF151" s="70">
        <v>231</v>
      </c>
    </row>
    <row r="152" spans="1:32">
      <c r="A152" s="70">
        <v>128</v>
      </c>
      <c r="B152" s="70">
        <v>261.6700371709386</v>
      </c>
      <c r="C152" s="70">
        <v>15.329962829061401</v>
      </c>
      <c r="D152" s="70">
        <v>0.30276219343273875</v>
      </c>
      <c r="F152" s="70">
        <v>42.079207920792079</v>
      </c>
      <c r="G152" s="70">
        <v>232</v>
      </c>
      <c r="V152">
        <v>66</v>
      </c>
      <c r="W152">
        <v>160</v>
      </c>
      <c r="X152">
        <v>228</v>
      </c>
      <c r="Z152" s="70">
        <v>126</v>
      </c>
      <c r="AA152" s="70">
        <v>220.89181626619327</v>
      </c>
      <c r="AB152" s="70">
        <v>-10.891816266193274</v>
      </c>
      <c r="AC152" s="70">
        <v>-0.21560446101856029</v>
      </c>
      <c r="AE152" s="70">
        <v>41.419141914191421</v>
      </c>
      <c r="AF152" s="70">
        <v>231</v>
      </c>
    </row>
    <row r="153" spans="1:32">
      <c r="A153" s="70">
        <v>129</v>
      </c>
      <c r="B153" s="70">
        <v>243.37841780262201</v>
      </c>
      <c r="C153" s="70">
        <v>-47.37841780262201</v>
      </c>
      <c r="D153" s="70">
        <v>-0.93570962012390058</v>
      </c>
      <c r="F153" s="70">
        <v>42.409240924092408</v>
      </c>
      <c r="G153" s="70">
        <v>233</v>
      </c>
      <c r="V153">
        <v>71</v>
      </c>
      <c r="W153">
        <v>112</v>
      </c>
      <c r="X153">
        <v>149</v>
      </c>
      <c r="Z153" s="70">
        <v>127</v>
      </c>
      <c r="AA153" s="70">
        <v>234.09654873512306</v>
      </c>
      <c r="AB153" s="70">
        <v>-30.096548735123065</v>
      </c>
      <c r="AC153" s="70">
        <v>-0.59576382946303141</v>
      </c>
      <c r="AE153" s="70">
        <v>41.74917491749175</v>
      </c>
      <c r="AF153" s="70">
        <v>232</v>
      </c>
    </row>
    <row r="154" spans="1:32">
      <c r="A154" s="70">
        <v>130</v>
      </c>
      <c r="B154" s="70">
        <v>270.20612620948634</v>
      </c>
      <c r="C154" s="70">
        <v>-1.2061262094863423</v>
      </c>
      <c r="D154" s="70">
        <v>-2.3820632888198464E-2</v>
      </c>
      <c r="F154" s="70">
        <v>42.739273927392738</v>
      </c>
      <c r="G154" s="70">
        <v>233</v>
      </c>
      <c r="V154">
        <v>64</v>
      </c>
      <c r="W154">
        <v>170</v>
      </c>
      <c r="X154">
        <v>227</v>
      </c>
      <c r="Z154" s="70">
        <v>128</v>
      </c>
      <c r="AA154" s="70">
        <v>264.42961235475053</v>
      </c>
      <c r="AB154" s="70">
        <v>12.570387645249468</v>
      </c>
      <c r="AC154" s="70">
        <v>0.24883192911182075</v>
      </c>
      <c r="AE154" s="70">
        <v>42.079207920792079</v>
      </c>
      <c r="AF154" s="70">
        <v>232</v>
      </c>
    </row>
    <row r="155" spans="1:32">
      <c r="A155" s="70">
        <v>131</v>
      </c>
      <c r="B155" s="70">
        <v>245.81730038506424</v>
      </c>
      <c r="C155" s="70">
        <v>-44.817300385064243</v>
      </c>
      <c r="D155" s="70">
        <v>-0.88512831502715117</v>
      </c>
      <c r="F155" s="70">
        <v>43.069306930693067</v>
      </c>
      <c r="G155" s="70">
        <v>233</v>
      </c>
      <c r="V155">
        <v>66</v>
      </c>
      <c r="W155">
        <v>146</v>
      </c>
      <c r="X155">
        <v>278</v>
      </c>
      <c r="Z155" s="70">
        <v>129</v>
      </c>
      <c r="AA155" s="70">
        <v>244.52870915170473</v>
      </c>
      <c r="AB155" s="70">
        <v>-48.528709151704732</v>
      </c>
      <c r="AC155" s="70">
        <v>-0.96063006617689006</v>
      </c>
      <c r="AE155" s="70">
        <v>42.409240924092408</v>
      </c>
      <c r="AF155" s="70">
        <v>233</v>
      </c>
    </row>
    <row r="156" spans="1:32">
      <c r="A156" s="70">
        <v>132</v>
      </c>
      <c r="B156" s="70">
        <v>239.7200939289587</v>
      </c>
      <c r="C156" s="70">
        <v>31.279906071041296</v>
      </c>
      <c r="D156" s="70">
        <v>0.61776881510014348</v>
      </c>
      <c r="F156" s="70">
        <v>43.399339933993396</v>
      </c>
      <c r="G156" s="70">
        <v>233</v>
      </c>
      <c r="V156">
        <v>39</v>
      </c>
      <c r="W156">
        <v>138</v>
      </c>
      <c r="X156">
        <v>220</v>
      </c>
      <c r="Z156" s="70">
        <v>130</v>
      </c>
      <c r="AA156" s="70">
        <v>265.68553122611723</v>
      </c>
      <c r="AB156" s="70">
        <v>3.3144687738827656</v>
      </c>
      <c r="AC156" s="70">
        <v>6.5610200915150227E-2</v>
      </c>
      <c r="AE156" s="70">
        <v>42.739273927392738</v>
      </c>
      <c r="AF156" s="70">
        <v>233</v>
      </c>
    </row>
    <row r="157" spans="1:32">
      <c r="A157" s="70">
        <v>133</v>
      </c>
      <c r="B157" s="70">
        <v>231.18400489041093</v>
      </c>
      <c r="C157" s="70">
        <v>63.815995109589068</v>
      </c>
      <c r="D157" s="70">
        <v>1.2603468691290411</v>
      </c>
      <c r="F157" s="70">
        <v>43.729372937293725</v>
      </c>
      <c r="G157" s="70">
        <v>234</v>
      </c>
      <c r="V157">
        <v>58</v>
      </c>
      <c r="W157">
        <v>130</v>
      </c>
      <c r="X157">
        <v>197</v>
      </c>
      <c r="Z157" s="70">
        <v>131</v>
      </c>
      <c r="AA157" s="70">
        <v>251.63186481606004</v>
      </c>
      <c r="AB157" s="70">
        <v>-50.631864816060045</v>
      </c>
      <c r="AC157" s="70">
        <v>-1.0022622175434996</v>
      </c>
      <c r="AE157" s="70">
        <v>43.069306930693067</v>
      </c>
      <c r="AF157" s="70">
        <v>233</v>
      </c>
    </row>
    <row r="158" spans="1:32">
      <c r="A158" s="70">
        <v>134</v>
      </c>
      <c r="B158" s="70">
        <v>229.96456359918983</v>
      </c>
      <c r="C158" s="70">
        <v>5.0354364008101697</v>
      </c>
      <c r="D158" s="70">
        <v>9.9448367005185015E-2</v>
      </c>
      <c r="F158" s="70">
        <v>44.059405940594061</v>
      </c>
      <c r="G158" s="70">
        <v>234</v>
      </c>
      <c r="V158">
        <v>47</v>
      </c>
      <c r="W158">
        <v>130</v>
      </c>
      <c r="X158">
        <v>253</v>
      </c>
      <c r="Z158" s="70">
        <v>132</v>
      </c>
      <c r="AA158" s="70">
        <v>240.7927194692391</v>
      </c>
      <c r="AB158" s="70">
        <v>30.207280530760897</v>
      </c>
      <c r="AC158" s="70">
        <v>0.59795577509749964</v>
      </c>
      <c r="AE158" s="70">
        <v>43.399339933993396</v>
      </c>
      <c r="AF158" s="70">
        <v>233</v>
      </c>
    </row>
    <row r="159" spans="1:32">
      <c r="A159" s="70">
        <v>135</v>
      </c>
      <c r="B159" s="70">
        <v>229.96456359918983</v>
      </c>
      <c r="C159" s="70">
        <v>76.03543640081017</v>
      </c>
      <c r="D159" s="70">
        <v>1.5016771899592576</v>
      </c>
      <c r="F159" s="70">
        <v>44.38943894389439</v>
      </c>
      <c r="G159" s="70">
        <v>234</v>
      </c>
      <c r="V159">
        <v>35</v>
      </c>
      <c r="W159">
        <v>122</v>
      </c>
      <c r="X159">
        <v>192</v>
      </c>
      <c r="Z159" s="70">
        <v>133</v>
      </c>
      <c r="AA159" s="70">
        <v>230.17614720236949</v>
      </c>
      <c r="AB159" s="70">
        <v>64.823852797630508</v>
      </c>
      <c r="AC159" s="70">
        <v>1.2831938679465427</v>
      </c>
      <c r="AE159" s="70">
        <v>43.729372937293725</v>
      </c>
      <c r="AF159" s="70">
        <v>234</v>
      </c>
    </row>
    <row r="160" spans="1:32">
      <c r="A160" s="70">
        <v>136</v>
      </c>
      <c r="B160" s="70">
        <v>239.7200939289587</v>
      </c>
      <c r="C160" s="70">
        <v>29.279906071041296</v>
      </c>
      <c r="D160" s="70">
        <v>0.57826941163664847</v>
      </c>
      <c r="F160" s="70">
        <v>44.71947194719472</v>
      </c>
      <c r="G160" s="70">
        <v>234</v>
      </c>
      <c r="V160">
        <v>58</v>
      </c>
      <c r="W160">
        <v>125</v>
      </c>
      <c r="X160">
        <v>220</v>
      </c>
      <c r="Z160" s="70">
        <v>134</v>
      </c>
      <c r="AA160" s="70">
        <v>227.03155430043108</v>
      </c>
      <c r="AB160" s="70">
        <v>7.9684456995689175</v>
      </c>
      <c r="AC160" s="70">
        <v>0.15773608351655377</v>
      </c>
      <c r="AE160" s="70">
        <v>44.059405940594061</v>
      </c>
      <c r="AF160" s="70">
        <v>234</v>
      </c>
    </row>
    <row r="161" spans="1:32">
      <c r="A161" s="70">
        <v>137</v>
      </c>
      <c r="B161" s="70">
        <v>253.13394813239086</v>
      </c>
      <c r="C161" s="70">
        <v>-75.133948132390856</v>
      </c>
      <c r="D161" s="70">
        <v>-1.4838730655433066</v>
      </c>
      <c r="F161" s="70">
        <v>45.049504950495049</v>
      </c>
      <c r="G161" s="70">
        <v>234</v>
      </c>
      <c r="V161">
        <v>56</v>
      </c>
      <c r="W161">
        <v>130</v>
      </c>
      <c r="X161">
        <v>221</v>
      </c>
      <c r="Z161" s="70">
        <v>135</v>
      </c>
      <c r="AA161" s="70">
        <v>230.28743374234514</v>
      </c>
      <c r="AB161" s="70">
        <v>75.712566257654856</v>
      </c>
      <c r="AC161" s="70">
        <v>1.4987369086440705</v>
      </c>
      <c r="AE161" s="70">
        <v>44.38943894389439</v>
      </c>
      <c r="AF161" s="70">
        <v>234</v>
      </c>
    </row>
    <row r="162" spans="1:32">
      <c r="A162" s="70">
        <v>138</v>
      </c>
      <c r="B162" s="70">
        <v>255.57283071483306</v>
      </c>
      <c r="C162" s="70">
        <v>-47.57283071483306</v>
      </c>
      <c r="D162" s="70">
        <v>-0.93954921715286921</v>
      </c>
      <c r="F162" s="70">
        <v>45.379537953795378</v>
      </c>
      <c r="G162" s="70">
        <v>234</v>
      </c>
      <c r="V162">
        <v>56</v>
      </c>
      <c r="W162">
        <v>120</v>
      </c>
      <c r="X162">
        <v>240</v>
      </c>
      <c r="Z162" s="70">
        <v>136</v>
      </c>
      <c r="AA162" s="70">
        <v>239.97874960876061</v>
      </c>
      <c r="AB162" s="70">
        <v>29.021250391239391</v>
      </c>
      <c r="AC162" s="70">
        <v>0.57447820416408213</v>
      </c>
      <c r="AE162" s="70">
        <v>44.71947194719472</v>
      </c>
      <c r="AF162" s="70">
        <v>234</v>
      </c>
    </row>
    <row r="163" spans="1:32">
      <c r="A163" s="70">
        <v>139</v>
      </c>
      <c r="B163" s="70">
        <v>249.47562425872755</v>
      </c>
      <c r="C163" s="70">
        <v>-48.475624258727549</v>
      </c>
      <c r="D163" s="70">
        <v>-0.95737912037013262</v>
      </c>
      <c r="F163" s="70">
        <v>45.709570957095707</v>
      </c>
      <c r="G163" s="70">
        <v>235</v>
      </c>
      <c r="V163">
        <v>55</v>
      </c>
      <c r="W163">
        <v>132</v>
      </c>
      <c r="X163">
        <v>342</v>
      </c>
      <c r="Z163" s="70">
        <v>137</v>
      </c>
      <c r="AA163" s="70">
        <v>250.15017571572761</v>
      </c>
      <c r="AB163" s="70">
        <v>-72.150175715727613</v>
      </c>
      <c r="AC163" s="70">
        <v>-1.4282190745236201</v>
      </c>
      <c r="AE163" s="70">
        <v>45.049504950495049</v>
      </c>
      <c r="AF163" s="70">
        <v>234</v>
      </c>
    </row>
    <row r="164" spans="1:32">
      <c r="A164" s="70">
        <v>140</v>
      </c>
      <c r="B164" s="70">
        <v>258.01171329727526</v>
      </c>
      <c r="C164" s="70">
        <v>4.9882867027247357</v>
      </c>
      <c r="D164" s="70">
        <v>9.8517174531255747E-2</v>
      </c>
      <c r="F164" s="70">
        <v>46.039603960396036</v>
      </c>
      <c r="G164" s="70">
        <v>235</v>
      </c>
      <c r="V164">
        <v>41</v>
      </c>
      <c r="W164">
        <v>120</v>
      </c>
      <c r="X164">
        <v>157</v>
      </c>
      <c r="Z164" s="70">
        <v>138</v>
      </c>
      <c r="AA164" s="70">
        <v>253.99745193816887</v>
      </c>
      <c r="AB164" s="70">
        <v>-45.997451938168865</v>
      </c>
      <c r="AC164" s="70">
        <v>-0.91052360698902457</v>
      </c>
      <c r="AE164" s="70">
        <v>45.379537953795378</v>
      </c>
      <c r="AF164" s="70">
        <v>234</v>
      </c>
    </row>
    <row r="165" spans="1:32">
      <c r="A165" s="70">
        <v>141</v>
      </c>
      <c r="B165" s="70">
        <v>242.15897651140091</v>
      </c>
      <c r="C165" s="70">
        <v>52.841023488599092</v>
      </c>
      <c r="D165" s="70">
        <v>1.0435944531000958</v>
      </c>
      <c r="F165" s="70">
        <v>46.369636963696372</v>
      </c>
      <c r="G165" s="70">
        <v>236</v>
      </c>
      <c r="V165">
        <v>38</v>
      </c>
      <c r="W165">
        <v>138</v>
      </c>
      <c r="X165">
        <v>175</v>
      </c>
      <c r="Z165" s="70">
        <v>139</v>
      </c>
      <c r="AA165" s="70">
        <v>244.78624631230497</v>
      </c>
      <c r="AB165" s="70">
        <v>-43.786246312304968</v>
      </c>
      <c r="AC165" s="70">
        <v>-0.86675259713042563</v>
      </c>
      <c r="AE165" s="70">
        <v>45.709570957095707</v>
      </c>
      <c r="AF165" s="70">
        <v>235</v>
      </c>
    </row>
    <row r="166" spans="1:32">
      <c r="A166" s="70">
        <v>142</v>
      </c>
      <c r="B166" s="70">
        <v>232.40344618163203</v>
      </c>
      <c r="C166" s="70">
        <v>70.596553818367966</v>
      </c>
      <c r="D166" s="70">
        <v>1.3942608812020274</v>
      </c>
      <c r="F166" s="70">
        <v>46.699669966996701</v>
      </c>
      <c r="G166" s="70">
        <v>236</v>
      </c>
      <c r="V166">
        <v>38</v>
      </c>
      <c r="W166">
        <v>138</v>
      </c>
      <c r="X166">
        <v>175</v>
      </c>
      <c r="Z166" s="70">
        <v>140</v>
      </c>
      <c r="AA166" s="70">
        <v>256.2167884396531</v>
      </c>
      <c r="AB166" s="70">
        <v>6.7832115603468992</v>
      </c>
      <c r="AC166" s="70">
        <v>0.13427426947907981</v>
      </c>
      <c r="AE166" s="70">
        <v>46.039603960396036</v>
      </c>
      <c r="AF166" s="70">
        <v>235</v>
      </c>
    </row>
    <row r="167" spans="1:32">
      <c r="A167" s="70">
        <v>143</v>
      </c>
      <c r="B167" s="70">
        <v>231.18400489041093</v>
      </c>
      <c r="C167" s="70">
        <v>-22.184004890410932</v>
      </c>
      <c r="D167" s="70">
        <v>-0.43812747980124384</v>
      </c>
      <c r="F167" s="70">
        <v>47.029702970297031</v>
      </c>
      <c r="G167" s="70">
        <v>236</v>
      </c>
      <c r="V167">
        <v>67</v>
      </c>
      <c r="W167">
        <v>160</v>
      </c>
      <c r="X167">
        <v>286</v>
      </c>
      <c r="Z167" s="70">
        <v>141</v>
      </c>
      <c r="AA167" s="70">
        <v>240.16316145904855</v>
      </c>
      <c r="AB167" s="70">
        <v>54.836838540951447</v>
      </c>
      <c r="AC167" s="70">
        <v>1.0855000422914636</v>
      </c>
      <c r="AE167" s="70">
        <v>46.369636963696372</v>
      </c>
      <c r="AF167" s="70">
        <v>236</v>
      </c>
    </row>
    <row r="168" spans="1:32">
      <c r="A168" s="70">
        <v>144</v>
      </c>
      <c r="B168" s="70">
        <v>261.6700371709386</v>
      </c>
      <c r="C168" s="70">
        <v>-38.670037170938599</v>
      </c>
      <c r="D168" s="70">
        <v>-0.76372170008162632</v>
      </c>
      <c r="F168" s="70">
        <v>47.35973597359736</v>
      </c>
      <c r="G168" s="70">
        <v>237</v>
      </c>
      <c r="V168">
        <v>67</v>
      </c>
      <c r="W168">
        <v>120</v>
      </c>
      <c r="X168">
        <v>229</v>
      </c>
      <c r="Z168" s="70">
        <v>142</v>
      </c>
      <c r="AA168" s="70">
        <v>230.26835312751348</v>
      </c>
      <c r="AB168" s="70">
        <v>72.731646872486522</v>
      </c>
      <c r="AC168" s="70">
        <v>1.4397293472170705</v>
      </c>
      <c r="AE168" s="70">
        <v>46.699669966996701</v>
      </c>
      <c r="AF168" s="70">
        <v>236</v>
      </c>
    </row>
    <row r="169" spans="1:32">
      <c r="A169" s="70">
        <v>145</v>
      </c>
      <c r="B169" s="70">
        <v>272.6450087919286</v>
      </c>
      <c r="C169" s="70">
        <v>-75.645008791928603</v>
      </c>
      <c r="D169" s="70">
        <v>-1.4939663611360072</v>
      </c>
      <c r="F169" s="70">
        <v>47.689768976897689</v>
      </c>
      <c r="G169" s="70">
        <v>239</v>
      </c>
      <c r="V169">
        <v>62</v>
      </c>
      <c r="W169">
        <v>140</v>
      </c>
      <c r="X169">
        <v>268</v>
      </c>
      <c r="Z169" s="70">
        <v>143</v>
      </c>
      <c r="AA169" s="70">
        <v>230.17614720236949</v>
      </c>
      <c r="AB169" s="70">
        <v>-21.176147202369492</v>
      </c>
      <c r="AC169" s="70">
        <v>-0.41918369649585407</v>
      </c>
      <c r="AE169" s="70">
        <v>47.029702970297031</v>
      </c>
      <c r="AF169" s="70">
        <v>236</v>
      </c>
    </row>
    <row r="170" spans="1:32">
      <c r="A170" s="70">
        <v>146</v>
      </c>
      <c r="B170" s="70">
        <v>265.32836104460193</v>
      </c>
      <c r="C170" s="70">
        <v>-20.328361044601934</v>
      </c>
      <c r="D170" s="70">
        <v>-0.40147906732616323</v>
      </c>
      <c r="F170" s="70">
        <v>48.019801980198018</v>
      </c>
      <c r="G170" s="70">
        <v>239</v>
      </c>
      <c r="V170">
        <v>63</v>
      </c>
      <c r="W170">
        <v>130</v>
      </c>
      <c r="X170">
        <v>254</v>
      </c>
      <c r="Z170" s="70">
        <v>144</v>
      </c>
      <c r="AA170" s="70">
        <v>255.06895895924765</v>
      </c>
      <c r="AB170" s="70">
        <v>-32.068958959247652</v>
      </c>
      <c r="AC170" s="70">
        <v>-0.63480786334008366</v>
      </c>
      <c r="AE170" s="70">
        <v>47.35973597359736</v>
      </c>
      <c r="AF170" s="70">
        <v>237</v>
      </c>
    </row>
    <row r="171" spans="1:32">
      <c r="A171" s="70">
        <v>147</v>
      </c>
      <c r="B171" s="70">
        <v>233.62288747285317</v>
      </c>
      <c r="C171" s="70">
        <v>8.377112527146835</v>
      </c>
      <c r="D171" s="70">
        <v>0.16544547378443553</v>
      </c>
      <c r="F171" s="70">
        <v>48.349834983498347</v>
      </c>
      <c r="G171" s="70">
        <v>239</v>
      </c>
      <c r="V171">
        <v>53</v>
      </c>
      <c r="W171">
        <v>140</v>
      </c>
      <c r="X171">
        <v>203</v>
      </c>
      <c r="Z171" s="70">
        <v>145</v>
      </c>
      <c r="AA171" s="70">
        <v>271.97471702999405</v>
      </c>
      <c r="AB171" s="70">
        <v>-74.974717029994054</v>
      </c>
      <c r="AC171" s="70">
        <v>-1.4841311182823158</v>
      </c>
      <c r="AE171" s="70">
        <v>47.689768976897689</v>
      </c>
      <c r="AF171" s="70">
        <v>239</v>
      </c>
    </row>
    <row r="172" spans="1:32">
      <c r="A172" s="70">
        <v>148</v>
      </c>
      <c r="B172" s="70">
        <v>253.13394813239086</v>
      </c>
      <c r="C172" s="70">
        <v>-13.133948132390856</v>
      </c>
      <c r="D172" s="70">
        <v>-0.25939155817496157</v>
      </c>
      <c r="F172" s="70">
        <v>48.679867986798676</v>
      </c>
      <c r="G172" s="70">
        <v>239</v>
      </c>
      <c r="V172">
        <v>56</v>
      </c>
      <c r="W172">
        <v>130</v>
      </c>
      <c r="X172">
        <v>256</v>
      </c>
      <c r="Z172" s="70">
        <v>146</v>
      </c>
      <c r="AA172" s="70">
        <v>268.57258696745538</v>
      </c>
      <c r="AB172" s="70">
        <v>-23.572586967455379</v>
      </c>
      <c r="AC172" s="70">
        <v>-0.46662143243329385</v>
      </c>
      <c r="AE172" s="70">
        <v>48.019801980198018</v>
      </c>
      <c r="AF172" s="70">
        <v>239</v>
      </c>
    </row>
    <row r="173" spans="1:32">
      <c r="A173" s="70">
        <v>149</v>
      </c>
      <c r="B173" s="70">
        <v>233.62288747285317</v>
      </c>
      <c r="C173" s="70">
        <v>-7.622887472853165</v>
      </c>
      <c r="D173" s="70">
        <v>-0.15054975392352449</v>
      </c>
      <c r="F173" s="70">
        <v>49.009900990099005</v>
      </c>
      <c r="G173" s="70">
        <v>240</v>
      </c>
      <c r="V173">
        <v>48</v>
      </c>
      <c r="W173">
        <v>110</v>
      </c>
      <c r="X173">
        <v>229</v>
      </c>
      <c r="Z173" s="70">
        <v>147</v>
      </c>
      <c r="AA173" s="70">
        <v>231.98849877361448</v>
      </c>
      <c r="AB173" s="70">
        <v>10.011501226385519</v>
      </c>
      <c r="AC173" s="70">
        <v>0.19817854737425869</v>
      </c>
      <c r="AE173" s="70">
        <v>48.349834983498347</v>
      </c>
      <c r="AF173" s="70">
        <v>239</v>
      </c>
    </row>
    <row r="174" spans="1:32">
      <c r="A174" s="70">
        <v>150</v>
      </c>
      <c r="B174" s="70">
        <v>231.18400489041093</v>
      </c>
      <c r="C174" s="70">
        <v>-51.184004890410932</v>
      </c>
      <c r="D174" s="70">
        <v>-1.0108688300219213</v>
      </c>
      <c r="F174" s="70">
        <v>49.339933993399342</v>
      </c>
      <c r="G174" s="70">
        <v>240</v>
      </c>
      <c r="V174">
        <v>58</v>
      </c>
      <c r="W174">
        <v>120</v>
      </c>
      <c r="X174">
        <v>284</v>
      </c>
      <c r="Z174" s="70">
        <v>148</v>
      </c>
      <c r="AA174" s="70">
        <v>256.25494966931643</v>
      </c>
      <c r="AB174" s="70">
        <v>-16.254949669316431</v>
      </c>
      <c r="AC174" s="70">
        <v>-0.32176815846726337</v>
      </c>
      <c r="AE174" s="70">
        <v>48.679867986798676</v>
      </c>
      <c r="AF174" s="70">
        <v>239</v>
      </c>
    </row>
    <row r="175" spans="1:32">
      <c r="A175" s="70">
        <v>151</v>
      </c>
      <c r="B175" s="70">
        <v>260.45059587971753</v>
      </c>
      <c r="C175" s="70">
        <v>-32.450595879717525</v>
      </c>
      <c r="D175" s="70">
        <v>-0.64088958964189557</v>
      </c>
      <c r="F175" s="70">
        <v>49.669966996699671</v>
      </c>
      <c r="G175" s="70">
        <v>240</v>
      </c>
      <c r="V175">
        <v>58</v>
      </c>
      <c r="W175">
        <v>132</v>
      </c>
      <c r="X175">
        <v>224</v>
      </c>
      <c r="Z175" s="70">
        <v>149</v>
      </c>
      <c r="AA175" s="70">
        <v>232.39548370385373</v>
      </c>
      <c r="AB175" s="70">
        <v>-6.3954837038537278</v>
      </c>
      <c r="AC175" s="70">
        <v>-0.12659916245578542</v>
      </c>
      <c r="AE175" s="70">
        <v>49.009900990099005</v>
      </c>
      <c r="AF175" s="70">
        <v>240</v>
      </c>
    </row>
    <row r="176" spans="1:32">
      <c r="A176" s="70">
        <v>152</v>
      </c>
      <c r="B176" s="70">
        <v>266.54780233582301</v>
      </c>
      <c r="C176" s="70">
        <v>-117.54780233582301</v>
      </c>
      <c r="D176" s="70">
        <v>-2.3215340353549165</v>
      </c>
      <c r="F176" s="70">
        <v>50</v>
      </c>
      <c r="G176" s="70">
        <v>240</v>
      </c>
      <c r="V176">
        <v>60</v>
      </c>
      <c r="W176">
        <v>130</v>
      </c>
      <c r="X176">
        <v>206</v>
      </c>
      <c r="Z176" s="70">
        <v>150</v>
      </c>
      <c r="AA176" s="70">
        <v>232.21107185356578</v>
      </c>
      <c r="AB176" s="70">
        <v>-52.211071853565784</v>
      </c>
      <c r="AC176" s="70">
        <v>-1.0335227597558174</v>
      </c>
      <c r="AE176" s="70">
        <v>49.339933993399342</v>
      </c>
      <c r="AF176" s="70">
        <v>240</v>
      </c>
    </row>
    <row r="177" spans="1:32">
      <c r="A177" s="70">
        <v>153</v>
      </c>
      <c r="B177" s="70">
        <v>258.01171329727526</v>
      </c>
      <c r="C177" s="70">
        <v>-31.011713297275264</v>
      </c>
      <c r="D177" s="70">
        <v>-0.6124720878116543</v>
      </c>
      <c r="F177" s="70">
        <v>50.330033003300329</v>
      </c>
      <c r="G177" s="70">
        <v>241</v>
      </c>
      <c r="V177">
        <v>40</v>
      </c>
      <c r="W177">
        <v>110</v>
      </c>
      <c r="X177">
        <v>167</v>
      </c>
      <c r="Z177" s="70">
        <v>151</v>
      </c>
      <c r="AA177" s="70">
        <v>264.94788382496546</v>
      </c>
      <c r="AB177" s="70">
        <v>-36.947883824965459</v>
      </c>
      <c r="AC177" s="70">
        <v>-0.73138661020052698</v>
      </c>
      <c r="AE177" s="70">
        <v>49.669966996699671</v>
      </c>
      <c r="AF177" s="70">
        <v>240</v>
      </c>
    </row>
    <row r="178" spans="1:32">
      <c r="A178" s="70">
        <v>154</v>
      </c>
      <c r="B178" s="70">
        <v>260.45059587971753</v>
      </c>
      <c r="C178" s="70">
        <v>17.549404120282475</v>
      </c>
      <c r="D178" s="70">
        <v>0.34659549694547953</v>
      </c>
      <c r="F178" s="70">
        <v>50.660066006600658</v>
      </c>
      <c r="G178" s="70">
        <v>242</v>
      </c>
      <c r="V178">
        <v>60</v>
      </c>
      <c r="W178">
        <v>117</v>
      </c>
      <c r="X178">
        <v>230</v>
      </c>
      <c r="Z178" s="70">
        <v>152</v>
      </c>
      <c r="AA178" s="70">
        <v>260.72858675293389</v>
      </c>
      <c r="AB178" s="70">
        <v>-111.72858675293389</v>
      </c>
      <c r="AC178" s="70">
        <v>-2.2116772022680307</v>
      </c>
      <c r="AE178" s="70">
        <v>50</v>
      </c>
      <c r="AF178" s="70">
        <v>240</v>
      </c>
    </row>
    <row r="179" spans="1:32">
      <c r="A179" s="70">
        <v>155</v>
      </c>
      <c r="B179" s="70">
        <v>227.52568101674763</v>
      </c>
      <c r="C179" s="70">
        <v>-7.525681016747626</v>
      </c>
      <c r="D179" s="70">
        <v>-0.14862995540903989</v>
      </c>
      <c r="F179" s="70">
        <v>50.990099009900987</v>
      </c>
      <c r="G179" s="70">
        <v>243</v>
      </c>
      <c r="V179">
        <v>64</v>
      </c>
      <c r="W179">
        <v>140</v>
      </c>
      <c r="X179">
        <v>335</v>
      </c>
      <c r="Z179" s="70">
        <v>153</v>
      </c>
      <c r="AA179" s="70">
        <v>264.76347197467749</v>
      </c>
      <c r="AB179" s="70">
        <v>-37.763471974677486</v>
      </c>
      <c r="AC179" s="70">
        <v>-0.74753124936209492</v>
      </c>
      <c r="AE179" s="70">
        <v>50.330033003300329</v>
      </c>
      <c r="AF179" s="70">
        <v>241</v>
      </c>
    </row>
    <row r="180" spans="1:32">
      <c r="A180" s="70">
        <v>156</v>
      </c>
      <c r="B180" s="70">
        <v>250.69506554994865</v>
      </c>
      <c r="C180" s="70">
        <v>-53.695065549948652</v>
      </c>
      <c r="D180" s="70">
        <v>-1.0604615290781165</v>
      </c>
      <c r="F180" s="70">
        <v>51.320132013201317</v>
      </c>
      <c r="G180" s="70">
        <v>243</v>
      </c>
      <c r="V180">
        <v>43</v>
      </c>
      <c r="W180">
        <v>120</v>
      </c>
      <c r="X180">
        <v>177</v>
      </c>
      <c r="Z180" s="70">
        <v>154</v>
      </c>
      <c r="AA180" s="70">
        <v>262.09898931329064</v>
      </c>
      <c r="AB180" s="70">
        <v>15.901010686709355</v>
      </c>
      <c r="AC180" s="70">
        <v>0.31476190517456737</v>
      </c>
      <c r="AE180" s="70">
        <v>50.660066006600658</v>
      </c>
      <c r="AF180" s="70">
        <v>242</v>
      </c>
    </row>
    <row r="181" spans="1:32">
      <c r="A181" s="70">
        <v>157</v>
      </c>
      <c r="B181" s="70">
        <v>237.28121134651647</v>
      </c>
      <c r="C181" s="70">
        <v>15.718788653483529</v>
      </c>
      <c r="D181" s="70">
        <v>0.31044138749067662</v>
      </c>
      <c r="F181" s="70">
        <v>51.650165016501653</v>
      </c>
      <c r="G181" s="70">
        <v>243</v>
      </c>
      <c r="V181">
        <v>57</v>
      </c>
      <c r="W181">
        <v>150</v>
      </c>
      <c r="X181">
        <v>276</v>
      </c>
      <c r="Z181" s="70">
        <v>155</v>
      </c>
      <c r="AA181" s="70">
        <v>230.51000682229642</v>
      </c>
      <c r="AB181" s="70">
        <v>-10.510006822296418</v>
      </c>
      <c r="AC181" s="70">
        <v>-0.20804650949318546</v>
      </c>
      <c r="AE181" s="70">
        <v>50.990099009900987</v>
      </c>
      <c r="AF181" s="70">
        <v>243</v>
      </c>
    </row>
    <row r="182" spans="1:32">
      <c r="A182" s="70">
        <v>158</v>
      </c>
      <c r="B182" s="70">
        <v>222.64791585186319</v>
      </c>
      <c r="C182" s="70">
        <v>-30.647915851863189</v>
      </c>
      <c r="D182" s="70">
        <v>-0.60528719677399412</v>
      </c>
      <c r="F182" s="70">
        <v>51.980198019801982</v>
      </c>
      <c r="G182" s="70">
        <v>243</v>
      </c>
      <c r="V182">
        <v>55</v>
      </c>
      <c r="W182">
        <v>132</v>
      </c>
      <c r="X182">
        <v>353</v>
      </c>
      <c r="Z182" s="70">
        <v>156</v>
      </c>
      <c r="AA182" s="70">
        <v>249.96576386543967</v>
      </c>
      <c r="AB182" s="70">
        <v>-52.965763865439669</v>
      </c>
      <c r="AC182" s="70">
        <v>-1.0484619545125382</v>
      </c>
      <c r="AE182" s="70">
        <v>51.320132013201317</v>
      </c>
      <c r="AF182" s="70">
        <v>243</v>
      </c>
    </row>
    <row r="183" spans="1:32">
      <c r="A183" s="70">
        <v>159</v>
      </c>
      <c r="B183" s="70">
        <v>250.69506554994865</v>
      </c>
      <c r="C183" s="70">
        <v>-30.695065549948652</v>
      </c>
      <c r="D183" s="70">
        <v>-0.60621838924792393</v>
      </c>
      <c r="F183" s="70">
        <v>52.310231023102311</v>
      </c>
      <c r="G183" s="70">
        <v>244</v>
      </c>
      <c r="V183">
        <v>65</v>
      </c>
      <c r="W183">
        <v>150</v>
      </c>
      <c r="X183">
        <v>225</v>
      </c>
      <c r="Z183" s="70">
        <v>157</v>
      </c>
      <c r="AA183" s="70">
        <v>237.75941310727637</v>
      </c>
      <c r="AB183" s="70">
        <v>15.240586892723627</v>
      </c>
      <c r="AC183" s="70">
        <v>0.30168875808264606</v>
      </c>
      <c r="AE183" s="70">
        <v>51.650165016501653</v>
      </c>
      <c r="AF183" s="70">
        <v>243</v>
      </c>
    </row>
    <row r="184" spans="1:32">
      <c r="A184" s="70">
        <v>160</v>
      </c>
      <c r="B184" s="70">
        <v>248.25618296750645</v>
      </c>
      <c r="C184" s="70">
        <v>-27.256182967506447</v>
      </c>
      <c r="D184" s="70">
        <v>-0.53830148395418886</v>
      </c>
      <c r="F184" s="70">
        <v>52.64026402640264</v>
      </c>
      <c r="G184" s="70">
        <v>244</v>
      </c>
      <c r="V184">
        <v>61</v>
      </c>
      <c r="W184">
        <v>130</v>
      </c>
      <c r="X184">
        <v>330</v>
      </c>
      <c r="Z184" s="70">
        <v>158</v>
      </c>
      <c r="AA184" s="70">
        <v>222.81545437741389</v>
      </c>
      <c r="AB184" s="70">
        <v>-30.815454377413886</v>
      </c>
      <c r="AC184" s="70">
        <v>-0.6099946298861354</v>
      </c>
      <c r="AE184" s="70">
        <v>51.980198019801982</v>
      </c>
      <c r="AF184" s="70">
        <v>243</v>
      </c>
    </row>
    <row r="185" spans="1:32">
      <c r="A185" s="70">
        <v>161</v>
      </c>
      <c r="B185" s="70">
        <v>248.25618296750645</v>
      </c>
      <c r="C185" s="70">
        <v>-8.2561829675064473</v>
      </c>
      <c r="D185" s="70">
        <v>-0.16305715105098631</v>
      </c>
      <c r="F185" s="70">
        <v>52.970297029702969</v>
      </c>
      <c r="G185" s="70">
        <v>244</v>
      </c>
      <c r="V185">
        <v>58</v>
      </c>
      <c r="W185">
        <v>112</v>
      </c>
      <c r="X185">
        <v>230</v>
      </c>
      <c r="Z185" s="70">
        <v>159</v>
      </c>
      <c r="AA185" s="70">
        <v>248.94830153984151</v>
      </c>
      <c r="AB185" s="70">
        <v>-28.948301539841509</v>
      </c>
      <c r="AC185" s="70">
        <v>-0.57303417523417988</v>
      </c>
      <c r="AE185" s="70">
        <v>52.310231023102311</v>
      </c>
      <c r="AF185" s="70">
        <v>244</v>
      </c>
    </row>
    <row r="186" spans="1:32">
      <c r="A186" s="70">
        <v>162</v>
      </c>
      <c r="B186" s="70">
        <v>247.03674167628532</v>
      </c>
      <c r="C186" s="70">
        <v>94.963258323714683</v>
      </c>
      <c r="D186" s="70">
        <v>1.875496027368253</v>
      </c>
      <c r="F186" s="70">
        <v>53.300330033003299</v>
      </c>
      <c r="G186" s="70">
        <v>245</v>
      </c>
      <c r="V186">
        <v>50</v>
      </c>
      <c r="W186">
        <v>150</v>
      </c>
      <c r="X186">
        <v>243</v>
      </c>
      <c r="Z186" s="70">
        <v>160</v>
      </c>
      <c r="AA186" s="70">
        <v>247.74642736395543</v>
      </c>
      <c r="AB186" s="70">
        <v>-26.746427363955434</v>
      </c>
      <c r="AC186" s="70">
        <v>-0.52944788224867356</v>
      </c>
      <c r="AE186" s="70">
        <v>52.64026402640264</v>
      </c>
      <c r="AF186" s="70">
        <v>244</v>
      </c>
    </row>
    <row r="187" spans="1:32">
      <c r="A187" s="70">
        <v>163</v>
      </c>
      <c r="B187" s="70">
        <v>229.96456359918983</v>
      </c>
      <c r="C187" s="70">
        <v>-72.96456359918983</v>
      </c>
      <c r="D187" s="70">
        <v>-1.44102836807112</v>
      </c>
      <c r="F187" s="70">
        <v>53.630363036303628</v>
      </c>
      <c r="G187" s="70">
        <v>245</v>
      </c>
      <c r="V187">
        <v>44</v>
      </c>
      <c r="W187">
        <v>112</v>
      </c>
      <c r="X187">
        <v>290</v>
      </c>
      <c r="Z187" s="70">
        <v>161</v>
      </c>
      <c r="AA187" s="70">
        <v>245.71150271275914</v>
      </c>
      <c r="AB187" s="70">
        <v>-5.7115027127591418</v>
      </c>
      <c r="AC187" s="70">
        <v>-0.11305969857503546</v>
      </c>
      <c r="AE187" s="70">
        <v>52.970297029702969</v>
      </c>
      <c r="AF187" s="70">
        <v>244</v>
      </c>
    </row>
    <row r="188" spans="1:32">
      <c r="A188" s="70">
        <v>164</v>
      </c>
      <c r="B188" s="70">
        <v>226.3062397255265</v>
      </c>
      <c r="C188" s="70">
        <v>-51.306239725526495</v>
      </c>
      <c r="D188" s="70">
        <v>-1.0132829315566831</v>
      </c>
      <c r="F188" s="70">
        <v>53.960396039603957</v>
      </c>
      <c r="G188" s="70">
        <v>245</v>
      </c>
      <c r="V188">
        <v>60</v>
      </c>
      <c r="W188">
        <v>130</v>
      </c>
      <c r="X188">
        <v>253</v>
      </c>
      <c r="Z188" s="70">
        <v>162</v>
      </c>
      <c r="AA188" s="70">
        <v>247.04374404345256</v>
      </c>
      <c r="AB188" s="70">
        <v>94.956255956547437</v>
      </c>
      <c r="AC188" s="70">
        <v>1.8796674388822796</v>
      </c>
      <c r="AE188" s="70">
        <v>53.300330033003299</v>
      </c>
      <c r="AF188" s="70">
        <v>245</v>
      </c>
    </row>
    <row r="189" spans="1:32">
      <c r="A189" s="70">
        <v>165</v>
      </c>
      <c r="B189" s="70">
        <v>226.3062397255265</v>
      </c>
      <c r="C189" s="70">
        <v>-51.306239725526495</v>
      </c>
      <c r="D189" s="70">
        <v>-1.0132829315566831</v>
      </c>
      <c r="F189" s="70">
        <v>54.290429042904286</v>
      </c>
      <c r="G189" s="70">
        <v>246</v>
      </c>
      <c r="V189">
        <v>54</v>
      </c>
      <c r="W189">
        <v>124</v>
      </c>
      <c r="X189">
        <v>266</v>
      </c>
      <c r="Z189" s="70">
        <v>163</v>
      </c>
      <c r="AA189" s="70">
        <v>229.06647895162737</v>
      </c>
      <c r="AB189" s="70">
        <v>-72.066478951627374</v>
      </c>
      <c r="AC189" s="70">
        <v>-1.426562289716403</v>
      </c>
      <c r="AE189" s="70">
        <v>53.630363036303628</v>
      </c>
      <c r="AF189" s="70">
        <v>245</v>
      </c>
    </row>
    <row r="190" spans="1:32">
      <c r="A190" s="70">
        <v>166</v>
      </c>
      <c r="B190" s="70">
        <v>261.6700371709386</v>
      </c>
      <c r="C190" s="70">
        <v>24.329962829061401</v>
      </c>
      <c r="D190" s="70">
        <v>0.48050950901846629</v>
      </c>
      <c r="F190" s="70">
        <v>54.620462046204622</v>
      </c>
      <c r="G190" s="70">
        <v>246</v>
      </c>
      <c r="V190">
        <v>50</v>
      </c>
      <c r="W190">
        <v>140</v>
      </c>
      <c r="X190">
        <v>233</v>
      </c>
      <c r="Z190" s="70">
        <v>164</v>
      </c>
      <c r="AA190" s="70">
        <v>229.4003385715543</v>
      </c>
      <c r="AB190" s="70">
        <v>-54.4003385715543</v>
      </c>
      <c r="AC190" s="70">
        <v>-1.0768594870033068</v>
      </c>
      <c r="AE190" s="70">
        <v>53.960396039603957</v>
      </c>
      <c r="AF190" s="70">
        <v>245</v>
      </c>
    </row>
    <row r="191" spans="1:32">
      <c r="A191" s="70">
        <v>167</v>
      </c>
      <c r="B191" s="70">
        <v>261.6700371709386</v>
      </c>
      <c r="C191" s="70">
        <v>-32.670037170938599</v>
      </c>
      <c r="D191" s="70">
        <v>-0.64522348969114129</v>
      </c>
      <c r="F191" s="70">
        <v>54.950495049504951</v>
      </c>
      <c r="G191" s="70">
        <v>246</v>
      </c>
      <c r="V191">
        <v>41</v>
      </c>
      <c r="W191">
        <v>110</v>
      </c>
      <c r="X191">
        <v>172</v>
      </c>
      <c r="Z191" s="70">
        <v>165</v>
      </c>
      <c r="AA191" s="70">
        <v>229.4003385715543</v>
      </c>
      <c r="AB191" s="70">
        <v>-54.4003385715543</v>
      </c>
      <c r="AC191" s="70">
        <v>-1.0768594870033068</v>
      </c>
      <c r="AE191" s="70">
        <v>54.290429042904286</v>
      </c>
      <c r="AF191" s="70">
        <v>246</v>
      </c>
    </row>
    <row r="192" spans="1:32">
      <c r="A192" s="70">
        <v>168</v>
      </c>
      <c r="B192" s="70">
        <v>255.57283071483306</v>
      </c>
      <c r="C192" s="70">
        <v>12.42716928516694</v>
      </c>
      <c r="D192" s="70">
        <v>0.24543288675198086</v>
      </c>
      <c r="F192" s="70">
        <v>55.28052805280528</v>
      </c>
      <c r="G192" s="70">
        <v>247</v>
      </c>
      <c r="V192">
        <v>51</v>
      </c>
      <c r="W192">
        <v>130</v>
      </c>
      <c r="X192">
        <v>305</v>
      </c>
      <c r="Z192" s="70">
        <v>166</v>
      </c>
      <c r="AA192" s="70">
        <v>266.05755207570758</v>
      </c>
      <c r="AB192" s="70">
        <v>19.942447924292424</v>
      </c>
      <c r="AC192" s="70">
        <v>0.39476251077181707</v>
      </c>
      <c r="AE192" s="70">
        <v>54.620462046204622</v>
      </c>
      <c r="AF192" s="70">
        <v>246</v>
      </c>
    </row>
    <row r="193" spans="1:32">
      <c r="A193" s="70">
        <v>169</v>
      </c>
      <c r="B193" s="70">
        <v>256.79227200605419</v>
      </c>
      <c r="C193" s="70">
        <v>-2.7922720060541906</v>
      </c>
      <c r="D193" s="70">
        <v>-5.5146539273478519E-2</v>
      </c>
      <c r="F193" s="70">
        <v>55.61056105610561</v>
      </c>
      <c r="G193" s="70">
        <v>247</v>
      </c>
      <c r="V193">
        <v>58</v>
      </c>
      <c r="W193">
        <v>128</v>
      </c>
      <c r="X193">
        <v>216</v>
      </c>
      <c r="Z193" s="70">
        <v>167</v>
      </c>
      <c r="AA193" s="70">
        <v>257.91785347092241</v>
      </c>
      <c r="AB193" s="70">
        <v>-28.91785347092241</v>
      </c>
      <c r="AC193" s="70">
        <v>-0.5724314530317558</v>
      </c>
      <c r="AE193" s="70">
        <v>54.950495049504951</v>
      </c>
      <c r="AF193" s="70">
        <v>246</v>
      </c>
    </row>
    <row r="194" spans="1:32">
      <c r="A194" s="70">
        <v>170</v>
      </c>
      <c r="B194" s="70">
        <v>244.59785909384311</v>
      </c>
      <c r="C194" s="70">
        <v>-41.597859093843113</v>
      </c>
      <c r="D194" s="70">
        <v>-0.82154530978266183</v>
      </c>
      <c r="F194" s="70">
        <v>55.940594059405939</v>
      </c>
      <c r="G194" s="70">
        <v>248</v>
      </c>
      <c r="V194">
        <v>54</v>
      </c>
      <c r="W194">
        <v>120</v>
      </c>
      <c r="X194">
        <v>188</v>
      </c>
      <c r="Z194" s="70">
        <v>168</v>
      </c>
      <c r="AA194" s="70">
        <v>256.4393615196044</v>
      </c>
      <c r="AB194" s="70">
        <v>11.560638480395596</v>
      </c>
      <c r="AC194" s="70">
        <v>0.22884385557738263</v>
      </c>
      <c r="AE194" s="70">
        <v>55.28052805280528</v>
      </c>
      <c r="AF194" s="70">
        <v>247</v>
      </c>
    </row>
    <row r="195" spans="1:32">
      <c r="A195" s="70">
        <v>171</v>
      </c>
      <c r="B195" s="70">
        <v>248.25618296750645</v>
      </c>
      <c r="C195" s="70">
        <v>7.7438170324935527</v>
      </c>
      <c r="D195" s="70">
        <v>0.1529380766569737</v>
      </c>
      <c r="F195" s="70">
        <v>56.270627062706268</v>
      </c>
      <c r="G195" s="70">
        <v>248</v>
      </c>
      <c r="V195">
        <v>60</v>
      </c>
      <c r="W195">
        <v>145</v>
      </c>
      <c r="X195">
        <v>282</v>
      </c>
      <c r="Z195" s="70">
        <v>169</v>
      </c>
      <c r="AA195" s="70">
        <v>255.51410511915026</v>
      </c>
      <c r="AB195" s="70">
        <v>-1.5141051191502584</v>
      </c>
      <c r="AC195" s="70">
        <v>-2.9971844012195135E-2</v>
      </c>
      <c r="AE195" s="70">
        <v>55.61056105610561</v>
      </c>
      <c r="AF195" s="70">
        <v>247</v>
      </c>
    </row>
    <row r="196" spans="1:32">
      <c r="A196" s="70">
        <v>172</v>
      </c>
      <c r="B196" s="70">
        <v>238.50065263773757</v>
      </c>
      <c r="C196" s="70">
        <v>-9.5006526377375735</v>
      </c>
      <c r="D196" s="70">
        <v>-0.1876350558522572</v>
      </c>
      <c r="F196" s="70">
        <v>56.600660066006597</v>
      </c>
      <c r="G196" s="70">
        <v>249</v>
      </c>
      <c r="V196">
        <v>60</v>
      </c>
      <c r="W196">
        <v>140</v>
      </c>
      <c r="X196">
        <v>185</v>
      </c>
      <c r="Z196" s="70">
        <v>170</v>
      </c>
      <c r="AA196" s="70">
        <v>246.45234726292534</v>
      </c>
      <c r="AB196" s="70">
        <v>-43.452347262925343</v>
      </c>
      <c r="AC196" s="70">
        <v>-0.86014303607865217</v>
      </c>
      <c r="AE196" s="70">
        <v>55.940594059405939</v>
      </c>
      <c r="AF196" s="70">
        <v>248</v>
      </c>
    </row>
    <row r="197" spans="1:32">
      <c r="A197" s="70">
        <v>173</v>
      </c>
      <c r="B197" s="70">
        <v>250.69506554994865</v>
      </c>
      <c r="C197" s="70">
        <v>33.304934450051348</v>
      </c>
      <c r="D197" s="70">
        <v>0.65776252158391613</v>
      </c>
      <c r="F197" s="70">
        <v>56.930693069306933</v>
      </c>
      <c r="G197" s="70">
        <v>249</v>
      </c>
      <c r="V197">
        <v>59</v>
      </c>
      <c r="W197">
        <v>170</v>
      </c>
      <c r="X197">
        <v>326</v>
      </c>
      <c r="Z197" s="70">
        <v>171</v>
      </c>
      <c r="AA197" s="70">
        <v>247.74642736395543</v>
      </c>
      <c r="AB197" s="70">
        <v>8.2535726360445665</v>
      </c>
      <c r="AC197" s="70">
        <v>0.16338019630346468</v>
      </c>
      <c r="AE197" s="70">
        <v>56.270627062706268</v>
      </c>
      <c r="AF197" s="70">
        <v>248</v>
      </c>
    </row>
    <row r="198" spans="1:32">
      <c r="A198" s="70">
        <v>174</v>
      </c>
      <c r="B198" s="70">
        <v>250.69506554994865</v>
      </c>
      <c r="C198" s="70">
        <v>-26.695065549948652</v>
      </c>
      <c r="D198" s="70">
        <v>-0.52721958232093391</v>
      </c>
      <c r="F198" s="70">
        <v>57.260726072607262</v>
      </c>
      <c r="G198" s="70">
        <v>249</v>
      </c>
      <c r="V198">
        <v>46</v>
      </c>
      <c r="W198">
        <v>150</v>
      </c>
      <c r="X198">
        <v>231</v>
      </c>
      <c r="Z198" s="70">
        <v>172</v>
      </c>
      <c r="AA198" s="70">
        <v>234.79923205562591</v>
      </c>
      <c r="AB198" s="70">
        <v>-5.7992320556259074</v>
      </c>
      <c r="AC198" s="70">
        <v>-0.11479630863363612</v>
      </c>
      <c r="AE198" s="70">
        <v>56.600660066006597</v>
      </c>
      <c r="AF198" s="70">
        <v>249</v>
      </c>
    </row>
    <row r="199" spans="1:32">
      <c r="A199" s="70">
        <v>175</v>
      </c>
      <c r="B199" s="70">
        <v>253.13394813239086</v>
      </c>
      <c r="C199" s="70">
        <v>-47.133948132390856</v>
      </c>
      <c r="D199" s="70">
        <v>-0.93088141705437655</v>
      </c>
      <c r="F199" s="70">
        <v>57.590759075907592</v>
      </c>
      <c r="G199" s="70">
        <v>250</v>
      </c>
      <c r="V199">
        <v>67</v>
      </c>
      <c r="W199">
        <v>125</v>
      </c>
      <c r="X199">
        <v>254</v>
      </c>
      <c r="Z199" s="70">
        <v>173</v>
      </c>
      <c r="AA199" s="70">
        <v>247.93083921424338</v>
      </c>
      <c r="AB199" s="70">
        <v>36.069160785756623</v>
      </c>
      <c r="AC199" s="70">
        <v>0.71399221034811122</v>
      </c>
      <c r="AE199" s="70">
        <v>56.930693069306933</v>
      </c>
      <c r="AF199" s="70">
        <v>249</v>
      </c>
    </row>
    <row r="200" spans="1:32">
      <c r="A200" s="70">
        <v>176</v>
      </c>
      <c r="B200" s="70">
        <v>228.74512230796873</v>
      </c>
      <c r="C200" s="70">
        <v>-61.745122307968728</v>
      </c>
      <c r="D200" s="70">
        <v>-1.2194477489726512</v>
      </c>
      <c r="F200" s="70">
        <v>57.920792079207921</v>
      </c>
      <c r="G200" s="70">
        <v>250</v>
      </c>
      <c r="V200">
        <v>62</v>
      </c>
      <c r="W200">
        <v>120</v>
      </c>
      <c r="X200">
        <v>267</v>
      </c>
      <c r="Z200" s="70">
        <v>174</v>
      </c>
      <c r="AA200" s="70">
        <v>250.37274879567892</v>
      </c>
      <c r="AB200" s="70">
        <v>-26.372748795678916</v>
      </c>
      <c r="AC200" s="70">
        <v>-0.52205088212138395</v>
      </c>
      <c r="AE200" s="70">
        <v>57.260726072607262</v>
      </c>
      <c r="AF200" s="70">
        <v>249</v>
      </c>
    </row>
    <row r="201" spans="1:32">
      <c r="A201" s="70">
        <v>177</v>
      </c>
      <c r="B201" s="70">
        <v>253.13394813239086</v>
      </c>
      <c r="C201" s="70">
        <v>-23.133948132390856</v>
      </c>
      <c r="D201" s="70">
        <v>-0.45688857549243655</v>
      </c>
      <c r="F201" s="70">
        <v>58.25082508250825</v>
      </c>
      <c r="G201" s="70">
        <v>250</v>
      </c>
      <c r="V201">
        <v>65</v>
      </c>
      <c r="W201">
        <v>110</v>
      </c>
      <c r="X201">
        <v>248</v>
      </c>
      <c r="Z201" s="70">
        <v>175</v>
      </c>
      <c r="AA201" s="70">
        <v>252.1851003669239</v>
      </c>
      <c r="AB201" s="70">
        <v>-46.185100366923905</v>
      </c>
      <c r="AC201" s="70">
        <v>-0.91423812414152972</v>
      </c>
      <c r="AE201" s="70">
        <v>57.590759075907592</v>
      </c>
      <c r="AF201" s="70">
        <v>250</v>
      </c>
    </row>
    <row r="202" spans="1:32">
      <c r="A202" s="70">
        <v>178</v>
      </c>
      <c r="B202" s="70">
        <v>258.01171329727526</v>
      </c>
      <c r="C202" s="70">
        <v>76.988286702724736</v>
      </c>
      <c r="D202" s="70">
        <v>1.5204956992170757</v>
      </c>
      <c r="F202" s="70">
        <v>58.580858085808579</v>
      </c>
      <c r="G202" s="70">
        <v>252</v>
      </c>
      <c r="V202">
        <v>44</v>
      </c>
      <c r="W202">
        <v>110</v>
      </c>
      <c r="X202">
        <v>197</v>
      </c>
      <c r="Z202" s="70">
        <v>176</v>
      </c>
      <c r="AA202" s="70">
        <v>225.92188604968894</v>
      </c>
      <c r="AB202" s="70">
        <v>-58.921886049688936</v>
      </c>
      <c r="AC202" s="70">
        <v>-1.166363917042115</v>
      </c>
      <c r="AE202" s="70">
        <v>57.920792079207921</v>
      </c>
      <c r="AF202" s="70">
        <v>250</v>
      </c>
    </row>
    <row r="203" spans="1:32">
      <c r="A203" s="70">
        <v>179</v>
      </c>
      <c r="B203" s="70">
        <v>232.40344618163203</v>
      </c>
      <c r="C203" s="70">
        <v>-55.403446181632034</v>
      </c>
      <c r="D203" s="70">
        <v>-1.0942015369981577</v>
      </c>
      <c r="F203" s="70">
        <v>58.910891089108908</v>
      </c>
      <c r="G203" s="70">
        <v>253</v>
      </c>
      <c r="V203">
        <v>60</v>
      </c>
      <c r="W203">
        <v>125</v>
      </c>
      <c r="X203">
        <v>258</v>
      </c>
      <c r="Z203" s="70">
        <v>177</v>
      </c>
      <c r="AA203" s="70">
        <v>249.53969832036873</v>
      </c>
      <c r="AB203" s="70">
        <v>-19.539698320368728</v>
      </c>
      <c r="AC203" s="70">
        <v>-0.3867900469368431</v>
      </c>
      <c r="AE203" s="70">
        <v>58.25082508250825</v>
      </c>
      <c r="AF203" s="70">
        <v>250</v>
      </c>
    </row>
    <row r="204" spans="1:32">
      <c r="A204" s="70">
        <v>180</v>
      </c>
      <c r="B204" s="70">
        <v>249.47562425872755</v>
      </c>
      <c r="C204" s="70">
        <v>26.524375741272451</v>
      </c>
      <c r="D204" s="70">
        <v>0.52384850951092987</v>
      </c>
      <c r="F204" s="70">
        <v>59.240924092409237</v>
      </c>
      <c r="G204" s="70">
        <v>253</v>
      </c>
      <c r="V204">
        <v>58</v>
      </c>
      <c r="W204">
        <v>150</v>
      </c>
      <c r="X204">
        <v>270</v>
      </c>
      <c r="Z204" s="70">
        <v>178</v>
      </c>
      <c r="AA204" s="70">
        <v>258.65869802108864</v>
      </c>
      <c r="AB204" s="70">
        <v>76.34130197891136</v>
      </c>
      <c r="AC204" s="70">
        <v>1.5111827875490773</v>
      </c>
      <c r="AE204" s="70">
        <v>58.580858085808579</v>
      </c>
      <c r="AF204" s="70">
        <v>252</v>
      </c>
    </row>
    <row r="205" spans="1:32">
      <c r="A205" s="70">
        <v>181</v>
      </c>
      <c r="B205" s="70">
        <v>247.03674167628532</v>
      </c>
      <c r="C205" s="70">
        <v>105.96325832371468</v>
      </c>
      <c r="D205" s="70">
        <v>2.0927427464174757</v>
      </c>
      <c r="F205" s="70">
        <v>59.570957095709566</v>
      </c>
      <c r="G205" s="70">
        <v>254</v>
      </c>
      <c r="V205">
        <v>68</v>
      </c>
      <c r="W205">
        <v>180</v>
      </c>
      <c r="X205">
        <v>274</v>
      </c>
      <c r="Z205" s="70">
        <v>179</v>
      </c>
      <c r="AA205" s="70">
        <v>231.28581545311161</v>
      </c>
      <c r="AB205" s="70">
        <v>-54.28581545311161</v>
      </c>
      <c r="AC205" s="70">
        <v>-1.0745924918004368</v>
      </c>
      <c r="AE205" s="70">
        <v>58.910891089108908</v>
      </c>
      <c r="AF205" s="70">
        <v>253</v>
      </c>
    </row>
    <row r="206" spans="1:32">
      <c r="A206" s="70">
        <v>182</v>
      </c>
      <c r="B206" s="70">
        <v>259.23115458849639</v>
      </c>
      <c r="C206" s="70">
        <v>-34.231154588496395</v>
      </c>
      <c r="D206" s="70">
        <v>-0.67605509305614364</v>
      </c>
      <c r="F206" s="70">
        <v>59.900990099009903</v>
      </c>
      <c r="G206" s="70">
        <v>254</v>
      </c>
      <c r="V206">
        <v>62</v>
      </c>
      <c r="W206">
        <v>160</v>
      </c>
      <c r="X206">
        <v>164</v>
      </c>
      <c r="Z206" s="70">
        <v>180</v>
      </c>
      <c r="AA206" s="70">
        <v>252.92594491709011</v>
      </c>
      <c r="AB206" s="70">
        <v>23.074055082909894</v>
      </c>
      <c r="AC206" s="70">
        <v>0.4567529499285331</v>
      </c>
      <c r="AE206" s="70">
        <v>59.240924092409237</v>
      </c>
      <c r="AF206" s="70">
        <v>253</v>
      </c>
    </row>
    <row r="207" spans="1:32">
      <c r="A207" s="70">
        <v>183</v>
      </c>
      <c r="B207" s="70">
        <v>254.35338942361199</v>
      </c>
      <c r="C207" s="70">
        <v>75.646610576388014</v>
      </c>
      <c r="D207" s="70">
        <v>1.4939979959013192</v>
      </c>
      <c r="F207" s="70">
        <v>60.231023102310232</v>
      </c>
      <c r="G207" s="70">
        <v>254</v>
      </c>
      <c r="V207">
        <v>52</v>
      </c>
      <c r="W207">
        <v>128</v>
      </c>
      <c r="X207">
        <v>255</v>
      </c>
      <c r="Z207" s="70">
        <v>181</v>
      </c>
      <c r="AA207" s="70">
        <v>247.04374404345256</v>
      </c>
      <c r="AB207" s="70">
        <v>105.95625595654744</v>
      </c>
      <c r="AC207" s="70">
        <v>2.0974134064272372</v>
      </c>
      <c r="AE207" s="70">
        <v>59.570957095709566</v>
      </c>
      <c r="AF207" s="70">
        <v>254</v>
      </c>
    </row>
    <row r="208" spans="1:32">
      <c r="A208" s="70">
        <v>184</v>
      </c>
      <c r="B208" s="70">
        <v>250.69506554994865</v>
      </c>
      <c r="C208" s="70">
        <v>-20.695065549948652</v>
      </c>
      <c r="D208" s="70">
        <v>-0.40872137193044894</v>
      </c>
      <c r="F208" s="70">
        <v>60.561056105610561</v>
      </c>
      <c r="G208" s="70">
        <v>254</v>
      </c>
      <c r="V208">
        <v>59</v>
      </c>
      <c r="W208">
        <v>110</v>
      </c>
      <c r="X208">
        <v>239</v>
      </c>
      <c r="Z208" s="70">
        <v>182</v>
      </c>
      <c r="AA208" s="70">
        <v>261.80329092302702</v>
      </c>
      <c r="AB208" s="70">
        <v>-36.803290923027021</v>
      </c>
      <c r="AC208" s="70">
        <v>-0.72852438098846173</v>
      </c>
      <c r="AE208" s="70">
        <v>59.900990099009903</v>
      </c>
      <c r="AF208" s="70">
        <v>254</v>
      </c>
    </row>
    <row r="209" spans="1:32">
      <c r="A209" s="70">
        <v>185</v>
      </c>
      <c r="B209" s="70">
        <v>240.93953522017978</v>
      </c>
      <c r="C209" s="70">
        <v>2.0604647798202222</v>
      </c>
      <c r="D209" s="70">
        <v>4.0693564830220179E-2</v>
      </c>
      <c r="F209" s="70">
        <v>60.89108910891089</v>
      </c>
      <c r="G209" s="70">
        <v>254</v>
      </c>
      <c r="V209">
        <v>60</v>
      </c>
      <c r="W209">
        <v>150</v>
      </c>
      <c r="X209">
        <v>258</v>
      </c>
      <c r="Z209" s="70">
        <v>183</v>
      </c>
      <c r="AA209" s="70">
        <v>253.29476861766602</v>
      </c>
      <c r="AB209" s="70">
        <v>76.705231382333977</v>
      </c>
      <c r="AC209" s="70">
        <v>1.5183868021005607</v>
      </c>
      <c r="AE209" s="70">
        <v>60.231023102310232</v>
      </c>
      <c r="AF209" s="70">
        <v>254</v>
      </c>
    </row>
    <row r="210" spans="1:32">
      <c r="A210" s="70">
        <v>186</v>
      </c>
      <c r="B210" s="70">
        <v>233.62288747285317</v>
      </c>
      <c r="C210" s="70">
        <v>56.377112527146835</v>
      </c>
      <c r="D210" s="70">
        <v>1.1134311569083155</v>
      </c>
      <c r="F210" s="70">
        <v>61.221122112211219</v>
      </c>
      <c r="G210" s="70">
        <v>255</v>
      </c>
      <c r="V210">
        <v>49</v>
      </c>
      <c r="W210">
        <v>120</v>
      </c>
      <c r="X210">
        <v>188</v>
      </c>
      <c r="Z210" s="70">
        <v>184</v>
      </c>
      <c r="AA210" s="70">
        <v>246.30289949328636</v>
      </c>
      <c r="AB210" s="70">
        <v>-16.302899493286361</v>
      </c>
      <c r="AC210" s="70">
        <v>-0.32271732945034903</v>
      </c>
      <c r="AE210" s="70">
        <v>60.561056105610561</v>
      </c>
      <c r="AF210" s="70">
        <v>254</v>
      </c>
    </row>
    <row r="211" spans="1:32">
      <c r="A211" s="70">
        <v>187</v>
      </c>
      <c r="B211" s="70">
        <v>253.13394813239086</v>
      </c>
      <c r="C211" s="70">
        <v>-0.13394813239085579</v>
      </c>
      <c r="D211" s="70">
        <v>-2.6454356622440281E-3</v>
      </c>
      <c r="F211" s="70">
        <v>61.551155115511548</v>
      </c>
      <c r="G211" s="70">
        <v>255</v>
      </c>
      <c r="V211">
        <v>59</v>
      </c>
      <c r="W211">
        <v>140</v>
      </c>
      <c r="X211">
        <v>177</v>
      </c>
      <c r="Z211" s="70">
        <v>185</v>
      </c>
      <c r="AA211" s="70">
        <v>245.15826716189528</v>
      </c>
      <c r="AB211" s="70">
        <v>-2.1582671618952816</v>
      </c>
      <c r="AC211" s="70">
        <v>-4.2723088307945273E-2</v>
      </c>
      <c r="AE211" s="70">
        <v>60.89108910891089</v>
      </c>
      <c r="AF211" s="70">
        <v>254</v>
      </c>
    </row>
    <row r="212" spans="1:32">
      <c r="A212" s="70">
        <v>188</v>
      </c>
      <c r="B212" s="70">
        <v>245.81730038506424</v>
      </c>
      <c r="C212" s="70">
        <v>20.182699614935757</v>
      </c>
      <c r="D212" s="70">
        <v>0.39860229753643633</v>
      </c>
      <c r="F212" s="70">
        <v>61.881188118811878</v>
      </c>
      <c r="G212" s="70">
        <v>256</v>
      </c>
      <c r="V212">
        <v>57</v>
      </c>
      <c r="W212">
        <v>128</v>
      </c>
      <c r="X212">
        <v>229</v>
      </c>
      <c r="Z212" s="70">
        <v>186</v>
      </c>
      <c r="AA212" s="70">
        <v>230.76754398289671</v>
      </c>
      <c r="AB212" s="70">
        <v>59.232456017103289</v>
      </c>
      <c r="AC212" s="70">
        <v>1.1725116768643917</v>
      </c>
      <c r="AE212" s="70">
        <v>61.221122112211219</v>
      </c>
      <c r="AF212" s="70">
        <v>255</v>
      </c>
    </row>
    <row r="213" spans="1:32">
      <c r="A213" s="70">
        <v>189</v>
      </c>
      <c r="B213" s="70">
        <v>240.93953522017978</v>
      </c>
      <c r="C213" s="70">
        <v>-7.9395352201797778</v>
      </c>
      <c r="D213" s="70">
        <v>-0.15680345248725483</v>
      </c>
      <c r="F213" s="70">
        <v>62.211221122112214</v>
      </c>
      <c r="G213" s="70">
        <v>256</v>
      </c>
      <c r="V213">
        <v>61</v>
      </c>
      <c r="W213">
        <v>120</v>
      </c>
      <c r="X213">
        <v>260</v>
      </c>
      <c r="Z213" s="70">
        <v>187</v>
      </c>
      <c r="AA213" s="70">
        <v>252.1851003669239</v>
      </c>
      <c r="AB213" s="70">
        <v>0.81489963307609514</v>
      </c>
      <c r="AC213" s="70">
        <v>1.613100991419867E-2</v>
      </c>
      <c r="AE213" s="70">
        <v>61.551155115511548</v>
      </c>
      <c r="AF213" s="70">
        <v>255</v>
      </c>
    </row>
    <row r="214" spans="1:32">
      <c r="A214" s="70">
        <v>190</v>
      </c>
      <c r="B214" s="70">
        <v>229.96456359918983</v>
      </c>
      <c r="C214" s="70">
        <v>-57.96456359918983</v>
      </c>
      <c r="D214" s="70">
        <v>-1.1447828420949075</v>
      </c>
      <c r="F214" s="70">
        <v>62.541254125412543</v>
      </c>
      <c r="G214" s="70">
        <v>256</v>
      </c>
      <c r="V214">
        <v>39</v>
      </c>
      <c r="W214">
        <v>118</v>
      </c>
      <c r="X214">
        <v>219</v>
      </c>
      <c r="Z214" s="70">
        <v>188</v>
      </c>
      <c r="AA214" s="70">
        <v>244.30613607175343</v>
      </c>
      <c r="AB214" s="70">
        <v>21.693863928246572</v>
      </c>
      <c r="AC214" s="70">
        <v>0.4294319446222461</v>
      </c>
      <c r="AE214" s="70">
        <v>61.881188118811878</v>
      </c>
      <c r="AF214" s="70">
        <v>256</v>
      </c>
    </row>
    <row r="215" spans="1:32">
      <c r="A215" s="70">
        <v>191</v>
      </c>
      <c r="B215" s="70">
        <v>242.15897651140091</v>
      </c>
      <c r="C215" s="70">
        <v>62.841023488599092</v>
      </c>
      <c r="D215" s="70">
        <v>1.2410914704175708</v>
      </c>
      <c r="F215" s="70">
        <v>62.871287128712872</v>
      </c>
      <c r="G215" s="70">
        <v>257</v>
      </c>
      <c r="V215">
        <v>61</v>
      </c>
      <c r="W215">
        <v>145</v>
      </c>
      <c r="X215">
        <v>307</v>
      </c>
      <c r="Z215" s="70">
        <v>189</v>
      </c>
      <c r="AA215" s="70">
        <v>243.12334251069899</v>
      </c>
      <c r="AB215" s="70">
        <v>-10.12334251069899</v>
      </c>
      <c r="AC215" s="70">
        <v>-0.20039245543465029</v>
      </c>
      <c r="AE215" s="70">
        <v>62.211221122112214</v>
      </c>
      <c r="AF215" s="70">
        <v>256</v>
      </c>
    </row>
    <row r="216" spans="1:32">
      <c r="A216" s="70">
        <v>192</v>
      </c>
      <c r="B216" s="70">
        <v>250.69506554994865</v>
      </c>
      <c r="C216" s="70">
        <v>-34.695065549948652</v>
      </c>
      <c r="D216" s="70">
        <v>-0.68521719617491395</v>
      </c>
      <c r="F216" s="70">
        <v>63.201320132013201</v>
      </c>
      <c r="G216" s="70">
        <v>258</v>
      </c>
      <c r="V216">
        <v>56</v>
      </c>
      <c r="W216">
        <v>125</v>
      </c>
      <c r="X216">
        <v>249</v>
      </c>
      <c r="Z216" s="70">
        <v>190</v>
      </c>
      <c r="AA216" s="70">
        <v>227.03155430043108</v>
      </c>
      <c r="AB216" s="70">
        <v>-55.031554300431083</v>
      </c>
      <c r="AC216" s="70">
        <v>-1.0893544578772949</v>
      </c>
      <c r="AE216" s="70">
        <v>62.541254125412543</v>
      </c>
      <c r="AF216" s="70">
        <v>256</v>
      </c>
    </row>
    <row r="217" spans="1:32">
      <c r="A217" s="70">
        <v>193</v>
      </c>
      <c r="B217" s="70">
        <v>245.81730038506424</v>
      </c>
      <c r="C217" s="70">
        <v>-57.817300385064243</v>
      </c>
      <c r="D217" s="70">
        <v>-1.1418744375398688</v>
      </c>
      <c r="F217" s="70">
        <v>63.53135313531353</v>
      </c>
      <c r="G217" s="70">
        <v>258</v>
      </c>
      <c r="V217">
        <v>43</v>
      </c>
      <c r="W217">
        <v>132</v>
      </c>
      <c r="X217">
        <v>341</v>
      </c>
      <c r="Z217" s="70">
        <v>191</v>
      </c>
      <c r="AA217" s="70">
        <v>242.19808611024484</v>
      </c>
      <c r="AB217" s="70">
        <v>62.801913889755156</v>
      </c>
      <c r="AC217" s="70">
        <v>1.2431694094181687</v>
      </c>
      <c r="AE217" s="70">
        <v>62.871287128712872</v>
      </c>
      <c r="AF217" s="70">
        <v>257</v>
      </c>
    </row>
    <row r="218" spans="1:32">
      <c r="A218" s="70">
        <v>194</v>
      </c>
      <c r="B218" s="70">
        <v>253.13394813239086</v>
      </c>
      <c r="C218" s="70">
        <v>28.866051867609144</v>
      </c>
      <c r="D218" s="70">
        <v>0.57009591455843345</v>
      </c>
      <c r="F218" s="70">
        <v>63.861386138613859</v>
      </c>
      <c r="G218" s="70">
        <v>258</v>
      </c>
      <c r="V218">
        <v>62</v>
      </c>
      <c r="W218">
        <v>130</v>
      </c>
      <c r="X218">
        <v>263</v>
      </c>
      <c r="Z218" s="70">
        <v>192</v>
      </c>
      <c r="AA218" s="70">
        <v>249.55877893520039</v>
      </c>
      <c r="AB218" s="70">
        <v>-33.558778935200394</v>
      </c>
      <c r="AC218" s="70">
        <v>-0.664298980806596</v>
      </c>
      <c r="AE218" s="70">
        <v>63.201320132013201</v>
      </c>
      <c r="AF218" s="70">
        <v>258</v>
      </c>
    </row>
    <row r="219" spans="1:32">
      <c r="A219" s="70">
        <v>195</v>
      </c>
      <c r="B219" s="70">
        <v>253.13394813239086</v>
      </c>
      <c r="C219" s="70">
        <v>-68.133948132390856</v>
      </c>
      <c r="D219" s="70">
        <v>-1.3456251534210741</v>
      </c>
      <c r="F219" s="70">
        <v>64.191419141914196</v>
      </c>
      <c r="G219" s="70">
        <v>259</v>
      </c>
      <c r="V219">
        <v>63</v>
      </c>
      <c r="W219">
        <v>130</v>
      </c>
      <c r="X219">
        <v>330</v>
      </c>
      <c r="Z219" s="70">
        <v>193</v>
      </c>
      <c r="AA219" s="70">
        <v>243.49216621127491</v>
      </c>
      <c r="AB219" s="70">
        <v>-55.492166211274906</v>
      </c>
      <c r="AC219" s="70">
        <v>-1.0984723111672423</v>
      </c>
      <c r="AE219" s="70">
        <v>63.53135313531353</v>
      </c>
      <c r="AF219" s="70">
        <v>258</v>
      </c>
    </row>
    <row r="220" spans="1:32">
      <c r="A220" s="70">
        <v>196</v>
      </c>
      <c r="B220" s="70">
        <v>251.91450684116975</v>
      </c>
      <c r="C220" s="70">
        <v>74.085493158830246</v>
      </c>
      <c r="D220" s="70">
        <v>1.4631663925363174</v>
      </c>
      <c r="F220" s="70">
        <v>64.521452145214525</v>
      </c>
      <c r="G220" s="70">
        <v>260</v>
      </c>
      <c r="V220">
        <v>65</v>
      </c>
      <c r="W220">
        <v>135</v>
      </c>
      <c r="X220">
        <v>254</v>
      </c>
      <c r="Z220" s="70">
        <v>194</v>
      </c>
      <c r="AA220" s="70">
        <v>255.23748734371833</v>
      </c>
      <c r="AB220" s="70">
        <v>26.762512656281672</v>
      </c>
      <c r="AC220" s="70">
        <v>0.52976629202511172</v>
      </c>
      <c r="AE220" s="70">
        <v>63.861386138613859</v>
      </c>
      <c r="AF220" s="70">
        <v>258</v>
      </c>
    </row>
    <row r="221" spans="1:32">
      <c r="A221" s="70">
        <v>197</v>
      </c>
      <c r="B221" s="70">
        <v>236.06177005529537</v>
      </c>
      <c r="C221" s="70">
        <v>-5.0617700552953693</v>
      </c>
      <c r="D221" s="70">
        <v>-9.9968448826774595E-2</v>
      </c>
      <c r="F221" s="70">
        <v>64.851485148514854</v>
      </c>
      <c r="G221" s="70">
        <v>260</v>
      </c>
      <c r="V221">
        <v>48</v>
      </c>
      <c r="W221">
        <v>130</v>
      </c>
      <c r="X221">
        <v>256</v>
      </c>
      <c r="Z221" s="70">
        <v>195</v>
      </c>
      <c r="AA221" s="70">
        <v>254.22002501812017</v>
      </c>
      <c r="AB221" s="70">
        <v>-69.220025018120168</v>
      </c>
      <c r="AC221" s="70">
        <v>-1.3702164837324322</v>
      </c>
      <c r="AE221" s="70">
        <v>64.191419141914196</v>
      </c>
      <c r="AF221" s="70">
        <v>259</v>
      </c>
    </row>
    <row r="222" spans="1:32">
      <c r="A222" s="70">
        <v>198</v>
      </c>
      <c r="B222" s="70">
        <v>261.6700371709386</v>
      </c>
      <c r="C222" s="70">
        <v>-7.670037170938599</v>
      </c>
      <c r="D222" s="70">
        <v>-0.15148094639745374</v>
      </c>
      <c r="F222" s="70">
        <v>65.181518151815183</v>
      </c>
      <c r="G222" s="70">
        <v>261</v>
      </c>
      <c r="V222">
        <v>63</v>
      </c>
      <c r="W222">
        <v>150</v>
      </c>
      <c r="X222">
        <v>407</v>
      </c>
      <c r="Z222" s="70">
        <v>196</v>
      </c>
      <c r="AA222" s="70">
        <v>259.2151307209669</v>
      </c>
      <c r="AB222" s="70">
        <v>66.784869279033103</v>
      </c>
      <c r="AC222" s="70">
        <v>1.322012361684235</v>
      </c>
      <c r="AE222" s="70">
        <v>64.521452145214525</v>
      </c>
      <c r="AF222" s="70">
        <v>260</v>
      </c>
    </row>
    <row r="223" spans="1:32">
      <c r="A223" s="70">
        <v>199</v>
      </c>
      <c r="B223" s="70">
        <v>255.57283071483306</v>
      </c>
      <c r="C223" s="70">
        <v>11.42716928516694</v>
      </c>
      <c r="D223" s="70">
        <v>0.22568318502023338</v>
      </c>
      <c r="F223" s="70">
        <v>65.511551155115512</v>
      </c>
      <c r="G223" s="70">
        <v>261</v>
      </c>
      <c r="V223">
        <v>55</v>
      </c>
      <c r="W223">
        <v>140</v>
      </c>
      <c r="X223">
        <v>217</v>
      </c>
      <c r="Z223" s="70">
        <v>197</v>
      </c>
      <c r="AA223" s="70">
        <v>240.71959415892681</v>
      </c>
      <c r="AB223" s="70">
        <v>-9.7195941589268102</v>
      </c>
      <c r="AC223" s="70">
        <v>-0.19240022129816708</v>
      </c>
      <c r="AE223" s="70">
        <v>64.851485148514854</v>
      </c>
      <c r="AF223" s="70">
        <v>260</v>
      </c>
    </row>
    <row r="224" spans="1:32">
      <c r="A224" s="70">
        <v>200</v>
      </c>
      <c r="B224" s="70">
        <v>259.23115458849639</v>
      </c>
      <c r="C224" s="70">
        <v>-11.231154588496395</v>
      </c>
      <c r="D224" s="70">
        <v>-0.22181195322595115</v>
      </c>
      <c r="F224" s="70">
        <v>65.841584158415841</v>
      </c>
      <c r="G224" s="70">
        <v>262</v>
      </c>
      <c r="V224">
        <v>65</v>
      </c>
      <c r="W224">
        <v>138</v>
      </c>
      <c r="X224">
        <v>282</v>
      </c>
      <c r="Z224" s="70">
        <v>198</v>
      </c>
      <c r="AA224" s="70">
        <v>258.93531579652057</v>
      </c>
      <c r="AB224" s="70">
        <v>-4.9353157965205696</v>
      </c>
      <c r="AC224" s="70">
        <v>-9.7695010295753185E-2</v>
      </c>
      <c r="AE224" s="70">
        <v>65.181518151815183</v>
      </c>
      <c r="AF224" s="70">
        <v>261</v>
      </c>
    </row>
    <row r="225" spans="1:32">
      <c r="A225" s="70">
        <v>201</v>
      </c>
      <c r="B225" s="70">
        <v>233.62288747285317</v>
      </c>
      <c r="C225" s="70">
        <v>-36.622887472853165</v>
      </c>
      <c r="D225" s="70">
        <v>-0.72329110414420206</v>
      </c>
      <c r="F225" s="70">
        <v>66.171617161716171</v>
      </c>
      <c r="G225" s="70">
        <v>263</v>
      </c>
      <c r="V225">
        <v>56</v>
      </c>
      <c r="W225">
        <v>200</v>
      </c>
      <c r="X225">
        <v>288</v>
      </c>
      <c r="Z225" s="70">
        <v>199</v>
      </c>
      <c r="AA225" s="70">
        <v>252.36951221721185</v>
      </c>
      <c r="AB225" s="70">
        <v>14.630487782788151</v>
      </c>
      <c r="AC225" s="70">
        <v>0.28961179253798991</v>
      </c>
      <c r="AE225" s="70">
        <v>65.511551155115512</v>
      </c>
      <c r="AF225" s="70">
        <v>261</v>
      </c>
    </row>
    <row r="226" spans="1:32">
      <c r="A226" s="70">
        <v>202</v>
      </c>
      <c r="B226" s="70">
        <v>253.13394813239086</v>
      </c>
      <c r="C226" s="70">
        <v>4.8660518676091442</v>
      </c>
      <c r="D226" s="70">
        <v>9.6103072996493483E-2</v>
      </c>
      <c r="F226" s="70">
        <v>66.501650165016514</v>
      </c>
      <c r="G226" s="70">
        <v>263</v>
      </c>
      <c r="V226">
        <v>54</v>
      </c>
      <c r="W226">
        <v>110</v>
      </c>
      <c r="X226">
        <v>239</v>
      </c>
      <c r="Z226" s="70">
        <v>200</v>
      </c>
      <c r="AA226" s="70">
        <v>253.66359231824191</v>
      </c>
      <c r="AB226" s="70">
        <v>-5.6635923182419106</v>
      </c>
      <c r="AC226" s="70">
        <v>-0.11211130810143408</v>
      </c>
      <c r="AE226" s="70">
        <v>65.841584158415841</v>
      </c>
      <c r="AF226" s="70">
        <v>262</v>
      </c>
    </row>
    <row r="227" spans="1:32">
      <c r="A227" s="70">
        <v>203</v>
      </c>
      <c r="B227" s="70">
        <v>250.69506554994865</v>
      </c>
      <c r="C227" s="70">
        <v>19.304934450051348</v>
      </c>
      <c r="D227" s="70">
        <v>0.38126669733945112</v>
      </c>
      <c r="F227" s="70">
        <v>66.831683168316843</v>
      </c>
      <c r="G227" s="70">
        <v>263</v>
      </c>
      <c r="V227">
        <v>70</v>
      </c>
      <c r="W227">
        <v>145</v>
      </c>
      <c r="X227">
        <v>174</v>
      </c>
      <c r="Z227" s="70">
        <v>201</v>
      </c>
      <c r="AA227" s="70">
        <v>230.36055905265744</v>
      </c>
      <c r="AB227" s="70">
        <v>-33.360559052657436</v>
      </c>
      <c r="AC227" s="70">
        <v>-0.66037520079650835</v>
      </c>
      <c r="AE227" s="70">
        <v>66.171617161716171</v>
      </c>
      <c r="AF227" s="70">
        <v>263</v>
      </c>
    </row>
    <row r="228" spans="1:32">
      <c r="A228" s="70">
        <v>204</v>
      </c>
      <c r="B228" s="70">
        <v>262.88947846215973</v>
      </c>
      <c r="C228" s="70">
        <v>11.11052153784027</v>
      </c>
      <c r="D228" s="70">
        <v>0.2194294864565019</v>
      </c>
      <c r="F228" s="70">
        <v>67.161716171617172</v>
      </c>
      <c r="G228" s="70">
        <v>264</v>
      </c>
      <c r="V228">
        <v>62</v>
      </c>
      <c r="W228">
        <v>120</v>
      </c>
      <c r="X228">
        <v>281</v>
      </c>
      <c r="Z228" s="70">
        <v>202</v>
      </c>
      <c r="AA228" s="70">
        <v>251.16763804132574</v>
      </c>
      <c r="AB228" s="70">
        <v>6.8323619586742552</v>
      </c>
      <c r="AC228" s="70">
        <v>0.13524720593717166</v>
      </c>
      <c r="AE228" s="70">
        <v>66.501650165016514</v>
      </c>
      <c r="AF228" s="70">
        <v>263</v>
      </c>
    </row>
    <row r="229" spans="1:32">
      <c r="A229" s="70">
        <v>205</v>
      </c>
      <c r="B229" s="70">
        <v>255.57283071483306</v>
      </c>
      <c r="C229" s="70">
        <v>-91.57283071483306</v>
      </c>
      <c r="D229" s="70">
        <v>-1.8085360933497592</v>
      </c>
      <c r="F229" s="70">
        <v>67.491749174917501</v>
      </c>
      <c r="G229" s="70">
        <v>264</v>
      </c>
      <c r="V229">
        <v>35</v>
      </c>
      <c r="W229">
        <v>120</v>
      </c>
      <c r="X229">
        <v>198</v>
      </c>
      <c r="Z229" s="70">
        <v>203</v>
      </c>
      <c r="AA229" s="70">
        <v>254.03561316783222</v>
      </c>
      <c r="AB229" s="70">
        <v>15.964386832167776</v>
      </c>
      <c r="AC229" s="70">
        <v>0.31601644154839592</v>
      </c>
      <c r="AE229" s="70">
        <v>66.831683168316843</v>
      </c>
      <c r="AF229" s="70">
        <v>263</v>
      </c>
    </row>
    <row r="230" spans="1:32">
      <c r="A230" s="70">
        <v>206</v>
      </c>
      <c r="B230" s="70">
        <v>243.37841780262201</v>
      </c>
      <c r="C230" s="70">
        <v>11.62158219737799</v>
      </c>
      <c r="D230" s="70">
        <v>0.22952278204920201</v>
      </c>
      <c r="F230" s="70">
        <v>67.821782178217831</v>
      </c>
      <c r="G230" s="70">
        <v>265</v>
      </c>
      <c r="V230">
        <v>59</v>
      </c>
      <c r="W230">
        <v>170</v>
      </c>
      <c r="X230">
        <v>288</v>
      </c>
      <c r="Z230" s="70">
        <v>204</v>
      </c>
      <c r="AA230" s="70">
        <v>271.23706962884228</v>
      </c>
      <c r="AB230" s="70">
        <v>2.7629303711577222</v>
      </c>
      <c r="AC230" s="70">
        <v>5.4692449720644305E-2</v>
      </c>
      <c r="AE230" s="70">
        <v>67.161716171617172</v>
      </c>
      <c r="AF230" s="70">
        <v>264</v>
      </c>
    </row>
    <row r="231" spans="1:32">
      <c r="A231" s="70">
        <v>207</v>
      </c>
      <c r="B231" s="70">
        <v>251.91450684116975</v>
      </c>
      <c r="C231" s="70">
        <v>-12.914506841169754</v>
      </c>
      <c r="D231" s="70">
        <v>-0.25505765812571524</v>
      </c>
      <c r="F231" s="70">
        <v>68.15181518151816</v>
      </c>
      <c r="G231" s="70">
        <v>265</v>
      </c>
      <c r="V231">
        <v>64</v>
      </c>
      <c r="W231">
        <v>125</v>
      </c>
      <c r="X231">
        <v>309</v>
      </c>
      <c r="Z231" s="70">
        <v>205</v>
      </c>
      <c r="AA231" s="70">
        <v>260.50921082199699</v>
      </c>
      <c r="AB231" s="70">
        <v>-96.509210821996987</v>
      </c>
      <c r="AC231" s="70">
        <v>-1.9104083170396398</v>
      </c>
      <c r="AE231" s="70">
        <v>67.491749174917501</v>
      </c>
      <c r="AF231" s="70">
        <v>264</v>
      </c>
    </row>
    <row r="232" spans="1:32">
      <c r="A232" s="70">
        <v>208</v>
      </c>
      <c r="B232" s="70">
        <v>253.13394813239086</v>
      </c>
      <c r="C232" s="70">
        <v>4.8660518676091442</v>
      </c>
      <c r="D232" s="70">
        <v>9.6103072996493483E-2</v>
      </c>
      <c r="F232" s="70">
        <v>68.481848184818489</v>
      </c>
      <c r="G232" s="70">
        <v>266</v>
      </c>
      <c r="V232">
        <v>47</v>
      </c>
      <c r="W232">
        <v>108</v>
      </c>
      <c r="X232">
        <v>243</v>
      </c>
      <c r="Z232" s="70">
        <v>206</v>
      </c>
      <c r="AA232" s="70">
        <v>242.90076943074769</v>
      </c>
      <c r="AB232" s="70">
        <v>12.099230569252313</v>
      </c>
      <c r="AC232" s="70">
        <v>0.23950533335012494</v>
      </c>
      <c r="AE232" s="70">
        <v>67.821782178217831</v>
      </c>
      <c r="AF232" s="70">
        <v>265</v>
      </c>
    </row>
    <row r="233" spans="1:32">
      <c r="A233" s="70">
        <v>209</v>
      </c>
      <c r="B233" s="70">
        <v>239.7200939289587</v>
      </c>
      <c r="C233" s="70">
        <v>-51.720093928958704</v>
      </c>
      <c r="D233" s="70">
        <v>-1.021456428634899</v>
      </c>
      <c r="F233" s="70">
        <v>68.811881188118818</v>
      </c>
      <c r="G233" s="70">
        <v>266</v>
      </c>
      <c r="V233">
        <v>57</v>
      </c>
      <c r="W233">
        <v>165</v>
      </c>
      <c r="X233">
        <v>289</v>
      </c>
      <c r="Z233" s="70">
        <v>207</v>
      </c>
      <c r="AA233" s="70">
        <v>247.0055828137892</v>
      </c>
      <c r="AB233" s="70">
        <v>-8.0055828137892036</v>
      </c>
      <c r="AC233" s="70">
        <v>-0.1584712159590741</v>
      </c>
      <c r="AE233" s="70">
        <v>68.15181518151816</v>
      </c>
      <c r="AF233" s="70">
        <v>265</v>
      </c>
    </row>
    <row r="234" spans="1:32">
      <c r="A234" s="70">
        <v>210</v>
      </c>
      <c r="B234" s="70">
        <v>251.91450684116975</v>
      </c>
      <c r="C234" s="70">
        <v>-74.914506841169754</v>
      </c>
      <c r="D234" s="70">
        <v>-1.4795391654940604</v>
      </c>
      <c r="F234" s="70">
        <v>69.141914191419147</v>
      </c>
      <c r="G234" s="70">
        <v>267</v>
      </c>
      <c r="V234">
        <v>55</v>
      </c>
      <c r="W234">
        <v>160</v>
      </c>
      <c r="X234">
        <v>289</v>
      </c>
      <c r="Z234" s="70">
        <v>208</v>
      </c>
      <c r="AA234" s="70">
        <v>256.25494966931643</v>
      </c>
      <c r="AB234" s="70">
        <v>1.7450503306835685</v>
      </c>
      <c r="AC234" s="70">
        <v>3.4543424788122001E-2</v>
      </c>
      <c r="AE234" s="70">
        <v>68.481848184818489</v>
      </c>
      <c r="AF234" s="70">
        <v>266</v>
      </c>
    </row>
    <row r="235" spans="1:32">
      <c r="A235" s="70">
        <v>211</v>
      </c>
      <c r="B235" s="70">
        <v>249.47562425872755</v>
      </c>
      <c r="C235" s="70">
        <v>-20.475624258727549</v>
      </c>
      <c r="D235" s="70">
        <v>-0.40438747188120261</v>
      </c>
      <c r="F235" s="70">
        <v>69.471947194719476</v>
      </c>
      <c r="G235" s="70">
        <v>267</v>
      </c>
      <c r="V235">
        <v>64</v>
      </c>
      <c r="W235">
        <v>120</v>
      </c>
      <c r="X235">
        <v>246</v>
      </c>
      <c r="Z235" s="70">
        <v>209</v>
      </c>
      <c r="AA235" s="70">
        <v>237.94382495756432</v>
      </c>
      <c r="AB235" s="70">
        <v>-49.943824957564317</v>
      </c>
      <c r="AC235" s="70">
        <v>-0.98864240802553172</v>
      </c>
      <c r="AE235" s="70">
        <v>68.811881188118818</v>
      </c>
      <c r="AF235" s="70">
        <v>266</v>
      </c>
    </row>
    <row r="236" spans="1:32">
      <c r="A236" s="70">
        <v>212</v>
      </c>
      <c r="B236" s="70">
        <v>254.35338942361199</v>
      </c>
      <c r="C236" s="70">
        <v>5.6466105763880137</v>
      </c>
      <c r="D236" s="70">
        <v>0.1115188746789941</v>
      </c>
      <c r="F236" s="70">
        <v>69.801980198019805</v>
      </c>
      <c r="G236" s="70">
        <v>268</v>
      </c>
      <c r="V236">
        <v>70</v>
      </c>
      <c r="W236">
        <v>130</v>
      </c>
      <c r="X236">
        <v>322</v>
      </c>
      <c r="Z236" s="70">
        <v>210</v>
      </c>
      <c r="AA236" s="70">
        <v>253.11035676737805</v>
      </c>
      <c r="AB236" s="70">
        <v>-76.11035676737805</v>
      </c>
      <c r="AC236" s="70">
        <v>-1.5066112067731503</v>
      </c>
      <c r="AE236" s="70">
        <v>69.141914191419147</v>
      </c>
      <c r="AF236" s="70">
        <v>267</v>
      </c>
    </row>
    <row r="237" spans="1:32">
      <c r="A237" s="70">
        <v>213</v>
      </c>
      <c r="B237" s="70">
        <v>227.52568101674763</v>
      </c>
      <c r="C237" s="70">
        <v>-8.525681016747626</v>
      </c>
      <c r="D237" s="70">
        <v>-0.1683796571407874</v>
      </c>
      <c r="F237" s="70">
        <v>70.132013201320134</v>
      </c>
      <c r="G237" s="70">
        <v>268</v>
      </c>
      <c r="V237">
        <v>51</v>
      </c>
      <c r="W237">
        <v>140</v>
      </c>
      <c r="X237">
        <v>299</v>
      </c>
      <c r="Z237" s="70">
        <v>211</v>
      </c>
      <c r="AA237" s="70">
        <v>248.44911068445828</v>
      </c>
      <c r="AB237" s="70">
        <v>-19.449110684458276</v>
      </c>
      <c r="AC237" s="70">
        <v>-0.38499685671603112</v>
      </c>
      <c r="AE237" s="70">
        <v>69.471947194719476</v>
      </c>
      <c r="AF237" s="70">
        <v>267</v>
      </c>
    </row>
    <row r="238" spans="1:32">
      <c r="A238" s="70">
        <v>214</v>
      </c>
      <c r="B238" s="70">
        <v>254.35338942361199</v>
      </c>
      <c r="C238" s="70">
        <v>52.646610576388014</v>
      </c>
      <c r="D238" s="70">
        <v>1.0397548560711267</v>
      </c>
      <c r="F238" s="70">
        <v>70.462046204620464</v>
      </c>
      <c r="G238" s="70">
        <v>269</v>
      </c>
      <c r="V238">
        <v>58</v>
      </c>
      <c r="W238">
        <v>125</v>
      </c>
      <c r="X238">
        <v>300</v>
      </c>
      <c r="Z238" s="70">
        <v>212</v>
      </c>
      <c r="AA238" s="70">
        <v>251.25984396646973</v>
      </c>
      <c r="AB238" s="70">
        <v>8.740156033530269</v>
      </c>
      <c r="AC238" s="70">
        <v>0.1730121574559044</v>
      </c>
      <c r="AE238" s="70">
        <v>69.801980198019805</v>
      </c>
      <c r="AF238" s="70">
        <v>268</v>
      </c>
    </row>
    <row r="239" spans="1:32">
      <c r="A239" s="70">
        <v>215</v>
      </c>
      <c r="B239" s="70">
        <v>248.25618296750645</v>
      </c>
      <c r="C239" s="70">
        <v>0.74381703249355269</v>
      </c>
      <c r="D239" s="70">
        <v>1.4690164534741205E-2</v>
      </c>
      <c r="F239" s="70">
        <v>70.792079207920793</v>
      </c>
      <c r="G239" s="70">
        <v>269</v>
      </c>
      <c r="V239">
        <v>60</v>
      </c>
      <c r="W239">
        <v>140</v>
      </c>
      <c r="X239">
        <v>293</v>
      </c>
      <c r="Z239" s="70">
        <v>213</v>
      </c>
      <c r="AA239" s="70">
        <v>226.44015751990386</v>
      </c>
      <c r="AB239" s="70">
        <v>-7.4401575199038632</v>
      </c>
      <c r="AC239" s="70">
        <v>-0.14727857253257814</v>
      </c>
      <c r="AE239" s="70">
        <v>70.132013201320134</v>
      </c>
      <c r="AF239" s="70">
        <v>268</v>
      </c>
    </row>
    <row r="240" spans="1:32">
      <c r="A240" s="70">
        <v>216</v>
      </c>
      <c r="B240" s="70">
        <v>232.40344618163203</v>
      </c>
      <c r="C240" s="70">
        <v>108.59655381836797</v>
      </c>
      <c r="D240" s="70">
        <v>2.1447495470084323</v>
      </c>
      <c r="F240" s="70">
        <v>71.122112211221122</v>
      </c>
      <c r="G240" s="70">
        <v>269</v>
      </c>
      <c r="V240">
        <v>77</v>
      </c>
      <c r="W240">
        <v>125</v>
      </c>
      <c r="X240">
        <v>304</v>
      </c>
      <c r="Z240" s="70">
        <v>214</v>
      </c>
      <c r="AA240" s="70">
        <v>256.34715559446045</v>
      </c>
      <c r="AB240" s="70">
        <v>50.652844405539554</v>
      </c>
      <c r="AC240" s="70">
        <v>1.0026775103625827</v>
      </c>
      <c r="AE240" s="70">
        <v>70.462046204620464</v>
      </c>
      <c r="AF240" s="70">
        <v>269</v>
      </c>
    </row>
    <row r="241" spans="1:32">
      <c r="A241" s="70">
        <v>217</v>
      </c>
      <c r="B241" s="70">
        <v>255.57283071483306</v>
      </c>
      <c r="C241" s="70">
        <v>7.42716928516694</v>
      </c>
      <c r="D241" s="70">
        <v>0.14668437809324336</v>
      </c>
      <c r="F241" s="70">
        <v>71.452145214521465</v>
      </c>
      <c r="G241" s="70">
        <v>269</v>
      </c>
      <c r="V241">
        <v>35</v>
      </c>
      <c r="W241">
        <v>126</v>
      </c>
      <c r="X241">
        <v>282</v>
      </c>
      <c r="Z241" s="70">
        <v>215</v>
      </c>
      <c r="AA241" s="70">
        <v>246.72896503835727</v>
      </c>
      <c r="AB241" s="70">
        <v>2.2710349616427266</v>
      </c>
      <c r="AC241" s="70">
        <v>4.49553368228474E-2</v>
      </c>
      <c r="AE241" s="70">
        <v>70.792079207920793</v>
      </c>
      <c r="AF241" s="70">
        <v>269</v>
      </c>
    </row>
    <row r="242" spans="1:32">
      <c r="A242" s="70">
        <v>218</v>
      </c>
      <c r="B242" s="70">
        <v>256.79227200605419</v>
      </c>
      <c r="C242" s="70">
        <v>73.207727993945809</v>
      </c>
      <c r="D242" s="70">
        <v>1.4458307923393316</v>
      </c>
      <c r="F242" s="70">
        <v>71.782178217821794</v>
      </c>
      <c r="G242" s="70">
        <v>269</v>
      </c>
      <c r="V242">
        <v>70</v>
      </c>
      <c r="W242">
        <v>160</v>
      </c>
      <c r="X242">
        <v>269</v>
      </c>
      <c r="Z242" s="70">
        <v>216</v>
      </c>
      <c r="AA242" s="70">
        <v>233.72772503454715</v>
      </c>
      <c r="AB242" s="70">
        <v>107.27227496545285</v>
      </c>
      <c r="AC242" s="70">
        <v>2.1234641184637524</v>
      </c>
      <c r="AE242" s="70">
        <v>71.122112211221122</v>
      </c>
      <c r="AF242" s="70">
        <v>269</v>
      </c>
    </row>
    <row r="243" spans="1:32">
      <c r="A243" s="70">
        <v>219</v>
      </c>
      <c r="B243" s="70">
        <v>259.23115458849639</v>
      </c>
      <c r="C243" s="70">
        <v>-5.2311545884963948</v>
      </c>
      <c r="D243" s="70">
        <v>-0.10331374283546614</v>
      </c>
      <c r="F243" s="70">
        <v>72.112211221122124</v>
      </c>
      <c r="G243" s="70">
        <v>270</v>
      </c>
      <c r="V243">
        <v>59</v>
      </c>
      <c r="W243">
        <v>174</v>
      </c>
      <c r="X243">
        <v>249</v>
      </c>
      <c r="Z243" s="70">
        <v>217</v>
      </c>
      <c r="AA243" s="70">
        <v>254.40443686840814</v>
      </c>
      <c r="AB243" s="70">
        <v>8.5955631315918595</v>
      </c>
      <c r="AC243" s="70">
        <v>0.17014992824383965</v>
      </c>
      <c r="AE243" s="70">
        <v>71.452145214521465</v>
      </c>
      <c r="AF243" s="70">
        <v>269</v>
      </c>
    </row>
    <row r="244" spans="1:32">
      <c r="A244" s="70">
        <v>220</v>
      </c>
      <c r="B244" s="70">
        <v>238.50065263773757</v>
      </c>
      <c r="C244" s="70">
        <v>17.499347362262426</v>
      </c>
      <c r="D244" s="70">
        <v>0.3456068909049253</v>
      </c>
      <c r="F244" s="70">
        <v>72.442244224422453</v>
      </c>
      <c r="G244" s="70">
        <v>270</v>
      </c>
      <c r="V244">
        <v>64</v>
      </c>
      <c r="W244">
        <v>145</v>
      </c>
      <c r="X244">
        <v>212</v>
      </c>
      <c r="Z244" s="70">
        <v>218</v>
      </c>
      <c r="AA244" s="70">
        <v>255.51410511915026</v>
      </c>
      <c r="AB244" s="70">
        <v>74.485894880849742</v>
      </c>
      <c r="AC244" s="70">
        <v>1.4744548408438765</v>
      </c>
      <c r="AE244" s="70">
        <v>71.782178217821794</v>
      </c>
      <c r="AF244" s="70">
        <v>269</v>
      </c>
    </row>
    <row r="245" spans="1:32">
      <c r="A245" s="70">
        <v>221</v>
      </c>
      <c r="B245" s="70">
        <v>256.79227200605419</v>
      </c>
      <c r="C245" s="70">
        <v>150.20772799394581</v>
      </c>
      <c r="D245" s="70">
        <v>2.9665578256838891</v>
      </c>
      <c r="F245" s="70">
        <v>72.772277227722782</v>
      </c>
      <c r="G245" s="70">
        <v>271</v>
      </c>
      <c r="V245">
        <v>57</v>
      </c>
      <c r="W245">
        <v>152</v>
      </c>
      <c r="X245">
        <v>274</v>
      </c>
      <c r="Z245" s="70">
        <v>219</v>
      </c>
      <c r="AA245" s="70">
        <v>258.7509039462326</v>
      </c>
      <c r="AB245" s="70">
        <v>-4.7509039462325973</v>
      </c>
      <c r="AC245" s="70">
        <v>-9.4044561498688603E-2</v>
      </c>
      <c r="AE245" s="70">
        <v>72.112211221122124</v>
      </c>
      <c r="AF245" s="70">
        <v>270</v>
      </c>
    </row>
    <row r="246" spans="1:32">
      <c r="A246" s="70">
        <v>222</v>
      </c>
      <c r="B246" s="70">
        <v>247.03674167628532</v>
      </c>
      <c r="C246" s="70">
        <v>-30.036741676285317</v>
      </c>
      <c r="D246" s="70">
        <v>-0.59321668910018444</v>
      </c>
      <c r="F246" s="70">
        <v>73.102310231023111</v>
      </c>
      <c r="G246" s="70">
        <v>271</v>
      </c>
      <c r="V246">
        <v>56</v>
      </c>
      <c r="W246">
        <v>132</v>
      </c>
      <c r="X246">
        <v>184</v>
      </c>
      <c r="Z246" s="70">
        <v>220</v>
      </c>
      <c r="AA246" s="70">
        <v>238.86908135801849</v>
      </c>
      <c r="AB246" s="70">
        <v>17.130918641981509</v>
      </c>
      <c r="AC246" s="70">
        <v>0.3391080413302015</v>
      </c>
      <c r="AE246" s="70">
        <v>72.442244224422453</v>
      </c>
      <c r="AF246" s="70">
        <v>270</v>
      </c>
    </row>
    <row r="247" spans="1:32">
      <c r="A247" s="70">
        <v>223</v>
      </c>
      <c r="B247" s="70">
        <v>259.23115458849639</v>
      </c>
      <c r="C247" s="70">
        <v>22.768845411503605</v>
      </c>
      <c r="D247" s="70">
        <v>0.44967790565346388</v>
      </c>
      <c r="F247" s="70">
        <v>73.43234323432344</v>
      </c>
      <c r="G247" s="70">
        <v>273</v>
      </c>
      <c r="V247">
        <v>48</v>
      </c>
      <c r="W247">
        <v>124</v>
      </c>
      <c r="X247">
        <v>274</v>
      </c>
      <c r="Z247" s="70">
        <v>221</v>
      </c>
      <c r="AA247" s="70">
        <v>259.58395442154278</v>
      </c>
      <c r="AB247" s="70">
        <v>147.41604557845722</v>
      </c>
      <c r="AC247" s="70">
        <v>2.9181135887393412</v>
      </c>
      <c r="AE247" s="70">
        <v>72.772277227722782</v>
      </c>
      <c r="AF247" s="70">
        <v>271</v>
      </c>
    </row>
    <row r="248" spans="1:32">
      <c r="A248" s="70">
        <v>224</v>
      </c>
      <c r="B248" s="70">
        <v>248.25618296750645</v>
      </c>
      <c r="C248" s="70">
        <v>39.743817032493553</v>
      </c>
      <c r="D248" s="70">
        <v>0.7849285320728937</v>
      </c>
      <c r="F248" s="70">
        <v>73.762376237623769</v>
      </c>
      <c r="G248" s="70">
        <v>273</v>
      </c>
      <c r="V248">
        <v>56</v>
      </c>
      <c r="W248">
        <v>134</v>
      </c>
      <c r="X248">
        <v>409</v>
      </c>
      <c r="Z248" s="70">
        <v>222</v>
      </c>
      <c r="AA248" s="70">
        <v>248.67168376440958</v>
      </c>
      <c r="AB248" s="70">
        <v>-31.671683764409579</v>
      </c>
      <c r="AC248" s="70">
        <v>-0.62694376591448109</v>
      </c>
      <c r="AE248" s="70">
        <v>73.102310231023111</v>
      </c>
      <c r="AF248" s="70">
        <v>271</v>
      </c>
    </row>
    <row r="249" spans="1:32">
      <c r="A249" s="70">
        <v>225</v>
      </c>
      <c r="B249" s="70">
        <v>245.81730038506424</v>
      </c>
      <c r="C249" s="70">
        <v>-6.8173003850642431</v>
      </c>
      <c r="D249" s="70">
        <v>-0.1346396492207462</v>
      </c>
      <c r="F249" s="70">
        <v>74.092409240924098</v>
      </c>
      <c r="G249" s="70">
        <v>274</v>
      </c>
      <c r="V249">
        <v>66</v>
      </c>
      <c r="W249">
        <v>160</v>
      </c>
      <c r="X249">
        <v>246</v>
      </c>
      <c r="Z249" s="70">
        <v>223</v>
      </c>
      <c r="AA249" s="70">
        <v>259.36138134159148</v>
      </c>
      <c r="AB249" s="70">
        <v>22.638618658408518</v>
      </c>
      <c r="AC249" s="70">
        <v>0.44813344760513596</v>
      </c>
      <c r="AE249" s="70">
        <v>73.43234323432344</v>
      </c>
      <c r="AF249" s="70">
        <v>273</v>
      </c>
    </row>
    <row r="250" spans="1:32">
      <c r="A250" s="70">
        <v>226</v>
      </c>
      <c r="B250" s="70">
        <v>265.32836104460193</v>
      </c>
      <c r="C250" s="70">
        <v>-91.328361044601934</v>
      </c>
      <c r="D250" s="70">
        <v>-1.8037078902802357</v>
      </c>
      <c r="F250" s="70">
        <v>74.422442244224428</v>
      </c>
      <c r="G250" s="70">
        <v>274</v>
      </c>
      <c r="V250">
        <v>54</v>
      </c>
      <c r="W250">
        <v>192</v>
      </c>
      <c r="X250">
        <v>283</v>
      </c>
      <c r="Z250" s="70">
        <v>224</v>
      </c>
      <c r="AA250" s="70">
        <v>261.99089992232939</v>
      </c>
      <c r="AB250" s="70">
        <v>26.00910007767061</v>
      </c>
      <c r="AC250" s="70">
        <v>0.51485242376236562</v>
      </c>
      <c r="AE250" s="70">
        <v>73.762376237623769</v>
      </c>
      <c r="AF250" s="70">
        <v>273</v>
      </c>
    </row>
    <row r="251" spans="1:32">
      <c r="A251" s="70">
        <v>227</v>
      </c>
      <c r="B251" s="70">
        <v>255.57283071483306</v>
      </c>
      <c r="C251" s="70">
        <v>25.42716928516694</v>
      </c>
      <c r="D251" s="70">
        <v>0.50217900926469838</v>
      </c>
      <c r="F251" s="70">
        <v>74.752475247524757</v>
      </c>
      <c r="G251" s="70">
        <v>274</v>
      </c>
      <c r="V251">
        <v>69</v>
      </c>
      <c r="W251">
        <v>140</v>
      </c>
      <c r="X251">
        <v>254</v>
      </c>
      <c r="Z251" s="70">
        <v>225</v>
      </c>
      <c r="AA251" s="70">
        <v>241.45724156007861</v>
      </c>
      <c r="AB251" s="70">
        <v>-2.4572415600786144</v>
      </c>
      <c r="AC251" s="70">
        <v>-4.8641312817363565E-2</v>
      </c>
      <c r="AE251" s="70">
        <v>74.092409240924098</v>
      </c>
      <c r="AF251" s="70">
        <v>274</v>
      </c>
    </row>
    <row r="252" spans="1:32">
      <c r="A252" s="70">
        <v>228</v>
      </c>
      <c r="B252" s="70">
        <v>222.64791585186319</v>
      </c>
      <c r="C252" s="70">
        <v>-24.647915851863189</v>
      </c>
      <c r="D252" s="70">
        <v>-0.48678898638350909</v>
      </c>
      <c r="F252" s="70">
        <v>75.082508250825086</v>
      </c>
      <c r="G252" s="70">
        <v>275</v>
      </c>
      <c r="V252">
        <v>51</v>
      </c>
      <c r="W252">
        <v>140</v>
      </c>
      <c r="X252">
        <v>298</v>
      </c>
      <c r="Z252" s="70">
        <v>226</v>
      </c>
      <c r="AA252" s="70">
        <v>266.33416985113951</v>
      </c>
      <c r="AB252" s="70">
        <v>-92.334169851139507</v>
      </c>
      <c r="AC252" s="70">
        <v>-1.8277630137906216</v>
      </c>
      <c r="AE252" s="70">
        <v>74.422442244224428</v>
      </c>
      <c r="AF252" s="70">
        <v>274</v>
      </c>
    </row>
    <row r="253" spans="1:32">
      <c r="A253" s="70">
        <v>229</v>
      </c>
      <c r="B253" s="70">
        <v>251.91450684116975</v>
      </c>
      <c r="C253" s="70">
        <v>36.085493158830246</v>
      </c>
      <c r="D253" s="70">
        <v>0.71267772672991236</v>
      </c>
      <c r="F253" s="70">
        <v>75.412541254125415</v>
      </c>
      <c r="G253" s="70">
        <v>275</v>
      </c>
      <c r="V253">
        <v>43</v>
      </c>
      <c r="W253">
        <v>132</v>
      </c>
      <c r="X253">
        <v>247</v>
      </c>
      <c r="Z253" s="70">
        <v>227</v>
      </c>
      <c r="AA253" s="70">
        <v>252.36951221721185</v>
      </c>
      <c r="AB253" s="70">
        <v>28.630487782788151</v>
      </c>
      <c r="AC253" s="70">
        <v>0.56674302395884524</v>
      </c>
      <c r="AE253" s="70">
        <v>74.752475247524757</v>
      </c>
      <c r="AF253" s="70">
        <v>274</v>
      </c>
    </row>
    <row r="254" spans="1:32">
      <c r="A254" s="70">
        <v>230</v>
      </c>
      <c r="B254" s="70">
        <v>258.01171329727526</v>
      </c>
      <c r="C254" s="70">
        <v>50.988286702724736</v>
      </c>
      <c r="D254" s="70">
        <v>1.0070034541916408</v>
      </c>
      <c r="F254" s="70">
        <v>75.742574257425744</v>
      </c>
      <c r="G254" s="70">
        <v>276</v>
      </c>
      <c r="V254">
        <v>62</v>
      </c>
      <c r="W254">
        <v>138</v>
      </c>
      <c r="X254">
        <v>294</v>
      </c>
      <c r="Z254" s="70">
        <v>228</v>
      </c>
      <c r="AA254" s="70">
        <v>222.40846944717464</v>
      </c>
      <c r="AB254" s="70">
        <v>-24.408469447174639</v>
      </c>
      <c r="AC254" s="70">
        <v>-0.48316779964241646</v>
      </c>
      <c r="AE254" s="70">
        <v>75.082508250825086</v>
      </c>
      <c r="AF254" s="70">
        <v>275</v>
      </c>
    </row>
    <row r="255" spans="1:32">
      <c r="A255" s="70">
        <v>231</v>
      </c>
      <c r="B255" s="70">
        <v>237.28121134651647</v>
      </c>
      <c r="C255" s="70">
        <v>5.7187886534835286</v>
      </c>
      <c r="D255" s="70">
        <v>0.11294437017320161</v>
      </c>
      <c r="F255" s="70">
        <v>76.072607260726073</v>
      </c>
      <c r="G255" s="70">
        <v>277</v>
      </c>
      <c r="V255">
        <v>67</v>
      </c>
      <c r="W255">
        <v>100</v>
      </c>
      <c r="X255">
        <v>299</v>
      </c>
      <c r="Z255" s="70">
        <v>229</v>
      </c>
      <c r="AA255" s="70">
        <v>259.2151307209669</v>
      </c>
      <c r="AB255" s="70">
        <v>28.784869279033103</v>
      </c>
      <c r="AC255" s="70">
        <v>0.56979901925619936</v>
      </c>
      <c r="AE255" s="70">
        <v>75.412541254125415</v>
      </c>
      <c r="AF255" s="70">
        <v>275</v>
      </c>
    </row>
    <row r="256" spans="1:32">
      <c r="A256" s="70">
        <v>232</v>
      </c>
      <c r="B256" s="70">
        <v>249.47562425872755</v>
      </c>
      <c r="C256" s="70">
        <v>39.524375741272451</v>
      </c>
      <c r="D256" s="70">
        <v>0.78059463202364743</v>
      </c>
      <c r="F256" s="70">
        <v>76.402640264026402</v>
      </c>
      <c r="G256" s="70">
        <v>277</v>
      </c>
      <c r="V256">
        <v>59</v>
      </c>
      <c r="W256">
        <v>160</v>
      </c>
      <c r="X256">
        <v>273</v>
      </c>
      <c r="Z256" s="70">
        <v>230</v>
      </c>
      <c r="AA256" s="70">
        <v>255.60631104429422</v>
      </c>
      <c r="AB256" s="70">
        <v>53.393688955705784</v>
      </c>
      <c r="AC256" s="70">
        <v>1.0569327693140618</v>
      </c>
      <c r="AE256" s="70">
        <v>75.742574257425744</v>
      </c>
      <c r="AF256" s="70">
        <v>276</v>
      </c>
    </row>
    <row r="257" spans="1:32">
      <c r="A257" s="70">
        <v>233</v>
      </c>
      <c r="B257" s="70">
        <v>247.03674167628532</v>
      </c>
      <c r="C257" s="70">
        <v>41.963258323714683</v>
      </c>
      <c r="D257" s="70">
        <v>0.82876183558563565</v>
      </c>
      <c r="F257" s="70">
        <v>76.732673267326732</v>
      </c>
      <c r="G257" s="70">
        <v>278</v>
      </c>
      <c r="V257">
        <v>45</v>
      </c>
      <c r="W257">
        <v>142</v>
      </c>
      <c r="X257">
        <v>309</v>
      </c>
      <c r="Z257" s="70">
        <v>231</v>
      </c>
      <c r="AA257" s="70">
        <v>233.28257887464454</v>
      </c>
      <c r="AB257" s="70">
        <v>9.7174211253554574</v>
      </c>
      <c r="AC257" s="70">
        <v>0.19235720590748509</v>
      </c>
      <c r="AE257" s="70">
        <v>76.072607260726073</v>
      </c>
      <c r="AF257" s="70">
        <v>277</v>
      </c>
    </row>
    <row r="258" spans="1:32">
      <c r="A258" s="70">
        <v>234</v>
      </c>
      <c r="B258" s="70">
        <v>258.01171329727526</v>
      </c>
      <c r="C258" s="70">
        <v>-12.011713297275264</v>
      </c>
      <c r="D258" s="70">
        <v>-0.23722775490845177</v>
      </c>
      <c r="F258" s="70">
        <v>77.062706270627075</v>
      </c>
      <c r="G258" s="70">
        <v>281</v>
      </c>
      <c r="V258">
        <v>58</v>
      </c>
      <c r="W258">
        <v>128</v>
      </c>
      <c r="X258">
        <v>259</v>
      </c>
      <c r="Z258" s="70">
        <v>232</v>
      </c>
      <c r="AA258" s="70">
        <v>255.97833189388453</v>
      </c>
      <c r="AB258" s="70">
        <v>33.02166810611547</v>
      </c>
      <c r="AC258" s="70">
        <v>0.65366682470132587</v>
      </c>
      <c r="AE258" s="70">
        <v>76.402640264026402</v>
      </c>
      <c r="AF258" s="70">
        <v>277</v>
      </c>
    </row>
    <row r="259" spans="1:32">
      <c r="A259" s="70">
        <v>235</v>
      </c>
      <c r="B259" s="70">
        <v>265.32836104460193</v>
      </c>
      <c r="C259" s="70">
        <v>56.671638955398066</v>
      </c>
      <c r="D259" s="70">
        <v>1.1192479660183943</v>
      </c>
      <c r="F259" s="70">
        <v>77.392739273927404</v>
      </c>
      <c r="G259" s="70">
        <v>282</v>
      </c>
      <c r="V259">
        <v>50</v>
      </c>
      <c r="W259">
        <v>144</v>
      </c>
      <c r="X259">
        <v>200</v>
      </c>
      <c r="Z259" s="70">
        <v>233</v>
      </c>
      <c r="AA259" s="70">
        <v>252.74153306680216</v>
      </c>
      <c r="AB259" s="70">
        <v>36.258466933197838</v>
      </c>
      <c r="AC259" s="70">
        <v>0.71773954218781988</v>
      </c>
      <c r="AE259" s="70">
        <v>76.732673267326732</v>
      </c>
      <c r="AF259" s="70">
        <v>278</v>
      </c>
    </row>
    <row r="260" spans="1:32">
      <c r="A260" s="70">
        <v>236</v>
      </c>
      <c r="B260" s="70">
        <v>242.15897651140091</v>
      </c>
      <c r="C260" s="70">
        <v>56.841023488599092</v>
      </c>
      <c r="D260" s="70">
        <v>1.1225932600270858</v>
      </c>
      <c r="F260" s="70">
        <v>77.722772277227733</v>
      </c>
      <c r="G260" s="70">
        <v>282</v>
      </c>
      <c r="V260">
        <v>62</v>
      </c>
      <c r="W260">
        <v>150</v>
      </c>
      <c r="X260">
        <v>244</v>
      </c>
      <c r="Z260" s="70">
        <v>234</v>
      </c>
      <c r="AA260" s="70">
        <v>254.58884871869608</v>
      </c>
      <c r="AB260" s="70">
        <v>-8.5888487186960845</v>
      </c>
      <c r="AC260" s="70">
        <v>-0.17001701584997722</v>
      </c>
      <c r="AE260" s="70">
        <v>77.062706270627075</v>
      </c>
      <c r="AF260" s="70">
        <v>281</v>
      </c>
    </row>
    <row r="261" spans="1:32">
      <c r="A261" s="70">
        <v>237</v>
      </c>
      <c r="B261" s="70">
        <v>250.69506554994865</v>
      </c>
      <c r="C261" s="70">
        <v>49.304934450051348</v>
      </c>
      <c r="D261" s="70">
        <v>0.97375774929187608</v>
      </c>
      <c r="F261" s="70">
        <v>78.052805280528062</v>
      </c>
      <c r="G261" s="70">
        <v>282</v>
      </c>
      <c r="V261">
        <v>38</v>
      </c>
      <c r="W261">
        <v>120</v>
      </c>
      <c r="X261">
        <v>231</v>
      </c>
      <c r="Z261" s="70">
        <v>235</v>
      </c>
      <c r="AA261" s="70">
        <v>263.28178287434508</v>
      </c>
      <c r="AB261" s="70">
        <v>58.718217125654917</v>
      </c>
      <c r="AC261" s="70">
        <v>1.1623322727764214</v>
      </c>
      <c r="AE261" s="70">
        <v>77.392739273927404</v>
      </c>
      <c r="AF261" s="70">
        <v>282</v>
      </c>
    </row>
    <row r="262" spans="1:32">
      <c r="A262" s="70">
        <v>238</v>
      </c>
      <c r="B262" s="70">
        <v>253.13394813239086</v>
      </c>
      <c r="C262" s="70">
        <v>39.866051867609144</v>
      </c>
      <c r="D262" s="70">
        <v>0.787342633607656</v>
      </c>
      <c r="F262" s="70">
        <v>78.382838283828391</v>
      </c>
      <c r="G262" s="70">
        <v>282</v>
      </c>
      <c r="V262">
        <v>66</v>
      </c>
      <c r="W262">
        <v>178</v>
      </c>
      <c r="X262">
        <v>228</v>
      </c>
      <c r="Z262" s="70">
        <v>236</v>
      </c>
      <c r="AA262" s="70">
        <v>244.23301076144111</v>
      </c>
      <c r="AB262" s="70">
        <v>54.766989238558892</v>
      </c>
      <c r="AC262" s="70">
        <v>1.0841173692067538</v>
      </c>
      <c r="AE262" s="70">
        <v>77.722772277227733</v>
      </c>
      <c r="AF262" s="70">
        <v>282</v>
      </c>
    </row>
    <row r="263" spans="1:32">
      <c r="A263" s="70">
        <v>239</v>
      </c>
      <c r="B263" s="70">
        <v>273.86445008314968</v>
      </c>
      <c r="C263" s="70">
        <v>30.135549916850323</v>
      </c>
      <c r="D263" s="70">
        <v>0.59516812237998207</v>
      </c>
      <c r="F263" s="70">
        <v>78.712871287128721</v>
      </c>
      <c r="G263" s="70">
        <v>283</v>
      </c>
      <c r="V263">
        <v>52</v>
      </c>
      <c r="W263">
        <v>112</v>
      </c>
      <c r="X263">
        <v>230</v>
      </c>
      <c r="Z263" s="70">
        <v>237</v>
      </c>
      <c r="AA263" s="70">
        <v>248.94830153984151</v>
      </c>
      <c r="AB263" s="70">
        <v>51.051698460158491</v>
      </c>
      <c r="AC263" s="70">
        <v>1.0105728614564218</v>
      </c>
      <c r="AE263" s="70">
        <v>78.052805280528062</v>
      </c>
      <c r="AF263" s="70">
        <v>282</v>
      </c>
    </row>
    <row r="264" spans="1:32">
      <c r="A264" s="70">
        <v>240</v>
      </c>
      <c r="B264" s="70">
        <v>222.64791585186319</v>
      </c>
      <c r="C264" s="70">
        <v>59.352084148136811</v>
      </c>
      <c r="D264" s="70">
        <v>1.172185959083281</v>
      </c>
      <c r="F264" s="70">
        <v>79.04290429042905</v>
      </c>
      <c r="G264" s="70">
        <v>283</v>
      </c>
      <c r="V264">
        <v>53</v>
      </c>
      <c r="W264">
        <v>123</v>
      </c>
      <c r="X264">
        <v>282</v>
      </c>
      <c r="Z264" s="70">
        <v>238</v>
      </c>
      <c r="AA264" s="70">
        <v>254.22002501812017</v>
      </c>
      <c r="AB264" s="70">
        <v>38.779974981879832</v>
      </c>
      <c r="AC264" s="70">
        <v>0.76765301579987988</v>
      </c>
      <c r="AE264" s="70">
        <v>78.382838283828391</v>
      </c>
      <c r="AF264" s="70">
        <v>282</v>
      </c>
    </row>
    <row r="265" spans="1:32">
      <c r="A265" s="70">
        <v>241</v>
      </c>
      <c r="B265" s="70">
        <v>265.32836104460193</v>
      </c>
      <c r="C265" s="70">
        <v>3.6716389553980662</v>
      </c>
      <c r="D265" s="70">
        <v>7.2513774235776776E-2</v>
      </c>
      <c r="F265" s="70">
        <v>79.372937293729379</v>
      </c>
      <c r="G265" s="70">
        <v>283</v>
      </c>
      <c r="V265">
        <v>63</v>
      </c>
      <c r="W265">
        <v>108</v>
      </c>
      <c r="X265">
        <v>269</v>
      </c>
      <c r="Z265" s="70">
        <v>239</v>
      </c>
      <c r="AA265" s="70">
        <v>270.03199830394175</v>
      </c>
      <c r="AB265" s="70">
        <v>33.968001696058252</v>
      </c>
      <c r="AC265" s="70">
        <v>0.6723995813524517</v>
      </c>
      <c r="AE265" s="70">
        <v>78.712871287128721</v>
      </c>
      <c r="AF265" s="70">
        <v>283</v>
      </c>
    </row>
    <row r="266" spans="1:32">
      <c r="A266" s="70">
        <v>242</v>
      </c>
      <c r="B266" s="70">
        <v>251.91450684116975</v>
      </c>
      <c r="C266" s="70">
        <v>-2.9145068411697537</v>
      </c>
      <c r="D266" s="70">
        <v>-5.7560640808240221E-2</v>
      </c>
      <c r="F266" s="70">
        <v>79.702970297029708</v>
      </c>
      <c r="G266" s="70">
        <v>284</v>
      </c>
      <c r="V266">
        <v>54</v>
      </c>
      <c r="W266">
        <v>110</v>
      </c>
      <c r="X266">
        <v>206</v>
      </c>
      <c r="Z266" s="70">
        <v>240</v>
      </c>
      <c r="AA266" s="70">
        <v>223.62942423789241</v>
      </c>
      <c r="AB266" s="70">
        <v>58.370575762107592</v>
      </c>
      <c r="AC266" s="70">
        <v>1.1554506814069432</v>
      </c>
      <c r="AE266" s="70">
        <v>79.04290429042905</v>
      </c>
      <c r="AF266" s="70">
        <v>283</v>
      </c>
    </row>
    <row r="267" spans="1:32">
      <c r="A267" s="70">
        <v>243</v>
      </c>
      <c r="B267" s="70">
        <v>258.01171329727526</v>
      </c>
      <c r="C267" s="70">
        <v>-46.011713297275264</v>
      </c>
      <c r="D267" s="70">
        <v>-0.90871761378786675</v>
      </c>
      <c r="F267" s="70">
        <v>80.033003300330037</v>
      </c>
      <c r="G267" s="70">
        <v>286</v>
      </c>
      <c r="V267">
        <v>66</v>
      </c>
      <c r="W267">
        <v>112</v>
      </c>
      <c r="X267">
        <v>212</v>
      </c>
      <c r="Z267" s="70">
        <v>241</v>
      </c>
      <c r="AA267" s="70">
        <v>269.38655682793393</v>
      </c>
      <c r="AB267" s="70">
        <v>-0.38655682793392998</v>
      </c>
      <c r="AC267" s="70">
        <v>-7.6519264099621205E-3</v>
      </c>
      <c r="AE267" s="70">
        <v>79.372937293729379</v>
      </c>
      <c r="AF267" s="70">
        <v>283</v>
      </c>
    </row>
    <row r="268" spans="1:32">
      <c r="A268" s="70">
        <v>244</v>
      </c>
      <c r="B268" s="70">
        <v>249.47562425872755</v>
      </c>
      <c r="C268" s="70">
        <v>24.524375741272451</v>
      </c>
      <c r="D268" s="70">
        <v>0.48434910604743492</v>
      </c>
      <c r="F268" s="70">
        <v>80.363036303630366</v>
      </c>
      <c r="G268" s="70">
        <v>286</v>
      </c>
      <c r="V268">
        <v>55</v>
      </c>
      <c r="W268">
        <v>180</v>
      </c>
      <c r="X268">
        <v>327</v>
      </c>
      <c r="Z268" s="70">
        <v>242</v>
      </c>
      <c r="AA268" s="70">
        <v>260.02910058144539</v>
      </c>
      <c r="AB268" s="70">
        <v>-11.029100581445391</v>
      </c>
      <c r="AC268" s="70">
        <v>-0.21832201611431659</v>
      </c>
      <c r="AE268" s="70">
        <v>79.702970297029708</v>
      </c>
      <c r="AF268" s="70">
        <v>284</v>
      </c>
    </row>
    <row r="269" spans="1:32">
      <c r="A269" s="70">
        <v>245</v>
      </c>
      <c r="B269" s="70">
        <v>248.25618296750645</v>
      </c>
      <c r="C269" s="70">
        <v>-64.256182967506447</v>
      </c>
      <c r="D269" s="70">
        <v>-1.2690404480288464</v>
      </c>
      <c r="F269" s="70">
        <v>80.693069306930695</v>
      </c>
      <c r="G269" s="70">
        <v>288</v>
      </c>
      <c r="V269">
        <v>49</v>
      </c>
      <c r="W269">
        <v>118</v>
      </c>
      <c r="X269">
        <v>149</v>
      </c>
      <c r="Z269" s="70">
        <v>243</v>
      </c>
      <c r="AA269" s="70">
        <v>259.6761603466868</v>
      </c>
      <c r="AB269" s="70">
        <v>-47.6761603466868</v>
      </c>
      <c r="AC269" s="70">
        <v>-0.94375378759253303</v>
      </c>
      <c r="AE269" s="70">
        <v>80.033003300330037</v>
      </c>
      <c r="AF269" s="70">
        <v>286</v>
      </c>
    </row>
    <row r="270" spans="1:32">
      <c r="A270" s="70">
        <v>246</v>
      </c>
      <c r="B270" s="70">
        <v>238.50065263773757</v>
      </c>
      <c r="C270" s="70">
        <v>35.499347362262426</v>
      </c>
      <c r="D270" s="70">
        <v>0.70110152207638032</v>
      </c>
      <c r="F270" s="70">
        <v>81.023102310231025</v>
      </c>
      <c r="G270" s="70">
        <v>288</v>
      </c>
      <c r="V270">
        <v>54</v>
      </c>
      <c r="W270">
        <v>122</v>
      </c>
      <c r="X270">
        <v>286</v>
      </c>
      <c r="Z270" s="70">
        <v>244</v>
      </c>
      <c r="AA270" s="70">
        <v>253.33292984732935</v>
      </c>
      <c r="AB270" s="70">
        <v>20.667070152670647</v>
      </c>
      <c r="AC270" s="70">
        <v>0.40910647151934426</v>
      </c>
      <c r="AE270" s="70">
        <v>80.363036303630366</v>
      </c>
      <c r="AF270" s="70">
        <v>286</v>
      </c>
    </row>
    <row r="271" spans="1:32">
      <c r="A271" s="70">
        <v>247</v>
      </c>
      <c r="B271" s="70">
        <v>248.25618296750645</v>
      </c>
      <c r="C271" s="70">
        <v>160.74381703249355</v>
      </c>
      <c r="D271" s="70">
        <v>3.1746424416143415</v>
      </c>
      <c r="F271" s="70">
        <v>81.353135313531354</v>
      </c>
      <c r="G271" s="70">
        <v>288</v>
      </c>
      <c r="V271">
        <v>56</v>
      </c>
      <c r="W271">
        <v>130</v>
      </c>
      <c r="X271">
        <v>283</v>
      </c>
      <c r="Z271" s="70">
        <v>245</v>
      </c>
      <c r="AA271" s="70">
        <v>248.15341229419468</v>
      </c>
      <c r="AB271" s="70">
        <v>-64.15341229419468</v>
      </c>
      <c r="AC271" s="70">
        <v>-1.2699224392100006</v>
      </c>
      <c r="AE271" s="70">
        <v>80.693069306930695</v>
      </c>
      <c r="AF271" s="70">
        <v>288</v>
      </c>
    </row>
    <row r="272" spans="1:32">
      <c r="A272" s="70">
        <v>248</v>
      </c>
      <c r="B272" s="70">
        <v>260.45059587971753</v>
      </c>
      <c r="C272" s="70">
        <v>-14.450595879717525</v>
      </c>
      <c r="D272" s="70">
        <v>-0.2853949584704405</v>
      </c>
      <c r="F272" s="70">
        <v>81.683168316831683</v>
      </c>
      <c r="G272" s="70">
        <v>289</v>
      </c>
      <c r="V272">
        <v>46</v>
      </c>
      <c r="W272">
        <v>120</v>
      </c>
      <c r="X272">
        <v>249</v>
      </c>
      <c r="Z272" s="70">
        <v>246</v>
      </c>
      <c r="AA272" s="70">
        <v>237.64812656730072</v>
      </c>
      <c r="AB272" s="70">
        <v>36.351873432699279</v>
      </c>
      <c r="AC272" s="70">
        <v>0.71958853206135887</v>
      </c>
      <c r="AE272" s="70">
        <v>81.023102310231025</v>
      </c>
      <c r="AF272" s="70">
        <v>288</v>
      </c>
    </row>
    <row r="273" spans="1:32">
      <c r="A273" s="70">
        <v>249</v>
      </c>
      <c r="B273" s="70">
        <v>245.81730038506424</v>
      </c>
      <c r="C273" s="70">
        <v>37.182699614935757</v>
      </c>
      <c r="D273" s="70">
        <v>0.73434722697614385</v>
      </c>
      <c r="F273" s="70">
        <v>82.013201320132026</v>
      </c>
      <c r="G273" s="70">
        <v>289</v>
      </c>
      <c r="V273">
        <v>61</v>
      </c>
      <c r="W273">
        <v>134</v>
      </c>
      <c r="X273">
        <v>234</v>
      </c>
      <c r="Z273" s="70">
        <v>247</v>
      </c>
      <c r="AA273" s="70">
        <v>248.56039722443393</v>
      </c>
      <c r="AB273" s="70">
        <v>160.43960277556607</v>
      </c>
      <c r="AC273" s="70">
        <v>3.1759160489903926</v>
      </c>
      <c r="AE273" s="70">
        <v>81.353135313531354</v>
      </c>
      <c r="AF273" s="70">
        <v>288</v>
      </c>
    </row>
    <row r="274" spans="1:32">
      <c r="A274" s="70">
        <v>250</v>
      </c>
      <c r="B274" s="70">
        <v>264.10891975338086</v>
      </c>
      <c r="C274" s="70">
        <v>-10.10891975338086</v>
      </c>
      <c r="D274" s="70">
        <v>-0.19964814995944249</v>
      </c>
      <c r="F274" s="70">
        <v>82.343234323432355</v>
      </c>
      <c r="G274" s="70">
        <v>290</v>
      </c>
      <c r="V274">
        <v>67</v>
      </c>
      <c r="W274">
        <v>120</v>
      </c>
      <c r="X274">
        <v>237</v>
      </c>
      <c r="Z274" s="70">
        <v>248</v>
      </c>
      <c r="AA274" s="70">
        <v>264.94788382496546</v>
      </c>
      <c r="AB274" s="70">
        <v>-18.947883824965459</v>
      </c>
      <c r="AC274" s="70">
        <v>-0.37507502694514167</v>
      </c>
      <c r="AE274" s="70">
        <v>81.683168316831683</v>
      </c>
      <c r="AF274" s="70">
        <v>289</v>
      </c>
    </row>
    <row r="275" spans="1:32">
      <c r="A275" s="70">
        <v>251</v>
      </c>
      <c r="B275" s="70">
        <v>242.15897651140091</v>
      </c>
      <c r="C275" s="70">
        <v>55.841023488599092</v>
      </c>
      <c r="D275" s="70">
        <v>1.1028435582953384</v>
      </c>
      <c r="F275" s="70">
        <v>82.673267326732685</v>
      </c>
      <c r="G275" s="70">
        <v>293</v>
      </c>
      <c r="V275">
        <v>58</v>
      </c>
      <c r="W275">
        <v>100</v>
      </c>
      <c r="X275">
        <v>234</v>
      </c>
      <c r="Z275" s="70">
        <v>249</v>
      </c>
      <c r="AA275" s="70">
        <v>258.14362369988817</v>
      </c>
      <c r="AB275" s="70">
        <v>24.856376300111833</v>
      </c>
      <c r="AC275" s="70">
        <v>0.49203415519358251</v>
      </c>
      <c r="AE275" s="70">
        <v>82.013201320132026</v>
      </c>
      <c r="AF275" s="70">
        <v>289</v>
      </c>
    </row>
    <row r="276" spans="1:32">
      <c r="A276" s="70">
        <v>252</v>
      </c>
      <c r="B276" s="70">
        <v>232.40344618163203</v>
      </c>
      <c r="C276" s="70">
        <v>14.596553818367966</v>
      </c>
      <c r="D276" s="70">
        <v>0.28827758422416738</v>
      </c>
      <c r="F276" s="70">
        <v>83.003300330033014</v>
      </c>
      <c r="G276" s="70">
        <v>294</v>
      </c>
      <c r="V276">
        <v>47</v>
      </c>
      <c r="W276">
        <v>110</v>
      </c>
      <c r="X276">
        <v>275</v>
      </c>
      <c r="Z276" s="70">
        <v>250</v>
      </c>
      <c r="AA276" s="70">
        <v>264.20703927479923</v>
      </c>
      <c r="AB276" s="70">
        <v>-10.207039274799229</v>
      </c>
      <c r="AC276" s="70">
        <v>-0.20204924024186741</v>
      </c>
      <c r="AE276" s="70">
        <v>82.343234323432355</v>
      </c>
      <c r="AF276" s="70">
        <v>290</v>
      </c>
    </row>
    <row r="277" spans="1:32">
      <c r="A277" s="70">
        <v>253</v>
      </c>
      <c r="B277" s="70">
        <v>255.57283071483306</v>
      </c>
      <c r="C277" s="70">
        <v>38.42716928516694</v>
      </c>
      <c r="D277" s="70">
        <v>0.75892513177741594</v>
      </c>
      <c r="F277" s="70">
        <v>83.333333333333343</v>
      </c>
      <c r="G277" s="70">
        <v>294</v>
      </c>
      <c r="V277">
        <v>52</v>
      </c>
      <c r="W277">
        <v>125</v>
      </c>
      <c r="X277">
        <v>212</v>
      </c>
      <c r="Z277" s="70">
        <v>251</v>
      </c>
      <c r="AA277" s="70">
        <v>244.23301076144111</v>
      </c>
      <c r="AB277" s="70">
        <v>53.766989238558892</v>
      </c>
      <c r="AC277" s="70">
        <v>1.0643222812481214</v>
      </c>
      <c r="AE277" s="70">
        <v>82.673267326732685</v>
      </c>
      <c r="AF277" s="70">
        <v>293</v>
      </c>
    </row>
    <row r="278" spans="1:32">
      <c r="A278" s="70">
        <v>254</v>
      </c>
      <c r="B278" s="70">
        <v>261.6700371709386</v>
      </c>
      <c r="C278" s="70">
        <v>37.329962829061401</v>
      </c>
      <c r="D278" s="70">
        <v>0.73725563153118379</v>
      </c>
      <c r="F278" s="70">
        <v>83.663366336633672</v>
      </c>
      <c r="G278" s="70">
        <v>295</v>
      </c>
      <c r="V278">
        <v>58</v>
      </c>
      <c r="W278">
        <v>146</v>
      </c>
      <c r="X278">
        <v>218</v>
      </c>
      <c r="Z278" s="70">
        <v>252</v>
      </c>
      <c r="AA278" s="70">
        <v>233.72772503454715</v>
      </c>
      <c r="AB278" s="70">
        <v>13.272274965452851</v>
      </c>
      <c r="AC278" s="70">
        <v>0.26272585035229556</v>
      </c>
      <c r="AE278" s="70">
        <v>83.003300330033014</v>
      </c>
      <c r="AF278" s="70">
        <v>294</v>
      </c>
    </row>
    <row r="279" spans="1:32">
      <c r="A279" s="70">
        <v>255</v>
      </c>
      <c r="B279" s="70">
        <v>251.91450684116975</v>
      </c>
      <c r="C279" s="70">
        <v>21.085493158830246</v>
      </c>
      <c r="D279" s="70">
        <v>0.4164322007536998</v>
      </c>
      <c r="F279" s="70">
        <v>83.993399339934001</v>
      </c>
      <c r="G279" s="70">
        <v>295</v>
      </c>
      <c r="V279">
        <v>57</v>
      </c>
      <c r="W279">
        <v>124</v>
      </c>
      <c r="X279">
        <v>261</v>
      </c>
      <c r="Z279" s="70">
        <v>253</v>
      </c>
      <c r="AA279" s="70">
        <v>256.03237658936513</v>
      </c>
      <c r="AB279" s="70">
        <v>37.967623410634872</v>
      </c>
      <c r="AC279" s="70">
        <v>0.75157244499375253</v>
      </c>
      <c r="AE279" s="70">
        <v>83.333333333333343</v>
      </c>
      <c r="AF279" s="70">
        <v>294</v>
      </c>
    </row>
    <row r="280" spans="1:32">
      <c r="A280" s="70">
        <v>256</v>
      </c>
      <c r="B280" s="70">
        <v>234.84232876407427</v>
      </c>
      <c r="C280" s="70">
        <v>74.157671235925733</v>
      </c>
      <c r="D280" s="70">
        <v>1.4645918880305242</v>
      </c>
      <c r="F280" s="70">
        <v>84.32343234323433</v>
      </c>
      <c r="G280" s="70">
        <v>298</v>
      </c>
      <c r="V280">
        <v>58</v>
      </c>
      <c r="W280">
        <v>136</v>
      </c>
      <c r="X280">
        <v>319</v>
      </c>
      <c r="Z280" s="70">
        <v>254</v>
      </c>
      <c r="AA280" s="70">
        <v>253.84800416852988</v>
      </c>
      <c r="AB280" s="70">
        <v>45.151995831470117</v>
      </c>
      <c r="AC280" s="70">
        <v>0.89378772899175984</v>
      </c>
      <c r="AE280" s="70">
        <v>83.663366336633672</v>
      </c>
      <c r="AF280" s="70">
        <v>295</v>
      </c>
    </row>
    <row r="281" spans="1:32">
      <c r="A281" s="70">
        <v>257</v>
      </c>
      <c r="B281" s="70">
        <v>250.69506554994865</v>
      </c>
      <c r="C281" s="70">
        <v>8.3049344500513484</v>
      </c>
      <c r="D281" s="70">
        <v>0.1640199782902286</v>
      </c>
      <c r="F281" s="70">
        <v>84.653465346534659</v>
      </c>
      <c r="G281" s="70">
        <v>298</v>
      </c>
      <c r="V281">
        <v>61</v>
      </c>
      <c r="W281">
        <v>138</v>
      </c>
      <c r="X281">
        <v>166</v>
      </c>
      <c r="Z281" s="70">
        <v>255</v>
      </c>
      <c r="AA281" s="70">
        <v>257.18020606977063</v>
      </c>
      <c r="AB281" s="70">
        <v>15.819793930229366</v>
      </c>
      <c r="AC281" s="70">
        <v>0.31315421233633117</v>
      </c>
      <c r="AE281" s="70">
        <v>83.993399339934001</v>
      </c>
      <c r="AF281" s="70">
        <v>295</v>
      </c>
    </row>
    <row r="282" spans="1:32">
      <c r="A282" s="70">
        <v>258</v>
      </c>
      <c r="B282" s="70">
        <v>240.93953522017978</v>
      </c>
      <c r="C282" s="70">
        <v>-40.939535220179778</v>
      </c>
      <c r="D282" s="70">
        <v>-0.80854360963492233</v>
      </c>
      <c r="F282" s="70">
        <v>84.983498349834989</v>
      </c>
      <c r="G282" s="70">
        <v>299</v>
      </c>
      <c r="V282">
        <v>42</v>
      </c>
      <c r="W282">
        <v>136</v>
      </c>
      <c r="X282">
        <v>315</v>
      </c>
      <c r="Z282" s="70">
        <v>256</v>
      </c>
      <c r="AA282" s="70">
        <v>237.98198618722768</v>
      </c>
      <c r="AB282" s="70">
        <v>71.018013812772324</v>
      </c>
      <c r="AC282" s="70">
        <v>1.4058078300712074</v>
      </c>
      <c r="AE282" s="70">
        <v>84.32343234323433</v>
      </c>
      <c r="AF282" s="70">
        <v>298</v>
      </c>
    </row>
    <row r="283" spans="1:32">
      <c r="A283" s="70">
        <v>259</v>
      </c>
      <c r="B283" s="70">
        <v>255.57283071483306</v>
      </c>
      <c r="C283" s="70">
        <v>-11.57283071483306</v>
      </c>
      <c r="D283" s="70">
        <v>-0.22855995480995916</v>
      </c>
      <c r="F283" s="70">
        <v>85.313531353135318</v>
      </c>
      <c r="G283" s="70">
        <v>299</v>
      </c>
      <c r="V283">
        <v>52</v>
      </c>
      <c r="W283">
        <v>128</v>
      </c>
      <c r="X283">
        <v>204</v>
      </c>
      <c r="Z283" s="70">
        <v>257</v>
      </c>
      <c r="AA283" s="70">
        <v>249.55877893520039</v>
      </c>
      <c r="AB283" s="70">
        <v>9.4412210647996062</v>
      </c>
      <c r="AC283" s="70">
        <v>0.18688980141460237</v>
      </c>
      <c r="AE283" s="70">
        <v>84.653465346534659</v>
      </c>
      <c r="AF283" s="70">
        <v>298</v>
      </c>
    </row>
    <row r="284" spans="1:32">
      <c r="A284" s="70">
        <v>260</v>
      </c>
      <c r="B284" s="70">
        <v>226.3062397255265</v>
      </c>
      <c r="C284" s="70">
        <v>4.6937602744735045</v>
      </c>
      <c r="D284" s="70">
        <v>9.2700365421177003E-2</v>
      </c>
      <c r="F284" s="70">
        <v>85.643564356435647</v>
      </c>
      <c r="G284" s="70">
        <v>300</v>
      </c>
      <c r="V284">
        <v>59</v>
      </c>
      <c r="W284">
        <v>126</v>
      </c>
      <c r="X284">
        <v>218</v>
      </c>
      <c r="Z284" s="70">
        <v>258</v>
      </c>
      <c r="AA284" s="70">
        <v>243.93731237117751</v>
      </c>
      <c r="AB284" s="70">
        <v>-43.937312371177512</v>
      </c>
      <c r="AC284" s="70">
        <v>-0.86974296305337162</v>
      </c>
      <c r="AE284" s="70">
        <v>84.983498349834989</v>
      </c>
      <c r="AF284" s="70">
        <v>299</v>
      </c>
    </row>
    <row r="285" spans="1:32">
      <c r="A285" s="70">
        <v>261</v>
      </c>
      <c r="B285" s="70">
        <v>260.45059587971753</v>
      </c>
      <c r="C285" s="70">
        <v>-32.450595879717525</v>
      </c>
      <c r="D285" s="70">
        <v>-0.64088958964189557</v>
      </c>
      <c r="F285" s="70">
        <v>85.973597359735976</v>
      </c>
      <c r="G285" s="70">
        <v>302</v>
      </c>
      <c r="V285">
        <v>40</v>
      </c>
      <c r="W285">
        <v>152</v>
      </c>
      <c r="X285">
        <v>223</v>
      </c>
      <c r="Z285" s="70">
        <v>259</v>
      </c>
      <c r="AA285" s="70">
        <v>258.47428617080067</v>
      </c>
      <c r="AB285" s="70">
        <v>-14.474286170800667</v>
      </c>
      <c r="AC285" s="70">
        <v>-0.28651976788941746</v>
      </c>
      <c r="AE285" s="70">
        <v>85.313531353135318</v>
      </c>
      <c r="AF285" s="70">
        <v>299</v>
      </c>
    </row>
    <row r="286" spans="1:32">
      <c r="A286" s="70">
        <v>262</v>
      </c>
      <c r="B286" s="70">
        <v>243.37841780262201</v>
      </c>
      <c r="C286" s="70">
        <v>-13.37841780262201</v>
      </c>
      <c r="D286" s="70">
        <v>-0.26421976124448554</v>
      </c>
      <c r="F286" s="70">
        <v>86.303630363036305</v>
      </c>
      <c r="G286" s="70">
        <v>302</v>
      </c>
      <c r="V286">
        <v>61</v>
      </c>
      <c r="W286">
        <v>140</v>
      </c>
      <c r="X286">
        <v>207</v>
      </c>
      <c r="Z286" s="70">
        <v>260</v>
      </c>
      <c r="AA286" s="70">
        <v>225.73747419940099</v>
      </c>
      <c r="AB286" s="70">
        <v>5.2625258005990077</v>
      </c>
      <c r="AC286" s="70">
        <v>0.10417216110743038</v>
      </c>
      <c r="AE286" s="70">
        <v>85.643564356435647</v>
      </c>
      <c r="AF286" s="70">
        <v>300</v>
      </c>
    </row>
    <row r="287" spans="1:32">
      <c r="A287" s="70">
        <v>263</v>
      </c>
      <c r="B287" s="70">
        <v>244.59785909384311</v>
      </c>
      <c r="C287" s="70">
        <v>37.402140906156887</v>
      </c>
      <c r="D287" s="70">
        <v>0.73868112702539068</v>
      </c>
      <c r="F287" s="70">
        <v>86.633663366336634</v>
      </c>
      <c r="G287" s="70">
        <v>303</v>
      </c>
      <c r="V287">
        <v>46</v>
      </c>
      <c r="W287">
        <v>140</v>
      </c>
      <c r="X287">
        <v>311</v>
      </c>
      <c r="Z287" s="70">
        <v>261</v>
      </c>
      <c r="AA287" s="70">
        <v>268.61074819711877</v>
      </c>
      <c r="AB287" s="70">
        <v>-40.610748197118767</v>
      </c>
      <c r="AC287" s="70">
        <v>-0.80389333262784302</v>
      </c>
      <c r="AE287" s="70">
        <v>85.973597359735976</v>
      </c>
      <c r="AF287" s="70">
        <v>302</v>
      </c>
    </row>
    <row r="288" spans="1:32">
      <c r="A288" s="70">
        <v>264</v>
      </c>
      <c r="B288" s="70">
        <v>256.79227200605419</v>
      </c>
      <c r="C288" s="70">
        <v>12.207727993945809</v>
      </c>
      <c r="D288" s="70">
        <v>0.241098986702734</v>
      </c>
      <c r="F288" s="70">
        <v>86.963696369636963</v>
      </c>
      <c r="G288" s="70">
        <v>303</v>
      </c>
      <c r="V288">
        <v>59</v>
      </c>
      <c r="W288">
        <v>134</v>
      </c>
      <c r="X288">
        <v>204</v>
      </c>
      <c r="Z288" s="70">
        <v>262</v>
      </c>
      <c r="AA288" s="70">
        <v>239.64488998883365</v>
      </c>
      <c r="AB288" s="70">
        <v>-9.6448899888336541</v>
      </c>
      <c r="AC288" s="70">
        <v>-0.1909214456802964</v>
      </c>
      <c r="AE288" s="70">
        <v>86.303630363036305</v>
      </c>
      <c r="AF288" s="70">
        <v>302</v>
      </c>
    </row>
    <row r="289" spans="1:32">
      <c r="A289" s="70">
        <v>265</v>
      </c>
      <c r="B289" s="70">
        <v>245.81730038506424</v>
      </c>
      <c r="C289" s="70">
        <v>-39.817300385064243</v>
      </c>
      <c r="D289" s="70">
        <v>-0.78637980636841376</v>
      </c>
      <c r="F289" s="70">
        <v>87.293729372937293</v>
      </c>
      <c r="G289" s="70">
        <v>303</v>
      </c>
      <c r="V289">
        <v>57</v>
      </c>
      <c r="W289">
        <v>154</v>
      </c>
      <c r="X289">
        <v>232</v>
      </c>
      <c r="Z289" s="70">
        <v>263</v>
      </c>
      <c r="AA289" s="70">
        <v>242.99297535589167</v>
      </c>
      <c r="AB289" s="70">
        <v>39.007024644108327</v>
      </c>
      <c r="AC289" s="70">
        <v>0.77214748383467069</v>
      </c>
      <c r="AE289" s="70">
        <v>86.633663366336634</v>
      </c>
      <c r="AF289" s="70">
        <v>303</v>
      </c>
    </row>
    <row r="290" spans="1:32">
      <c r="A290" s="70">
        <v>266</v>
      </c>
      <c r="B290" s="70">
        <v>260.45059587971753</v>
      </c>
      <c r="C290" s="70">
        <v>-48.450595879717525</v>
      </c>
      <c r="D290" s="70">
        <v>-0.95688481734985553</v>
      </c>
      <c r="F290" s="70">
        <v>87.623762376237636</v>
      </c>
      <c r="G290" s="70">
        <v>304</v>
      </c>
      <c r="V290">
        <v>57</v>
      </c>
      <c r="W290">
        <v>110</v>
      </c>
      <c r="X290">
        <v>335</v>
      </c>
      <c r="Z290" s="70">
        <v>264</v>
      </c>
      <c r="AA290" s="70">
        <v>251.03727088651843</v>
      </c>
      <c r="AB290" s="70">
        <v>17.962729113481572</v>
      </c>
      <c r="AC290" s="70">
        <v>0.35557380277845685</v>
      </c>
      <c r="AE290" s="70">
        <v>86.963696369636963</v>
      </c>
      <c r="AF290" s="70">
        <v>303</v>
      </c>
    </row>
    <row r="291" spans="1:32">
      <c r="A291" s="70">
        <v>267</v>
      </c>
      <c r="B291" s="70">
        <v>247.03674167628532</v>
      </c>
      <c r="C291" s="70">
        <v>79.963258323714683</v>
      </c>
      <c r="D291" s="70">
        <v>1.5792505013920406</v>
      </c>
      <c r="F291" s="70">
        <v>87.953795379537965</v>
      </c>
      <c r="G291" s="70">
        <v>304</v>
      </c>
      <c r="V291">
        <v>55</v>
      </c>
      <c r="W291">
        <v>128</v>
      </c>
      <c r="X291">
        <v>205</v>
      </c>
      <c r="Z291" s="70">
        <v>265</v>
      </c>
      <c r="AA291" s="70">
        <v>241.45724156007861</v>
      </c>
      <c r="AB291" s="70">
        <v>-35.457241560078614</v>
      </c>
      <c r="AC291" s="70">
        <v>-0.70187921545223675</v>
      </c>
      <c r="AE291" s="70">
        <v>87.293729372937293</v>
      </c>
      <c r="AF291" s="70">
        <v>303</v>
      </c>
    </row>
    <row r="292" spans="1:32">
      <c r="A292" s="70">
        <v>268</v>
      </c>
      <c r="B292" s="70">
        <v>239.7200939289587</v>
      </c>
      <c r="C292" s="70">
        <v>-90.720093928958704</v>
      </c>
      <c r="D292" s="70">
        <v>-1.7916947961730516</v>
      </c>
      <c r="F292" s="70">
        <v>88.283828382838294</v>
      </c>
      <c r="G292" s="70">
        <v>305</v>
      </c>
      <c r="V292">
        <v>61</v>
      </c>
      <c r="W292">
        <v>148</v>
      </c>
      <c r="X292">
        <v>203</v>
      </c>
      <c r="Z292" s="70">
        <v>266</v>
      </c>
      <c r="AA292" s="70">
        <v>255.1802454992233</v>
      </c>
      <c r="AB292" s="70">
        <v>-43.180245499223304</v>
      </c>
      <c r="AC292" s="70">
        <v>-0.85475675773247128</v>
      </c>
      <c r="AE292" s="70">
        <v>87.623762376237636</v>
      </c>
      <c r="AF292" s="70">
        <v>304</v>
      </c>
    </row>
    <row r="293" spans="1:32">
      <c r="A293" s="70">
        <v>269</v>
      </c>
      <c r="B293" s="70">
        <v>245.81730038506424</v>
      </c>
      <c r="C293" s="70">
        <v>40.182699614935757</v>
      </c>
      <c r="D293" s="70">
        <v>0.79359633217138636</v>
      </c>
      <c r="F293" s="70">
        <v>88.613861386138623</v>
      </c>
      <c r="G293" s="70">
        <v>306</v>
      </c>
      <c r="V293">
        <v>58</v>
      </c>
      <c r="W293">
        <v>114</v>
      </c>
      <c r="X293">
        <v>318</v>
      </c>
      <c r="Z293" s="70">
        <v>267</v>
      </c>
      <c r="AA293" s="70">
        <v>256.81138236919469</v>
      </c>
      <c r="AB293" s="70">
        <v>70.188617630805311</v>
      </c>
      <c r="AC293" s="70">
        <v>1.3893898596966163</v>
      </c>
      <c r="AE293" s="70">
        <v>87.953795379537965</v>
      </c>
      <c r="AF293" s="70">
        <v>304</v>
      </c>
    </row>
    <row r="294" spans="1:32">
      <c r="A294" s="70">
        <v>270</v>
      </c>
      <c r="B294" s="70">
        <v>248.25618296750645</v>
      </c>
      <c r="C294" s="70">
        <v>34.743817032493553</v>
      </c>
      <c r="D294" s="70">
        <v>0.68618002341415618</v>
      </c>
      <c r="F294" s="70">
        <v>88.943894389438952</v>
      </c>
      <c r="G294" s="70">
        <v>307</v>
      </c>
      <c r="V294">
        <v>58</v>
      </c>
      <c r="W294">
        <v>170</v>
      </c>
      <c r="X294">
        <v>225</v>
      </c>
      <c r="Z294" s="70">
        <v>268</v>
      </c>
      <c r="AA294" s="70">
        <v>237.53684002732507</v>
      </c>
      <c r="AB294" s="70">
        <v>-88.53684002732507</v>
      </c>
      <c r="AC294" s="70">
        <v>-1.7525945359202761</v>
      </c>
      <c r="AE294" s="70">
        <v>88.283828382838294</v>
      </c>
      <c r="AF294" s="70">
        <v>305</v>
      </c>
    </row>
    <row r="295" spans="1:32">
      <c r="A295" s="70">
        <v>271</v>
      </c>
      <c r="B295" s="70">
        <v>236.06177005529537</v>
      </c>
      <c r="C295" s="70">
        <v>12.938229944704631</v>
      </c>
      <c r="D295" s="70">
        <v>0.25552618234468044</v>
      </c>
      <c r="F295" s="70">
        <v>89.273927392739282</v>
      </c>
      <c r="G295" s="70">
        <v>308</v>
      </c>
      <c r="V295">
        <v>67</v>
      </c>
      <c r="W295">
        <v>152</v>
      </c>
      <c r="X295">
        <v>212</v>
      </c>
      <c r="Z295" s="70">
        <v>269</v>
      </c>
      <c r="AA295" s="70">
        <v>243.89915114151415</v>
      </c>
      <c r="AB295" s="70">
        <v>42.100848858485847</v>
      </c>
      <c r="AC295" s="70">
        <v>0.83339000628682081</v>
      </c>
      <c r="AE295" s="70">
        <v>88.613861386138623</v>
      </c>
      <c r="AF295" s="70">
        <v>306</v>
      </c>
    </row>
    <row r="296" spans="1:32">
      <c r="A296" s="70">
        <v>272</v>
      </c>
      <c r="B296" s="70">
        <v>254.35338942361199</v>
      </c>
      <c r="C296" s="70">
        <v>-20.353389423611986</v>
      </c>
      <c r="D296" s="70">
        <v>-0.40197337034644093</v>
      </c>
      <c r="F296" s="70">
        <v>89.603960396039611</v>
      </c>
      <c r="G296" s="70">
        <v>308</v>
      </c>
      <c r="V296">
        <v>44</v>
      </c>
      <c r="W296">
        <v>120</v>
      </c>
      <c r="X296">
        <v>169</v>
      </c>
      <c r="Z296" s="70">
        <v>270</v>
      </c>
      <c r="AA296" s="70">
        <v>247.74642736395543</v>
      </c>
      <c r="AB296" s="70">
        <v>35.253572636044566</v>
      </c>
      <c r="AC296" s="70">
        <v>0.69784757118654273</v>
      </c>
      <c r="AE296" s="70">
        <v>88.943894389438952</v>
      </c>
      <c r="AF296" s="70">
        <v>307</v>
      </c>
    </row>
    <row r="297" spans="1:32">
      <c r="A297" s="70">
        <v>273</v>
      </c>
      <c r="B297" s="70">
        <v>261.6700371709386</v>
      </c>
      <c r="C297" s="70">
        <v>-24.670037170938599</v>
      </c>
      <c r="D297" s="70">
        <v>-0.48722587583716126</v>
      </c>
      <c r="F297" s="70">
        <v>89.93399339933994</v>
      </c>
      <c r="G297" s="70">
        <v>309</v>
      </c>
      <c r="V297">
        <v>63</v>
      </c>
      <c r="W297">
        <v>140</v>
      </c>
      <c r="X297">
        <v>187</v>
      </c>
      <c r="Z297" s="70">
        <v>271</v>
      </c>
      <c r="AA297" s="70">
        <v>234.61482020533796</v>
      </c>
      <c r="AB297" s="70">
        <v>14.385179794662037</v>
      </c>
      <c r="AC297" s="70">
        <v>0.28475589933607831</v>
      </c>
      <c r="AE297" s="70">
        <v>89.273927392739282</v>
      </c>
      <c r="AF297" s="70">
        <v>308</v>
      </c>
    </row>
    <row r="298" spans="1:32">
      <c r="A298" s="70">
        <v>274</v>
      </c>
      <c r="B298" s="70">
        <v>250.69506554994865</v>
      </c>
      <c r="C298" s="70">
        <v>-16.695065549948652</v>
      </c>
      <c r="D298" s="70">
        <v>-0.32972256500345892</v>
      </c>
      <c r="F298" s="70">
        <v>90.264026402640269</v>
      </c>
      <c r="G298" s="70">
        <v>309</v>
      </c>
      <c r="V298">
        <v>63</v>
      </c>
      <c r="W298">
        <v>124</v>
      </c>
      <c r="X298">
        <v>197</v>
      </c>
      <c r="Z298" s="70">
        <v>272</v>
      </c>
      <c r="AA298" s="70">
        <v>254.10873847814452</v>
      </c>
      <c r="AB298" s="70">
        <v>-20.108738478144517</v>
      </c>
      <c r="AC298" s="70">
        <v>-0.39805424691200897</v>
      </c>
      <c r="AE298" s="70">
        <v>89.603960396039611</v>
      </c>
      <c r="AF298" s="70">
        <v>308</v>
      </c>
    </row>
    <row r="299" spans="1:32">
      <c r="A299" s="70">
        <v>275</v>
      </c>
      <c r="B299" s="70">
        <v>237.28121134651647</v>
      </c>
      <c r="C299" s="70">
        <v>37.718788653483529</v>
      </c>
      <c r="D299" s="70">
        <v>0.74493482558912161</v>
      </c>
      <c r="F299" s="70">
        <v>90.594059405940598</v>
      </c>
      <c r="G299" s="70">
        <v>309</v>
      </c>
      <c r="V299">
        <v>59</v>
      </c>
      <c r="W299">
        <v>164</v>
      </c>
      <c r="X299">
        <v>176</v>
      </c>
      <c r="Z299" s="70">
        <v>273</v>
      </c>
      <c r="AA299" s="70">
        <v>257.91785347092241</v>
      </c>
      <c r="AB299" s="70">
        <v>-20.91785347092241</v>
      </c>
      <c r="AC299" s="70">
        <v>-0.41407074936269567</v>
      </c>
      <c r="AE299" s="70">
        <v>89.93399339933994</v>
      </c>
      <c r="AF299" s="70">
        <v>309</v>
      </c>
    </row>
    <row r="300" spans="1:32">
      <c r="A300" s="70">
        <v>276</v>
      </c>
      <c r="B300" s="70">
        <v>243.37841780262201</v>
      </c>
      <c r="C300" s="70">
        <v>-31.37841780262201</v>
      </c>
      <c r="D300" s="70">
        <v>-0.61971439241594051</v>
      </c>
      <c r="F300" s="70">
        <v>90.924092409240927</v>
      </c>
      <c r="G300" s="70">
        <v>311</v>
      </c>
      <c r="V300">
        <v>57</v>
      </c>
      <c r="W300">
        <v>140</v>
      </c>
      <c r="X300">
        <v>241</v>
      </c>
      <c r="Z300" s="70">
        <v>274</v>
      </c>
      <c r="AA300" s="70">
        <v>243.86098991185082</v>
      </c>
      <c r="AB300" s="70">
        <v>-9.8609899118508224</v>
      </c>
      <c r="AC300" s="70">
        <v>-0.19519916266427498</v>
      </c>
      <c r="AE300" s="70">
        <v>90.264026402640269</v>
      </c>
      <c r="AF300" s="70">
        <v>309</v>
      </c>
    </row>
    <row r="301" spans="1:32">
      <c r="A301" s="70">
        <v>277</v>
      </c>
      <c r="B301" s="70">
        <v>250.69506554994865</v>
      </c>
      <c r="C301" s="70">
        <v>-32.695065549948652</v>
      </c>
      <c r="D301" s="70">
        <v>-0.64571779271141894</v>
      </c>
      <c r="F301" s="70">
        <v>91.254125412541256</v>
      </c>
      <c r="G301" s="70">
        <v>313</v>
      </c>
      <c r="V301">
        <v>45</v>
      </c>
      <c r="W301">
        <v>110</v>
      </c>
      <c r="X301">
        <v>264</v>
      </c>
      <c r="Z301" s="70">
        <v>275</v>
      </c>
      <c r="AA301" s="70">
        <v>233.68956380488379</v>
      </c>
      <c r="AB301" s="70">
        <v>41.31043619511621</v>
      </c>
      <c r="AC301" s="70">
        <v>0.81774371809180191</v>
      </c>
      <c r="AE301" s="70">
        <v>90.594059405940598</v>
      </c>
      <c r="AF301" s="70">
        <v>309</v>
      </c>
    </row>
    <row r="302" spans="1:32">
      <c r="A302" s="70">
        <v>278</v>
      </c>
      <c r="B302" s="70">
        <v>249.47562425872755</v>
      </c>
      <c r="C302" s="70">
        <v>11.524375741272451</v>
      </c>
      <c r="D302" s="70">
        <v>0.22760298353471742</v>
      </c>
      <c r="F302" s="70">
        <v>91.584158415841586</v>
      </c>
      <c r="G302" s="70">
        <v>315</v>
      </c>
      <c r="V302">
        <v>68</v>
      </c>
      <c r="W302">
        <v>144</v>
      </c>
      <c r="X302">
        <v>193</v>
      </c>
      <c r="Z302" s="70">
        <v>276</v>
      </c>
      <c r="AA302" s="70">
        <v>242.2902920353888</v>
      </c>
      <c r="AB302" s="70">
        <v>-30.290292035388802</v>
      </c>
      <c r="AC302" s="70">
        <v>-0.59959899513318737</v>
      </c>
      <c r="AE302" s="70">
        <v>90.924092409240927</v>
      </c>
      <c r="AF302" s="70">
        <v>311</v>
      </c>
    </row>
    <row r="303" spans="1:32">
      <c r="A303" s="70">
        <v>279</v>
      </c>
      <c r="B303" s="70">
        <v>250.69506554994865</v>
      </c>
      <c r="C303" s="70">
        <v>68.304934450051348</v>
      </c>
      <c r="D303" s="70">
        <v>1.3490020821950786</v>
      </c>
      <c r="F303" s="70">
        <v>91.914191419141915</v>
      </c>
      <c r="G303" s="70">
        <v>315</v>
      </c>
      <c r="V303">
        <v>57</v>
      </c>
      <c r="W303">
        <v>130</v>
      </c>
      <c r="X303">
        <v>131</v>
      </c>
      <c r="Z303" s="70">
        <v>277</v>
      </c>
      <c r="AA303" s="70">
        <v>253.2216433073537</v>
      </c>
      <c r="AB303" s="70">
        <v>-35.221643307353702</v>
      </c>
      <c r="AC303" s="70">
        <v>-0.69721552731664693</v>
      </c>
      <c r="AE303" s="70">
        <v>91.254125412541256</v>
      </c>
      <c r="AF303" s="70">
        <v>313</v>
      </c>
    </row>
    <row r="304" spans="1:32">
      <c r="A304" s="70">
        <v>280</v>
      </c>
      <c r="B304" s="70">
        <v>254.35338942361199</v>
      </c>
      <c r="C304" s="70">
        <v>-88.353389423611986</v>
      </c>
      <c r="D304" s="70">
        <v>-1.7449530881052711</v>
      </c>
      <c r="F304" s="70">
        <v>92.244224422442244</v>
      </c>
      <c r="G304" s="70">
        <v>318</v>
      </c>
      <c r="V304">
        <v>57</v>
      </c>
      <c r="W304">
        <v>130</v>
      </c>
      <c r="X304">
        <v>236</v>
      </c>
      <c r="Z304" s="70">
        <v>278</v>
      </c>
      <c r="AA304" s="70">
        <v>247.63514082397978</v>
      </c>
      <c r="AB304" s="70">
        <v>13.364859176020218</v>
      </c>
      <c r="AC304" s="70">
        <v>0.26455856294405716</v>
      </c>
      <c r="AE304" s="70">
        <v>91.584158415841586</v>
      </c>
      <c r="AF304" s="70">
        <v>315</v>
      </c>
    </row>
    <row r="305" spans="1:32">
      <c r="A305" s="70">
        <v>281</v>
      </c>
      <c r="B305" s="70">
        <v>231.18400489041093</v>
      </c>
      <c r="C305" s="70">
        <v>83.815995109589068</v>
      </c>
      <c r="D305" s="70">
        <v>1.6553409037639912</v>
      </c>
      <c r="F305" s="70">
        <v>92.574257425742587</v>
      </c>
      <c r="G305" s="70">
        <v>318</v>
      </c>
      <c r="Z305" s="70">
        <v>279</v>
      </c>
      <c r="AA305" s="70">
        <v>251.18671865615744</v>
      </c>
      <c r="AB305" s="70">
        <v>67.813281343842561</v>
      </c>
      <c r="AC305" s="70">
        <v>1.3423698689648571</v>
      </c>
      <c r="AE305" s="70">
        <v>91.914191419141915</v>
      </c>
      <c r="AF305" s="70">
        <v>315</v>
      </c>
    </row>
    <row r="306" spans="1:32">
      <c r="A306" s="70">
        <v>282</v>
      </c>
      <c r="B306" s="70">
        <v>243.37841780262201</v>
      </c>
      <c r="C306" s="70">
        <v>-39.37841780262201</v>
      </c>
      <c r="D306" s="70">
        <v>-0.77771200626992054</v>
      </c>
      <c r="F306" s="70">
        <v>92.904290429042916</v>
      </c>
      <c r="G306" s="70">
        <v>319</v>
      </c>
      <c r="Z306" s="70">
        <v>280</v>
      </c>
      <c r="AA306" s="70">
        <v>254.92270833862304</v>
      </c>
      <c r="AB306" s="70">
        <v>-88.922708338623039</v>
      </c>
      <c r="AC306" s="70">
        <v>-1.7602328330828685</v>
      </c>
      <c r="AE306" s="70">
        <v>92.244224422442244</v>
      </c>
      <c r="AF306" s="70">
        <v>318</v>
      </c>
    </row>
    <row r="307" spans="1:32">
      <c r="A307" s="70">
        <v>283</v>
      </c>
      <c r="B307" s="70">
        <v>251.91450684116975</v>
      </c>
      <c r="C307" s="70">
        <v>-33.914506841169754</v>
      </c>
      <c r="D307" s="70">
        <v>-0.66980139449241272</v>
      </c>
      <c r="F307" s="70">
        <v>93.234323432343245</v>
      </c>
      <c r="G307" s="70">
        <v>321</v>
      </c>
      <c r="Z307" s="70">
        <v>281</v>
      </c>
      <c r="AA307" s="70">
        <v>233.43202664428355</v>
      </c>
      <c r="AB307" s="70">
        <v>81.567973355716447</v>
      </c>
      <c r="AC307" s="70">
        <v>1.6146452071838009</v>
      </c>
      <c r="AE307" s="70">
        <v>92.574257425742587</v>
      </c>
      <c r="AF307" s="70">
        <v>318</v>
      </c>
    </row>
    <row r="308" spans="1:32">
      <c r="A308" s="70">
        <v>284</v>
      </c>
      <c r="B308" s="70">
        <v>228.74512230796873</v>
      </c>
      <c r="C308" s="70">
        <v>-5.7451223079687281</v>
      </c>
      <c r="D308" s="70">
        <v>-0.11346445199479119</v>
      </c>
      <c r="F308" s="70">
        <v>93.564356435643575</v>
      </c>
      <c r="G308" s="70">
        <v>322</v>
      </c>
      <c r="Z308" s="70">
        <v>282</v>
      </c>
      <c r="AA308" s="70">
        <v>242.90076943074769</v>
      </c>
      <c r="AB308" s="70">
        <v>-38.900769430747687</v>
      </c>
      <c r="AC308" s="70">
        <v>-0.77004415254013359</v>
      </c>
      <c r="AE308" s="70">
        <v>92.904290429042916</v>
      </c>
      <c r="AF308" s="70">
        <v>319</v>
      </c>
    </row>
    <row r="309" spans="1:32">
      <c r="A309" s="70">
        <v>285</v>
      </c>
      <c r="B309" s="70">
        <v>254.35338942361199</v>
      </c>
      <c r="C309" s="70">
        <v>-47.353389423611986</v>
      </c>
      <c r="D309" s="70">
        <v>-0.93521531710362349</v>
      </c>
      <c r="F309" s="70">
        <v>93.894389438943904</v>
      </c>
      <c r="G309" s="70">
        <v>325</v>
      </c>
      <c r="Z309" s="70">
        <v>283</v>
      </c>
      <c r="AA309" s="70">
        <v>250.26146225570326</v>
      </c>
      <c r="AB309" s="70">
        <v>-32.261462255703265</v>
      </c>
      <c r="AC309" s="70">
        <v>-0.6386184830257492</v>
      </c>
      <c r="AE309" s="70">
        <v>93.234323432343245</v>
      </c>
      <c r="AF309" s="70">
        <v>321</v>
      </c>
    </row>
    <row r="310" spans="1:32">
      <c r="A310" s="70">
        <v>286</v>
      </c>
      <c r="B310" s="70">
        <v>236.06177005529537</v>
      </c>
      <c r="C310" s="70">
        <v>74.938229944704631</v>
      </c>
      <c r="D310" s="70">
        <v>1.4800076897130254</v>
      </c>
      <c r="F310" s="70">
        <v>94.224422442244233</v>
      </c>
      <c r="G310" s="70">
        <v>325</v>
      </c>
      <c r="Z310" s="70">
        <v>284</v>
      </c>
      <c r="AA310" s="70">
        <v>234.46856958471332</v>
      </c>
      <c r="AB310" s="70">
        <v>-11.468569584713322</v>
      </c>
      <c r="AC310" s="70">
        <v>-0.22702134368909782</v>
      </c>
      <c r="AE310" s="70">
        <v>93.564356435643575</v>
      </c>
      <c r="AF310" s="70">
        <v>322</v>
      </c>
    </row>
    <row r="311" spans="1:32">
      <c r="A311" s="70">
        <v>287</v>
      </c>
      <c r="B311" s="70">
        <v>251.91450684116975</v>
      </c>
      <c r="C311" s="70">
        <v>-47.914506841169754</v>
      </c>
      <c r="D311" s="70">
        <v>-0.94629721873687778</v>
      </c>
      <c r="F311" s="70">
        <v>94.554455445544562</v>
      </c>
      <c r="G311" s="70">
        <v>326</v>
      </c>
      <c r="Z311" s="70">
        <v>285</v>
      </c>
      <c r="AA311" s="70">
        <v>255.32969326886229</v>
      </c>
      <c r="AB311" s="70">
        <v>-48.329693268862286</v>
      </c>
      <c r="AC311" s="70">
        <v>-0.95669052927085896</v>
      </c>
      <c r="AE311" s="70">
        <v>93.894389438943904</v>
      </c>
      <c r="AF311" s="70">
        <v>325</v>
      </c>
    </row>
    <row r="312" spans="1:32">
      <c r="A312" s="70">
        <v>288</v>
      </c>
      <c r="B312" s="70">
        <v>249.47562425872755</v>
      </c>
      <c r="C312" s="70">
        <v>-17.475624258727549</v>
      </c>
      <c r="D312" s="70">
        <v>-0.3451383666859601</v>
      </c>
      <c r="F312" s="70">
        <v>94.884488448844891</v>
      </c>
      <c r="G312" s="70">
        <v>327</v>
      </c>
      <c r="Z312" s="70">
        <v>286</v>
      </c>
      <c r="AA312" s="70">
        <v>238.68466950773052</v>
      </c>
      <c r="AB312" s="70">
        <v>72.315330492269482</v>
      </c>
      <c r="AC312" s="70">
        <v>1.4314883278520547</v>
      </c>
      <c r="AE312" s="70">
        <v>94.224422442244233</v>
      </c>
      <c r="AF312" s="70">
        <v>325</v>
      </c>
    </row>
    <row r="313" spans="1:32">
      <c r="A313" s="70">
        <v>289</v>
      </c>
      <c r="B313" s="70">
        <v>249.47562425872755</v>
      </c>
      <c r="C313" s="70">
        <v>85.524375741272451</v>
      </c>
      <c r="D313" s="70">
        <v>1.6890809116840324</v>
      </c>
      <c r="F313" s="70">
        <v>95.21452145214522</v>
      </c>
      <c r="G313" s="70">
        <v>330</v>
      </c>
      <c r="Z313" s="70">
        <v>287</v>
      </c>
      <c r="AA313" s="70">
        <v>251.88940197666028</v>
      </c>
      <c r="AB313" s="70">
        <v>-47.889401976660281</v>
      </c>
      <c r="AC313" s="70">
        <v>-0.94797492441430031</v>
      </c>
      <c r="AE313" s="70">
        <v>94.554455445544562</v>
      </c>
      <c r="AF313" s="70">
        <v>326</v>
      </c>
    </row>
    <row r="314" spans="1:32">
      <c r="A314" s="70">
        <v>290</v>
      </c>
      <c r="B314" s="70">
        <v>247.03674167628532</v>
      </c>
      <c r="C314" s="70">
        <v>-42.036741676285317</v>
      </c>
      <c r="D314" s="70">
        <v>-0.83021310988115449</v>
      </c>
      <c r="F314" s="70">
        <v>95.544554455445549</v>
      </c>
      <c r="G314" s="70">
        <v>330</v>
      </c>
      <c r="Z314" s="70">
        <v>288</v>
      </c>
      <c r="AA314" s="70">
        <v>253.73991477756863</v>
      </c>
      <c r="AB314" s="70">
        <v>-21.739914777568629</v>
      </c>
      <c r="AC314" s="70">
        <v>-0.43034352523514596</v>
      </c>
      <c r="AE314" s="70">
        <v>94.884488448844891</v>
      </c>
      <c r="AF314" s="70">
        <v>327</v>
      </c>
    </row>
    <row r="315" spans="1:32">
      <c r="A315" s="70">
        <v>291</v>
      </c>
      <c r="B315" s="70">
        <v>254.35338942361199</v>
      </c>
      <c r="C315" s="70">
        <v>-51.353389423611986</v>
      </c>
      <c r="D315" s="70">
        <v>-1.0142141240306135</v>
      </c>
      <c r="F315" s="70">
        <v>95.874587458745879</v>
      </c>
      <c r="G315" s="70">
        <v>335</v>
      </c>
      <c r="Z315" s="70">
        <v>289</v>
      </c>
      <c r="AA315" s="70">
        <v>244.78624631230497</v>
      </c>
      <c r="AB315" s="70">
        <v>90.213753687695032</v>
      </c>
      <c r="AC315" s="70">
        <v>1.785789189326332</v>
      </c>
      <c r="AE315" s="70">
        <v>95.21452145214522</v>
      </c>
      <c r="AF315" s="70">
        <v>330</v>
      </c>
    </row>
    <row r="316" spans="1:32">
      <c r="A316" s="70">
        <v>292</v>
      </c>
      <c r="B316" s="70">
        <v>250.69506554994865</v>
      </c>
      <c r="C316" s="70">
        <v>67.304934450051348</v>
      </c>
      <c r="D316" s="70">
        <v>1.3292523804633312</v>
      </c>
      <c r="F316" s="70">
        <v>96.204620462046208</v>
      </c>
      <c r="G316" s="70">
        <v>335</v>
      </c>
      <c r="Z316" s="70">
        <v>290</v>
      </c>
      <c r="AA316" s="70">
        <v>246.22977418297404</v>
      </c>
      <c r="AB316" s="70">
        <v>-41.22977418297404</v>
      </c>
      <c r="AC316" s="70">
        <v>-0.81614700646652738</v>
      </c>
      <c r="AE316" s="70">
        <v>95.544554455445549</v>
      </c>
      <c r="AF316" s="70">
        <v>330</v>
      </c>
    </row>
    <row r="317" spans="1:32">
      <c r="A317" s="70">
        <v>293</v>
      </c>
      <c r="B317" s="70">
        <v>250.69506554994865</v>
      </c>
      <c r="C317" s="70">
        <v>-25.695065549948652</v>
      </c>
      <c r="D317" s="70">
        <v>-0.50746988058918641</v>
      </c>
      <c r="F317" s="70">
        <v>96.534653465346537</v>
      </c>
      <c r="G317" s="70">
        <v>340</v>
      </c>
      <c r="Z317" s="70">
        <v>291</v>
      </c>
      <c r="AA317" s="70">
        <v>256.95763298981933</v>
      </c>
      <c r="AB317" s="70">
        <v>-53.957632989819331</v>
      </c>
      <c r="AC317" s="70">
        <v>-1.0680960910730855</v>
      </c>
      <c r="AE317" s="70">
        <v>95.874587458745879</v>
      </c>
      <c r="AF317" s="70">
        <v>335</v>
      </c>
    </row>
    <row r="318" spans="1:32">
      <c r="A318" s="70">
        <v>294</v>
      </c>
      <c r="B318" s="70">
        <v>261.6700371709386</v>
      </c>
      <c r="C318" s="70">
        <v>-49.670037170938599</v>
      </c>
      <c r="D318" s="70">
        <v>-0.98096841913084876</v>
      </c>
      <c r="F318" s="70">
        <v>96.864686468646866</v>
      </c>
      <c r="G318" s="70">
        <v>341</v>
      </c>
      <c r="Z318" s="70">
        <v>292</v>
      </c>
      <c r="AA318" s="70">
        <v>246.70988442352561</v>
      </c>
      <c r="AB318" s="70">
        <v>71.290115576474392</v>
      </c>
      <c r="AC318" s="70">
        <v>1.4111941084173889</v>
      </c>
      <c r="AE318" s="70">
        <v>96.204620462046208</v>
      </c>
      <c r="AF318" s="70">
        <v>335</v>
      </c>
    </row>
    <row r="319" spans="1:32">
      <c r="A319" s="70">
        <v>295</v>
      </c>
      <c r="B319" s="70">
        <v>233.62288747285317</v>
      </c>
      <c r="C319" s="70">
        <v>-64.622887472853165</v>
      </c>
      <c r="D319" s="70">
        <v>-1.276282752633132</v>
      </c>
      <c r="F319" s="70">
        <v>97.194719471947195</v>
      </c>
      <c r="G319" s="70">
        <v>342</v>
      </c>
      <c r="Z319" s="70">
        <v>293</v>
      </c>
      <c r="AA319" s="70">
        <v>258.10546247022478</v>
      </c>
      <c r="AB319" s="70">
        <v>-33.105462470224779</v>
      </c>
      <c r="AC319" s="70">
        <v>-0.65532554150930733</v>
      </c>
      <c r="AE319" s="70">
        <v>96.534653465346537</v>
      </c>
      <c r="AF319" s="70">
        <v>340</v>
      </c>
    </row>
    <row r="320" spans="1:32">
      <c r="A320" s="70">
        <v>296</v>
      </c>
      <c r="B320" s="70">
        <v>256.79227200605419</v>
      </c>
      <c r="C320" s="70">
        <v>-69.792272006054191</v>
      </c>
      <c r="D320" s="70">
        <v>-1.3783765553005611</v>
      </c>
      <c r="F320" s="70">
        <v>97.524752475247524</v>
      </c>
      <c r="G320" s="70">
        <v>353</v>
      </c>
      <c r="Z320" s="70">
        <v>294</v>
      </c>
      <c r="AA320" s="70">
        <v>264.42961235475053</v>
      </c>
      <c r="AB320" s="70">
        <v>-52.429612354750532</v>
      </c>
      <c r="AC320" s="70">
        <v>-1.037848788199293</v>
      </c>
      <c r="AE320" s="70">
        <v>96.864686468646866</v>
      </c>
      <c r="AF320" s="70">
        <v>341</v>
      </c>
    </row>
    <row r="321" spans="1:32">
      <c r="A321" s="70">
        <v>297</v>
      </c>
      <c r="B321" s="70">
        <v>256.79227200605419</v>
      </c>
      <c r="C321" s="70">
        <v>-59.792272006054191</v>
      </c>
      <c r="D321" s="70">
        <v>-1.1808795379830861</v>
      </c>
      <c r="F321" s="70">
        <v>97.854785478547853</v>
      </c>
      <c r="G321" s="70">
        <v>354</v>
      </c>
      <c r="Z321" s="70">
        <v>295</v>
      </c>
      <c r="AA321" s="70">
        <v>232.39548370385373</v>
      </c>
      <c r="AB321" s="70">
        <v>-63.395483703853728</v>
      </c>
      <c r="AC321" s="70">
        <v>-1.2549191760978391</v>
      </c>
      <c r="AE321" s="70">
        <v>97.194719471947195</v>
      </c>
      <c r="AF321" s="70">
        <v>342</v>
      </c>
    </row>
    <row r="322" spans="1:32">
      <c r="A322" s="70">
        <v>298</v>
      </c>
      <c r="B322" s="70">
        <v>251.91450684116975</v>
      </c>
      <c r="C322" s="70">
        <v>-75.914506841169754</v>
      </c>
      <c r="D322" s="70">
        <v>-1.4992888672258078</v>
      </c>
      <c r="F322" s="70">
        <v>98.184818481848197</v>
      </c>
      <c r="G322" s="70">
        <v>360</v>
      </c>
      <c r="Z322" s="70">
        <v>296</v>
      </c>
      <c r="AA322" s="70">
        <v>257.54902977034652</v>
      </c>
      <c r="AB322" s="70">
        <v>-70.549029770346522</v>
      </c>
      <c r="AC322" s="70">
        <v>-1.3965242497001935</v>
      </c>
      <c r="AE322" s="70">
        <v>97.524752475247524</v>
      </c>
      <c r="AF322" s="70">
        <v>353</v>
      </c>
    </row>
    <row r="323" spans="1:32">
      <c r="A323" s="70">
        <v>299</v>
      </c>
      <c r="B323" s="70">
        <v>249.47562425872755</v>
      </c>
      <c r="C323" s="70">
        <v>-8.4756242587275494</v>
      </c>
      <c r="D323" s="70">
        <v>-0.16739105110023261</v>
      </c>
      <c r="F323" s="70">
        <v>98.514851485148526</v>
      </c>
      <c r="G323" s="70">
        <v>394</v>
      </c>
      <c r="Z323" s="70">
        <v>297</v>
      </c>
      <c r="AA323" s="70">
        <v>254.29315032843249</v>
      </c>
      <c r="AB323" s="70">
        <v>-57.293150328432489</v>
      </c>
      <c r="AC323" s="70">
        <v>-1.1341229501784769</v>
      </c>
      <c r="AE323" s="70">
        <v>97.854785478547853</v>
      </c>
      <c r="AF323" s="70">
        <v>354</v>
      </c>
    </row>
    <row r="324" spans="1:32">
      <c r="A324" s="70">
        <v>300</v>
      </c>
      <c r="B324" s="70">
        <v>234.84232876407427</v>
      </c>
      <c r="C324" s="70">
        <v>29.157671235925733</v>
      </c>
      <c r="D324" s="70">
        <v>0.57585531010188673</v>
      </c>
      <c r="F324" s="70">
        <v>98.844884488448855</v>
      </c>
      <c r="G324" s="70">
        <v>407</v>
      </c>
      <c r="Z324" s="70">
        <v>298</v>
      </c>
      <c r="AA324" s="70">
        <v>257.99417593024913</v>
      </c>
      <c r="AB324" s="70">
        <v>-81.994175930249128</v>
      </c>
      <c r="AC324" s="70">
        <v>-1.6230819246348709</v>
      </c>
      <c r="AE324" s="70">
        <v>98.184818481848197</v>
      </c>
      <c r="AF324" s="70">
        <v>360</v>
      </c>
    </row>
    <row r="325" spans="1:32">
      <c r="A325" s="70">
        <v>301</v>
      </c>
      <c r="B325" s="70">
        <v>262.88947846215973</v>
      </c>
      <c r="C325" s="70">
        <v>-69.88947846215973</v>
      </c>
      <c r="D325" s="70">
        <v>-1.3802963538150457</v>
      </c>
      <c r="F325" s="70">
        <v>99.174917491749184</v>
      </c>
      <c r="G325" s="70">
        <v>409</v>
      </c>
      <c r="Z325" s="70">
        <v>299</v>
      </c>
      <c r="AA325" s="70">
        <v>250.89102026589381</v>
      </c>
      <c r="AB325" s="70">
        <v>-9.8910202658938147</v>
      </c>
      <c r="AC325" s="70">
        <v>-0.19579361616398488</v>
      </c>
      <c r="AE325" s="70">
        <v>98.514851485148526</v>
      </c>
      <c r="AF325" s="70">
        <v>394</v>
      </c>
    </row>
    <row r="326" spans="1:32">
      <c r="A326" s="70">
        <v>302</v>
      </c>
      <c r="B326" s="70">
        <v>249.47562425872755</v>
      </c>
      <c r="C326" s="70">
        <v>-118.47562425872755</v>
      </c>
      <c r="D326" s="70">
        <v>-2.3398582415924576</v>
      </c>
      <c r="F326" s="70">
        <v>99.504950495049513</v>
      </c>
      <c r="G326" s="70">
        <v>417</v>
      </c>
      <c r="Z326" s="70">
        <v>300</v>
      </c>
      <c r="AA326" s="70">
        <v>231.47022730339955</v>
      </c>
      <c r="AB326" s="70">
        <v>32.529772696600446</v>
      </c>
      <c r="AC326" s="70">
        <v>0.64392971180352843</v>
      </c>
      <c r="AE326" s="70">
        <v>98.844884488448855</v>
      </c>
      <c r="AF326" s="70">
        <v>407</v>
      </c>
    </row>
    <row r="327" spans="1:32" ht="15.75" thickBot="1">
      <c r="A327" s="71">
        <v>303</v>
      </c>
      <c r="B327" s="71">
        <v>249.47562425872755</v>
      </c>
      <c r="C327" s="71">
        <v>-13.475624258727549</v>
      </c>
      <c r="D327" s="71">
        <v>-0.26613955975897013</v>
      </c>
      <c r="F327" s="71">
        <v>99.834983498349843</v>
      </c>
      <c r="G327" s="71">
        <v>564</v>
      </c>
      <c r="Z327" s="70">
        <v>301</v>
      </c>
      <c r="AA327" s="70">
        <v>263.9113408845356</v>
      </c>
      <c r="AB327" s="70">
        <v>-70.911340884535605</v>
      </c>
      <c r="AC327" s="70">
        <v>-1.4036962300739566</v>
      </c>
      <c r="AE327" s="70">
        <v>99.174917491749184</v>
      </c>
      <c r="AF327" s="70">
        <v>409</v>
      </c>
    </row>
    <row r="328" spans="1:32">
      <c r="Z328" s="70">
        <v>302</v>
      </c>
      <c r="AA328" s="70">
        <v>248.85609561469755</v>
      </c>
      <c r="AB328" s="70">
        <v>-117.85609561469755</v>
      </c>
      <c r="AC328" s="70">
        <v>-2.3329717791539424</v>
      </c>
      <c r="AE328" s="70">
        <v>99.504950495049513</v>
      </c>
      <c r="AF328" s="70">
        <v>417</v>
      </c>
    </row>
    <row r="329" spans="1:32" ht="15.75" thickBot="1">
      <c r="Z329" s="71">
        <v>303</v>
      </c>
      <c r="AA329" s="71">
        <v>248.85609561469755</v>
      </c>
      <c r="AB329" s="71">
        <v>-12.856095614697551</v>
      </c>
      <c r="AC329" s="71">
        <v>-0.25448754349752783</v>
      </c>
      <c r="AE329" s="71">
        <v>99.834983498349843</v>
      </c>
      <c r="AF329" s="71">
        <v>564</v>
      </c>
    </row>
  </sheetData>
  <sortState xmlns:xlrd2="http://schemas.microsoft.com/office/spreadsheetml/2017/richdata2" ref="AF27:AF329">
    <sortCondition ref="AF27"/>
  </sortState>
  <pageMargins left="0.7" right="0.7" top="0.75" bottom="0.75" header="0.3" footer="0.3"/>
  <pageSetup paperSize="9" orientation="portrait" horizontalDpi="4294967292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5ADDD-4259-4DD0-A48B-3F3227C621D2}">
  <dimension ref="A1:D304"/>
  <sheetViews>
    <sheetView workbookViewId="0">
      <selection activeCell="J16" sqref="J16"/>
    </sheetView>
  </sheetViews>
  <sheetFormatPr defaultRowHeight="15"/>
  <sheetData>
    <row r="1" spans="1:4">
      <c r="A1" s="1" t="s">
        <v>1</v>
      </c>
      <c r="B1" s="1" t="s">
        <v>7</v>
      </c>
      <c r="C1" t="s">
        <v>94</v>
      </c>
      <c r="D1" t="s">
        <v>95</v>
      </c>
    </row>
    <row r="2" spans="1:4">
      <c r="A2">
        <v>1</v>
      </c>
      <c r="B2">
        <v>150</v>
      </c>
      <c r="C2">
        <v>150</v>
      </c>
      <c r="D2">
        <v>172</v>
      </c>
    </row>
    <row r="3" spans="1:4">
      <c r="A3">
        <v>1</v>
      </c>
      <c r="B3">
        <v>187</v>
      </c>
      <c r="C3">
        <v>187</v>
      </c>
      <c r="D3">
        <v>163</v>
      </c>
    </row>
    <row r="4" spans="1:4">
      <c r="A4">
        <v>0</v>
      </c>
      <c r="B4">
        <v>172</v>
      </c>
      <c r="C4">
        <v>178</v>
      </c>
      <c r="D4">
        <v>153</v>
      </c>
    </row>
    <row r="5" spans="1:4">
      <c r="A5">
        <v>1</v>
      </c>
      <c r="B5">
        <v>178</v>
      </c>
      <c r="C5">
        <v>148</v>
      </c>
      <c r="D5">
        <v>139</v>
      </c>
    </row>
    <row r="6" spans="1:4">
      <c r="A6">
        <v>0</v>
      </c>
      <c r="B6">
        <v>163</v>
      </c>
      <c r="C6">
        <v>173</v>
      </c>
      <c r="D6">
        <v>162</v>
      </c>
    </row>
    <row r="7" spans="1:4">
      <c r="A7">
        <v>1</v>
      </c>
      <c r="B7">
        <v>148</v>
      </c>
      <c r="C7">
        <v>162</v>
      </c>
      <c r="D7">
        <v>158</v>
      </c>
    </row>
    <row r="8" spans="1:4">
      <c r="A8">
        <v>0</v>
      </c>
      <c r="B8">
        <v>153</v>
      </c>
      <c r="C8">
        <v>174</v>
      </c>
      <c r="D8">
        <v>172</v>
      </c>
    </row>
    <row r="9" spans="1:4">
      <c r="A9">
        <v>1</v>
      </c>
      <c r="B9">
        <v>173</v>
      </c>
      <c r="C9">
        <v>160</v>
      </c>
      <c r="D9">
        <v>114</v>
      </c>
    </row>
    <row r="10" spans="1:4">
      <c r="A10">
        <v>1</v>
      </c>
      <c r="B10">
        <v>162</v>
      </c>
      <c r="C10">
        <v>171</v>
      </c>
      <c r="D10">
        <v>151</v>
      </c>
    </row>
    <row r="11" spans="1:4">
      <c r="A11">
        <v>1</v>
      </c>
      <c r="B11">
        <v>174</v>
      </c>
      <c r="C11">
        <v>144</v>
      </c>
      <c r="D11">
        <v>162</v>
      </c>
    </row>
    <row r="12" spans="1:4">
      <c r="A12">
        <v>1</v>
      </c>
      <c r="B12">
        <v>160</v>
      </c>
      <c r="C12">
        <v>171</v>
      </c>
      <c r="D12">
        <v>157</v>
      </c>
    </row>
    <row r="13" spans="1:4">
      <c r="A13">
        <v>0</v>
      </c>
      <c r="B13">
        <v>139</v>
      </c>
      <c r="C13">
        <v>161</v>
      </c>
      <c r="D13">
        <v>168</v>
      </c>
    </row>
    <row r="14" spans="1:4">
      <c r="A14">
        <v>1</v>
      </c>
      <c r="B14">
        <v>171</v>
      </c>
      <c r="C14">
        <v>179</v>
      </c>
      <c r="D14">
        <v>160</v>
      </c>
    </row>
    <row r="15" spans="1:4">
      <c r="A15">
        <v>1</v>
      </c>
      <c r="B15">
        <v>144</v>
      </c>
      <c r="C15">
        <v>178</v>
      </c>
      <c r="D15">
        <v>170</v>
      </c>
    </row>
    <row r="16" spans="1:4">
      <c r="A16">
        <v>0</v>
      </c>
      <c r="B16">
        <v>162</v>
      </c>
      <c r="C16">
        <v>137</v>
      </c>
      <c r="D16">
        <v>148</v>
      </c>
    </row>
    <row r="17" spans="1:4">
      <c r="A17">
        <v>0</v>
      </c>
      <c r="B17">
        <v>158</v>
      </c>
      <c r="C17">
        <v>178</v>
      </c>
      <c r="D17">
        <v>151</v>
      </c>
    </row>
    <row r="18" spans="1:4">
      <c r="A18">
        <v>0</v>
      </c>
      <c r="B18">
        <v>172</v>
      </c>
      <c r="C18">
        <v>157</v>
      </c>
      <c r="D18">
        <v>142</v>
      </c>
    </row>
    <row r="19" spans="1:4">
      <c r="A19">
        <v>0</v>
      </c>
      <c r="B19">
        <v>114</v>
      </c>
      <c r="C19">
        <v>123</v>
      </c>
      <c r="D19">
        <v>143</v>
      </c>
    </row>
    <row r="20" spans="1:4">
      <c r="A20">
        <v>1</v>
      </c>
      <c r="B20">
        <v>171</v>
      </c>
      <c r="C20">
        <v>152</v>
      </c>
      <c r="D20">
        <v>115</v>
      </c>
    </row>
    <row r="21" spans="1:4">
      <c r="A21">
        <v>0</v>
      </c>
      <c r="B21">
        <v>151</v>
      </c>
      <c r="C21">
        <v>140</v>
      </c>
      <c r="D21">
        <v>160</v>
      </c>
    </row>
    <row r="22" spans="1:4">
      <c r="A22">
        <v>1</v>
      </c>
      <c r="B22">
        <v>161</v>
      </c>
      <c r="C22">
        <v>188</v>
      </c>
      <c r="D22">
        <v>149</v>
      </c>
    </row>
    <row r="23" spans="1:4">
      <c r="A23">
        <v>1</v>
      </c>
      <c r="B23">
        <v>179</v>
      </c>
      <c r="C23">
        <v>152</v>
      </c>
      <c r="D23">
        <v>175</v>
      </c>
    </row>
    <row r="24" spans="1:4">
      <c r="A24">
        <v>1</v>
      </c>
      <c r="B24">
        <v>178</v>
      </c>
      <c r="C24">
        <v>125</v>
      </c>
      <c r="D24">
        <v>172</v>
      </c>
    </row>
    <row r="25" spans="1:4">
      <c r="A25">
        <v>1</v>
      </c>
      <c r="B25">
        <v>137</v>
      </c>
      <c r="C25">
        <v>165</v>
      </c>
      <c r="D25">
        <v>159</v>
      </c>
    </row>
    <row r="26" spans="1:4">
      <c r="A26">
        <v>1</v>
      </c>
      <c r="B26">
        <v>178</v>
      </c>
      <c r="C26">
        <v>180</v>
      </c>
      <c r="D26">
        <v>130</v>
      </c>
    </row>
    <row r="27" spans="1:4">
      <c r="A27">
        <v>0</v>
      </c>
      <c r="B27">
        <v>162</v>
      </c>
      <c r="C27">
        <v>148</v>
      </c>
      <c r="D27">
        <v>182</v>
      </c>
    </row>
    <row r="28" spans="1:4">
      <c r="A28">
        <v>1</v>
      </c>
      <c r="B28">
        <v>157</v>
      </c>
      <c r="C28">
        <v>182</v>
      </c>
      <c r="D28">
        <v>175</v>
      </c>
    </row>
    <row r="29" spans="1:4">
      <c r="A29">
        <v>1</v>
      </c>
      <c r="B29">
        <v>123</v>
      </c>
      <c r="C29">
        <v>172</v>
      </c>
      <c r="D29">
        <v>163</v>
      </c>
    </row>
    <row r="30" spans="1:4">
      <c r="A30">
        <v>0</v>
      </c>
      <c r="B30">
        <v>157</v>
      </c>
      <c r="C30">
        <v>180</v>
      </c>
      <c r="D30">
        <v>165</v>
      </c>
    </row>
    <row r="31" spans="1:4">
      <c r="A31">
        <v>1</v>
      </c>
      <c r="B31">
        <v>152</v>
      </c>
      <c r="C31">
        <v>156</v>
      </c>
      <c r="D31">
        <v>161</v>
      </c>
    </row>
    <row r="32" spans="1:4">
      <c r="A32">
        <v>0</v>
      </c>
      <c r="B32">
        <v>168</v>
      </c>
      <c r="C32">
        <v>151</v>
      </c>
      <c r="D32">
        <v>160</v>
      </c>
    </row>
    <row r="33" spans="1:4">
      <c r="A33">
        <v>1</v>
      </c>
      <c r="B33">
        <v>140</v>
      </c>
      <c r="C33">
        <v>146</v>
      </c>
      <c r="D33">
        <v>122</v>
      </c>
    </row>
    <row r="34" spans="1:4">
      <c r="A34">
        <v>1</v>
      </c>
      <c r="B34">
        <v>188</v>
      </c>
      <c r="C34">
        <v>158</v>
      </c>
      <c r="D34">
        <v>160</v>
      </c>
    </row>
    <row r="35" spans="1:4">
      <c r="A35">
        <v>1</v>
      </c>
      <c r="B35">
        <v>152</v>
      </c>
      <c r="C35">
        <v>186</v>
      </c>
      <c r="D35">
        <v>158</v>
      </c>
    </row>
    <row r="36" spans="1:4">
      <c r="A36">
        <v>1</v>
      </c>
      <c r="B36">
        <v>125</v>
      </c>
      <c r="C36">
        <v>185</v>
      </c>
      <c r="D36">
        <v>122</v>
      </c>
    </row>
    <row r="37" spans="1:4">
      <c r="A37">
        <v>0</v>
      </c>
      <c r="B37">
        <v>160</v>
      </c>
      <c r="C37">
        <v>174</v>
      </c>
      <c r="D37">
        <v>159</v>
      </c>
    </row>
    <row r="38" spans="1:4">
      <c r="A38">
        <v>0</v>
      </c>
      <c r="B38">
        <v>170</v>
      </c>
      <c r="C38">
        <v>156</v>
      </c>
      <c r="D38">
        <v>138</v>
      </c>
    </row>
    <row r="39" spans="1:4">
      <c r="A39">
        <v>1</v>
      </c>
      <c r="B39">
        <v>165</v>
      </c>
      <c r="C39">
        <v>190</v>
      </c>
      <c r="D39">
        <v>157</v>
      </c>
    </row>
    <row r="40" spans="1:4">
      <c r="A40">
        <v>0</v>
      </c>
      <c r="B40">
        <v>148</v>
      </c>
      <c r="C40">
        <v>132</v>
      </c>
      <c r="D40">
        <v>179</v>
      </c>
    </row>
    <row r="41" spans="1:4">
      <c r="A41">
        <v>0</v>
      </c>
      <c r="B41">
        <v>151</v>
      </c>
      <c r="C41">
        <v>165</v>
      </c>
      <c r="D41">
        <v>115</v>
      </c>
    </row>
    <row r="42" spans="1:4">
      <c r="A42">
        <v>0</v>
      </c>
      <c r="B42">
        <v>142</v>
      </c>
      <c r="C42">
        <v>143</v>
      </c>
      <c r="D42">
        <v>152</v>
      </c>
    </row>
    <row r="43" spans="1:4">
      <c r="A43">
        <v>1</v>
      </c>
      <c r="B43">
        <v>180</v>
      </c>
      <c r="C43">
        <v>170</v>
      </c>
      <c r="D43">
        <v>162</v>
      </c>
    </row>
    <row r="44" spans="1:4">
      <c r="A44">
        <v>1</v>
      </c>
      <c r="B44">
        <v>148</v>
      </c>
      <c r="C44">
        <v>147</v>
      </c>
      <c r="D44">
        <v>159</v>
      </c>
    </row>
    <row r="45" spans="1:4">
      <c r="A45">
        <v>0</v>
      </c>
      <c r="B45">
        <v>143</v>
      </c>
      <c r="C45">
        <v>154</v>
      </c>
      <c r="D45">
        <v>154</v>
      </c>
    </row>
    <row r="46" spans="1:4">
      <c r="A46">
        <v>1</v>
      </c>
      <c r="B46">
        <v>182</v>
      </c>
      <c r="C46">
        <v>202</v>
      </c>
      <c r="D46">
        <v>133</v>
      </c>
    </row>
    <row r="47" spans="1:4">
      <c r="A47">
        <v>1</v>
      </c>
      <c r="B47">
        <v>172</v>
      </c>
      <c r="C47">
        <v>186</v>
      </c>
      <c r="D47">
        <v>170</v>
      </c>
    </row>
    <row r="48" spans="1:4">
      <c r="A48">
        <v>1</v>
      </c>
      <c r="B48">
        <v>180</v>
      </c>
      <c r="C48">
        <v>166</v>
      </c>
      <c r="D48">
        <v>172</v>
      </c>
    </row>
    <row r="49" spans="1:4">
      <c r="A49">
        <v>1</v>
      </c>
      <c r="B49">
        <v>156</v>
      </c>
      <c r="C49">
        <v>164</v>
      </c>
      <c r="D49">
        <v>152</v>
      </c>
    </row>
    <row r="50" spans="1:4">
      <c r="A50">
        <v>0</v>
      </c>
      <c r="B50">
        <v>115</v>
      </c>
      <c r="C50">
        <v>184</v>
      </c>
      <c r="D50">
        <v>122</v>
      </c>
    </row>
    <row r="51" spans="1:4">
      <c r="A51">
        <v>0</v>
      </c>
      <c r="B51">
        <v>160</v>
      </c>
      <c r="C51">
        <v>154</v>
      </c>
      <c r="D51">
        <v>172</v>
      </c>
    </row>
    <row r="52" spans="1:4">
      <c r="A52">
        <v>0</v>
      </c>
      <c r="B52">
        <v>149</v>
      </c>
      <c r="C52">
        <v>179</v>
      </c>
      <c r="D52">
        <v>167</v>
      </c>
    </row>
    <row r="53" spans="1:4">
      <c r="A53">
        <v>1</v>
      </c>
      <c r="B53">
        <v>151</v>
      </c>
      <c r="C53">
        <v>170</v>
      </c>
      <c r="D53">
        <v>179</v>
      </c>
    </row>
    <row r="54" spans="1:4">
      <c r="A54">
        <v>1</v>
      </c>
      <c r="B54">
        <v>146</v>
      </c>
      <c r="C54">
        <v>178</v>
      </c>
      <c r="D54">
        <v>192</v>
      </c>
    </row>
    <row r="55" spans="1:4">
      <c r="A55">
        <v>0</v>
      </c>
      <c r="B55">
        <v>175</v>
      </c>
      <c r="C55">
        <v>151</v>
      </c>
      <c r="D55">
        <v>172</v>
      </c>
    </row>
    <row r="56" spans="1:4">
      <c r="A56">
        <v>0</v>
      </c>
      <c r="B56">
        <v>172</v>
      </c>
      <c r="C56">
        <v>156</v>
      </c>
      <c r="D56">
        <v>169</v>
      </c>
    </row>
    <row r="57" spans="1:4">
      <c r="A57">
        <v>1</v>
      </c>
      <c r="B57">
        <v>158</v>
      </c>
      <c r="C57">
        <v>175</v>
      </c>
      <c r="D57">
        <v>121</v>
      </c>
    </row>
    <row r="58" spans="1:4">
      <c r="A58">
        <v>1</v>
      </c>
      <c r="B58">
        <v>186</v>
      </c>
      <c r="C58">
        <v>168</v>
      </c>
      <c r="D58">
        <v>163</v>
      </c>
    </row>
    <row r="59" spans="1:4">
      <c r="A59">
        <v>1</v>
      </c>
      <c r="B59">
        <v>185</v>
      </c>
      <c r="C59">
        <v>169</v>
      </c>
      <c r="D59">
        <v>162</v>
      </c>
    </row>
    <row r="60" spans="1:4">
      <c r="A60">
        <v>1</v>
      </c>
      <c r="B60">
        <v>174</v>
      </c>
      <c r="C60">
        <v>111</v>
      </c>
      <c r="D60">
        <v>163</v>
      </c>
    </row>
    <row r="61" spans="1:4">
      <c r="A61">
        <v>0</v>
      </c>
      <c r="B61">
        <v>159</v>
      </c>
      <c r="C61">
        <v>147</v>
      </c>
      <c r="D61">
        <v>163</v>
      </c>
    </row>
    <row r="62" spans="1:4">
      <c r="A62">
        <v>0</v>
      </c>
      <c r="B62">
        <v>130</v>
      </c>
      <c r="C62">
        <v>162</v>
      </c>
      <c r="D62">
        <v>96</v>
      </c>
    </row>
    <row r="63" spans="1:4">
      <c r="A63">
        <v>1</v>
      </c>
      <c r="B63">
        <v>156</v>
      </c>
      <c r="C63">
        <v>173</v>
      </c>
      <c r="D63">
        <v>157</v>
      </c>
    </row>
    <row r="64" spans="1:4">
      <c r="A64">
        <v>1</v>
      </c>
      <c r="B64">
        <v>190</v>
      </c>
      <c r="C64">
        <v>178</v>
      </c>
      <c r="D64">
        <v>173</v>
      </c>
    </row>
    <row r="65" spans="1:4">
      <c r="A65">
        <v>1</v>
      </c>
      <c r="B65">
        <v>132</v>
      </c>
      <c r="C65">
        <v>145</v>
      </c>
      <c r="D65">
        <v>142</v>
      </c>
    </row>
    <row r="66" spans="1:4">
      <c r="A66">
        <v>1</v>
      </c>
      <c r="B66">
        <v>165</v>
      </c>
      <c r="C66">
        <v>194</v>
      </c>
      <c r="D66">
        <v>116</v>
      </c>
    </row>
    <row r="67" spans="1:4">
      <c r="A67">
        <v>0</v>
      </c>
      <c r="B67">
        <v>182</v>
      </c>
      <c r="C67">
        <v>163</v>
      </c>
      <c r="D67">
        <v>149</v>
      </c>
    </row>
    <row r="68" spans="1:4">
      <c r="A68">
        <v>1</v>
      </c>
      <c r="B68">
        <v>143</v>
      </c>
      <c r="C68">
        <v>131</v>
      </c>
      <c r="D68">
        <v>171</v>
      </c>
    </row>
    <row r="69" spans="1:4">
      <c r="A69">
        <v>0</v>
      </c>
      <c r="B69">
        <v>175</v>
      </c>
      <c r="C69">
        <v>173</v>
      </c>
      <c r="D69">
        <v>125</v>
      </c>
    </row>
    <row r="70" spans="1:4">
      <c r="A70">
        <v>1</v>
      </c>
      <c r="B70">
        <v>170</v>
      </c>
      <c r="C70">
        <v>161</v>
      </c>
      <c r="D70">
        <v>152</v>
      </c>
    </row>
    <row r="71" spans="1:4">
      <c r="A71">
        <v>0</v>
      </c>
      <c r="B71">
        <v>163</v>
      </c>
      <c r="C71">
        <v>155</v>
      </c>
      <c r="D71">
        <v>152</v>
      </c>
    </row>
    <row r="72" spans="1:4">
      <c r="A72">
        <v>1</v>
      </c>
      <c r="B72">
        <v>147</v>
      </c>
      <c r="C72">
        <v>168</v>
      </c>
      <c r="D72">
        <v>131</v>
      </c>
    </row>
    <row r="73" spans="1:4">
      <c r="A73">
        <v>1</v>
      </c>
      <c r="B73">
        <v>154</v>
      </c>
      <c r="C73">
        <v>162</v>
      </c>
      <c r="D73">
        <v>166</v>
      </c>
    </row>
    <row r="74" spans="1:4">
      <c r="A74">
        <v>1</v>
      </c>
      <c r="B74">
        <v>202</v>
      </c>
      <c r="C74">
        <v>182</v>
      </c>
      <c r="D74">
        <v>160</v>
      </c>
    </row>
    <row r="75" spans="1:4">
      <c r="A75">
        <v>1</v>
      </c>
      <c r="B75">
        <v>186</v>
      </c>
      <c r="C75">
        <v>143</v>
      </c>
      <c r="D75">
        <v>114</v>
      </c>
    </row>
    <row r="76" spans="1:4">
      <c r="A76">
        <v>0</v>
      </c>
      <c r="B76">
        <v>165</v>
      </c>
      <c r="C76">
        <v>162</v>
      </c>
      <c r="D76">
        <v>169</v>
      </c>
    </row>
    <row r="77" spans="1:4">
      <c r="A77">
        <v>0</v>
      </c>
      <c r="B77">
        <v>161</v>
      </c>
      <c r="C77">
        <v>153</v>
      </c>
      <c r="D77">
        <v>142</v>
      </c>
    </row>
    <row r="78" spans="1:4">
      <c r="A78">
        <v>1</v>
      </c>
      <c r="B78">
        <v>166</v>
      </c>
      <c r="C78">
        <v>140</v>
      </c>
      <c r="D78">
        <v>145</v>
      </c>
    </row>
    <row r="79" spans="1:4">
      <c r="A79">
        <v>1</v>
      </c>
      <c r="B79">
        <v>164</v>
      </c>
      <c r="C79">
        <v>126</v>
      </c>
      <c r="D79">
        <v>157</v>
      </c>
    </row>
    <row r="80" spans="1:4">
      <c r="A80">
        <v>1</v>
      </c>
      <c r="B80">
        <v>184</v>
      </c>
      <c r="C80">
        <v>105</v>
      </c>
      <c r="D80">
        <v>146</v>
      </c>
    </row>
    <row r="81" spans="1:4">
      <c r="A81">
        <v>1</v>
      </c>
      <c r="B81">
        <v>154</v>
      </c>
      <c r="C81">
        <v>181</v>
      </c>
      <c r="D81">
        <v>136</v>
      </c>
    </row>
    <row r="82" spans="1:4">
      <c r="A82">
        <v>1</v>
      </c>
      <c r="B82">
        <v>179</v>
      </c>
      <c r="C82">
        <v>143</v>
      </c>
      <c r="D82">
        <v>97</v>
      </c>
    </row>
    <row r="83" spans="1:4">
      <c r="A83">
        <v>1</v>
      </c>
      <c r="B83">
        <v>170</v>
      </c>
      <c r="C83">
        <v>169</v>
      </c>
      <c r="D83">
        <v>154</v>
      </c>
    </row>
    <row r="84" spans="1:4">
      <c r="A84">
        <v>0</v>
      </c>
      <c r="B84">
        <v>160</v>
      </c>
      <c r="C84">
        <v>150</v>
      </c>
      <c r="D84">
        <v>133</v>
      </c>
    </row>
    <row r="85" spans="1:4">
      <c r="A85">
        <v>1</v>
      </c>
      <c r="B85">
        <v>178</v>
      </c>
      <c r="C85">
        <v>138</v>
      </c>
      <c r="D85">
        <v>143</v>
      </c>
    </row>
    <row r="86" spans="1:4">
      <c r="A86">
        <v>0</v>
      </c>
      <c r="B86">
        <v>122</v>
      </c>
      <c r="C86">
        <v>155</v>
      </c>
      <c r="D86">
        <v>150</v>
      </c>
    </row>
    <row r="87" spans="1:4">
      <c r="A87">
        <v>0</v>
      </c>
      <c r="B87">
        <v>160</v>
      </c>
      <c r="C87">
        <v>179</v>
      </c>
      <c r="D87">
        <v>106</v>
      </c>
    </row>
    <row r="88" spans="1:4">
      <c r="A88">
        <v>1</v>
      </c>
      <c r="B88">
        <v>151</v>
      </c>
      <c r="C88">
        <v>174</v>
      </c>
      <c r="D88">
        <v>154</v>
      </c>
    </row>
    <row r="89" spans="1:4">
      <c r="A89">
        <v>1</v>
      </c>
      <c r="B89">
        <v>156</v>
      </c>
      <c r="C89">
        <v>144</v>
      </c>
      <c r="D89">
        <v>165</v>
      </c>
    </row>
    <row r="90" spans="1:4">
      <c r="A90">
        <v>0</v>
      </c>
      <c r="B90">
        <v>158</v>
      </c>
      <c r="C90">
        <v>163</v>
      </c>
      <c r="D90">
        <v>169</v>
      </c>
    </row>
    <row r="91" spans="1:4">
      <c r="A91">
        <v>0</v>
      </c>
      <c r="B91">
        <v>122</v>
      </c>
      <c r="C91">
        <v>169</v>
      </c>
      <c r="D91">
        <v>117</v>
      </c>
    </row>
    <row r="92" spans="1:4">
      <c r="A92">
        <v>1</v>
      </c>
      <c r="B92">
        <v>175</v>
      </c>
      <c r="C92">
        <v>182</v>
      </c>
      <c r="D92">
        <v>152</v>
      </c>
    </row>
    <row r="93" spans="1:4">
      <c r="A93">
        <v>1</v>
      </c>
      <c r="B93">
        <v>168</v>
      </c>
      <c r="C93">
        <v>173</v>
      </c>
      <c r="D93">
        <v>130</v>
      </c>
    </row>
    <row r="94" spans="1:4">
      <c r="A94">
        <v>1</v>
      </c>
      <c r="B94">
        <v>169</v>
      </c>
      <c r="C94">
        <v>173</v>
      </c>
      <c r="D94">
        <v>146</v>
      </c>
    </row>
    <row r="95" spans="1:4">
      <c r="A95">
        <v>0</v>
      </c>
      <c r="B95">
        <v>159</v>
      </c>
      <c r="C95">
        <v>108</v>
      </c>
      <c r="D95">
        <v>136</v>
      </c>
    </row>
    <row r="96" spans="1:4">
      <c r="A96">
        <v>0</v>
      </c>
      <c r="B96">
        <v>138</v>
      </c>
      <c r="C96">
        <v>129</v>
      </c>
      <c r="D96">
        <v>123</v>
      </c>
    </row>
    <row r="97" spans="1:4">
      <c r="A97">
        <v>1</v>
      </c>
      <c r="B97">
        <v>111</v>
      </c>
      <c r="C97">
        <v>147</v>
      </c>
      <c r="D97">
        <v>174</v>
      </c>
    </row>
    <row r="98" spans="1:4">
      <c r="A98">
        <v>0</v>
      </c>
      <c r="B98">
        <v>157</v>
      </c>
      <c r="C98">
        <v>155</v>
      </c>
    </row>
    <row r="99" spans="1:4">
      <c r="A99">
        <v>1</v>
      </c>
      <c r="B99">
        <v>147</v>
      </c>
      <c r="C99">
        <v>142</v>
      </c>
    </row>
    <row r="100" spans="1:4">
      <c r="A100">
        <v>1</v>
      </c>
      <c r="B100">
        <v>162</v>
      </c>
      <c r="C100">
        <v>168</v>
      </c>
    </row>
    <row r="101" spans="1:4">
      <c r="A101">
        <v>1</v>
      </c>
      <c r="B101">
        <v>173</v>
      </c>
      <c r="C101">
        <v>160</v>
      </c>
    </row>
    <row r="102" spans="1:4">
      <c r="A102">
        <v>1</v>
      </c>
      <c r="B102">
        <v>178</v>
      </c>
      <c r="C102">
        <v>173</v>
      </c>
    </row>
    <row r="103" spans="1:4">
      <c r="A103">
        <v>1</v>
      </c>
      <c r="B103">
        <v>145</v>
      </c>
      <c r="C103">
        <v>132</v>
      </c>
    </row>
    <row r="104" spans="1:4">
      <c r="A104">
        <v>0</v>
      </c>
      <c r="B104">
        <v>179</v>
      </c>
      <c r="C104">
        <v>114</v>
      </c>
    </row>
    <row r="105" spans="1:4">
      <c r="A105">
        <v>1</v>
      </c>
      <c r="B105">
        <v>194</v>
      </c>
      <c r="C105">
        <v>160</v>
      </c>
    </row>
    <row r="106" spans="1:4">
      <c r="A106">
        <v>1</v>
      </c>
      <c r="B106">
        <v>163</v>
      </c>
      <c r="C106">
        <v>158</v>
      </c>
    </row>
    <row r="107" spans="1:4">
      <c r="A107">
        <v>0</v>
      </c>
      <c r="B107">
        <v>115</v>
      </c>
      <c r="C107">
        <v>120</v>
      </c>
    </row>
    <row r="108" spans="1:4">
      <c r="A108">
        <v>1</v>
      </c>
      <c r="B108">
        <v>131</v>
      </c>
      <c r="C108">
        <v>112</v>
      </c>
    </row>
    <row r="109" spans="1:4">
      <c r="A109">
        <v>0</v>
      </c>
      <c r="B109">
        <v>152</v>
      </c>
      <c r="C109">
        <v>132</v>
      </c>
    </row>
    <row r="110" spans="1:4">
      <c r="A110">
        <v>0</v>
      </c>
      <c r="B110">
        <v>162</v>
      </c>
      <c r="C110">
        <v>165</v>
      </c>
    </row>
    <row r="111" spans="1:4">
      <c r="A111">
        <v>0</v>
      </c>
      <c r="B111">
        <v>159</v>
      </c>
      <c r="C111">
        <v>128</v>
      </c>
    </row>
    <row r="112" spans="1:4">
      <c r="A112">
        <v>0</v>
      </c>
      <c r="B112">
        <v>154</v>
      </c>
      <c r="C112">
        <v>153</v>
      </c>
    </row>
    <row r="113" spans="1:3">
      <c r="A113">
        <v>1</v>
      </c>
      <c r="B113">
        <v>173</v>
      </c>
      <c r="C113">
        <v>144</v>
      </c>
    </row>
    <row r="114" spans="1:3">
      <c r="A114">
        <v>0</v>
      </c>
      <c r="B114">
        <v>133</v>
      </c>
      <c r="C114">
        <v>109</v>
      </c>
    </row>
    <row r="115" spans="1:3">
      <c r="A115">
        <v>1</v>
      </c>
      <c r="B115">
        <v>161</v>
      </c>
      <c r="C115">
        <v>163</v>
      </c>
    </row>
    <row r="116" spans="1:3">
      <c r="A116">
        <v>1</v>
      </c>
      <c r="B116">
        <v>155</v>
      </c>
      <c r="C116">
        <v>158</v>
      </c>
    </row>
    <row r="117" spans="1:3">
      <c r="A117">
        <v>0</v>
      </c>
      <c r="B117">
        <v>170</v>
      </c>
      <c r="C117">
        <v>131</v>
      </c>
    </row>
    <row r="118" spans="1:3">
      <c r="A118">
        <v>1</v>
      </c>
      <c r="B118">
        <v>168</v>
      </c>
      <c r="C118">
        <v>113</v>
      </c>
    </row>
    <row r="119" spans="1:3">
      <c r="A119">
        <v>1</v>
      </c>
      <c r="B119">
        <v>162</v>
      </c>
      <c r="C119">
        <v>142</v>
      </c>
    </row>
    <row r="120" spans="1:3">
      <c r="A120">
        <v>0</v>
      </c>
      <c r="B120">
        <v>172</v>
      </c>
      <c r="C120">
        <v>155</v>
      </c>
    </row>
    <row r="121" spans="1:3">
      <c r="A121">
        <v>0</v>
      </c>
      <c r="B121">
        <v>152</v>
      </c>
      <c r="C121">
        <v>140</v>
      </c>
    </row>
    <row r="122" spans="1:3">
      <c r="A122">
        <v>0</v>
      </c>
      <c r="B122">
        <v>122</v>
      </c>
      <c r="C122">
        <v>147</v>
      </c>
    </row>
    <row r="123" spans="1:3">
      <c r="A123">
        <v>1</v>
      </c>
      <c r="B123">
        <v>182</v>
      </c>
      <c r="C123">
        <v>163</v>
      </c>
    </row>
    <row r="124" spans="1:3">
      <c r="A124">
        <v>0</v>
      </c>
      <c r="B124">
        <v>172</v>
      </c>
      <c r="C124">
        <v>99</v>
      </c>
    </row>
    <row r="125" spans="1:3">
      <c r="A125">
        <v>0</v>
      </c>
      <c r="B125">
        <v>167</v>
      </c>
      <c r="C125">
        <v>158</v>
      </c>
    </row>
    <row r="126" spans="1:3">
      <c r="A126">
        <v>0</v>
      </c>
      <c r="B126">
        <v>179</v>
      </c>
      <c r="C126">
        <v>177</v>
      </c>
    </row>
    <row r="127" spans="1:3">
      <c r="A127">
        <v>0</v>
      </c>
      <c r="B127">
        <v>192</v>
      </c>
      <c r="C127">
        <v>141</v>
      </c>
    </row>
    <row r="128" spans="1:3">
      <c r="A128">
        <v>1</v>
      </c>
      <c r="B128">
        <v>143</v>
      </c>
      <c r="C128">
        <v>111</v>
      </c>
    </row>
    <row r="129" spans="1:3">
      <c r="A129">
        <v>0</v>
      </c>
      <c r="B129">
        <v>172</v>
      </c>
      <c r="C129">
        <v>150</v>
      </c>
    </row>
    <row r="130" spans="1:3">
      <c r="A130">
        <v>0</v>
      </c>
      <c r="B130">
        <v>169</v>
      </c>
      <c r="C130">
        <v>161</v>
      </c>
    </row>
    <row r="131" spans="1:3">
      <c r="A131">
        <v>0</v>
      </c>
      <c r="B131">
        <v>121</v>
      </c>
      <c r="C131">
        <v>142</v>
      </c>
    </row>
    <row r="132" spans="1:3">
      <c r="A132">
        <v>0</v>
      </c>
      <c r="B132">
        <v>163</v>
      </c>
      <c r="C132">
        <v>139</v>
      </c>
    </row>
    <row r="133" spans="1:3">
      <c r="A133">
        <v>0</v>
      </c>
      <c r="B133">
        <v>162</v>
      </c>
      <c r="C133">
        <v>162</v>
      </c>
    </row>
    <row r="134" spans="1:3">
      <c r="A134">
        <v>1</v>
      </c>
      <c r="B134">
        <v>162</v>
      </c>
      <c r="C134">
        <v>150</v>
      </c>
    </row>
    <row r="135" spans="1:3">
      <c r="A135">
        <v>1</v>
      </c>
      <c r="B135">
        <v>153</v>
      </c>
      <c r="C135">
        <v>140</v>
      </c>
    </row>
    <row r="136" spans="1:3">
      <c r="A136">
        <v>0</v>
      </c>
      <c r="B136">
        <v>163</v>
      </c>
      <c r="C136">
        <v>140</v>
      </c>
    </row>
    <row r="137" spans="1:3">
      <c r="A137">
        <v>0</v>
      </c>
      <c r="B137">
        <v>163</v>
      </c>
      <c r="C137">
        <v>144</v>
      </c>
    </row>
    <row r="138" spans="1:3">
      <c r="A138">
        <v>0</v>
      </c>
      <c r="B138">
        <v>96</v>
      </c>
      <c r="C138">
        <v>132</v>
      </c>
    </row>
    <row r="139" spans="1:3">
      <c r="A139">
        <v>1</v>
      </c>
      <c r="B139">
        <v>140</v>
      </c>
      <c r="C139">
        <v>127</v>
      </c>
    </row>
    <row r="140" spans="1:3">
      <c r="A140">
        <v>1</v>
      </c>
      <c r="B140">
        <v>126</v>
      </c>
      <c r="C140">
        <v>150</v>
      </c>
    </row>
    <row r="141" spans="1:3">
      <c r="A141">
        <v>1</v>
      </c>
      <c r="B141">
        <v>105</v>
      </c>
      <c r="C141">
        <v>111</v>
      </c>
    </row>
    <row r="142" spans="1:3">
      <c r="A142">
        <v>0</v>
      </c>
      <c r="B142">
        <v>157</v>
      </c>
      <c r="C142">
        <v>174</v>
      </c>
    </row>
    <row r="143" spans="1:3">
      <c r="A143">
        <v>1</v>
      </c>
      <c r="B143">
        <v>181</v>
      </c>
      <c r="C143">
        <v>126</v>
      </c>
    </row>
    <row r="144" spans="1:3">
      <c r="A144">
        <v>0</v>
      </c>
      <c r="B144">
        <v>173</v>
      </c>
      <c r="C144">
        <v>125</v>
      </c>
    </row>
    <row r="145" spans="1:3">
      <c r="A145">
        <v>0</v>
      </c>
      <c r="B145">
        <v>142</v>
      </c>
      <c r="C145">
        <v>103</v>
      </c>
    </row>
    <row r="146" spans="1:3">
      <c r="A146">
        <v>0</v>
      </c>
      <c r="B146">
        <v>116</v>
      </c>
      <c r="C146">
        <v>130</v>
      </c>
    </row>
    <row r="147" spans="1:3">
      <c r="A147">
        <v>1</v>
      </c>
      <c r="B147">
        <v>143</v>
      </c>
      <c r="C147">
        <v>159</v>
      </c>
    </row>
    <row r="148" spans="1:3">
      <c r="A148">
        <v>0</v>
      </c>
      <c r="B148">
        <v>149</v>
      </c>
      <c r="C148">
        <v>131</v>
      </c>
    </row>
    <row r="149" spans="1:3">
      <c r="A149">
        <v>0</v>
      </c>
      <c r="B149">
        <v>171</v>
      </c>
      <c r="C149">
        <v>152</v>
      </c>
    </row>
    <row r="150" spans="1:3">
      <c r="A150">
        <v>1</v>
      </c>
      <c r="B150">
        <v>169</v>
      </c>
      <c r="C150">
        <v>124</v>
      </c>
    </row>
    <row r="151" spans="1:3">
      <c r="A151">
        <v>1</v>
      </c>
      <c r="B151">
        <v>150</v>
      </c>
      <c r="C151">
        <v>145</v>
      </c>
    </row>
    <row r="152" spans="1:3">
      <c r="A152">
        <v>1</v>
      </c>
      <c r="B152">
        <v>138</v>
      </c>
      <c r="C152">
        <v>96</v>
      </c>
    </row>
    <row r="153" spans="1:3">
      <c r="A153">
        <v>0</v>
      </c>
      <c r="B153">
        <v>125</v>
      </c>
      <c r="C153">
        <v>109</v>
      </c>
    </row>
    <row r="154" spans="1:3">
      <c r="A154">
        <v>1</v>
      </c>
      <c r="B154">
        <v>155</v>
      </c>
      <c r="C154">
        <v>173</v>
      </c>
    </row>
    <row r="155" spans="1:3">
      <c r="A155">
        <v>0</v>
      </c>
      <c r="B155">
        <v>152</v>
      </c>
      <c r="C155">
        <v>171</v>
      </c>
    </row>
    <row r="156" spans="1:3">
      <c r="A156">
        <v>0</v>
      </c>
      <c r="B156">
        <v>152</v>
      </c>
      <c r="C156">
        <v>170</v>
      </c>
    </row>
    <row r="157" spans="1:3">
      <c r="A157">
        <v>0</v>
      </c>
      <c r="B157">
        <v>131</v>
      </c>
      <c r="C157">
        <v>162</v>
      </c>
    </row>
    <row r="158" spans="1:3">
      <c r="A158">
        <v>1</v>
      </c>
      <c r="B158">
        <v>179</v>
      </c>
      <c r="C158">
        <v>156</v>
      </c>
    </row>
    <row r="159" spans="1:3">
      <c r="A159">
        <v>1</v>
      </c>
      <c r="B159">
        <v>174</v>
      </c>
      <c r="C159">
        <v>112</v>
      </c>
    </row>
    <row r="160" spans="1:3">
      <c r="A160">
        <v>1</v>
      </c>
      <c r="B160">
        <v>144</v>
      </c>
      <c r="C160">
        <v>132</v>
      </c>
    </row>
    <row r="161" spans="1:3">
      <c r="A161">
        <v>1</v>
      </c>
      <c r="B161">
        <v>163</v>
      </c>
      <c r="C161">
        <v>88</v>
      </c>
    </row>
    <row r="162" spans="1:3">
      <c r="A162">
        <v>1</v>
      </c>
      <c r="B162">
        <v>169</v>
      </c>
      <c r="C162">
        <v>105</v>
      </c>
    </row>
    <row r="163" spans="1:3">
      <c r="A163">
        <v>0</v>
      </c>
      <c r="B163">
        <v>166</v>
      </c>
      <c r="C163">
        <v>166</v>
      </c>
    </row>
    <row r="164" spans="1:3">
      <c r="A164">
        <v>1</v>
      </c>
      <c r="B164">
        <v>182</v>
      </c>
      <c r="C164">
        <v>120</v>
      </c>
    </row>
    <row r="165" spans="1:3">
      <c r="A165">
        <v>1</v>
      </c>
      <c r="B165">
        <v>173</v>
      </c>
      <c r="C165">
        <v>195</v>
      </c>
    </row>
    <row r="166" spans="1:3">
      <c r="A166">
        <v>1</v>
      </c>
      <c r="B166">
        <v>173</v>
      </c>
      <c r="C166">
        <v>146</v>
      </c>
    </row>
    <row r="167" spans="1:3">
      <c r="A167">
        <v>1</v>
      </c>
      <c r="B167">
        <v>108</v>
      </c>
      <c r="C167">
        <v>122</v>
      </c>
    </row>
    <row r="168" spans="1:3">
      <c r="A168">
        <v>1</v>
      </c>
      <c r="B168">
        <v>129</v>
      </c>
      <c r="C168">
        <v>143</v>
      </c>
    </row>
    <row r="169" spans="1:3">
      <c r="A169">
        <v>0</v>
      </c>
      <c r="B169">
        <v>160</v>
      </c>
      <c r="C169">
        <v>125</v>
      </c>
    </row>
    <row r="170" spans="1:3">
      <c r="A170">
        <v>1</v>
      </c>
      <c r="B170">
        <v>147</v>
      </c>
      <c r="C170">
        <v>125</v>
      </c>
    </row>
    <row r="171" spans="1:3">
      <c r="A171">
        <v>1</v>
      </c>
      <c r="B171">
        <v>155</v>
      </c>
      <c r="C171">
        <v>147</v>
      </c>
    </row>
    <row r="172" spans="1:3">
      <c r="A172">
        <v>1</v>
      </c>
      <c r="B172">
        <v>142</v>
      </c>
      <c r="C172">
        <v>130</v>
      </c>
    </row>
    <row r="173" spans="1:3">
      <c r="A173">
        <v>1</v>
      </c>
      <c r="B173">
        <v>168</v>
      </c>
      <c r="C173">
        <v>126</v>
      </c>
    </row>
    <row r="174" spans="1:3">
      <c r="A174">
        <v>1</v>
      </c>
      <c r="B174">
        <v>160</v>
      </c>
      <c r="C174">
        <v>182</v>
      </c>
    </row>
    <row r="175" spans="1:3">
      <c r="A175">
        <v>1</v>
      </c>
      <c r="B175">
        <v>173</v>
      </c>
      <c r="C175">
        <v>160</v>
      </c>
    </row>
    <row r="176" spans="1:3">
      <c r="A176">
        <v>1</v>
      </c>
      <c r="B176">
        <v>132</v>
      </c>
      <c r="C176">
        <v>95</v>
      </c>
    </row>
    <row r="177" spans="1:3">
      <c r="A177">
        <v>1</v>
      </c>
      <c r="B177">
        <v>114</v>
      </c>
      <c r="C177">
        <v>108</v>
      </c>
    </row>
    <row r="178" spans="1:3">
      <c r="A178">
        <v>1</v>
      </c>
      <c r="B178">
        <v>160</v>
      </c>
      <c r="C178">
        <v>132</v>
      </c>
    </row>
    <row r="179" spans="1:3">
      <c r="A179">
        <v>1</v>
      </c>
      <c r="B179">
        <v>158</v>
      </c>
      <c r="C179">
        <v>126</v>
      </c>
    </row>
    <row r="180" spans="1:3">
      <c r="A180">
        <v>1</v>
      </c>
      <c r="B180">
        <v>120</v>
      </c>
      <c r="C180">
        <v>116</v>
      </c>
    </row>
    <row r="181" spans="1:3">
      <c r="A181">
        <v>1</v>
      </c>
      <c r="B181">
        <v>112</v>
      </c>
      <c r="C181">
        <v>103</v>
      </c>
    </row>
    <row r="182" spans="1:3">
      <c r="A182">
        <v>1</v>
      </c>
      <c r="B182">
        <v>132</v>
      </c>
      <c r="C182">
        <v>144</v>
      </c>
    </row>
    <row r="183" spans="1:3">
      <c r="A183">
        <v>0</v>
      </c>
      <c r="B183">
        <v>114</v>
      </c>
      <c r="C183">
        <v>145</v>
      </c>
    </row>
    <row r="184" spans="1:3">
      <c r="A184">
        <v>0</v>
      </c>
      <c r="B184">
        <v>169</v>
      </c>
      <c r="C184">
        <v>71</v>
      </c>
    </row>
    <row r="185" spans="1:3">
      <c r="A185">
        <v>1</v>
      </c>
      <c r="B185">
        <v>165</v>
      </c>
      <c r="C185">
        <v>156</v>
      </c>
    </row>
    <row r="186" spans="1:3">
      <c r="A186">
        <v>1</v>
      </c>
      <c r="B186">
        <v>128</v>
      </c>
      <c r="C186">
        <v>118</v>
      </c>
    </row>
    <row r="187" spans="1:3">
      <c r="A187">
        <v>1</v>
      </c>
      <c r="B187">
        <v>153</v>
      </c>
      <c r="C187">
        <v>168</v>
      </c>
    </row>
    <row r="188" spans="1:3">
      <c r="A188">
        <v>1</v>
      </c>
      <c r="B188">
        <v>144</v>
      </c>
      <c r="C188">
        <v>105</v>
      </c>
    </row>
    <row r="189" spans="1:3">
      <c r="A189">
        <v>1</v>
      </c>
      <c r="B189">
        <v>109</v>
      </c>
      <c r="C189">
        <v>141</v>
      </c>
    </row>
    <row r="190" spans="1:3">
      <c r="A190">
        <v>1</v>
      </c>
      <c r="B190">
        <v>163</v>
      </c>
      <c r="C190">
        <v>125</v>
      </c>
    </row>
    <row r="191" spans="1:3">
      <c r="A191">
        <v>1</v>
      </c>
      <c r="B191">
        <v>158</v>
      </c>
      <c r="C191">
        <v>125</v>
      </c>
    </row>
    <row r="192" spans="1:3">
      <c r="A192">
        <v>0</v>
      </c>
      <c r="B192">
        <v>142</v>
      </c>
      <c r="C192">
        <v>156</v>
      </c>
    </row>
    <row r="193" spans="1:3">
      <c r="A193">
        <v>1</v>
      </c>
      <c r="B193">
        <v>131</v>
      </c>
      <c r="C193">
        <v>134</v>
      </c>
    </row>
    <row r="194" spans="1:3">
      <c r="A194">
        <v>1</v>
      </c>
      <c r="B194">
        <v>113</v>
      </c>
      <c r="C194">
        <v>181</v>
      </c>
    </row>
    <row r="195" spans="1:3">
      <c r="A195">
        <v>1</v>
      </c>
      <c r="B195">
        <v>142</v>
      </c>
      <c r="C195">
        <v>138</v>
      </c>
    </row>
    <row r="196" spans="1:3">
      <c r="A196">
        <v>1</v>
      </c>
      <c r="B196">
        <v>155</v>
      </c>
      <c r="C196">
        <v>120</v>
      </c>
    </row>
    <row r="197" spans="1:3">
      <c r="A197">
        <v>1</v>
      </c>
      <c r="B197">
        <v>140</v>
      </c>
      <c r="C197">
        <v>162</v>
      </c>
    </row>
    <row r="198" spans="1:3">
      <c r="A198">
        <v>1</v>
      </c>
      <c r="B198">
        <v>147</v>
      </c>
      <c r="C198">
        <v>164</v>
      </c>
    </row>
    <row r="199" spans="1:3">
      <c r="A199">
        <v>1</v>
      </c>
      <c r="B199">
        <v>163</v>
      </c>
      <c r="C199">
        <v>143</v>
      </c>
    </row>
    <row r="200" spans="1:3">
      <c r="A200">
        <v>1</v>
      </c>
      <c r="B200">
        <v>99</v>
      </c>
      <c r="C200">
        <v>161</v>
      </c>
    </row>
    <row r="201" spans="1:3">
      <c r="A201">
        <v>1</v>
      </c>
      <c r="B201">
        <v>158</v>
      </c>
      <c r="C201">
        <v>140</v>
      </c>
    </row>
    <row r="202" spans="1:3">
      <c r="A202">
        <v>1</v>
      </c>
      <c r="B202">
        <v>177</v>
      </c>
      <c r="C202">
        <v>150</v>
      </c>
    </row>
    <row r="203" spans="1:3">
      <c r="A203">
        <v>1</v>
      </c>
      <c r="B203">
        <v>141</v>
      </c>
      <c r="C203">
        <v>144</v>
      </c>
    </row>
    <row r="204" spans="1:3">
      <c r="A204">
        <v>1</v>
      </c>
      <c r="B204">
        <v>111</v>
      </c>
      <c r="C204">
        <v>144</v>
      </c>
    </row>
    <row r="205" spans="1:3">
      <c r="A205">
        <v>1</v>
      </c>
      <c r="B205">
        <v>150</v>
      </c>
      <c r="C205">
        <v>90</v>
      </c>
    </row>
    <row r="206" spans="1:3">
      <c r="A206">
        <v>0</v>
      </c>
      <c r="B206">
        <v>145</v>
      </c>
      <c r="C206">
        <v>132</v>
      </c>
    </row>
    <row r="207" spans="1:3">
      <c r="A207">
        <v>1</v>
      </c>
      <c r="B207">
        <v>161</v>
      </c>
      <c r="C207">
        <v>141</v>
      </c>
    </row>
    <row r="208" spans="1:3">
      <c r="A208">
        <v>1</v>
      </c>
      <c r="B208">
        <v>142</v>
      </c>
      <c r="C208">
        <v>115</v>
      </c>
    </row>
    <row r="209" spans="1:2">
      <c r="A209">
        <v>0</v>
      </c>
      <c r="B209">
        <v>157</v>
      </c>
    </row>
    <row r="210" spans="1:2">
      <c r="A210">
        <v>1</v>
      </c>
      <c r="B210">
        <v>139</v>
      </c>
    </row>
    <row r="211" spans="1:2">
      <c r="A211">
        <v>1</v>
      </c>
      <c r="B211">
        <v>162</v>
      </c>
    </row>
    <row r="212" spans="1:2">
      <c r="A212">
        <v>1</v>
      </c>
      <c r="B212">
        <v>150</v>
      </c>
    </row>
    <row r="213" spans="1:2">
      <c r="A213">
        <v>1</v>
      </c>
      <c r="B213">
        <v>140</v>
      </c>
    </row>
    <row r="214" spans="1:2">
      <c r="A214">
        <v>1</v>
      </c>
      <c r="B214">
        <v>140</v>
      </c>
    </row>
    <row r="215" spans="1:2">
      <c r="A215">
        <v>0</v>
      </c>
      <c r="B215">
        <v>146</v>
      </c>
    </row>
    <row r="216" spans="1:2">
      <c r="A216">
        <v>1</v>
      </c>
      <c r="B216">
        <v>144</v>
      </c>
    </row>
    <row r="217" spans="1:2">
      <c r="A217">
        <v>0</v>
      </c>
      <c r="B217">
        <v>136</v>
      </c>
    </row>
    <row r="218" spans="1:2">
      <c r="A218">
        <v>0</v>
      </c>
      <c r="B218">
        <v>97</v>
      </c>
    </row>
    <row r="219" spans="1:2">
      <c r="A219">
        <v>1</v>
      </c>
      <c r="B219">
        <v>132</v>
      </c>
    </row>
    <row r="220" spans="1:2">
      <c r="A220">
        <v>1</v>
      </c>
      <c r="B220">
        <v>127</v>
      </c>
    </row>
    <row r="221" spans="1:2">
      <c r="A221">
        <v>1</v>
      </c>
      <c r="B221">
        <v>150</v>
      </c>
    </row>
    <row r="222" spans="1:2">
      <c r="A222">
        <v>0</v>
      </c>
      <c r="B222">
        <v>154</v>
      </c>
    </row>
    <row r="223" spans="1:2">
      <c r="A223">
        <v>1</v>
      </c>
      <c r="B223">
        <v>111</v>
      </c>
    </row>
    <row r="224" spans="1:2">
      <c r="A224">
        <v>1</v>
      </c>
      <c r="B224">
        <v>174</v>
      </c>
    </row>
    <row r="225" spans="1:2">
      <c r="A225">
        <v>0</v>
      </c>
      <c r="B225">
        <v>133</v>
      </c>
    </row>
    <row r="226" spans="1:2">
      <c r="A226">
        <v>1</v>
      </c>
      <c r="B226">
        <v>126</v>
      </c>
    </row>
    <row r="227" spans="1:2">
      <c r="A227">
        <v>1</v>
      </c>
      <c r="B227">
        <v>125</v>
      </c>
    </row>
    <row r="228" spans="1:2">
      <c r="A228">
        <v>1</v>
      </c>
      <c r="B228">
        <v>103</v>
      </c>
    </row>
    <row r="229" spans="1:2">
      <c r="A229">
        <v>1</v>
      </c>
      <c r="B229">
        <v>130</v>
      </c>
    </row>
    <row r="230" spans="1:2">
      <c r="A230">
        <v>1</v>
      </c>
      <c r="B230">
        <v>159</v>
      </c>
    </row>
    <row r="231" spans="1:2">
      <c r="A231">
        <v>1</v>
      </c>
      <c r="B231">
        <v>131</v>
      </c>
    </row>
    <row r="232" spans="1:2">
      <c r="A232">
        <v>1</v>
      </c>
      <c r="B232">
        <v>152</v>
      </c>
    </row>
    <row r="233" spans="1:2">
      <c r="A233">
        <v>1</v>
      </c>
      <c r="B233">
        <v>124</v>
      </c>
    </row>
    <row r="234" spans="1:2">
      <c r="A234">
        <v>1</v>
      </c>
      <c r="B234">
        <v>145</v>
      </c>
    </row>
    <row r="235" spans="1:2">
      <c r="A235">
        <v>1</v>
      </c>
      <c r="B235">
        <v>96</v>
      </c>
    </row>
    <row r="236" spans="1:2">
      <c r="A236">
        <v>1</v>
      </c>
      <c r="B236">
        <v>109</v>
      </c>
    </row>
    <row r="237" spans="1:2">
      <c r="A237">
        <v>1</v>
      </c>
      <c r="B237">
        <v>173</v>
      </c>
    </row>
    <row r="238" spans="1:2">
      <c r="A238">
        <v>1</v>
      </c>
      <c r="B238">
        <v>171</v>
      </c>
    </row>
    <row r="239" spans="1:2">
      <c r="A239">
        <v>1</v>
      </c>
      <c r="B239">
        <v>170</v>
      </c>
    </row>
    <row r="240" spans="1:2">
      <c r="A240">
        <v>1</v>
      </c>
      <c r="B240">
        <v>162</v>
      </c>
    </row>
    <row r="241" spans="1:2">
      <c r="A241">
        <v>1</v>
      </c>
      <c r="B241">
        <v>156</v>
      </c>
    </row>
    <row r="242" spans="1:2">
      <c r="A242">
        <v>1</v>
      </c>
      <c r="B242">
        <v>112</v>
      </c>
    </row>
    <row r="243" spans="1:2">
      <c r="A243">
        <v>0</v>
      </c>
      <c r="B243">
        <v>143</v>
      </c>
    </row>
    <row r="244" spans="1:2">
      <c r="A244">
        <v>1</v>
      </c>
      <c r="B244">
        <v>132</v>
      </c>
    </row>
    <row r="245" spans="1:2">
      <c r="A245">
        <v>1</v>
      </c>
      <c r="B245">
        <v>88</v>
      </c>
    </row>
    <row r="246" spans="1:2">
      <c r="A246">
        <v>1</v>
      </c>
      <c r="B246">
        <v>105</v>
      </c>
    </row>
    <row r="247" spans="1:2">
      <c r="A247">
        <v>1</v>
      </c>
      <c r="B247">
        <v>166</v>
      </c>
    </row>
    <row r="248" spans="1:2">
      <c r="A248">
        <v>0</v>
      </c>
      <c r="B248">
        <v>150</v>
      </c>
    </row>
    <row r="249" spans="1:2">
      <c r="A249">
        <v>1</v>
      </c>
      <c r="B249">
        <v>120</v>
      </c>
    </row>
    <row r="250" spans="1:2">
      <c r="A250">
        <v>1</v>
      </c>
      <c r="B250">
        <v>195</v>
      </c>
    </row>
    <row r="251" spans="1:2">
      <c r="A251">
        <v>1</v>
      </c>
      <c r="B251">
        <v>146</v>
      </c>
    </row>
    <row r="252" spans="1:2">
      <c r="A252">
        <v>1</v>
      </c>
      <c r="B252">
        <v>122</v>
      </c>
    </row>
    <row r="253" spans="1:2">
      <c r="A253">
        <v>1</v>
      </c>
      <c r="B253">
        <v>143</v>
      </c>
    </row>
    <row r="254" spans="1:2">
      <c r="A254">
        <v>0</v>
      </c>
      <c r="B254">
        <v>106</v>
      </c>
    </row>
    <row r="255" spans="1:2">
      <c r="A255">
        <v>1</v>
      </c>
      <c r="B255">
        <v>125</v>
      </c>
    </row>
    <row r="256" spans="1:2">
      <c r="A256">
        <v>1</v>
      </c>
      <c r="B256">
        <v>125</v>
      </c>
    </row>
    <row r="257" spans="1:2">
      <c r="A257">
        <v>1</v>
      </c>
      <c r="B257">
        <v>147</v>
      </c>
    </row>
    <row r="258" spans="1:2">
      <c r="A258">
        <v>1</v>
      </c>
      <c r="B258">
        <v>130</v>
      </c>
    </row>
    <row r="259" spans="1:2">
      <c r="A259">
        <v>1</v>
      </c>
      <c r="B259">
        <v>126</v>
      </c>
    </row>
    <row r="260" spans="1:2">
      <c r="A260">
        <v>0</v>
      </c>
      <c r="B260">
        <v>154</v>
      </c>
    </row>
    <row r="261" spans="1:2">
      <c r="A261">
        <v>1</v>
      </c>
      <c r="B261">
        <v>182</v>
      </c>
    </row>
    <row r="262" spans="1:2">
      <c r="A262">
        <v>0</v>
      </c>
      <c r="B262">
        <v>165</v>
      </c>
    </row>
    <row r="263" spans="1:2">
      <c r="A263">
        <v>1</v>
      </c>
      <c r="B263">
        <v>160</v>
      </c>
    </row>
    <row r="264" spans="1:2">
      <c r="A264">
        <v>1</v>
      </c>
      <c r="B264">
        <v>95</v>
      </c>
    </row>
    <row r="265" spans="1:2">
      <c r="A265">
        <v>0</v>
      </c>
      <c r="B265">
        <v>169</v>
      </c>
    </row>
    <row r="266" spans="1:2">
      <c r="A266">
        <v>1</v>
      </c>
      <c r="B266">
        <v>108</v>
      </c>
    </row>
    <row r="267" spans="1:2">
      <c r="A267">
        <v>1</v>
      </c>
      <c r="B267">
        <v>132</v>
      </c>
    </row>
    <row r="268" spans="1:2">
      <c r="A268">
        <v>0</v>
      </c>
      <c r="B268">
        <v>117</v>
      </c>
    </row>
    <row r="269" spans="1:2">
      <c r="A269">
        <v>1</v>
      </c>
      <c r="B269">
        <v>126</v>
      </c>
    </row>
    <row r="270" spans="1:2">
      <c r="A270">
        <v>1</v>
      </c>
      <c r="B270">
        <v>116</v>
      </c>
    </row>
    <row r="271" spans="1:2">
      <c r="A271">
        <v>1</v>
      </c>
      <c r="B271">
        <v>103</v>
      </c>
    </row>
    <row r="272" spans="1:2">
      <c r="A272">
        <v>1</v>
      </c>
      <c r="B272">
        <v>144</v>
      </c>
    </row>
    <row r="273" spans="1:2">
      <c r="A273">
        <v>1</v>
      </c>
      <c r="B273">
        <v>145</v>
      </c>
    </row>
    <row r="274" spans="1:2">
      <c r="A274">
        <v>1</v>
      </c>
      <c r="B274">
        <v>71</v>
      </c>
    </row>
    <row r="275" spans="1:2">
      <c r="A275">
        <v>1</v>
      </c>
      <c r="B275">
        <v>156</v>
      </c>
    </row>
    <row r="276" spans="1:2">
      <c r="A276">
        <v>1</v>
      </c>
      <c r="B276">
        <v>118</v>
      </c>
    </row>
    <row r="277" spans="1:2">
      <c r="A277">
        <v>1</v>
      </c>
      <c r="B277">
        <v>168</v>
      </c>
    </row>
    <row r="278" spans="1:2">
      <c r="A278">
        <v>1</v>
      </c>
      <c r="B278">
        <v>105</v>
      </c>
    </row>
    <row r="279" spans="1:2">
      <c r="A279">
        <v>1</v>
      </c>
      <c r="B279">
        <v>141</v>
      </c>
    </row>
    <row r="280" spans="1:2">
      <c r="A280">
        <v>0</v>
      </c>
      <c r="B280">
        <v>152</v>
      </c>
    </row>
    <row r="281" spans="1:2">
      <c r="A281">
        <v>1</v>
      </c>
      <c r="B281">
        <v>125</v>
      </c>
    </row>
    <row r="282" spans="1:2">
      <c r="A282">
        <v>1</v>
      </c>
      <c r="B282">
        <v>125</v>
      </c>
    </row>
    <row r="283" spans="1:2">
      <c r="A283">
        <v>1</v>
      </c>
      <c r="B283">
        <v>156</v>
      </c>
    </row>
    <row r="284" spans="1:2">
      <c r="A284">
        <v>1</v>
      </c>
      <c r="B284">
        <v>134</v>
      </c>
    </row>
    <row r="285" spans="1:2">
      <c r="A285">
        <v>1</v>
      </c>
      <c r="B285">
        <v>181</v>
      </c>
    </row>
    <row r="286" spans="1:2">
      <c r="A286">
        <v>1</v>
      </c>
      <c r="B286">
        <v>138</v>
      </c>
    </row>
    <row r="287" spans="1:2">
      <c r="A287">
        <v>1</v>
      </c>
      <c r="B287">
        <v>120</v>
      </c>
    </row>
    <row r="288" spans="1:2">
      <c r="A288">
        <v>1</v>
      </c>
      <c r="B288">
        <v>162</v>
      </c>
    </row>
    <row r="289" spans="1:2">
      <c r="A289">
        <v>1</v>
      </c>
      <c r="B289">
        <v>164</v>
      </c>
    </row>
    <row r="290" spans="1:2">
      <c r="A290">
        <v>1</v>
      </c>
      <c r="B290">
        <v>143</v>
      </c>
    </row>
    <row r="291" spans="1:2">
      <c r="A291">
        <v>0</v>
      </c>
      <c r="B291">
        <v>130</v>
      </c>
    </row>
    <row r="292" spans="1:2">
      <c r="A292">
        <v>1</v>
      </c>
      <c r="B292">
        <v>161</v>
      </c>
    </row>
    <row r="293" spans="1:2">
      <c r="A293">
        <v>1</v>
      </c>
      <c r="B293">
        <v>140</v>
      </c>
    </row>
    <row r="294" spans="1:2">
      <c r="A294">
        <v>0</v>
      </c>
      <c r="B294">
        <v>146</v>
      </c>
    </row>
    <row r="295" spans="1:2">
      <c r="A295">
        <v>1</v>
      </c>
      <c r="B295">
        <v>150</v>
      </c>
    </row>
    <row r="296" spans="1:2">
      <c r="A296">
        <v>1</v>
      </c>
      <c r="B296">
        <v>144</v>
      </c>
    </row>
    <row r="297" spans="1:2">
      <c r="A297">
        <v>1</v>
      </c>
      <c r="B297">
        <v>144</v>
      </c>
    </row>
    <row r="298" spans="1:2">
      <c r="A298">
        <v>0</v>
      </c>
      <c r="B298">
        <v>136</v>
      </c>
    </row>
    <row r="299" spans="1:2">
      <c r="A299">
        <v>1</v>
      </c>
      <c r="B299">
        <v>90</v>
      </c>
    </row>
    <row r="300" spans="1:2">
      <c r="A300">
        <v>0</v>
      </c>
      <c r="B300">
        <v>123</v>
      </c>
    </row>
    <row r="301" spans="1:2">
      <c r="A301">
        <v>1</v>
      </c>
      <c r="B301">
        <v>132</v>
      </c>
    </row>
    <row r="302" spans="1:2">
      <c r="A302">
        <v>1</v>
      </c>
      <c r="B302">
        <v>141</v>
      </c>
    </row>
    <row r="303" spans="1:2">
      <c r="A303">
        <v>1</v>
      </c>
      <c r="B303">
        <v>115</v>
      </c>
    </row>
    <row r="304" spans="1:2">
      <c r="A304">
        <v>0</v>
      </c>
      <c r="B304">
        <v>174</v>
      </c>
    </row>
  </sheetData>
  <autoFilter ref="A1:A304" xr:uid="{FCC5ADDD-4259-4DD0-A48B-3F3227C621D2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7FE6B-1D32-4B58-8E24-496EA832D79B}">
  <dimension ref="A4:D8"/>
  <sheetViews>
    <sheetView workbookViewId="0">
      <selection activeCell="A4" sqref="A4:D8"/>
    </sheetView>
  </sheetViews>
  <sheetFormatPr defaultRowHeight="15"/>
  <cols>
    <col min="1" max="1" width="15.140625" bestFit="1" customWidth="1"/>
    <col min="2" max="2" width="16.28515625" bestFit="1" customWidth="1"/>
    <col min="3" max="3" width="8.140625" bestFit="1" customWidth="1"/>
    <col min="4" max="4" width="11.28515625" bestFit="1" customWidth="1"/>
    <col min="5" max="153" width="4" bestFit="1" customWidth="1"/>
    <col min="154" max="154" width="11.28515625" bestFit="1" customWidth="1"/>
    <col min="155" max="161" width="4.85546875" bestFit="1" customWidth="1"/>
    <col min="162" max="162" width="7.85546875" bestFit="1" customWidth="1"/>
    <col min="163" max="170" width="4.85546875" bestFit="1" customWidth="1"/>
    <col min="171" max="171" width="7.85546875" bestFit="1" customWidth="1"/>
    <col min="172" max="182" width="4.85546875" bestFit="1" customWidth="1"/>
    <col min="183" max="183" width="7.85546875" bestFit="1" customWidth="1"/>
    <col min="184" max="200" width="4.85546875" bestFit="1" customWidth="1"/>
    <col min="201" max="201" width="7.85546875" bestFit="1" customWidth="1"/>
    <col min="202" max="220" width="4.85546875" bestFit="1" customWidth="1"/>
    <col min="221" max="221" width="7.85546875" bestFit="1" customWidth="1"/>
    <col min="222" max="235" width="4.85546875" bestFit="1" customWidth="1"/>
    <col min="236" max="236" width="7.85546875" bestFit="1" customWidth="1"/>
    <col min="237" max="246" width="4.85546875" bestFit="1" customWidth="1"/>
    <col min="247" max="247" width="7.85546875" bestFit="1" customWidth="1"/>
    <col min="248" max="255" width="4.85546875" bestFit="1" customWidth="1"/>
    <col min="256" max="256" width="7.85546875" bestFit="1" customWidth="1"/>
    <col min="257" max="267" width="4.85546875" bestFit="1" customWidth="1"/>
    <col min="268" max="268" width="7.85546875" bestFit="1" customWidth="1"/>
    <col min="269" max="277" width="4.85546875" bestFit="1" customWidth="1"/>
    <col min="278" max="278" width="7.85546875" bestFit="1" customWidth="1"/>
    <col min="279" max="288" width="4.85546875" bestFit="1" customWidth="1"/>
    <col min="289" max="289" width="7.85546875" bestFit="1" customWidth="1"/>
    <col min="290" max="297" width="4.85546875" bestFit="1" customWidth="1"/>
    <col min="298" max="298" width="7.85546875" bestFit="1" customWidth="1"/>
    <col min="299" max="304" width="4.85546875" bestFit="1" customWidth="1"/>
    <col min="305" max="305" width="7.85546875" bestFit="1" customWidth="1"/>
    <col min="306" max="314" width="4.85546875" bestFit="1" customWidth="1"/>
    <col min="315" max="315" width="7.85546875" bestFit="1" customWidth="1"/>
    <col min="316" max="319" width="4.85546875" bestFit="1" customWidth="1"/>
    <col min="320" max="320" width="7.85546875" bestFit="1" customWidth="1"/>
    <col min="321" max="323" width="4.85546875" bestFit="1" customWidth="1"/>
    <col min="324" max="324" width="7.85546875" bestFit="1" customWidth="1"/>
    <col min="325" max="328" width="4.85546875" bestFit="1" customWidth="1"/>
    <col min="329" max="329" width="7.85546875" bestFit="1" customWidth="1"/>
    <col min="330" max="332" width="4.85546875" bestFit="1" customWidth="1"/>
    <col min="333" max="333" width="7.85546875" bestFit="1" customWidth="1"/>
    <col min="334" max="334" width="4.85546875" bestFit="1" customWidth="1"/>
    <col min="335" max="335" width="7.85546875" bestFit="1" customWidth="1"/>
    <col min="336" max="336" width="4.85546875" bestFit="1" customWidth="1"/>
    <col min="337" max="337" width="7.85546875" bestFit="1" customWidth="1"/>
    <col min="338" max="338" width="4.85546875" bestFit="1" customWidth="1"/>
    <col min="339" max="339" width="7.85546875" bestFit="1" customWidth="1"/>
    <col min="340" max="340" width="11.28515625" bestFit="1" customWidth="1"/>
  </cols>
  <sheetData>
    <row r="4" spans="1:4">
      <c r="A4" s="21" t="s">
        <v>52</v>
      </c>
      <c r="B4" s="21" t="s">
        <v>35</v>
      </c>
    </row>
    <row r="5" spans="1:4">
      <c r="A5" s="21" t="s">
        <v>37</v>
      </c>
      <c r="B5">
        <v>0</v>
      </c>
      <c r="C5">
        <v>1</v>
      </c>
      <c r="D5" t="s">
        <v>36</v>
      </c>
    </row>
    <row r="6" spans="1:4">
      <c r="A6" s="22">
        <v>0</v>
      </c>
      <c r="B6" s="23">
        <v>0.17391304347826086</v>
      </c>
      <c r="C6" s="23">
        <v>0.43636363636363634</v>
      </c>
      <c r="D6" s="23">
        <v>0.31683168316831684</v>
      </c>
    </row>
    <row r="7" spans="1:4">
      <c r="A7" s="22">
        <v>1</v>
      </c>
      <c r="B7" s="23">
        <v>0.82608695652173914</v>
      </c>
      <c r="C7" s="23">
        <v>0.5636363636363636</v>
      </c>
      <c r="D7" s="23">
        <v>0.68316831683168322</v>
      </c>
    </row>
    <row r="8" spans="1:4">
      <c r="A8" s="22" t="s">
        <v>36</v>
      </c>
      <c r="B8" s="23">
        <v>1</v>
      </c>
      <c r="C8" s="23">
        <v>1</v>
      </c>
      <c r="D8" s="23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10D68F-C026-4703-BE96-EE1E31A146BA}">
  <dimension ref="A3:P41"/>
  <sheetViews>
    <sheetView topLeftCell="A28" workbookViewId="0">
      <selection activeCell="J35" sqref="J35:P41"/>
    </sheetView>
  </sheetViews>
  <sheetFormatPr defaultRowHeight="15"/>
  <cols>
    <col min="1" max="1" width="13.140625" bestFit="1" customWidth="1"/>
    <col min="2" max="2" width="18.85546875" bestFit="1" customWidth="1"/>
  </cols>
  <sheetData>
    <row r="3" spans="1:5">
      <c r="A3" s="21" t="s">
        <v>37</v>
      </c>
      <c r="B3" t="s">
        <v>38</v>
      </c>
      <c r="D3" t="s">
        <v>37</v>
      </c>
      <c r="E3" t="s">
        <v>38</v>
      </c>
    </row>
    <row r="4" spans="1:5">
      <c r="A4" s="22" t="s">
        <v>39</v>
      </c>
      <c r="B4">
        <v>202</v>
      </c>
      <c r="D4" t="s">
        <v>39</v>
      </c>
      <c r="E4">
        <v>202</v>
      </c>
    </row>
    <row r="5" spans="1:5">
      <c r="A5" s="22" t="s">
        <v>40</v>
      </c>
      <c r="B5">
        <v>172.09090909090909</v>
      </c>
      <c r="D5" t="s">
        <v>40</v>
      </c>
      <c r="E5">
        <v>172.09090909090909</v>
      </c>
    </row>
    <row r="6" spans="1:5">
      <c r="A6" s="22" t="s">
        <v>41</v>
      </c>
      <c r="B6">
        <v>160.42424242424244</v>
      </c>
      <c r="D6" t="s">
        <v>41</v>
      </c>
      <c r="E6">
        <v>160.42424242424244</v>
      </c>
    </row>
    <row r="7" spans="1:5">
      <c r="A7" s="22" t="s">
        <v>42</v>
      </c>
      <c r="B7">
        <v>159.65789473684211</v>
      </c>
      <c r="D7" t="s">
        <v>42</v>
      </c>
      <c r="E7">
        <v>159.65789473684211</v>
      </c>
    </row>
    <row r="8" spans="1:5">
      <c r="A8" s="22" t="s">
        <v>43</v>
      </c>
      <c r="B8">
        <v>152.88888888888889</v>
      </c>
      <c r="D8" t="s">
        <v>43</v>
      </c>
      <c r="E8">
        <v>152.88888888888889</v>
      </c>
    </row>
    <row r="9" spans="1:5">
      <c r="A9" s="22" t="s">
        <v>44</v>
      </c>
      <c r="B9">
        <v>145.32394366197184</v>
      </c>
      <c r="D9" t="s">
        <v>44</v>
      </c>
      <c r="E9">
        <v>145.32394366197184</v>
      </c>
    </row>
    <row r="10" spans="1:5">
      <c r="A10" s="22" t="s">
        <v>45</v>
      </c>
      <c r="B10">
        <v>145.43396226415095</v>
      </c>
      <c r="D10" t="s">
        <v>45</v>
      </c>
      <c r="E10">
        <v>145.43396226415095</v>
      </c>
    </row>
    <row r="11" spans="1:5">
      <c r="A11" s="22" t="s">
        <v>46</v>
      </c>
      <c r="B11">
        <v>138.10526315789474</v>
      </c>
      <c r="D11" t="s">
        <v>46</v>
      </c>
      <c r="E11">
        <v>138.10526315789474</v>
      </c>
    </row>
    <row r="12" spans="1:5">
      <c r="A12" s="22" t="s">
        <v>47</v>
      </c>
      <c r="B12">
        <v>133.4</v>
      </c>
      <c r="D12" t="s">
        <v>47</v>
      </c>
      <c r="E12">
        <v>133.4</v>
      </c>
    </row>
    <row r="13" spans="1:5">
      <c r="A13" s="22" t="s">
        <v>48</v>
      </c>
      <c r="B13">
        <v>133</v>
      </c>
      <c r="D13" t="s">
        <v>48</v>
      </c>
      <c r="E13">
        <v>133</v>
      </c>
    </row>
    <row r="14" spans="1:5">
      <c r="A14" s="22" t="s">
        <v>36</v>
      </c>
      <c r="B14">
        <v>149.64686468646866</v>
      </c>
    </row>
    <row r="23" spans="2:14">
      <c r="J23" t="s">
        <v>121</v>
      </c>
    </row>
    <row r="24" spans="2:14" ht="15.75" thickBot="1"/>
    <row r="25" spans="2:14">
      <c r="J25" s="28" t="s">
        <v>105</v>
      </c>
      <c r="K25" s="28" t="s">
        <v>73</v>
      </c>
      <c r="L25" s="28" t="s">
        <v>72</v>
      </c>
      <c r="M25" s="28" t="s">
        <v>107</v>
      </c>
      <c r="N25" s="28" t="s">
        <v>85</v>
      </c>
    </row>
    <row r="26" spans="2:14">
      <c r="J26">
        <v>0</v>
      </c>
      <c r="K26">
        <v>2</v>
      </c>
      <c r="L26">
        <v>587</v>
      </c>
      <c r="M26">
        <v>293.5</v>
      </c>
      <c r="N26">
        <v>7320.5</v>
      </c>
    </row>
    <row r="27" spans="2:14">
      <c r="B27" s="48" t="s">
        <v>125</v>
      </c>
      <c r="C27" s="47">
        <v>0</v>
      </c>
      <c r="D27" s="47">
        <v>1</v>
      </c>
      <c r="J27">
        <v>1</v>
      </c>
      <c r="K27">
        <v>2</v>
      </c>
      <c r="L27">
        <v>523</v>
      </c>
      <c r="M27">
        <v>261.5</v>
      </c>
      <c r="N27">
        <v>6612.5</v>
      </c>
    </row>
    <row r="28" spans="2:14">
      <c r="B28" s="49">
        <v>0</v>
      </c>
      <c r="C28" s="49">
        <v>354</v>
      </c>
      <c r="D28" s="49">
        <v>233</v>
      </c>
      <c r="J28">
        <v>2</v>
      </c>
      <c r="K28">
        <v>2</v>
      </c>
      <c r="L28">
        <v>692</v>
      </c>
      <c r="M28">
        <v>346</v>
      </c>
      <c r="N28">
        <v>10082</v>
      </c>
    </row>
    <row r="29" spans="2:14">
      <c r="B29" s="49">
        <v>1</v>
      </c>
      <c r="C29" s="49">
        <v>204</v>
      </c>
      <c r="D29" s="49">
        <v>319</v>
      </c>
      <c r="J29">
        <v>3</v>
      </c>
      <c r="K29">
        <v>2</v>
      </c>
      <c r="L29">
        <v>473</v>
      </c>
      <c r="M29">
        <v>236.5</v>
      </c>
      <c r="N29">
        <v>12.5</v>
      </c>
    </row>
    <row r="30" spans="2:14">
      <c r="B30" s="49">
        <v>2</v>
      </c>
      <c r="C30" s="49">
        <v>275</v>
      </c>
      <c r="D30" s="49">
        <v>417</v>
      </c>
    </row>
    <row r="31" spans="2:14">
      <c r="B31" s="49">
        <v>3</v>
      </c>
      <c r="C31" s="49">
        <v>239</v>
      </c>
      <c r="D31" s="49">
        <v>234</v>
      </c>
      <c r="J31">
        <v>0</v>
      </c>
      <c r="K31">
        <v>4</v>
      </c>
      <c r="L31">
        <v>1072</v>
      </c>
      <c r="M31">
        <v>268</v>
      </c>
      <c r="N31">
        <v>4127.333333333333</v>
      </c>
    </row>
    <row r="32" spans="2:14" ht="15.75" thickBot="1">
      <c r="J32" s="27">
        <v>1</v>
      </c>
      <c r="K32" s="27">
        <v>4</v>
      </c>
      <c r="L32" s="27">
        <v>1203</v>
      </c>
      <c r="M32" s="27">
        <v>300.75</v>
      </c>
      <c r="N32" s="27">
        <v>7630.916666666667</v>
      </c>
    </row>
    <row r="35" spans="10:16" ht="15.75" thickBot="1">
      <c r="J35" t="s">
        <v>108</v>
      </c>
    </row>
    <row r="36" spans="10:16">
      <c r="J36" s="28" t="s">
        <v>109</v>
      </c>
      <c r="K36" s="28" t="s">
        <v>110</v>
      </c>
      <c r="L36" s="28" t="s">
        <v>88</v>
      </c>
      <c r="M36" s="28" t="s">
        <v>111</v>
      </c>
      <c r="N36" s="28" t="s">
        <v>112</v>
      </c>
      <c r="O36" s="28" t="s">
        <v>113</v>
      </c>
      <c r="P36" s="28" t="s">
        <v>114</v>
      </c>
    </row>
    <row r="37" spans="10:16">
      <c r="J37" t="s">
        <v>122</v>
      </c>
      <c r="K37">
        <v>13392.375</v>
      </c>
      <c r="L37">
        <v>3</v>
      </c>
      <c r="M37">
        <v>4464.125</v>
      </c>
      <c r="N37">
        <v>0.61201652014463692</v>
      </c>
      <c r="O37">
        <v>0.65173052652986818</v>
      </c>
      <c r="P37">
        <v>9.2766281531448112</v>
      </c>
    </row>
    <row r="38" spans="10:16">
      <c r="J38" t="s">
        <v>123</v>
      </c>
      <c r="K38">
        <v>2145.125</v>
      </c>
      <c r="L38">
        <v>1</v>
      </c>
      <c r="M38">
        <v>2145.125</v>
      </c>
      <c r="N38">
        <v>0.29408942128082532</v>
      </c>
      <c r="O38">
        <v>0.62530264038075234</v>
      </c>
      <c r="P38">
        <v>10.127964486013932</v>
      </c>
    </row>
    <row r="39" spans="10:16">
      <c r="J39" t="s">
        <v>124</v>
      </c>
      <c r="K39">
        <v>21882.375</v>
      </c>
      <c r="L39">
        <v>3</v>
      </c>
      <c r="M39">
        <v>7294.125</v>
      </c>
    </row>
    <row r="41" spans="10:16" ht="15.75" thickBot="1">
      <c r="J41" s="27" t="s">
        <v>17</v>
      </c>
      <c r="K41" s="27">
        <v>37419.875</v>
      </c>
      <c r="L41" s="27">
        <v>7</v>
      </c>
      <c r="M41" s="27"/>
      <c r="N41" s="27"/>
      <c r="O41" s="27"/>
      <c r="P41" s="27"/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orginal data</vt:lpstr>
      <vt:lpstr>des.Analysis</vt:lpstr>
      <vt:lpstr>Inf.Analysis</vt:lpstr>
      <vt:lpstr>1Anova</vt:lpstr>
      <vt:lpstr>regression</vt:lpstr>
      <vt:lpstr>heart rate M,F </vt:lpstr>
      <vt:lpstr>Sheet3</vt:lpstr>
      <vt:lpstr>Sheet5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kumud gupta</dc:creator>
  <cp:lastModifiedBy>prakrati gupta</cp:lastModifiedBy>
  <dcterms:created xsi:type="dcterms:W3CDTF">2024-08-03T04:30:46Z</dcterms:created>
  <dcterms:modified xsi:type="dcterms:W3CDTF">2024-08-18T06:38:31Z</dcterms:modified>
</cp:coreProperties>
</file>