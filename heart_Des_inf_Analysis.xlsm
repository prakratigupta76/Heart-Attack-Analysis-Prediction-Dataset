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akr\Downloads\pdata\Projects\Heart Attack Analysis &amp; Prediction Dataset\"/>
    </mc:Choice>
  </mc:AlternateContent>
  <xr:revisionPtr revIDLastSave="0" documentId="13_ncr:1_{F23ECFE3-35FE-4145-835F-BA78C4395A4B}" xr6:coauthVersionLast="47" xr6:coauthVersionMax="47" xr10:uidLastSave="{00000000-0000-0000-0000-000000000000}"/>
  <bookViews>
    <workbookView xWindow="-120" yWindow="-120" windowWidth="20730" windowHeight="11160" tabRatio="750" activeTab="2" xr2:uid="{80427946-002F-4C13-AE93-BEACA4ED6465}"/>
  </bookViews>
  <sheets>
    <sheet name="orginal data" sheetId="1" r:id="rId1"/>
    <sheet name="des.Analysis" sheetId="2" r:id="rId2"/>
    <sheet name="Inf.Analysis" sheetId="7" r:id="rId3"/>
    <sheet name="1Anova" sheetId="10" r:id="rId4"/>
    <sheet name="regression" sheetId="11" r:id="rId5"/>
    <sheet name="Sheet5_HID" sheetId="13" state="hidden" r:id="rId6"/>
    <sheet name="Sheet5_HID_HID" sheetId="14" state="hidden" r:id="rId7"/>
    <sheet name="chi-sq" sheetId="12" r:id="rId8"/>
    <sheet name="heart rate M,F " sheetId="6" r:id="rId9"/>
    <sheet name="Sheet5" sheetId="5" r:id="rId10"/>
  </sheets>
  <definedNames>
    <definedName name="_xlnm._FilterDatabase" localSheetId="3" hidden="1">'1Anova'!$B$1:$B$304</definedName>
    <definedName name="_xlnm._FilterDatabase" localSheetId="8" hidden="1">'heart rate M,F '!$A$1:$A$304</definedName>
    <definedName name="_xlchart.v1.0" hidden="1">'orginal data'!$A$1</definedName>
    <definedName name="_xlchart.v1.1" hidden="1">'orginal data'!$A$2:$A$304</definedName>
    <definedName name="tab20240824_092804_RunProcLOG_1_2122" localSheetId="4" hidden="1">regression!$F$435:$L$438</definedName>
    <definedName name="tab20240824_092804_RunProcLOG_1_2804" localSheetId="4" hidden="1">regression!$F$375:$I$377</definedName>
    <definedName name="tab20240824_092804_RunProcLOG_1_69" localSheetId="4" hidden="1">regression!$F$462:$H$765</definedName>
    <definedName name="tab20240824_092804_RunProcLOG_1_89" localSheetId="4" hidden="1">regression!$F$421:$O$425</definedName>
    <definedName name="tab20240824_092804_RunProcLOG_2_69" localSheetId="4" hidden="1">regression!$I$462:$J$765</definedName>
    <definedName name="tab20240824_095214_RunProcREG_1_69" localSheetId="4" hidden="1">regression!$AR$79:$AS$382</definedName>
    <definedName name="tab20240824_095214_RunProcREG_1_78" localSheetId="4" hidden="1">regression!$AR$49:$AX$52</definedName>
    <definedName name="tab20240824_095214_RunProcREG_1_89" localSheetId="4" hidden="1">regression!$AR$59:$AY$61</definedName>
    <definedName name="tab20240824_095214_RunProcREG_1_91" localSheetId="4" hidden="1">regression!$AR$31:$AS$44</definedName>
    <definedName name="tab20240824_095214_RunProcREG_2_69" localSheetId="4" hidden="1">regression!$AT$79:$AT$382</definedName>
    <definedName name="tab20240824_095214_RunProcREG_2_89" localSheetId="4" hidden="1">regression!$AR$72:$AY$73</definedName>
    <definedName name="tab20240824_095214_RunProcREG_3_69" localSheetId="4" hidden="1">regression!$AU$79:$AU$382</definedName>
    <definedName name="tab20240824_095214_RunProcREG_4_69" localSheetId="4" hidden="1">regression!$AV$79:$AV$382</definedName>
    <definedName name="tab20240824_095214_RunProcREG_5_69" localSheetId="4" hidden="1">regression!$AW$79:$AX$382</definedName>
    <definedName name="tab20240824_095214_RunProcREG_6_69" localSheetId="4" hidden="1">regression!$AY$79:$BD$382</definedName>
    <definedName name="xdata1" localSheetId="5" hidden="1">Sheet5_HID!$C$1:$C$700</definedName>
    <definedName name="xdata2" localSheetId="5" hidden="1">Sheet5_HID!$G$1:$G$700</definedName>
    <definedName name="xdata3" localSheetId="5" hidden="1">Sheet5_HID!$K$1:$K$700</definedName>
    <definedName name="xdata4" localSheetId="5" hidden="1">Sheet5_HID!$O$1:$O$700</definedName>
    <definedName name="xdata5" localSheetId="5" hidden="1">Sheet5_HID!$S$1:$S$700</definedName>
    <definedName name="xdata6" localSheetId="5" hidden="1">Sheet5_HID!$W$1:$W$700</definedName>
    <definedName name="ydata1" localSheetId="5" hidden="1">Sheet5_HID!$D$1:$D$700</definedName>
    <definedName name="ydata2" localSheetId="5" hidden="1">Sheet5_HID!$H$1:$H$700</definedName>
    <definedName name="ydata3" localSheetId="5" hidden="1">Sheet5_HID!$L$1:$L$700</definedName>
    <definedName name="ydata4" localSheetId="5" hidden="1">Sheet5_HID!$P$1:$P$700</definedName>
    <definedName name="ydata5" localSheetId="5" hidden="1">Sheet5_HID!$T$1:$T$700</definedName>
    <definedName name="ydata6" localSheetId="5" hidden="1">Sheet5_HID!$X$1:$X$700</definedName>
  </definedNames>
  <calcPr calcId="181029"/>
  <pivotCaches>
    <pivotCache cacheId="0" r:id="rId11"/>
    <pivotCache cacheId="1" r:id="rId1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3" i="12" l="1"/>
  <c r="H23" i="12"/>
  <c r="G4" i="12"/>
  <c r="G5" i="12"/>
  <c r="G6" i="12"/>
  <c r="G3" i="12"/>
  <c r="F6" i="12"/>
  <c r="F5" i="12"/>
  <c r="F3" i="12"/>
  <c r="F4" i="12"/>
  <c r="X1" i="13"/>
  <c r="X2" i="13"/>
  <c r="X3" i="13"/>
  <c r="X4" i="13"/>
  <c r="X5" i="13"/>
  <c r="X6" i="13"/>
  <c r="X7" i="13"/>
  <c r="X8" i="13"/>
  <c r="X9" i="13"/>
  <c r="X10" i="13"/>
  <c r="X11" i="13"/>
  <c r="X12" i="13"/>
  <c r="X13" i="13"/>
  <c r="X14" i="13"/>
  <c r="X15" i="13"/>
  <c r="X16" i="13"/>
  <c r="X17" i="13"/>
  <c r="X18" i="13"/>
  <c r="X19" i="13"/>
  <c r="X20" i="13"/>
  <c r="X21" i="13"/>
  <c r="X22" i="13"/>
  <c r="X23" i="13"/>
  <c r="X24" i="13"/>
  <c r="X25" i="13"/>
  <c r="X26" i="13"/>
  <c r="X27" i="13"/>
  <c r="X28" i="13"/>
  <c r="X29" i="13"/>
  <c r="X30" i="13"/>
  <c r="X31" i="13"/>
  <c r="X32" i="13"/>
  <c r="X33" i="13"/>
  <c r="X34" i="13"/>
  <c r="X35" i="13"/>
  <c r="X36" i="13"/>
  <c r="X37" i="13"/>
  <c r="X38" i="13"/>
  <c r="X39" i="13"/>
  <c r="X40" i="13"/>
  <c r="X41" i="13"/>
  <c r="X42" i="13"/>
  <c r="X43" i="13"/>
  <c r="X44" i="13"/>
  <c r="X45" i="13"/>
  <c r="X46" i="13"/>
  <c r="X47" i="13"/>
  <c r="X48" i="13"/>
  <c r="X49" i="13"/>
  <c r="X50" i="13"/>
  <c r="X51" i="13"/>
  <c r="X52" i="13"/>
  <c r="X53" i="13"/>
  <c r="X54" i="13"/>
  <c r="X55" i="13"/>
  <c r="X56" i="13"/>
  <c r="X57" i="13"/>
  <c r="X58" i="13"/>
  <c r="X59" i="13"/>
  <c r="X60" i="13"/>
  <c r="X61" i="13"/>
  <c r="X62" i="13"/>
  <c r="X63" i="13"/>
  <c r="X64" i="13"/>
  <c r="X65" i="13"/>
  <c r="X66" i="13"/>
  <c r="X67" i="13"/>
  <c r="X68" i="13"/>
  <c r="X69" i="13"/>
  <c r="X70" i="13"/>
  <c r="X71" i="13"/>
  <c r="X72" i="13"/>
  <c r="X73" i="13"/>
  <c r="X74" i="13"/>
  <c r="X75" i="13"/>
  <c r="X76" i="13"/>
  <c r="X77" i="13"/>
  <c r="X78" i="13"/>
  <c r="X79" i="13"/>
  <c r="X80" i="13"/>
  <c r="X81" i="13"/>
  <c r="X82" i="13"/>
  <c r="X83" i="13"/>
  <c r="X84" i="13"/>
  <c r="X85" i="13"/>
  <c r="X86" i="13"/>
  <c r="X87" i="13"/>
  <c r="X88" i="13"/>
  <c r="X89" i="13"/>
  <c r="X90" i="13"/>
  <c r="X91" i="13"/>
  <c r="X92" i="13"/>
  <c r="X93" i="13"/>
  <c r="X94" i="13"/>
  <c r="X95" i="13"/>
  <c r="X96" i="13"/>
  <c r="X97" i="13"/>
  <c r="X98" i="13"/>
  <c r="X99" i="13"/>
  <c r="X100" i="13"/>
  <c r="X101" i="13"/>
  <c r="X102" i="13"/>
  <c r="X103" i="13"/>
  <c r="X104" i="13"/>
  <c r="X105" i="13"/>
  <c r="X106" i="13"/>
  <c r="X107" i="13"/>
  <c r="X108" i="13"/>
  <c r="X109" i="13"/>
  <c r="X110" i="13"/>
  <c r="X111" i="13"/>
  <c r="X112" i="13"/>
  <c r="X113" i="13"/>
  <c r="X114" i="13"/>
  <c r="X115" i="13"/>
  <c r="X116" i="13"/>
  <c r="X117" i="13"/>
  <c r="X118" i="13"/>
  <c r="X119" i="13"/>
  <c r="X120" i="13"/>
  <c r="X121" i="13"/>
  <c r="X122" i="13"/>
  <c r="X123" i="13"/>
  <c r="X124" i="13"/>
  <c r="X125" i="13"/>
  <c r="X126" i="13"/>
  <c r="X127" i="13"/>
  <c r="X128" i="13"/>
  <c r="X129" i="13"/>
  <c r="X130" i="13"/>
  <c r="X131" i="13"/>
  <c r="X132" i="13"/>
  <c r="X133" i="13"/>
  <c r="X134" i="13"/>
  <c r="X135" i="13"/>
  <c r="X136" i="13"/>
  <c r="X137" i="13"/>
  <c r="X138" i="13"/>
  <c r="X139" i="13"/>
  <c r="X140" i="13"/>
  <c r="X141" i="13"/>
  <c r="X142" i="13"/>
  <c r="X143" i="13"/>
  <c r="X144" i="13"/>
  <c r="X145" i="13"/>
  <c r="X146" i="13"/>
  <c r="X147" i="13"/>
  <c r="X148" i="13"/>
  <c r="X149" i="13"/>
  <c r="X150" i="13"/>
  <c r="X151" i="13"/>
  <c r="X152" i="13"/>
  <c r="X153" i="13"/>
  <c r="X154" i="13"/>
  <c r="X155" i="13"/>
  <c r="X156" i="13"/>
  <c r="X157" i="13"/>
  <c r="X158" i="13"/>
  <c r="X159" i="13"/>
  <c r="X160" i="13"/>
  <c r="X161" i="13"/>
  <c r="X162" i="13"/>
  <c r="X163" i="13"/>
  <c r="X164" i="13"/>
  <c r="X165" i="13"/>
  <c r="X166" i="13"/>
  <c r="X167" i="13"/>
  <c r="X168" i="13"/>
  <c r="X169" i="13"/>
  <c r="X170" i="13"/>
  <c r="X171" i="13"/>
  <c r="X172" i="13"/>
  <c r="X173" i="13"/>
  <c r="X174" i="13"/>
  <c r="X175" i="13"/>
  <c r="X176" i="13"/>
  <c r="X177" i="13"/>
  <c r="X178" i="13"/>
  <c r="X179" i="13"/>
  <c r="X180" i="13"/>
  <c r="X181" i="13"/>
  <c r="X182" i="13"/>
  <c r="X183" i="13"/>
  <c r="X184" i="13"/>
  <c r="X185" i="13"/>
  <c r="X186" i="13"/>
  <c r="X187" i="13"/>
  <c r="X188" i="13"/>
  <c r="X189" i="13"/>
  <c r="X190" i="13"/>
  <c r="X191" i="13"/>
  <c r="X192" i="13"/>
  <c r="X193" i="13"/>
  <c r="X194" i="13"/>
  <c r="X195" i="13"/>
  <c r="X196" i="13"/>
  <c r="X197" i="13"/>
  <c r="X198" i="13"/>
  <c r="X199" i="13"/>
  <c r="X200" i="13"/>
  <c r="X201" i="13"/>
  <c r="X202" i="13"/>
  <c r="X203" i="13"/>
  <c r="X204" i="13"/>
  <c r="X205" i="13"/>
  <c r="X206" i="13"/>
  <c r="X207" i="13"/>
  <c r="X208" i="13"/>
  <c r="X209" i="13"/>
  <c r="X210" i="13"/>
  <c r="X211" i="13"/>
  <c r="X212" i="13"/>
  <c r="X213" i="13"/>
  <c r="X214" i="13"/>
  <c r="X215" i="13"/>
  <c r="X216" i="13"/>
  <c r="X217" i="13"/>
  <c r="X218" i="13"/>
  <c r="X219" i="13"/>
  <c r="X220" i="13"/>
  <c r="X221" i="13"/>
  <c r="X222" i="13"/>
  <c r="X223" i="13"/>
  <c r="X224" i="13"/>
  <c r="X225" i="13"/>
  <c r="X226" i="13"/>
  <c r="X227" i="13"/>
  <c r="X228" i="13"/>
  <c r="X229" i="13"/>
  <c r="X230" i="13"/>
  <c r="X231" i="13"/>
  <c r="X232" i="13"/>
  <c r="X233" i="13"/>
  <c r="X234" i="13"/>
  <c r="X235" i="13"/>
  <c r="X236" i="13"/>
  <c r="X237" i="13"/>
  <c r="X238" i="13"/>
  <c r="X239" i="13"/>
  <c r="X240" i="13"/>
  <c r="X241" i="13"/>
  <c r="X242" i="13"/>
  <c r="X243" i="13"/>
  <c r="X244" i="13"/>
  <c r="X245" i="13"/>
  <c r="X246" i="13"/>
  <c r="X247" i="13"/>
  <c r="X248" i="13"/>
  <c r="X249" i="13"/>
  <c r="X250" i="13"/>
  <c r="X251" i="13"/>
  <c r="X252" i="13"/>
  <c r="X253" i="13"/>
  <c r="X254" i="13"/>
  <c r="X255" i="13"/>
  <c r="X256" i="13"/>
  <c r="X257" i="13"/>
  <c r="X258" i="13"/>
  <c r="X259" i="13"/>
  <c r="X260" i="13"/>
  <c r="X261" i="13"/>
  <c r="X262" i="13"/>
  <c r="X263" i="13"/>
  <c r="X264" i="13"/>
  <c r="X265" i="13"/>
  <c r="X266" i="13"/>
  <c r="X267" i="13"/>
  <c r="X268" i="13"/>
  <c r="X269" i="13"/>
  <c r="X270" i="13"/>
  <c r="X271" i="13"/>
  <c r="X272" i="13"/>
  <c r="X273" i="13"/>
  <c r="X274" i="13"/>
  <c r="X275" i="13"/>
  <c r="X276" i="13"/>
  <c r="X277" i="13"/>
  <c r="X278" i="13"/>
  <c r="X279" i="13"/>
  <c r="X280" i="13"/>
  <c r="X281" i="13"/>
  <c r="X282" i="13"/>
  <c r="X283" i="13"/>
  <c r="X284" i="13"/>
  <c r="X285" i="13"/>
  <c r="X286" i="13"/>
  <c r="X287" i="13"/>
  <c r="X288" i="13"/>
  <c r="X289" i="13"/>
  <c r="X290" i="13"/>
  <c r="X291" i="13"/>
  <c r="X292" i="13"/>
  <c r="X293" i="13"/>
  <c r="X294" i="13"/>
  <c r="X295" i="13"/>
  <c r="X296" i="13"/>
  <c r="X297" i="13"/>
  <c r="X298" i="13"/>
  <c r="X299" i="13"/>
  <c r="X300" i="13"/>
  <c r="X301" i="13"/>
  <c r="X302" i="13"/>
  <c r="X303" i="13"/>
  <c r="X304" i="13"/>
  <c r="X305" i="13"/>
  <c r="X306" i="13"/>
  <c r="X307" i="13"/>
  <c r="X308" i="13"/>
  <c r="X309" i="13"/>
  <c r="X310" i="13"/>
  <c r="X311" i="13"/>
  <c r="X312" i="13"/>
  <c r="X313" i="13"/>
  <c r="X314" i="13"/>
  <c r="X315" i="13"/>
  <c r="X316" i="13"/>
  <c r="X317" i="13"/>
  <c r="X318" i="13"/>
  <c r="X319" i="13"/>
  <c r="X320" i="13"/>
  <c r="X321" i="13"/>
  <c r="X322" i="13"/>
  <c r="X323" i="13"/>
  <c r="X324" i="13"/>
  <c r="X325" i="13"/>
  <c r="X326" i="13"/>
  <c r="X327" i="13"/>
  <c r="X328" i="13"/>
  <c r="X329" i="13"/>
  <c r="X330" i="13"/>
  <c r="X331" i="13"/>
  <c r="X332" i="13"/>
  <c r="X333" i="13"/>
  <c r="X334" i="13"/>
  <c r="X335" i="13"/>
  <c r="X336" i="13"/>
  <c r="X337" i="13"/>
  <c r="X338" i="13"/>
  <c r="X339" i="13"/>
  <c r="X340" i="13"/>
  <c r="X341" i="13"/>
  <c r="X342" i="13"/>
  <c r="X343" i="13"/>
  <c r="X344" i="13"/>
  <c r="X345" i="13"/>
  <c r="X346" i="13"/>
  <c r="X347" i="13"/>
  <c r="X348" i="13"/>
  <c r="X349" i="13"/>
  <c r="X350" i="13"/>
  <c r="X351" i="13"/>
  <c r="X352" i="13"/>
  <c r="X353" i="13"/>
  <c r="X354" i="13"/>
  <c r="X355" i="13"/>
  <c r="X356" i="13"/>
  <c r="X357" i="13"/>
  <c r="X358" i="13"/>
  <c r="X359" i="13"/>
  <c r="X360" i="13"/>
  <c r="X361" i="13"/>
  <c r="X362" i="13"/>
  <c r="X363" i="13"/>
  <c r="X364" i="13"/>
  <c r="X365" i="13"/>
  <c r="X366" i="13"/>
  <c r="X367" i="13"/>
  <c r="X368" i="13"/>
  <c r="X369" i="13"/>
  <c r="X370" i="13"/>
  <c r="X371" i="13"/>
  <c r="X372" i="13"/>
  <c r="X373" i="13"/>
  <c r="X374" i="13"/>
  <c r="X375" i="13"/>
  <c r="X376" i="13"/>
  <c r="X377" i="13"/>
  <c r="X378" i="13"/>
  <c r="X379" i="13"/>
  <c r="X380" i="13"/>
  <c r="X381" i="13"/>
  <c r="X382" i="13"/>
  <c r="X383" i="13"/>
  <c r="X384" i="13"/>
  <c r="X385" i="13"/>
  <c r="X386" i="13"/>
  <c r="X387" i="13"/>
  <c r="X388" i="13"/>
  <c r="X389" i="13"/>
  <c r="X390" i="13"/>
  <c r="X391" i="13"/>
  <c r="X392" i="13"/>
  <c r="X393" i="13"/>
  <c r="X394" i="13"/>
  <c r="X395" i="13"/>
  <c r="X396" i="13"/>
  <c r="X397" i="13"/>
  <c r="X398" i="13"/>
  <c r="X399" i="13"/>
  <c r="X400" i="13"/>
  <c r="X401" i="13"/>
  <c r="X402" i="13"/>
  <c r="X403" i="13"/>
  <c r="X404" i="13"/>
  <c r="X405" i="13"/>
  <c r="X406" i="13"/>
  <c r="X407" i="13"/>
  <c r="X408" i="13"/>
  <c r="X409" i="13"/>
  <c r="X410" i="13"/>
  <c r="X411" i="13"/>
  <c r="X412" i="13"/>
  <c r="X413" i="13"/>
  <c r="X414" i="13"/>
  <c r="X415" i="13"/>
  <c r="X416" i="13"/>
  <c r="X417" i="13"/>
  <c r="X418" i="13"/>
  <c r="X419" i="13"/>
  <c r="X420" i="13"/>
  <c r="X421" i="13"/>
  <c r="X422" i="13"/>
  <c r="X423" i="13"/>
  <c r="X424" i="13"/>
  <c r="X425" i="13"/>
  <c r="X426" i="13"/>
  <c r="X427" i="13"/>
  <c r="X428" i="13"/>
  <c r="X429" i="13"/>
  <c r="X430" i="13"/>
  <c r="X431" i="13"/>
  <c r="X432" i="13"/>
  <c r="X433" i="13"/>
  <c r="X434" i="13"/>
  <c r="X435" i="13"/>
  <c r="X436" i="13"/>
  <c r="X437" i="13"/>
  <c r="X438" i="13"/>
  <c r="X439" i="13"/>
  <c r="X440" i="13"/>
  <c r="X441" i="13"/>
  <c r="X442" i="13"/>
  <c r="X443" i="13"/>
  <c r="X444" i="13"/>
  <c r="X445" i="13"/>
  <c r="X446" i="13"/>
  <c r="X447" i="13"/>
  <c r="X448" i="13"/>
  <c r="X449" i="13"/>
  <c r="X450" i="13"/>
  <c r="X451" i="13"/>
  <c r="X452" i="13"/>
  <c r="X453" i="13"/>
  <c r="X454" i="13"/>
  <c r="X455" i="13"/>
  <c r="X456" i="13"/>
  <c r="X457" i="13"/>
  <c r="X458" i="13"/>
  <c r="X459" i="13"/>
  <c r="X460" i="13"/>
  <c r="X461" i="13"/>
  <c r="X462" i="13"/>
  <c r="X463" i="13"/>
  <c r="X464" i="13"/>
  <c r="X465" i="13"/>
  <c r="X466" i="13"/>
  <c r="X467" i="13"/>
  <c r="X468" i="13"/>
  <c r="X469" i="13"/>
  <c r="X470" i="13"/>
  <c r="X471" i="13"/>
  <c r="X472" i="13"/>
  <c r="X473" i="13"/>
  <c r="X474" i="13"/>
  <c r="X475" i="13"/>
  <c r="X476" i="13"/>
  <c r="X477" i="13"/>
  <c r="X478" i="13"/>
  <c r="X479" i="13"/>
  <c r="X480" i="13"/>
  <c r="X481" i="13"/>
  <c r="X482" i="13"/>
  <c r="X483" i="13"/>
  <c r="X484" i="13"/>
  <c r="X485" i="13"/>
  <c r="X486" i="13"/>
  <c r="X487" i="13"/>
  <c r="X488" i="13"/>
  <c r="X489" i="13"/>
  <c r="X490" i="13"/>
  <c r="X491" i="13"/>
  <c r="X492" i="13"/>
  <c r="X493" i="13"/>
  <c r="X494" i="13"/>
  <c r="X495" i="13"/>
  <c r="X496" i="13"/>
  <c r="X497" i="13"/>
  <c r="X498" i="13"/>
  <c r="X499" i="13"/>
  <c r="X500" i="13"/>
  <c r="X501" i="13"/>
  <c r="X502" i="13"/>
  <c r="X503" i="13"/>
  <c r="X504" i="13"/>
  <c r="X505" i="13"/>
  <c r="X506" i="13"/>
  <c r="X507" i="13"/>
  <c r="X508" i="13"/>
  <c r="X509" i="13"/>
  <c r="X510" i="13"/>
  <c r="X511" i="13"/>
  <c r="X512" i="13"/>
  <c r="X513" i="13"/>
  <c r="X514" i="13"/>
  <c r="X515" i="13"/>
  <c r="X516" i="13"/>
  <c r="X517" i="13"/>
  <c r="X518" i="13"/>
  <c r="X519" i="13"/>
  <c r="X520" i="13"/>
  <c r="X521" i="13"/>
  <c r="X522" i="13"/>
  <c r="X523" i="13"/>
  <c r="X524" i="13"/>
  <c r="X525" i="13"/>
  <c r="X526" i="13"/>
  <c r="X527" i="13"/>
  <c r="X528" i="13"/>
  <c r="X529" i="13"/>
  <c r="X530" i="13"/>
  <c r="X531" i="13"/>
  <c r="X532" i="13"/>
  <c r="X533" i="13"/>
  <c r="X534" i="13"/>
  <c r="X535" i="13"/>
  <c r="X536" i="13"/>
  <c r="X537" i="13"/>
  <c r="X538" i="13"/>
  <c r="X539" i="13"/>
  <c r="X540" i="13"/>
  <c r="X541" i="13"/>
  <c r="X542" i="13"/>
  <c r="X543" i="13"/>
  <c r="X544" i="13"/>
  <c r="X545" i="13"/>
  <c r="X546" i="13"/>
  <c r="X547" i="13"/>
  <c r="X548" i="13"/>
  <c r="X549" i="13"/>
  <c r="X550" i="13"/>
  <c r="X551" i="13"/>
  <c r="X552" i="13"/>
  <c r="X553" i="13"/>
  <c r="X554" i="13"/>
  <c r="X555" i="13"/>
  <c r="X556" i="13"/>
  <c r="X557" i="13"/>
  <c r="X558" i="13"/>
  <c r="X559" i="13"/>
  <c r="X560" i="13"/>
  <c r="X561" i="13"/>
  <c r="X562" i="13"/>
  <c r="X563" i="13"/>
  <c r="X564" i="13"/>
  <c r="X565" i="13"/>
  <c r="X566" i="13"/>
  <c r="X567" i="13"/>
  <c r="X568" i="13"/>
  <c r="X569" i="13"/>
  <c r="X570" i="13"/>
  <c r="X571" i="13"/>
  <c r="X572" i="13"/>
  <c r="X573" i="13"/>
  <c r="X574" i="13"/>
  <c r="X575" i="13"/>
  <c r="X576" i="13"/>
  <c r="X577" i="13"/>
  <c r="X578" i="13"/>
  <c r="X579" i="13"/>
  <c r="X580" i="13"/>
  <c r="X581" i="13"/>
  <c r="X582" i="13"/>
  <c r="X583" i="13"/>
  <c r="X584" i="13"/>
  <c r="X585" i="13"/>
  <c r="X586" i="13"/>
  <c r="X587" i="13"/>
  <c r="X588" i="13"/>
  <c r="X589" i="13"/>
  <c r="X590" i="13"/>
  <c r="X591" i="13"/>
  <c r="X592" i="13"/>
  <c r="X593" i="13"/>
  <c r="X594" i="13"/>
  <c r="X595" i="13"/>
  <c r="X596" i="13"/>
  <c r="X597" i="13"/>
  <c r="X598" i="13"/>
  <c r="X599" i="13"/>
  <c r="X600" i="13"/>
  <c r="X601" i="13"/>
  <c r="X602" i="13"/>
  <c r="X603" i="13"/>
  <c r="X604" i="13"/>
  <c r="X605" i="13"/>
  <c r="X606" i="13"/>
  <c r="X607" i="13"/>
  <c r="X608" i="13"/>
  <c r="X609" i="13"/>
  <c r="X610" i="13"/>
  <c r="X611" i="13"/>
  <c r="X612" i="13"/>
  <c r="X613" i="13"/>
  <c r="X614" i="13"/>
  <c r="X615" i="13"/>
  <c r="X616" i="13"/>
  <c r="X617" i="13"/>
  <c r="X618" i="13"/>
  <c r="X619" i="13"/>
  <c r="X620" i="13"/>
  <c r="X621" i="13"/>
  <c r="X622" i="13"/>
  <c r="X623" i="13"/>
  <c r="X624" i="13"/>
  <c r="X625" i="13"/>
  <c r="X626" i="13"/>
  <c r="X627" i="13"/>
  <c r="X628" i="13"/>
  <c r="X629" i="13"/>
  <c r="X630" i="13"/>
  <c r="X631" i="13"/>
  <c r="X632" i="13"/>
  <c r="X633" i="13"/>
  <c r="X634" i="13"/>
  <c r="X635" i="13"/>
  <c r="X636" i="13"/>
  <c r="X637" i="13"/>
  <c r="X638" i="13"/>
  <c r="X639" i="13"/>
  <c r="X640" i="13"/>
  <c r="X641" i="13"/>
  <c r="X642" i="13"/>
  <c r="X643" i="13"/>
  <c r="X644" i="13"/>
  <c r="X645" i="13"/>
  <c r="X646" i="13"/>
  <c r="X647" i="13"/>
  <c r="X648" i="13"/>
  <c r="X649" i="13"/>
  <c r="X650" i="13"/>
  <c r="X651" i="13"/>
  <c r="X652" i="13"/>
  <c r="X653" i="13"/>
  <c r="X654" i="13"/>
  <c r="X655" i="13"/>
  <c r="X656" i="13"/>
  <c r="X657" i="13"/>
  <c r="X658" i="13"/>
  <c r="X659" i="13"/>
  <c r="X660" i="13"/>
  <c r="X661" i="13"/>
  <c r="X662" i="13"/>
  <c r="X663" i="13"/>
  <c r="X664" i="13"/>
  <c r="X665" i="13"/>
  <c r="X666" i="13"/>
  <c r="X667" i="13"/>
  <c r="X668" i="13"/>
  <c r="X669" i="13"/>
  <c r="X670" i="13"/>
  <c r="X671" i="13"/>
  <c r="X672" i="13"/>
  <c r="X673" i="13"/>
  <c r="X674" i="13"/>
  <c r="X675" i="13"/>
  <c r="X676" i="13"/>
  <c r="X677" i="13"/>
  <c r="X678" i="13"/>
  <c r="X679" i="13"/>
  <c r="X680" i="13"/>
  <c r="X681" i="13"/>
  <c r="X682" i="13"/>
  <c r="X683" i="13"/>
  <c r="X684" i="13"/>
  <c r="X685" i="13"/>
  <c r="X686" i="13"/>
  <c r="X687" i="13"/>
  <c r="X688" i="13"/>
  <c r="X689" i="13"/>
  <c r="X690" i="13"/>
  <c r="X691" i="13"/>
  <c r="X692" i="13"/>
  <c r="X693" i="13"/>
  <c r="X694" i="13"/>
  <c r="X695" i="13"/>
  <c r="X696" i="13"/>
  <c r="X697" i="13"/>
  <c r="X698" i="13"/>
  <c r="X699" i="13"/>
  <c r="X700" i="13"/>
  <c r="W1" i="13"/>
  <c r="W2" i="13"/>
  <c r="W3" i="13"/>
  <c r="W4" i="13"/>
  <c r="W5" i="13"/>
  <c r="W6" i="13"/>
  <c r="W7" i="13"/>
  <c r="W8" i="13"/>
  <c r="W9" i="13"/>
  <c r="W10" i="13"/>
  <c r="W11" i="13"/>
  <c r="W12" i="13"/>
  <c r="W13" i="13"/>
  <c r="W14" i="13"/>
  <c r="W15" i="13"/>
  <c r="W16" i="13"/>
  <c r="W17" i="13"/>
  <c r="W18" i="13"/>
  <c r="W19" i="13"/>
  <c r="W20" i="13"/>
  <c r="W21" i="13"/>
  <c r="W22" i="13"/>
  <c r="W23" i="13"/>
  <c r="W24" i="13"/>
  <c r="W25" i="13"/>
  <c r="W26" i="13"/>
  <c r="W27" i="13"/>
  <c r="W28" i="13"/>
  <c r="W29" i="13"/>
  <c r="W30" i="13"/>
  <c r="W31" i="13"/>
  <c r="W32" i="13"/>
  <c r="W33" i="13"/>
  <c r="W34" i="13"/>
  <c r="W35" i="13"/>
  <c r="W36" i="13"/>
  <c r="W37" i="13"/>
  <c r="W38" i="13"/>
  <c r="W39" i="13"/>
  <c r="W40" i="13"/>
  <c r="W41" i="13"/>
  <c r="W42" i="13"/>
  <c r="W43" i="13"/>
  <c r="W44" i="13"/>
  <c r="W45" i="13"/>
  <c r="W46" i="13"/>
  <c r="W47" i="13"/>
  <c r="W48" i="13"/>
  <c r="W49" i="13"/>
  <c r="W50" i="13"/>
  <c r="W51" i="13"/>
  <c r="W52" i="13"/>
  <c r="W53" i="13"/>
  <c r="W54" i="13"/>
  <c r="W55" i="13"/>
  <c r="W56" i="13"/>
  <c r="W57" i="13"/>
  <c r="W58" i="13"/>
  <c r="W59" i="13"/>
  <c r="W60" i="13"/>
  <c r="W61" i="13"/>
  <c r="W62" i="13"/>
  <c r="W63" i="13"/>
  <c r="W64" i="13"/>
  <c r="W65" i="13"/>
  <c r="W66" i="13"/>
  <c r="W67" i="13"/>
  <c r="W68" i="13"/>
  <c r="W69" i="13"/>
  <c r="W70" i="13"/>
  <c r="W71" i="13"/>
  <c r="W72" i="13"/>
  <c r="W73" i="13"/>
  <c r="W74" i="13"/>
  <c r="W75" i="13"/>
  <c r="W76" i="13"/>
  <c r="W77" i="13"/>
  <c r="W78" i="13"/>
  <c r="W79" i="13"/>
  <c r="W80" i="13"/>
  <c r="W81" i="13"/>
  <c r="W82" i="13"/>
  <c r="W83" i="13"/>
  <c r="W84" i="13"/>
  <c r="W85" i="13"/>
  <c r="W86" i="13"/>
  <c r="W87" i="13"/>
  <c r="W88" i="13"/>
  <c r="W89" i="13"/>
  <c r="W90" i="13"/>
  <c r="W91" i="13"/>
  <c r="W92" i="13"/>
  <c r="W93" i="13"/>
  <c r="W94" i="13"/>
  <c r="W95" i="13"/>
  <c r="W96" i="13"/>
  <c r="W97" i="13"/>
  <c r="W98" i="13"/>
  <c r="W99" i="13"/>
  <c r="W100" i="13"/>
  <c r="W101" i="13"/>
  <c r="W102" i="13"/>
  <c r="W103" i="13"/>
  <c r="W104" i="13"/>
  <c r="W105" i="13"/>
  <c r="W106" i="13"/>
  <c r="W107" i="13"/>
  <c r="W108" i="13"/>
  <c r="W109" i="13"/>
  <c r="W110" i="13"/>
  <c r="W111" i="13"/>
  <c r="W112" i="13"/>
  <c r="W113" i="13"/>
  <c r="W114" i="13"/>
  <c r="W115" i="13"/>
  <c r="W116" i="13"/>
  <c r="W117" i="13"/>
  <c r="W118" i="13"/>
  <c r="W119" i="13"/>
  <c r="W120" i="13"/>
  <c r="W121" i="13"/>
  <c r="W122" i="13"/>
  <c r="W123" i="13"/>
  <c r="W124" i="13"/>
  <c r="W125" i="13"/>
  <c r="W126" i="13"/>
  <c r="W127" i="13"/>
  <c r="W128" i="13"/>
  <c r="W129" i="13"/>
  <c r="W130" i="13"/>
  <c r="W131" i="13"/>
  <c r="W132" i="13"/>
  <c r="W133" i="13"/>
  <c r="W134" i="13"/>
  <c r="W135" i="13"/>
  <c r="W136" i="13"/>
  <c r="W137" i="13"/>
  <c r="W138" i="13"/>
  <c r="W139" i="13"/>
  <c r="W140" i="13"/>
  <c r="W141" i="13"/>
  <c r="W142" i="13"/>
  <c r="W143" i="13"/>
  <c r="W144" i="13"/>
  <c r="W145" i="13"/>
  <c r="W146" i="13"/>
  <c r="W147" i="13"/>
  <c r="W148" i="13"/>
  <c r="W149" i="13"/>
  <c r="W150" i="13"/>
  <c r="W151" i="13"/>
  <c r="W152" i="13"/>
  <c r="W153" i="13"/>
  <c r="W154" i="13"/>
  <c r="W155" i="13"/>
  <c r="W156" i="13"/>
  <c r="W157" i="13"/>
  <c r="W158" i="13"/>
  <c r="W159" i="13"/>
  <c r="W160" i="13"/>
  <c r="W161" i="13"/>
  <c r="W162" i="13"/>
  <c r="W163" i="13"/>
  <c r="W164" i="13"/>
  <c r="W165" i="13"/>
  <c r="W166" i="13"/>
  <c r="W167" i="13"/>
  <c r="W168" i="13"/>
  <c r="W169" i="13"/>
  <c r="W170" i="13"/>
  <c r="W171" i="13"/>
  <c r="W172" i="13"/>
  <c r="W173" i="13"/>
  <c r="W174" i="13"/>
  <c r="W175" i="13"/>
  <c r="W176" i="13"/>
  <c r="W177" i="13"/>
  <c r="W178" i="13"/>
  <c r="W179" i="13"/>
  <c r="W180" i="13"/>
  <c r="W181" i="13"/>
  <c r="W182" i="13"/>
  <c r="W183" i="13"/>
  <c r="W184" i="13"/>
  <c r="W185" i="13"/>
  <c r="W186" i="13"/>
  <c r="W187" i="13"/>
  <c r="W188" i="13"/>
  <c r="W189" i="13"/>
  <c r="W190" i="13"/>
  <c r="W191" i="13"/>
  <c r="W192" i="13"/>
  <c r="W193" i="13"/>
  <c r="W194" i="13"/>
  <c r="W195" i="13"/>
  <c r="W196" i="13"/>
  <c r="W197" i="13"/>
  <c r="W198" i="13"/>
  <c r="W199" i="13"/>
  <c r="W200" i="13"/>
  <c r="W201" i="13"/>
  <c r="W202" i="13"/>
  <c r="W203" i="13"/>
  <c r="W204" i="13"/>
  <c r="W205" i="13"/>
  <c r="W206" i="13"/>
  <c r="W207" i="13"/>
  <c r="W208" i="13"/>
  <c r="W209" i="13"/>
  <c r="W210" i="13"/>
  <c r="W211" i="13"/>
  <c r="W212" i="13"/>
  <c r="W213" i="13"/>
  <c r="W214" i="13"/>
  <c r="W215" i="13"/>
  <c r="W216" i="13"/>
  <c r="W217" i="13"/>
  <c r="W218" i="13"/>
  <c r="W219" i="13"/>
  <c r="W220" i="13"/>
  <c r="W221" i="13"/>
  <c r="W222" i="13"/>
  <c r="W223" i="13"/>
  <c r="W224" i="13"/>
  <c r="W225" i="13"/>
  <c r="W226" i="13"/>
  <c r="W227" i="13"/>
  <c r="W228" i="13"/>
  <c r="W229" i="13"/>
  <c r="W230" i="13"/>
  <c r="W231" i="13"/>
  <c r="W232" i="13"/>
  <c r="W233" i="13"/>
  <c r="W234" i="13"/>
  <c r="W235" i="13"/>
  <c r="W236" i="13"/>
  <c r="W237" i="13"/>
  <c r="W238" i="13"/>
  <c r="W239" i="13"/>
  <c r="W240" i="13"/>
  <c r="W241" i="13"/>
  <c r="W242" i="13"/>
  <c r="W243" i="13"/>
  <c r="W244" i="13"/>
  <c r="W245" i="13"/>
  <c r="W246" i="13"/>
  <c r="W247" i="13"/>
  <c r="W248" i="13"/>
  <c r="W249" i="13"/>
  <c r="W250" i="13"/>
  <c r="W251" i="13"/>
  <c r="W252" i="13"/>
  <c r="W253" i="13"/>
  <c r="W254" i="13"/>
  <c r="W255" i="13"/>
  <c r="W256" i="13"/>
  <c r="W257" i="13"/>
  <c r="W258" i="13"/>
  <c r="W259" i="13"/>
  <c r="W260" i="13"/>
  <c r="W261" i="13"/>
  <c r="W262" i="13"/>
  <c r="W263" i="13"/>
  <c r="W264" i="13"/>
  <c r="W265" i="13"/>
  <c r="W266" i="13"/>
  <c r="W267" i="13"/>
  <c r="W268" i="13"/>
  <c r="W269" i="13"/>
  <c r="W270" i="13"/>
  <c r="W271" i="13"/>
  <c r="W272" i="13"/>
  <c r="W273" i="13"/>
  <c r="W274" i="13"/>
  <c r="W275" i="13"/>
  <c r="W276" i="13"/>
  <c r="W277" i="13"/>
  <c r="W278" i="13"/>
  <c r="W279" i="13"/>
  <c r="W280" i="13"/>
  <c r="W281" i="13"/>
  <c r="W282" i="13"/>
  <c r="W283" i="13"/>
  <c r="W284" i="13"/>
  <c r="W285" i="13"/>
  <c r="W286" i="13"/>
  <c r="W287" i="13"/>
  <c r="W288" i="13"/>
  <c r="W289" i="13"/>
  <c r="W290" i="13"/>
  <c r="W291" i="13"/>
  <c r="W292" i="13"/>
  <c r="W293" i="13"/>
  <c r="W294" i="13"/>
  <c r="W295" i="13"/>
  <c r="W296" i="13"/>
  <c r="W297" i="13"/>
  <c r="W298" i="13"/>
  <c r="W299" i="13"/>
  <c r="W300" i="13"/>
  <c r="W301" i="13"/>
  <c r="W302" i="13"/>
  <c r="W303" i="13"/>
  <c r="W304" i="13"/>
  <c r="W305" i="13"/>
  <c r="W306" i="13"/>
  <c r="W307" i="13"/>
  <c r="W308" i="13"/>
  <c r="W309" i="13"/>
  <c r="W310" i="13"/>
  <c r="W311" i="13"/>
  <c r="W312" i="13"/>
  <c r="W313" i="13"/>
  <c r="W314" i="13"/>
  <c r="W315" i="13"/>
  <c r="W316" i="13"/>
  <c r="W317" i="13"/>
  <c r="W318" i="13"/>
  <c r="W319" i="13"/>
  <c r="W320" i="13"/>
  <c r="W321" i="13"/>
  <c r="W322" i="13"/>
  <c r="W323" i="13"/>
  <c r="W324" i="13"/>
  <c r="W325" i="13"/>
  <c r="W326" i="13"/>
  <c r="W327" i="13"/>
  <c r="W328" i="13"/>
  <c r="W329" i="13"/>
  <c r="W330" i="13"/>
  <c r="W331" i="13"/>
  <c r="W332" i="13"/>
  <c r="W333" i="13"/>
  <c r="W334" i="13"/>
  <c r="W335" i="13"/>
  <c r="W336" i="13"/>
  <c r="W337" i="13"/>
  <c r="W338" i="13"/>
  <c r="W339" i="13"/>
  <c r="W340" i="13"/>
  <c r="W341" i="13"/>
  <c r="W342" i="13"/>
  <c r="W343" i="13"/>
  <c r="W344" i="13"/>
  <c r="W345" i="13"/>
  <c r="W346" i="13"/>
  <c r="W347" i="13"/>
  <c r="W348" i="13"/>
  <c r="W349" i="13"/>
  <c r="W350" i="13"/>
  <c r="W351" i="13"/>
  <c r="W352" i="13"/>
  <c r="W353" i="13"/>
  <c r="W354" i="13"/>
  <c r="W355" i="13"/>
  <c r="W356" i="13"/>
  <c r="W357" i="13"/>
  <c r="W358" i="13"/>
  <c r="W359" i="13"/>
  <c r="W360" i="13"/>
  <c r="W361" i="13"/>
  <c r="W362" i="13"/>
  <c r="W363" i="13"/>
  <c r="W364" i="13"/>
  <c r="W365" i="13"/>
  <c r="W366" i="13"/>
  <c r="W367" i="13"/>
  <c r="W368" i="13"/>
  <c r="W369" i="13"/>
  <c r="W370" i="13"/>
  <c r="W371" i="13"/>
  <c r="W372" i="13"/>
  <c r="W373" i="13"/>
  <c r="W374" i="13"/>
  <c r="W375" i="13"/>
  <c r="W376" i="13"/>
  <c r="W377" i="13"/>
  <c r="W378" i="13"/>
  <c r="W379" i="13"/>
  <c r="W380" i="13"/>
  <c r="W381" i="13"/>
  <c r="W382" i="13"/>
  <c r="W383" i="13"/>
  <c r="W384" i="13"/>
  <c r="W385" i="13"/>
  <c r="W386" i="13"/>
  <c r="W387" i="13"/>
  <c r="W388" i="13"/>
  <c r="W389" i="13"/>
  <c r="W390" i="13"/>
  <c r="W391" i="13"/>
  <c r="W392" i="13"/>
  <c r="W393" i="13"/>
  <c r="W394" i="13"/>
  <c r="W395" i="13"/>
  <c r="W396" i="13"/>
  <c r="W397" i="13"/>
  <c r="W398" i="13"/>
  <c r="W399" i="13"/>
  <c r="W400" i="13"/>
  <c r="W401" i="13"/>
  <c r="W402" i="13"/>
  <c r="W403" i="13"/>
  <c r="W404" i="13"/>
  <c r="W405" i="13"/>
  <c r="W406" i="13"/>
  <c r="W407" i="13"/>
  <c r="W408" i="13"/>
  <c r="W409" i="13"/>
  <c r="W410" i="13"/>
  <c r="W411" i="13"/>
  <c r="W412" i="13"/>
  <c r="W413" i="13"/>
  <c r="W414" i="13"/>
  <c r="W415" i="13"/>
  <c r="W416" i="13"/>
  <c r="W417" i="13"/>
  <c r="W418" i="13"/>
  <c r="W419" i="13"/>
  <c r="W420" i="13"/>
  <c r="W421" i="13"/>
  <c r="W422" i="13"/>
  <c r="W423" i="13"/>
  <c r="W424" i="13"/>
  <c r="W425" i="13"/>
  <c r="W426" i="13"/>
  <c r="W427" i="13"/>
  <c r="W428" i="13"/>
  <c r="W429" i="13"/>
  <c r="W430" i="13"/>
  <c r="W431" i="13"/>
  <c r="W432" i="13"/>
  <c r="W433" i="13"/>
  <c r="W434" i="13"/>
  <c r="W435" i="13"/>
  <c r="W436" i="13"/>
  <c r="W437" i="13"/>
  <c r="W438" i="13"/>
  <c r="W439" i="13"/>
  <c r="W440" i="13"/>
  <c r="W441" i="13"/>
  <c r="W442" i="13"/>
  <c r="W443" i="13"/>
  <c r="W444" i="13"/>
  <c r="W445" i="13"/>
  <c r="W446" i="13"/>
  <c r="W447" i="13"/>
  <c r="W448" i="13"/>
  <c r="W449" i="13"/>
  <c r="W450" i="13"/>
  <c r="W451" i="13"/>
  <c r="W452" i="13"/>
  <c r="W453" i="13"/>
  <c r="W454" i="13"/>
  <c r="W455" i="13"/>
  <c r="W456" i="13"/>
  <c r="W457" i="13"/>
  <c r="W458" i="13"/>
  <c r="W459" i="13"/>
  <c r="W460" i="13"/>
  <c r="W461" i="13"/>
  <c r="W462" i="13"/>
  <c r="W463" i="13"/>
  <c r="W464" i="13"/>
  <c r="W465" i="13"/>
  <c r="W466" i="13"/>
  <c r="W467" i="13"/>
  <c r="W468" i="13"/>
  <c r="W469" i="13"/>
  <c r="W470" i="13"/>
  <c r="W471" i="13"/>
  <c r="W472" i="13"/>
  <c r="W473" i="13"/>
  <c r="W474" i="13"/>
  <c r="W475" i="13"/>
  <c r="W476" i="13"/>
  <c r="W477" i="13"/>
  <c r="W478" i="13"/>
  <c r="W479" i="13"/>
  <c r="W480" i="13"/>
  <c r="W481" i="13"/>
  <c r="W482" i="13"/>
  <c r="W483" i="13"/>
  <c r="W484" i="13"/>
  <c r="W485" i="13"/>
  <c r="W486" i="13"/>
  <c r="W487" i="13"/>
  <c r="W488" i="13"/>
  <c r="W489" i="13"/>
  <c r="W490" i="13"/>
  <c r="W491" i="13"/>
  <c r="W492" i="13"/>
  <c r="W493" i="13"/>
  <c r="W494" i="13"/>
  <c r="W495" i="13"/>
  <c r="W496" i="13"/>
  <c r="W497" i="13"/>
  <c r="W498" i="13"/>
  <c r="W499" i="13"/>
  <c r="W500" i="13"/>
  <c r="W501" i="13"/>
  <c r="W502" i="13"/>
  <c r="W503" i="13"/>
  <c r="W504" i="13"/>
  <c r="W505" i="13"/>
  <c r="W506" i="13"/>
  <c r="W507" i="13"/>
  <c r="W508" i="13"/>
  <c r="W509" i="13"/>
  <c r="W510" i="13"/>
  <c r="W511" i="13"/>
  <c r="W512" i="13"/>
  <c r="W513" i="13"/>
  <c r="W514" i="13"/>
  <c r="W515" i="13"/>
  <c r="W516" i="13"/>
  <c r="W517" i="13"/>
  <c r="W518" i="13"/>
  <c r="W519" i="13"/>
  <c r="W520" i="13"/>
  <c r="W521" i="13"/>
  <c r="W522" i="13"/>
  <c r="W523" i="13"/>
  <c r="W524" i="13"/>
  <c r="W525" i="13"/>
  <c r="W526" i="13"/>
  <c r="W527" i="13"/>
  <c r="W528" i="13"/>
  <c r="W529" i="13"/>
  <c r="W530" i="13"/>
  <c r="W531" i="13"/>
  <c r="W532" i="13"/>
  <c r="W533" i="13"/>
  <c r="W534" i="13"/>
  <c r="W535" i="13"/>
  <c r="W536" i="13"/>
  <c r="W537" i="13"/>
  <c r="W538" i="13"/>
  <c r="W539" i="13"/>
  <c r="W540" i="13"/>
  <c r="W541" i="13"/>
  <c r="W542" i="13"/>
  <c r="W543" i="13"/>
  <c r="W544" i="13"/>
  <c r="W545" i="13"/>
  <c r="W546" i="13"/>
  <c r="W547" i="13"/>
  <c r="W548" i="13"/>
  <c r="W549" i="13"/>
  <c r="W550" i="13"/>
  <c r="W551" i="13"/>
  <c r="W552" i="13"/>
  <c r="W553" i="13"/>
  <c r="W554" i="13"/>
  <c r="W555" i="13"/>
  <c r="W556" i="13"/>
  <c r="W557" i="13"/>
  <c r="W558" i="13"/>
  <c r="W559" i="13"/>
  <c r="W560" i="13"/>
  <c r="W561" i="13"/>
  <c r="W562" i="13"/>
  <c r="W563" i="13"/>
  <c r="W564" i="13"/>
  <c r="W565" i="13"/>
  <c r="W566" i="13"/>
  <c r="W567" i="13"/>
  <c r="W568" i="13"/>
  <c r="W569" i="13"/>
  <c r="W570" i="13"/>
  <c r="W571" i="13"/>
  <c r="W572" i="13"/>
  <c r="W573" i="13"/>
  <c r="W574" i="13"/>
  <c r="W575" i="13"/>
  <c r="W576" i="13"/>
  <c r="W577" i="13"/>
  <c r="W578" i="13"/>
  <c r="W579" i="13"/>
  <c r="W580" i="13"/>
  <c r="W581" i="13"/>
  <c r="W582" i="13"/>
  <c r="W583" i="13"/>
  <c r="W584" i="13"/>
  <c r="W585" i="13"/>
  <c r="W586" i="13"/>
  <c r="W587" i="13"/>
  <c r="W588" i="13"/>
  <c r="W589" i="13"/>
  <c r="W590" i="13"/>
  <c r="W591" i="13"/>
  <c r="W592" i="13"/>
  <c r="W593" i="13"/>
  <c r="W594" i="13"/>
  <c r="W595" i="13"/>
  <c r="W596" i="13"/>
  <c r="W597" i="13"/>
  <c r="W598" i="13"/>
  <c r="W599" i="13"/>
  <c r="W600" i="13"/>
  <c r="W601" i="13"/>
  <c r="W602" i="13"/>
  <c r="W603" i="13"/>
  <c r="W604" i="13"/>
  <c r="W605" i="13"/>
  <c r="W606" i="13"/>
  <c r="W607" i="13"/>
  <c r="W608" i="13"/>
  <c r="W609" i="13"/>
  <c r="W610" i="13"/>
  <c r="W611" i="13"/>
  <c r="W612" i="13"/>
  <c r="W613" i="13"/>
  <c r="W614" i="13"/>
  <c r="W615" i="13"/>
  <c r="W616" i="13"/>
  <c r="W617" i="13"/>
  <c r="W618" i="13"/>
  <c r="W619" i="13"/>
  <c r="W620" i="13"/>
  <c r="W621" i="13"/>
  <c r="W622" i="13"/>
  <c r="W623" i="13"/>
  <c r="W624" i="13"/>
  <c r="W625" i="13"/>
  <c r="W626" i="13"/>
  <c r="W627" i="13"/>
  <c r="W628" i="13"/>
  <c r="W629" i="13"/>
  <c r="W630" i="13"/>
  <c r="W631" i="13"/>
  <c r="W632" i="13"/>
  <c r="W633" i="13"/>
  <c r="W634" i="13"/>
  <c r="W635" i="13"/>
  <c r="W636" i="13"/>
  <c r="W637" i="13"/>
  <c r="W638" i="13"/>
  <c r="W639" i="13"/>
  <c r="W640" i="13"/>
  <c r="W641" i="13"/>
  <c r="W642" i="13"/>
  <c r="W643" i="13"/>
  <c r="W644" i="13"/>
  <c r="W645" i="13"/>
  <c r="W646" i="13"/>
  <c r="W647" i="13"/>
  <c r="W648" i="13"/>
  <c r="W649" i="13"/>
  <c r="W650" i="13"/>
  <c r="W651" i="13"/>
  <c r="W652" i="13"/>
  <c r="W653" i="13"/>
  <c r="W654" i="13"/>
  <c r="W655" i="13"/>
  <c r="W656" i="13"/>
  <c r="W657" i="13"/>
  <c r="W658" i="13"/>
  <c r="W659" i="13"/>
  <c r="W660" i="13"/>
  <c r="W661" i="13"/>
  <c r="W662" i="13"/>
  <c r="W663" i="13"/>
  <c r="W664" i="13"/>
  <c r="W665" i="13"/>
  <c r="W666" i="13"/>
  <c r="W667" i="13"/>
  <c r="W668" i="13"/>
  <c r="W669" i="13"/>
  <c r="W670" i="13"/>
  <c r="W671" i="13"/>
  <c r="W672" i="13"/>
  <c r="W673" i="13"/>
  <c r="W674" i="13"/>
  <c r="W675" i="13"/>
  <c r="W676" i="13"/>
  <c r="W677" i="13"/>
  <c r="W678" i="13"/>
  <c r="W679" i="13"/>
  <c r="W680" i="13"/>
  <c r="W681" i="13"/>
  <c r="W682" i="13"/>
  <c r="W683" i="13"/>
  <c r="W684" i="13"/>
  <c r="W685" i="13"/>
  <c r="W686" i="13"/>
  <c r="W687" i="13"/>
  <c r="W688" i="13"/>
  <c r="W689" i="13"/>
  <c r="W690" i="13"/>
  <c r="W691" i="13"/>
  <c r="W692" i="13"/>
  <c r="W693" i="13"/>
  <c r="W694" i="13"/>
  <c r="W695" i="13"/>
  <c r="W696" i="13"/>
  <c r="W697" i="13"/>
  <c r="W698" i="13"/>
  <c r="W699" i="13"/>
  <c r="W700" i="13"/>
  <c r="V1" i="13"/>
  <c r="V2" i="13"/>
  <c r="V3" i="13"/>
  <c r="V4" i="13"/>
  <c r="V5" i="13"/>
  <c r="V6" i="13"/>
  <c r="V7" i="13"/>
  <c r="V8" i="13"/>
  <c r="V9" i="13"/>
  <c r="V10" i="13"/>
  <c r="V11" i="13"/>
  <c r="V12" i="13"/>
  <c r="V13" i="13"/>
  <c r="V14" i="13"/>
  <c r="V15" i="13"/>
  <c r="V16" i="13"/>
  <c r="V17" i="13"/>
  <c r="V18" i="13"/>
  <c r="V19" i="13"/>
  <c r="V20" i="13"/>
  <c r="V21" i="13"/>
  <c r="V22" i="13"/>
  <c r="V23" i="13"/>
  <c r="V24" i="13"/>
  <c r="V25" i="13"/>
  <c r="V26" i="13"/>
  <c r="V27" i="13"/>
  <c r="V28" i="13"/>
  <c r="V29" i="13"/>
  <c r="V30" i="13"/>
  <c r="V31" i="13"/>
  <c r="V32" i="13"/>
  <c r="V33" i="13"/>
  <c r="V34" i="13"/>
  <c r="V35" i="13"/>
  <c r="V36" i="13"/>
  <c r="V37" i="13"/>
  <c r="V38" i="13"/>
  <c r="V39" i="13"/>
  <c r="V40" i="13"/>
  <c r="V41" i="13"/>
  <c r="V42" i="13"/>
  <c r="V43" i="13"/>
  <c r="V44" i="13"/>
  <c r="V45" i="13"/>
  <c r="V46" i="13"/>
  <c r="V47" i="13"/>
  <c r="V48" i="13"/>
  <c r="V49" i="13"/>
  <c r="V50" i="13"/>
  <c r="V51" i="13"/>
  <c r="V52" i="13"/>
  <c r="V53" i="13"/>
  <c r="V54" i="13"/>
  <c r="V55" i="13"/>
  <c r="V56" i="13"/>
  <c r="V57" i="13"/>
  <c r="V58" i="13"/>
  <c r="V59" i="13"/>
  <c r="V60" i="13"/>
  <c r="V61" i="13"/>
  <c r="V62" i="13"/>
  <c r="V63" i="13"/>
  <c r="V64" i="13"/>
  <c r="V65" i="13"/>
  <c r="V66" i="13"/>
  <c r="V67" i="13"/>
  <c r="V68" i="13"/>
  <c r="V69" i="13"/>
  <c r="V70" i="13"/>
  <c r="V71" i="13"/>
  <c r="V72" i="13"/>
  <c r="V73" i="13"/>
  <c r="V74" i="13"/>
  <c r="V75" i="13"/>
  <c r="V76" i="13"/>
  <c r="V77" i="13"/>
  <c r="V78" i="13"/>
  <c r="V79" i="13"/>
  <c r="V80" i="13"/>
  <c r="V81" i="13"/>
  <c r="V82" i="13"/>
  <c r="V83" i="13"/>
  <c r="V84" i="13"/>
  <c r="V85" i="13"/>
  <c r="V86" i="13"/>
  <c r="V87" i="13"/>
  <c r="V88" i="13"/>
  <c r="V89" i="13"/>
  <c r="V90" i="13"/>
  <c r="V91" i="13"/>
  <c r="V92" i="13"/>
  <c r="V93" i="13"/>
  <c r="V94" i="13"/>
  <c r="V95" i="13"/>
  <c r="V96" i="13"/>
  <c r="V97" i="13"/>
  <c r="V98" i="13"/>
  <c r="V99" i="13"/>
  <c r="V100" i="13"/>
  <c r="V101" i="13"/>
  <c r="V102" i="13"/>
  <c r="V103" i="13"/>
  <c r="V104" i="13"/>
  <c r="V105" i="13"/>
  <c r="V106" i="13"/>
  <c r="V107" i="13"/>
  <c r="V108" i="13"/>
  <c r="V109" i="13"/>
  <c r="V110" i="13"/>
  <c r="V111" i="13"/>
  <c r="V112" i="13"/>
  <c r="V113" i="13"/>
  <c r="V114" i="13"/>
  <c r="V115" i="13"/>
  <c r="V116" i="13"/>
  <c r="V117" i="13"/>
  <c r="V118" i="13"/>
  <c r="V119" i="13"/>
  <c r="V120" i="13"/>
  <c r="V121" i="13"/>
  <c r="V122" i="13"/>
  <c r="V123" i="13"/>
  <c r="V124" i="13"/>
  <c r="V125" i="13"/>
  <c r="V126" i="13"/>
  <c r="V127" i="13"/>
  <c r="V128" i="13"/>
  <c r="V129" i="13"/>
  <c r="V130" i="13"/>
  <c r="V131" i="13"/>
  <c r="V132" i="13"/>
  <c r="V133" i="13"/>
  <c r="V134" i="13"/>
  <c r="V135" i="13"/>
  <c r="V136" i="13"/>
  <c r="V137" i="13"/>
  <c r="V138" i="13"/>
  <c r="V139" i="13"/>
  <c r="V140" i="13"/>
  <c r="V141" i="13"/>
  <c r="V142" i="13"/>
  <c r="V143" i="13"/>
  <c r="V144" i="13"/>
  <c r="V145" i="13"/>
  <c r="V146" i="13"/>
  <c r="V147" i="13"/>
  <c r="V148" i="13"/>
  <c r="V149" i="13"/>
  <c r="V150" i="13"/>
  <c r="V151" i="13"/>
  <c r="V152" i="13"/>
  <c r="V153" i="13"/>
  <c r="V154" i="13"/>
  <c r="V155" i="13"/>
  <c r="V156" i="13"/>
  <c r="V157" i="13"/>
  <c r="V158" i="13"/>
  <c r="V159" i="13"/>
  <c r="V160" i="13"/>
  <c r="V161" i="13"/>
  <c r="V162" i="13"/>
  <c r="V163" i="13"/>
  <c r="V164" i="13"/>
  <c r="V165" i="13"/>
  <c r="V166" i="13"/>
  <c r="V167" i="13"/>
  <c r="V168" i="13"/>
  <c r="V169" i="13"/>
  <c r="V170" i="13"/>
  <c r="V171" i="13"/>
  <c r="V172" i="13"/>
  <c r="V173" i="13"/>
  <c r="V174" i="13"/>
  <c r="V175" i="13"/>
  <c r="V176" i="13"/>
  <c r="V177" i="13"/>
  <c r="V178" i="13"/>
  <c r="V179" i="13"/>
  <c r="V180" i="13"/>
  <c r="V181" i="13"/>
  <c r="V182" i="13"/>
  <c r="V183" i="13"/>
  <c r="V184" i="13"/>
  <c r="V185" i="13"/>
  <c r="V186" i="13"/>
  <c r="V187" i="13"/>
  <c r="V188" i="13"/>
  <c r="V189" i="13"/>
  <c r="V190" i="13"/>
  <c r="V191" i="13"/>
  <c r="V192" i="13"/>
  <c r="V193" i="13"/>
  <c r="V194" i="13"/>
  <c r="V195" i="13"/>
  <c r="V196" i="13"/>
  <c r="V197" i="13"/>
  <c r="V198" i="13"/>
  <c r="V199" i="13"/>
  <c r="V200" i="13"/>
  <c r="V201" i="13"/>
  <c r="V202" i="13"/>
  <c r="V203" i="13"/>
  <c r="V204" i="13"/>
  <c r="V205" i="13"/>
  <c r="V206" i="13"/>
  <c r="V207" i="13"/>
  <c r="V208" i="13"/>
  <c r="V209" i="13"/>
  <c r="V210" i="13"/>
  <c r="V211" i="13"/>
  <c r="V212" i="13"/>
  <c r="V213" i="13"/>
  <c r="V214" i="13"/>
  <c r="V215" i="13"/>
  <c r="V216" i="13"/>
  <c r="V217" i="13"/>
  <c r="V218" i="13"/>
  <c r="V219" i="13"/>
  <c r="V220" i="13"/>
  <c r="V221" i="13"/>
  <c r="V222" i="13"/>
  <c r="V223" i="13"/>
  <c r="V224" i="13"/>
  <c r="V225" i="13"/>
  <c r="V226" i="13"/>
  <c r="V227" i="13"/>
  <c r="V228" i="13"/>
  <c r="V229" i="13"/>
  <c r="V230" i="13"/>
  <c r="V231" i="13"/>
  <c r="V232" i="13"/>
  <c r="V233" i="13"/>
  <c r="V234" i="13"/>
  <c r="V235" i="13"/>
  <c r="V236" i="13"/>
  <c r="V237" i="13"/>
  <c r="V238" i="13"/>
  <c r="V239" i="13"/>
  <c r="V240" i="13"/>
  <c r="V241" i="13"/>
  <c r="V242" i="13"/>
  <c r="V243" i="13"/>
  <c r="V244" i="13"/>
  <c r="V245" i="13"/>
  <c r="V246" i="13"/>
  <c r="V247" i="13"/>
  <c r="V248" i="13"/>
  <c r="V249" i="13"/>
  <c r="V250" i="13"/>
  <c r="V251" i="13"/>
  <c r="V252" i="13"/>
  <c r="V253" i="13"/>
  <c r="V254" i="13"/>
  <c r="V255" i="13"/>
  <c r="V256" i="13"/>
  <c r="V257" i="13"/>
  <c r="V258" i="13"/>
  <c r="V259" i="13"/>
  <c r="V260" i="13"/>
  <c r="V261" i="13"/>
  <c r="V262" i="13"/>
  <c r="V263" i="13"/>
  <c r="V264" i="13"/>
  <c r="V265" i="13"/>
  <c r="V266" i="13"/>
  <c r="V267" i="13"/>
  <c r="V268" i="13"/>
  <c r="V269" i="13"/>
  <c r="V270" i="13"/>
  <c r="V271" i="13"/>
  <c r="V272" i="13"/>
  <c r="V273" i="13"/>
  <c r="V274" i="13"/>
  <c r="V275" i="13"/>
  <c r="V276" i="13"/>
  <c r="V277" i="13"/>
  <c r="V278" i="13"/>
  <c r="V279" i="13"/>
  <c r="V280" i="13"/>
  <c r="V281" i="13"/>
  <c r="V282" i="13"/>
  <c r="V283" i="13"/>
  <c r="V284" i="13"/>
  <c r="V285" i="13"/>
  <c r="V286" i="13"/>
  <c r="V287" i="13"/>
  <c r="V288" i="13"/>
  <c r="V289" i="13"/>
  <c r="V290" i="13"/>
  <c r="V291" i="13"/>
  <c r="V292" i="13"/>
  <c r="V293" i="13"/>
  <c r="V294" i="13"/>
  <c r="V295" i="13"/>
  <c r="V296" i="13"/>
  <c r="V297" i="13"/>
  <c r="V298" i="13"/>
  <c r="V299" i="13"/>
  <c r="V300" i="13"/>
  <c r="V301" i="13"/>
  <c r="V302" i="13"/>
  <c r="V303" i="13"/>
  <c r="V304" i="13"/>
  <c r="V305" i="13"/>
  <c r="V306" i="13"/>
  <c r="V307" i="13"/>
  <c r="V308" i="13"/>
  <c r="V309" i="13"/>
  <c r="V310" i="13"/>
  <c r="V311" i="13"/>
  <c r="V312" i="13"/>
  <c r="V313" i="13"/>
  <c r="V314" i="13"/>
  <c r="V315" i="13"/>
  <c r="V316" i="13"/>
  <c r="V317" i="13"/>
  <c r="V318" i="13"/>
  <c r="V319" i="13"/>
  <c r="V320" i="13"/>
  <c r="V321" i="13"/>
  <c r="V322" i="13"/>
  <c r="V323" i="13"/>
  <c r="V324" i="13"/>
  <c r="V325" i="13"/>
  <c r="V326" i="13"/>
  <c r="V327" i="13"/>
  <c r="V328" i="13"/>
  <c r="V329" i="13"/>
  <c r="V330" i="13"/>
  <c r="V331" i="13"/>
  <c r="V332" i="13"/>
  <c r="V333" i="13"/>
  <c r="V334" i="13"/>
  <c r="V335" i="13"/>
  <c r="V336" i="13"/>
  <c r="V337" i="13"/>
  <c r="V338" i="13"/>
  <c r="V339" i="13"/>
  <c r="V340" i="13"/>
  <c r="V341" i="13"/>
  <c r="V342" i="13"/>
  <c r="V343" i="13"/>
  <c r="V344" i="13"/>
  <c r="V345" i="13"/>
  <c r="V346" i="13"/>
  <c r="V347" i="13"/>
  <c r="V348" i="13"/>
  <c r="V349" i="13"/>
  <c r="V350" i="13"/>
  <c r="V351" i="13"/>
  <c r="V352" i="13"/>
  <c r="V353" i="13"/>
  <c r="V354" i="13"/>
  <c r="V355" i="13"/>
  <c r="V356" i="13"/>
  <c r="V357" i="13"/>
  <c r="V358" i="13"/>
  <c r="V359" i="13"/>
  <c r="V360" i="13"/>
  <c r="V361" i="13"/>
  <c r="V362" i="13"/>
  <c r="V363" i="13"/>
  <c r="V364" i="13"/>
  <c r="V365" i="13"/>
  <c r="V366" i="13"/>
  <c r="V367" i="13"/>
  <c r="V368" i="13"/>
  <c r="V369" i="13"/>
  <c r="V370" i="13"/>
  <c r="V371" i="13"/>
  <c r="V372" i="13"/>
  <c r="V373" i="13"/>
  <c r="V374" i="13"/>
  <c r="V375" i="13"/>
  <c r="V376" i="13"/>
  <c r="V377" i="13"/>
  <c r="V378" i="13"/>
  <c r="V379" i="13"/>
  <c r="V380" i="13"/>
  <c r="V381" i="13"/>
  <c r="V382" i="13"/>
  <c r="V383" i="13"/>
  <c r="V384" i="13"/>
  <c r="V385" i="13"/>
  <c r="V386" i="13"/>
  <c r="V387" i="13"/>
  <c r="V388" i="13"/>
  <c r="V389" i="13"/>
  <c r="V390" i="13"/>
  <c r="V391" i="13"/>
  <c r="V392" i="13"/>
  <c r="V393" i="13"/>
  <c r="V394" i="13"/>
  <c r="V395" i="13"/>
  <c r="V396" i="13"/>
  <c r="V397" i="13"/>
  <c r="V398" i="13"/>
  <c r="V399" i="13"/>
  <c r="V400" i="13"/>
  <c r="V401" i="13"/>
  <c r="V402" i="13"/>
  <c r="V403" i="13"/>
  <c r="V404" i="13"/>
  <c r="V405" i="13"/>
  <c r="V406" i="13"/>
  <c r="V407" i="13"/>
  <c r="V408" i="13"/>
  <c r="V409" i="13"/>
  <c r="V410" i="13"/>
  <c r="V411" i="13"/>
  <c r="V412" i="13"/>
  <c r="V413" i="13"/>
  <c r="V414" i="13"/>
  <c r="V415" i="13"/>
  <c r="V416" i="13"/>
  <c r="V417" i="13"/>
  <c r="V418" i="13"/>
  <c r="V419" i="13"/>
  <c r="V420" i="13"/>
  <c r="V421" i="13"/>
  <c r="V422" i="13"/>
  <c r="V423" i="13"/>
  <c r="V424" i="13"/>
  <c r="V425" i="13"/>
  <c r="V426" i="13"/>
  <c r="V427" i="13"/>
  <c r="V428" i="13"/>
  <c r="V429" i="13"/>
  <c r="V430" i="13"/>
  <c r="V431" i="13"/>
  <c r="V432" i="13"/>
  <c r="V433" i="13"/>
  <c r="V434" i="13"/>
  <c r="V435" i="13"/>
  <c r="V436" i="13"/>
  <c r="V437" i="13"/>
  <c r="V438" i="13"/>
  <c r="V439" i="13"/>
  <c r="V440" i="13"/>
  <c r="V441" i="13"/>
  <c r="V442" i="13"/>
  <c r="V443" i="13"/>
  <c r="V444" i="13"/>
  <c r="V445" i="13"/>
  <c r="V446" i="13"/>
  <c r="V447" i="13"/>
  <c r="V448" i="13"/>
  <c r="V449" i="13"/>
  <c r="V450" i="13"/>
  <c r="V451" i="13"/>
  <c r="V452" i="13"/>
  <c r="V453" i="13"/>
  <c r="V454" i="13"/>
  <c r="V455" i="13"/>
  <c r="V456" i="13"/>
  <c r="V457" i="13"/>
  <c r="V458" i="13"/>
  <c r="V459" i="13"/>
  <c r="V460" i="13"/>
  <c r="V461" i="13"/>
  <c r="V462" i="13"/>
  <c r="V463" i="13"/>
  <c r="V464" i="13"/>
  <c r="V465" i="13"/>
  <c r="V466" i="13"/>
  <c r="V467" i="13"/>
  <c r="V468" i="13"/>
  <c r="V469" i="13"/>
  <c r="V470" i="13"/>
  <c r="V471" i="13"/>
  <c r="V472" i="13"/>
  <c r="V473" i="13"/>
  <c r="V474" i="13"/>
  <c r="V475" i="13"/>
  <c r="V476" i="13"/>
  <c r="V477" i="13"/>
  <c r="V478" i="13"/>
  <c r="V479" i="13"/>
  <c r="V480" i="13"/>
  <c r="V481" i="13"/>
  <c r="V482" i="13"/>
  <c r="V483" i="13"/>
  <c r="V484" i="13"/>
  <c r="V485" i="13"/>
  <c r="V486" i="13"/>
  <c r="V487" i="13"/>
  <c r="V488" i="13"/>
  <c r="V489" i="13"/>
  <c r="V490" i="13"/>
  <c r="V491" i="13"/>
  <c r="V492" i="13"/>
  <c r="V493" i="13"/>
  <c r="V494" i="13"/>
  <c r="V495" i="13"/>
  <c r="V496" i="13"/>
  <c r="V497" i="13"/>
  <c r="V498" i="13"/>
  <c r="V499" i="13"/>
  <c r="V500" i="13"/>
  <c r="V501" i="13"/>
  <c r="V502" i="13"/>
  <c r="V503" i="13"/>
  <c r="V504" i="13"/>
  <c r="V505" i="13"/>
  <c r="V506" i="13"/>
  <c r="V507" i="13"/>
  <c r="V508" i="13"/>
  <c r="V509" i="13"/>
  <c r="V510" i="13"/>
  <c r="V511" i="13"/>
  <c r="V512" i="13"/>
  <c r="V513" i="13"/>
  <c r="V514" i="13"/>
  <c r="V515" i="13"/>
  <c r="V516" i="13"/>
  <c r="V517" i="13"/>
  <c r="V518" i="13"/>
  <c r="V519" i="13"/>
  <c r="V520" i="13"/>
  <c r="V521" i="13"/>
  <c r="V522" i="13"/>
  <c r="V523" i="13"/>
  <c r="V524" i="13"/>
  <c r="V525" i="13"/>
  <c r="V526" i="13"/>
  <c r="V527" i="13"/>
  <c r="V528" i="13"/>
  <c r="V529" i="13"/>
  <c r="V530" i="13"/>
  <c r="V531" i="13"/>
  <c r="V532" i="13"/>
  <c r="V533" i="13"/>
  <c r="V534" i="13"/>
  <c r="V535" i="13"/>
  <c r="V536" i="13"/>
  <c r="V537" i="13"/>
  <c r="V538" i="13"/>
  <c r="V539" i="13"/>
  <c r="V540" i="13"/>
  <c r="V541" i="13"/>
  <c r="V542" i="13"/>
  <c r="V543" i="13"/>
  <c r="V544" i="13"/>
  <c r="V545" i="13"/>
  <c r="V546" i="13"/>
  <c r="V547" i="13"/>
  <c r="V548" i="13"/>
  <c r="V549" i="13"/>
  <c r="V550" i="13"/>
  <c r="V551" i="13"/>
  <c r="V552" i="13"/>
  <c r="V553" i="13"/>
  <c r="V554" i="13"/>
  <c r="V555" i="13"/>
  <c r="V556" i="13"/>
  <c r="V557" i="13"/>
  <c r="V558" i="13"/>
  <c r="V559" i="13"/>
  <c r="V560" i="13"/>
  <c r="V561" i="13"/>
  <c r="V562" i="13"/>
  <c r="V563" i="13"/>
  <c r="V564" i="13"/>
  <c r="V565" i="13"/>
  <c r="V566" i="13"/>
  <c r="V567" i="13"/>
  <c r="V568" i="13"/>
  <c r="V569" i="13"/>
  <c r="V570" i="13"/>
  <c r="V571" i="13"/>
  <c r="V572" i="13"/>
  <c r="V573" i="13"/>
  <c r="V574" i="13"/>
  <c r="V575" i="13"/>
  <c r="V576" i="13"/>
  <c r="V577" i="13"/>
  <c r="V578" i="13"/>
  <c r="V579" i="13"/>
  <c r="V580" i="13"/>
  <c r="V581" i="13"/>
  <c r="V582" i="13"/>
  <c r="V583" i="13"/>
  <c r="V584" i="13"/>
  <c r="V585" i="13"/>
  <c r="V586" i="13"/>
  <c r="V587" i="13"/>
  <c r="V588" i="13"/>
  <c r="V589" i="13"/>
  <c r="V590" i="13"/>
  <c r="V591" i="13"/>
  <c r="V592" i="13"/>
  <c r="V593" i="13"/>
  <c r="V594" i="13"/>
  <c r="V595" i="13"/>
  <c r="V596" i="13"/>
  <c r="V597" i="13"/>
  <c r="V598" i="13"/>
  <c r="V599" i="13"/>
  <c r="V600" i="13"/>
  <c r="V601" i="13"/>
  <c r="V602" i="13"/>
  <c r="V603" i="13"/>
  <c r="V604" i="13"/>
  <c r="V605" i="13"/>
  <c r="V606" i="13"/>
  <c r="V607" i="13"/>
  <c r="V608" i="13"/>
  <c r="V609" i="13"/>
  <c r="V610" i="13"/>
  <c r="V611" i="13"/>
  <c r="V612" i="13"/>
  <c r="V613" i="13"/>
  <c r="V614" i="13"/>
  <c r="V615" i="13"/>
  <c r="V616" i="13"/>
  <c r="V617" i="13"/>
  <c r="V618" i="13"/>
  <c r="V619" i="13"/>
  <c r="V620" i="13"/>
  <c r="V621" i="13"/>
  <c r="V622" i="13"/>
  <c r="V623" i="13"/>
  <c r="V624" i="13"/>
  <c r="V625" i="13"/>
  <c r="V626" i="13"/>
  <c r="V627" i="13"/>
  <c r="V628" i="13"/>
  <c r="V629" i="13"/>
  <c r="V630" i="13"/>
  <c r="V631" i="13"/>
  <c r="V632" i="13"/>
  <c r="V633" i="13"/>
  <c r="V634" i="13"/>
  <c r="V635" i="13"/>
  <c r="V636" i="13"/>
  <c r="V637" i="13"/>
  <c r="V638" i="13"/>
  <c r="V639" i="13"/>
  <c r="V640" i="13"/>
  <c r="V641" i="13"/>
  <c r="V642" i="13"/>
  <c r="V643" i="13"/>
  <c r="V644" i="13"/>
  <c r="V645" i="13"/>
  <c r="V646" i="13"/>
  <c r="V647" i="13"/>
  <c r="V648" i="13"/>
  <c r="V649" i="13"/>
  <c r="V650" i="13"/>
  <c r="V651" i="13"/>
  <c r="V652" i="13"/>
  <c r="V653" i="13"/>
  <c r="V654" i="13"/>
  <c r="V655" i="13"/>
  <c r="V656" i="13"/>
  <c r="V657" i="13"/>
  <c r="V658" i="13"/>
  <c r="V659" i="13"/>
  <c r="V660" i="13"/>
  <c r="V661" i="13"/>
  <c r="V662" i="13"/>
  <c r="V663" i="13"/>
  <c r="V664" i="13"/>
  <c r="V665" i="13"/>
  <c r="V666" i="13"/>
  <c r="V667" i="13"/>
  <c r="V668" i="13"/>
  <c r="V669" i="13"/>
  <c r="V670" i="13"/>
  <c r="V671" i="13"/>
  <c r="V672" i="13"/>
  <c r="V673" i="13"/>
  <c r="V674" i="13"/>
  <c r="V675" i="13"/>
  <c r="V676" i="13"/>
  <c r="V677" i="13"/>
  <c r="V678" i="13"/>
  <c r="V679" i="13"/>
  <c r="V680" i="13"/>
  <c r="V681" i="13"/>
  <c r="V682" i="13"/>
  <c r="V683" i="13"/>
  <c r="V684" i="13"/>
  <c r="V685" i="13"/>
  <c r="V686" i="13"/>
  <c r="V687" i="13"/>
  <c r="V688" i="13"/>
  <c r="V689" i="13"/>
  <c r="V690" i="13"/>
  <c r="V691" i="13"/>
  <c r="V692" i="13"/>
  <c r="V693" i="13"/>
  <c r="V694" i="13"/>
  <c r="V695" i="13"/>
  <c r="V696" i="13"/>
  <c r="V697" i="13"/>
  <c r="V698" i="13"/>
  <c r="V699" i="13"/>
  <c r="V700" i="13"/>
  <c r="T1" i="13"/>
  <c r="T2" i="13"/>
  <c r="T3" i="13"/>
  <c r="T4" i="13"/>
  <c r="T5" i="13"/>
  <c r="T6" i="13"/>
  <c r="T7" i="13"/>
  <c r="T8" i="13"/>
  <c r="T9" i="13"/>
  <c r="T10" i="13"/>
  <c r="T11" i="13"/>
  <c r="T12" i="13"/>
  <c r="T13" i="13"/>
  <c r="T14" i="13"/>
  <c r="T15" i="13"/>
  <c r="T16" i="13"/>
  <c r="T17" i="13"/>
  <c r="T18" i="13"/>
  <c r="T19" i="13"/>
  <c r="T20" i="13"/>
  <c r="T21" i="13"/>
  <c r="T22" i="13"/>
  <c r="T23" i="13"/>
  <c r="T24" i="13"/>
  <c r="T25" i="13"/>
  <c r="T26" i="13"/>
  <c r="T27" i="13"/>
  <c r="T28" i="13"/>
  <c r="T29" i="13"/>
  <c r="T30" i="13"/>
  <c r="T31" i="13"/>
  <c r="T32" i="13"/>
  <c r="T33" i="13"/>
  <c r="T34" i="13"/>
  <c r="T35" i="13"/>
  <c r="T36" i="13"/>
  <c r="T37" i="13"/>
  <c r="T38" i="13"/>
  <c r="T39" i="13"/>
  <c r="T40" i="13"/>
  <c r="T41" i="13"/>
  <c r="T42" i="13"/>
  <c r="T43" i="13"/>
  <c r="T44" i="13"/>
  <c r="T45" i="13"/>
  <c r="T46" i="13"/>
  <c r="T47" i="13"/>
  <c r="T48" i="13"/>
  <c r="T49" i="13"/>
  <c r="T50" i="13"/>
  <c r="T51" i="13"/>
  <c r="T52" i="13"/>
  <c r="T53" i="13"/>
  <c r="T54" i="13"/>
  <c r="T55" i="13"/>
  <c r="T56" i="13"/>
  <c r="T57" i="13"/>
  <c r="T58" i="13"/>
  <c r="T59" i="13"/>
  <c r="T60" i="13"/>
  <c r="T61" i="13"/>
  <c r="T62" i="13"/>
  <c r="T63" i="13"/>
  <c r="T64" i="13"/>
  <c r="T65" i="13"/>
  <c r="T66" i="13"/>
  <c r="T67" i="13"/>
  <c r="T68" i="13"/>
  <c r="T69" i="13"/>
  <c r="T70" i="13"/>
  <c r="T71" i="13"/>
  <c r="T72" i="13"/>
  <c r="T73" i="13"/>
  <c r="T74" i="13"/>
  <c r="T75" i="13"/>
  <c r="T76" i="13"/>
  <c r="T77" i="13"/>
  <c r="T78" i="13"/>
  <c r="T79" i="13"/>
  <c r="T80" i="13"/>
  <c r="T81" i="13"/>
  <c r="T82" i="13"/>
  <c r="T83" i="13"/>
  <c r="T84" i="13"/>
  <c r="T85" i="13"/>
  <c r="T86" i="13"/>
  <c r="T87" i="13"/>
  <c r="T88" i="13"/>
  <c r="T89" i="13"/>
  <c r="T90" i="13"/>
  <c r="T91" i="13"/>
  <c r="T92" i="13"/>
  <c r="T93" i="13"/>
  <c r="T94" i="13"/>
  <c r="T95" i="13"/>
  <c r="T96" i="13"/>
  <c r="T97" i="13"/>
  <c r="T98" i="13"/>
  <c r="T99" i="13"/>
  <c r="T100" i="13"/>
  <c r="T101" i="13"/>
  <c r="T102" i="13"/>
  <c r="T103" i="13"/>
  <c r="T104" i="13"/>
  <c r="T105" i="13"/>
  <c r="T106" i="13"/>
  <c r="T107" i="13"/>
  <c r="T108" i="13"/>
  <c r="T109" i="13"/>
  <c r="T110" i="13"/>
  <c r="T111" i="13"/>
  <c r="T112" i="13"/>
  <c r="T113" i="13"/>
  <c r="T114" i="13"/>
  <c r="T115" i="13"/>
  <c r="T116" i="13"/>
  <c r="T117" i="13"/>
  <c r="T118" i="13"/>
  <c r="T119" i="13"/>
  <c r="T120" i="13"/>
  <c r="T121" i="13"/>
  <c r="T122" i="13"/>
  <c r="T123" i="13"/>
  <c r="T124" i="13"/>
  <c r="T125" i="13"/>
  <c r="T126" i="13"/>
  <c r="T127" i="13"/>
  <c r="T128" i="13"/>
  <c r="T129" i="13"/>
  <c r="T130" i="13"/>
  <c r="T131" i="13"/>
  <c r="T132" i="13"/>
  <c r="T133" i="13"/>
  <c r="T134" i="13"/>
  <c r="T135" i="13"/>
  <c r="T136" i="13"/>
  <c r="T137" i="13"/>
  <c r="T138" i="13"/>
  <c r="T139" i="13"/>
  <c r="T140" i="13"/>
  <c r="T141" i="13"/>
  <c r="T142" i="13"/>
  <c r="T143" i="13"/>
  <c r="T144" i="13"/>
  <c r="T145" i="13"/>
  <c r="T146" i="13"/>
  <c r="T147" i="13"/>
  <c r="T148" i="13"/>
  <c r="T149" i="13"/>
  <c r="T150" i="13"/>
  <c r="T151" i="13"/>
  <c r="T152" i="13"/>
  <c r="T153" i="13"/>
  <c r="T154" i="13"/>
  <c r="T155" i="13"/>
  <c r="T156" i="13"/>
  <c r="T157" i="13"/>
  <c r="T158" i="13"/>
  <c r="T159" i="13"/>
  <c r="T160" i="13"/>
  <c r="T161" i="13"/>
  <c r="T162" i="13"/>
  <c r="T163" i="13"/>
  <c r="T164" i="13"/>
  <c r="T165" i="13"/>
  <c r="T166" i="13"/>
  <c r="T167" i="13"/>
  <c r="T168" i="13"/>
  <c r="T169" i="13"/>
  <c r="T170" i="13"/>
  <c r="T171" i="13"/>
  <c r="T172" i="13"/>
  <c r="T173" i="13"/>
  <c r="T174" i="13"/>
  <c r="T175" i="13"/>
  <c r="T176" i="13"/>
  <c r="T177" i="13"/>
  <c r="T178" i="13"/>
  <c r="T179" i="13"/>
  <c r="T180" i="13"/>
  <c r="T181" i="13"/>
  <c r="T182" i="13"/>
  <c r="T183" i="13"/>
  <c r="T184" i="13"/>
  <c r="T185" i="13"/>
  <c r="T186" i="13"/>
  <c r="T187" i="13"/>
  <c r="T188" i="13"/>
  <c r="T189" i="13"/>
  <c r="T190" i="13"/>
  <c r="T191" i="13"/>
  <c r="T192" i="13"/>
  <c r="T193" i="13"/>
  <c r="T194" i="13"/>
  <c r="T195" i="13"/>
  <c r="T196" i="13"/>
  <c r="T197" i="13"/>
  <c r="T198" i="13"/>
  <c r="T199" i="13"/>
  <c r="T200" i="13"/>
  <c r="T201" i="13"/>
  <c r="T202" i="13"/>
  <c r="T203" i="13"/>
  <c r="T204" i="13"/>
  <c r="T205" i="13"/>
  <c r="T206" i="13"/>
  <c r="T207" i="13"/>
  <c r="T208" i="13"/>
  <c r="T209" i="13"/>
  <c r="T210" i="13"/>
  <c r="T211" i="13"/>
  <c r="T212" i="13"/>
  <c r="T213" i="13"/>
  <c r="T214" i="13"/>
  <c r="T215" i="13"/>
  <c r="T216" i="13"/>
  <c r="T217" i="13"/>
  <c r="T218" i="13"/>
  <c r="T219" i="13"/>
  <c r="T220" i="13"/>
  <c r="T221" i="13"/>
  <c r="T222" i="13"/>
  <c r="T223" i="13"/>
  <c r="T224" i="13"/>
  <c r="T225" i="13"/>
  <c r="T226" i="13"/>
  <c r="T227" i="13"/>
  <c r="T228" i="13"/>
  <c r="T229" i="13"/>
  <c r="T230" i="13"/>
  <c r="T231" i="13"/>
  <c r="T232" i="13"/>
  <c r="T233" i="13"/>
  <c r="T234" i="13"/>
  <c r="T235" i="13"/>
  <c r="T236" i="13"/>
  <c r="T237" i="13"/>
  <c r="T238" i="13"/>
  <c r="T239" i="13"/>
  <c r="T240" i="13"/>
  <c r="T241" i="13"/>
  <c r="T242" i="13"/>
  <c r="T243" i="13"/>
  <c r="T244" i="13"/>
  <c r="T245" i="13"/>
  <c r="T246" i="13"/>
  <c r="T247" i="13"/>
  <c r="T248" i="13"/>
  <c r="T249" i="13"/>
  <c r="T250" i="13"/>
  <c r="T251" i="13"/>
  <c r="T252" i="13"/>
  <c r="T253" i="13"/>
  <c r="T254" i="13"/>
  <c r="T255" i="13"/>
  <c r="T256" i="13"/>
  <c r="T257" i="13"/>
  <c r="T258" i="13"/>
  <c r="T259" i="13"/>
  <c r="T260" i="13"/>
  <c r="T261" i="13"/>
  <c r="T262" i="13"/>
  <c r="T263" i="13"/>
  <c r="T264" i="13"/>
  <c r="T265" i="13"/>
  <c r="T266" i="13"/>
  <c r="T267" i="13"/>
  <c r="T268" i="13"/>
  <c r="T269" i="13"/>
  <c r="T270" i="13"/>
  <c r="T271" i="13"/>
  <c r="T272" i="13"/>
  <c r="T273" i="13"/>
  <c r="T274" i="13"/>
  <c r="T275" i="13"/>
  <c r="T276" i="13"/>
  <c r="T277" i="13"/>
  <c r="T278" i="13"/>
  <c r="T279" i="13"/>
  <c r="T280" i="13"/>
  <c r="T281" i="13"/>
  <c r="T282" i="13"/>
  <c r="T283" i="13"/>
  <c r="T284" i="13"/>
  <c r="T285" i="13"/>
  <c r="T286" i="13"/>
  <c r="T287" i="13"/>
  <c r="T288" i="13"/>
  <c r="T289" i="13"/>
  <c r="T290" i="13"/>
  <c r="T291" i="13"/>
  <c r="T292" i="13"/>
  <c r="T293" i="13"/>
  <c r="T294" i="13"/>
  <c r="T295" i="13"/>
  <c r="T296" i="13"/>
  <c r="T297" i="13"/>
  <c r="T298" i="13"/>
  <c r="T299" i="13"/>
  <c r="T300" i="13"/>
  <c r="T301" i="13"/>
  <c r="T302" i="13"/>
  <c r="T303" i="13"/>
  <c r="T304" i="13"/>
  <c r="T305" i="13"/>
  <c r="T306" i="13"/>
  <c r="T307" i="13"/>
  <c r="T308" i="13"/>
  <c r="T309" i="13"/>
  <c r="T310" i="13"/>
  <c r="T311" i="13"/>
  <c r="T312" i="13"/>
  <c r="T313" i="13"/>
  <c r="T314" i="13"/>
  <c r="T315" i="13"/>
  <c r="T316" i="13"/>
  <c r="T317" i="13"/>
  <c r="T318" i="13"/>
  <c r="T319" i="13"/>
  <c r="T320" i="13"/>
  <c r="T321" i="13"/>
  <c r="T322" i="13"/>
  <c r="T323" i="13"/>
  <c r="T324" i="13"/>
  <c r="T325" i="13"/>
  <c r="T326" i="13"/>
  <c r="T327" i="13"/>
  <c r="T328" i="13"/>
  <c r="T329" i="13"/>
  <c r="T330" i="13"/>
  <c r="T331" i="13"/>
  <c r="T332" i="13"/>
  <c r="T333" i="13"/>
  <c r="T334" i="13"/>
  <c r="T335" i="13"/>
  <c r="T336" i="13"/>
  <c r="T337" i="13"/>
  <c r="T338" i="13"/>
  <c r="T339" i="13"/>
  <c r="T340" i="13"/>
  <c r="T341" i="13"/>
  <c r="T342" i="13"/>
  <c r="T343" i="13"/>
  <c r="T344" i="13"/>
  <c r="T345" i="13"/>
  <c r="T346" i="13"/>
  <c r="T347" i="13"/>
  <c r="T348" i="13"/>
  <c r="T349" i="13"/>
  <c r="T350" i="13"/>
  <c r="T351" i="13"/>
  <c r="T352" i="13"/>
  <c r="T353" i="13"/>
  <c r="T354" i="13"/>
  <c r="T355" i="13"/>
  <c r="T356" i="13"/>
  <c r="T357" i="13"/>
  <c r="T358" i="13"/>
  <c r="T359" i="13"/>
  <c r="T360" i="13"/>
  <c r="T361" i="13"/>
  <c r="T362" i="13"/>
  <c r="T363" i="13"/>
  <c r="T364" i="13"/>
  <c r="T365" i="13"/>
  <c r="T366" i="13"/>
  <c r="T367" i="13"/>
  <c r="T368" i="13"/>
  <c r="T369" i="13"/>
  <c r="T370" i="13"/>
  <c r="T371" i="13"/>
  <c r="T372" i="13"/>
  <c r="T373" i="13"/>
  <c r="T374" i="13"/>
  <c r="T375" i="13"/>
  <c r="T376" i="13"/>
  <c r="T377" i="13"/>
  <c r="T378" i="13"/>
  <c r="T379" i="13"/>
  <c r="T380" i="13"/>
  <c r="T381" i="13"/>
  <c r="T382" i="13"/>
  <c r="T383" i="13"/>
  <c r="T384" i="13"/>
  <c r="T385" i="13"/>
  <c r="T386" i="13"/>
  <c r="T387" i="13"/>
  <c r="T388" i="13"/>
  <c r="T389" i="13"/>
  <c r="T390" i="13"/>
  <c r="T391" i="13"/>
  <c r="T392" i="13"/>
  <c r="T393" i="13"/>
  <c r="T394" i="13"/>
  <c r="T395" i="13"/>
  <c r="T396" i="13"/>
  <c r="T397" i="13"/>
  <c r="T398" i="13"/>
  <c r="T399" i="13"/>
  <c r="T400" i="13"/>
  <c r="T401" i="13"/>
  <c r="T402" i="13"/>
  <c r="T403" i="13"/>
  <c r="T404" i="13"/>
  <c r="T405" i="13"/>
  <c r="T406" i="13"/>
  <c r="T407" i="13"/>
  <c r="T408" i="13"/>
  <c r="T409" i="13"/>
  <c r="T410" i="13"/>
  <c r="T411" i="13"/>
  <c r="T412" i="13"/>
  <c r="T413" i="13"/>
  <c r="T414" i="13"/>
  <c r="T415" i="13"/>
  <c r="T416" i="13"/>
  <c r="T417" i="13"/>
  <c r="T418" i="13"/>
  <c r="T419" i="13"/>
  <c r="T420" i="13"/>
  <c r="T421" i="13"/>
  <c r="T422" i="13"/>
  <c r="T423" i="13"/>
  <c r="T424" i="13"/>
  <c r="T425" i="13"/>
  <c r="T426" i="13"/>
  <c r="T427" i="13"/>
  <c r="T428" i="13"/>
  <c r="T429" i="13"/>
  <c r="T430" i="13"/>
  <c r="T431" i="13"/>
  <c r="T432" i="13"/>
  <c r="T433" i="13"/>
  <c r="T434" i="13"/>
  <c r="T435" i="13"/>
  <c r="T436" i="13"/>
  <c r="T437" i="13"/>
  <c r="T438" i="13"/>
  <c r="T439" i="13"/>
  <c r="T440" i="13"/>
  <c r="T441" i="13"/>
  <c r="T442" i="13"/>
  <c r="T443" i="13"/>
  <c r="T444" i="13"/>
  <c r="T445" i="13"/>
  <c r="T446" i="13"/>
  <c r="T447" i="13"/>
  <c r="T448" i="13"/>
  <c r="T449" i="13"/>
  <c r="T450" i="13"/>
  <c r="T451" i="13"/>
  <c r="T452" i="13"/>
  <c r="T453" i="13"/>
  <c r="T454" i="13"/>
  <c r="T455" i="13"/>
  <c r="T456" i="13"/>
  <c r="T457" i="13"/>
  <c r="T458" i="13"/>
  <c r="T459" i="13"/>
  <c r="T460" i="13"/>
  <c r="T461" i="13"/>
  <c r="T462" i="13"/>
  <c r="T463" i="13"/>
  <c r="T464" i="13"/>
  <c r="T465" i="13"/>
  <c r="T466" i="13"/>
  <c r="T467" i="13"/>
  <c r="T468" i="13"/>
  <c r="T469" i="13"/>
  <c r="T470" i="13"/>
  <c r="T471" i="13"/>
  <c r="T472" i="13"/>
  <c r="T473" i="13"/>
  <c r="T474" i="13"/>
  <c r="T475" i="13"/>
  <c r="T476" i="13"/>
  <c r="T477" i="13"/>
  <c r="T478" i="13"/>
  <c r="T479" i="13"/>
  <c r="T480" i="13"/>
  <c r="T481" i="13"/>
  <c r="T482" i="13"/>
  <c r="T483" i="13"/>
  <c r="T484" i="13"/>
  <c r="T485" i="13"/>
  <c r="T486" i="13"/>
  <c r="T487" i="13"/>
  <c r="T488" i="13"/>
  <c r="T489" i="13"/>
  <c r="T490" i="13"/>
  <c r="T491" i="13"/>
  <c r="T492" i="13"/>
  <c r="T493" i="13"/>
  <c r="T494" i="13"/>
  <c r="T495" i="13"/>
  <c r="T496" i="13"/>
  <c r="T497" i="13"/>
  <c r="T498" i="13"/>
  <c r="T499" i="13"/>
  <c r="T500" i="13"/>
  <c r="T501" i="13"/>
  <c r="T502" i="13"/>
  <c r="T503" i="13"/>
  <c r="T504" i="13"/>
  <c r="T505" i="13"/>
  <c r="T506" i="13"/>
  <c r="T507" i="13"/>
  <c r="T508" i="13"/>
  <c r="T509" i="13"/>
  <c r="T510" i="13"/>
  <c r="T511" i="13"/>
  <c r="T512" i="13"/>
  <c r="T513" i="13"/>
  <c r="T514" i="13"/>
  <c r="T515" i="13"/>
  <c r="T516" i="13"/>
  <c r="T517" i="13"/>
  <c r="T518" i="13"/>
  <c r="T519" i="13"/>
  <c r="T520" i="13"/>
  <c r="T521" i="13"/>
  <c r="T522" i="13"/>
  <c r="T523" i="13"/>
  <c r="T524" i="13"/>
  <c r="T525" i="13"/>
  <c r="T526" i="13"/>
  <c r="T527" i="13"/>
  <c r="T528" i="13"/>
  <c r="T529" i="13"/>
  <c r="T530" i="13"/>
  <c r="T531" i="13"/>
  <c r="T532" i="13"/>
  <c r="T533" i="13"/>
  <c r="T534" i="13"/>
  <c r="T535" i="13"/>
  <c r="T536" i="13"/>
  <c r="T537" i="13"/>
  <c r="T538" i="13"/>
  <c r="T539" i="13"/>
  <c r="T540" i="13"/>
  <c r="T541" i="13"/>
  <c r="T542" i="13"/>
  <c r="T543" i="13"/>
  <c r="T544" i="13"/>
  <c r="T545" i="13"/>
  <c r="T546" i="13"/>
  <c r="T547" i="13"/>
  <c r="T548" i="13"/>
  <c r="T549" i="13"/>
  <c r="T550" i="13"/>
  <c r="T551" i="13"/>
  <c r="T552" i="13"/>
  <c r="T553" i="13"/>
  <c r="T554" i="13"/>
  <c r="T555" i="13"/>
  <c r="T556" i="13"/>
  <c r="T557" i="13"/>
  <c r="T558" i="13"/>
  <c r="T559" i="13"/>
  <c r="T560" i="13"/>
  <c r="T561" i="13"/>
  <c r="T562" i="13"/>
  <c r="T563" i="13"/>
  <c r="T564" i="13"/>
  <c r="T565" i="13"/>
  <c r="T566" i="13"/>
  <c r="T567" i="13"/>
  <c r="T568" i="13"/>
  <c r="T569" i="13"/>
  <c r="T570" i="13"/>
  <c r="T571" i="13"/>
  <c r="T572" i="13"/>
  <c r="T573" i="13"/>
  <c r="T574" i="13"/>
  <c r="T575" i="13"/>
  <c r="T576" i="13"/>
  <c r="T577" i="13"/>
  <c r="T578" i="13"/>
  <c r="T579" i="13"/>
  <c r="T580" i="13"/>
  <c r="T581" i="13"/>
  <c r="T582" i="13"/>
  <c r="T583" i="13"/>
  <c r="T584" i="13"/>
  <c r="T585" i="13"/>
  <c r="T586" i="13"/>
  <c r="T587" i="13"/>
  <c r="T588" i="13"/>
  <c r="T589" i="13"/>
  <c r="T590" i="13"/>
  <c r="T591" i="13"/>
  <c r="T592" i="13"/>
  <c r="T593" i="13"/>
  <c r="T594" i="13"/>
  <c r="T595" i="13"/>
  <c r="T596" i="13"/>
  <c r="T597" i="13"/>
  <c r="T598" i="13"/>
  <c r="T599" i="13"/>
  <c r="T600" i="13"/>
  <c r="T601" i="13"/>
  <c r="T602" i="13"/>
  <c r="T603" i="13"/>
  <c r="T604" i="13"/>
  <c r="T605" i="13"/>
  <c r="T606" i="13"/>
  <c r="T607" i="13"/>
  <c r="T608" i="13"/>
  <c r="T609" i="13"/>
  <c r="T610" i="13"/>
  <c r="T611" i="13"/>
  <c r="T612" i="13"/>
  <c r="T613" i="13"/>
  <c r="T614" i="13"/>
  <c r="T615" i="13"/>
  <c r="T616" i="13"/>
  <c r="T617" i="13"/>
  <c r="T618" i="13"/>
  <c r="T619" i="13"/>
  <c r="T620" i="13"/>
  <c r="T621" i="13"/>
  <c r="T622" i="13"/>
  <c r="T623" i="13"/>
  <c r="T624" i="13"/>
  <c r="T625" i="13"/>
  <c r="T626" i="13"/>
  <c r="T627" i="13"/>
  <c r="T628" i="13"/>
  <c r="T629" i="13"/>
  <c r="T630" i="13"/>
  <c r="T631" i="13"/>
  <c r="T632" i="13"/>
  <c r="T633" i="13"/>
  <c r="T634" i="13"/>
  <c r="T635" i="13"/>
  <c r="T636" i="13"/>
  <c r="T637" i="13"/>
  <c r="T638" i="13"/>
  <c r="T639" i="13"/>
  <c r="T640" i="13"/>
  <c r="T641" i="13"/>
  <c r="T642" i="13"/>
  <c r="T643" i="13"/>
  <c r="T644" i="13"/>
  <c r="T645" i="13"/>
  <c r="T646" i="13"/>
  <c r="T647" i="13"/>
  <c r="T648" i="13"/>
  <c r="T649" i="13"/>
  <c r="T650" i="13"/>
  <c r="T651" i="13"/>
  <c r="T652" i="13"/>
  <c r="T653" i="13"/>
  <c r="T654" i="13"/>
  <c r="T655" i="13"/>
  <c r="T656" i="13"/>
  <c r="T657" i="13"/>
  <c r="T658" i="13"/>
  <c r="T659" i="13"/>
  <c r="T660" i="13"/>
  <c r="T661" i="13"/>
  <c r="T662" i="13"/>
  <c r="T663" i="13"/>
  <c r="T664" i="13"/>
  <c r="T665" i="13"/>
  <c r="T666" i="13"/>
  <c r="T667" i="13"/>
  <c r="T668" i="13"/>
  <c r="T669" i="13"/>
  <c r="T670" i="13"/>
  <c r="T671" i="13"/>
  <c r="T672" i="13"/>
  <c r="T673" i="13"/>
  <c r="T674" i="13"/>
  <c r="T675" i="13"/>
  <c r="T676" i="13"/>
  <c r="T677" i="13"/>
  <c r="T678" i="13"/>
  <c r="T679" i="13"/>
  <c r="T680" i="13"/>
  <c r="T681" i="13"/>
  <c r="T682" i="13"/>
  <c r="T683" i="13"/>
  <c r="T684" i="13"/>
  <c r="T685" i="13"/>
  <c r="T686" i="13"/>
  <c r="T687" i="13"/>
  <c r="T688" i="13"/>
  <c r="T689" i="13"/>
  <c r="T690" i="13"/>
  <c r="T691" i="13"/>
  <c r="T692" i="13"/>
  <c r="T693" i="13"/>
  <c r="T694" i="13"/>
  <c r="T695" i="13"/>
  <c r="T696" i="13"/>
  <c r="T697" i="13"/>
  <c r="T698" i="13"/>
  <c r="T699" i="13"/>
  <c r="T700" i="13"/>
  <c r="S1" i="13"/>
  <c r="S2" i="13"/>
  <c r="S3" i="13"/>
  <c r="S4" i="13"/>
  <c r="S5" i="13"/>
  <c r="S6" i="13"/>
  <c r="S7" i="13"/>
  <c r="S8" i="13"/>
  <c r="S9" i="13"/>
  <c r="S10" i="13"/>
  <c r="S11" i="13"/>
  <c r="S12" i="13"/>
  <c r="S13" i="13"/>
  <c r="S14" i="13"/>
  <c r="S15" i="13"/>
  <c r="S16" i="13"/>
  <c r="S17" i="13"/>
  <c r="S18" i="13"/>
  <c r="S19" i="13"/>
  <c r="S20" i="13"/>
  <c r="S21" i="13"/>
  <c r="S22" i="13"/>
  <c r="S23" i="13"/>
  <c r="S24" i="13"/>
  <c r="S25" i="13"/>
  <c r="S26" i="13"/>
  <c r="S27" i="13"/>
  <c r="S28" i="13"/>
  <c r="S29" i="13"/>
  <c r="S30" i="13"/>
  <c r="S31" i="13"/>
  <c r="S32" i="13"/>
  <c r="S33" i="13"/>
  <c r="S34" i="13"/>
  <c r="S35" i="13"/>
  <c r="S36" i="13"/>
  <c r="S37" i="13"/>
  <c r="S38" i="13"/>
  <c r="S39" i="13"/>
  <c r="S40" i="13"/>
  <c r="S41" i="13"/>
  <c r="S42" i="13"/>
  <c r="S43" i="13"/>
  <c r="S44" i="13"/>
  <c r="S45" i="13"/>
  <c r="S46" i="13"/>
  <c r="S47" i="13"/>
  <c r="S48" i="13"/>
  <c r="S49" i="13"/>
  <c r="S50" i="13"/>
  <c r="S51" i="13"/>
  <c r="S52" i="13"/>
  <c r="S53" i="13"/>
  <c r="S54" i="13"/>
  <c r="S55" i="13"/>
  <c r="S56" i="13"/>
  <c r="S57" i="13"/>
  <c r="S58" i="13"/>
  <c r="S59" i="13"/>
  <c r="S60" i="13"/>
  <c r="S61" i="13"/>
  <c r="S62" i="13"/>
  <c r="S63" i="13"/>
  <c r="S64" i="13"/>
  <c r="S65" i="13"/>
  <c r="S66" i="13"/>
  <c r="S67" i="13"/>
  <c r="S68" i="13"/>
  <c r="S69" i="13"/>
  <c r="S70" i="13"/>
  <c r="S71" i="13"/>
  <c r="S72" i="13"/>
  <c r="S73" i="13"/>
  <c r="S74" i="13"/>
  <c r="S75" i="13"/>
  <c r="S76" i="13"/>
  <c r="S77" i="13"/>
  <c r="S78" i="13"/>
  <c r="S79" i="13"/>
  <c r="S80" i="13"/>
  <c r="S81" i="13"/>
  <c r="S82" i="13"/>
  <c r="S83" i="13"/>
  <c r="S84" i="13"/>
  <c r="S85" i="13"/>
  <c r="S86" i="13"/>
  <c r="S87" i="13"/>
  <c r="S88" i="13"/>
  <c r="S89" i="13"/>
  <c r="S90" i="13"/>
  <c r="S91" i="13"/>
  <c r="S92" i="13"/>
  <c r="S93" i="13"/>
  <c r="S94" i="13"/>
  <c r="S95" i="13"/>
  <c r="S96" i="13"/>
  <c r="S97" i="13"/>
  <c r="S98" i="13"/>
  <c r="S99" i="13"/>
  <c r="S100" i="13"/>
  <c r="S101" i="13"/>
  <c r="S102" i="13"/>
  <c r="S103" i="13"/>
  <c r="S104" i="13"/>
  <c r="S105" i="13"/>
  <c r="S106" i="13"/>
  <c r="S107" i="13"/>
  <c r="S108" i="13"/>
  <c r="S109" i="13"/>
  <c r="S110" i="13"/>
  <c r="S111" i="13"/>
  <c r="S112" i="13"/>
  <c r="S113" i="13"/>
  <c r="S114" i="13"/>
  <c r="S115" i="13"/>
  <c r="S116" i="13"/>
  <c r="S117" i="13"/>
  <c r="S118" i="13"/>
  <c r="S119" i="13"/>
  <c r="S120" i="13"/>
  <c r="S121" i="13"/>
  <c r="S122" i="13"/>
  <c r="S123" i="13"/>
  <c r="S124" i="13"/>
  <c r="S125" i="13"/>
  <c r="S126" i="13"/>
  <c r="S127" i="13"/>
  <c r="S128" i="13"/>
  <c r="S129" i="13"/>
  <c r="S130" i="13"/>
  <c r="S131" i="13"/>
  <c r="S132" i="13"/>
  <c r="S133" i="13"/>
  <c r="S134" i="13"/>
  <c r="S135" i="13"/>
  <c r="S136" i="13"/>
  <c r="S137" i="13"/>
  <c r="S138" i="13"/>
  <c r="S139" i="13"/>
  <c r="S140" i="13"/>
  <c r="S141" i="13"/>
  <c r="S142" i="13"/>
  <c r="S143" i="13"/>
  <c r="S144" i="13"/>
  <c r="S145" i="13"/>
  <c r="S146" i="13"/>
  <c r="S147" i="13"/>
  <c r="S148" i="13"/>
  <c r="S149" i="13"/>
  <c r="S150" i="13"/>
  <c r="S151" i="13"/>
  <c r="S152" i="13"/>
  <c r="S153" i="13"/>
  <c r="S154" i="13"/>
  <c r="S155" i="13"/>
  <c r="S156" i="13"/>
  <c r="S157" i="13"/>
  <c r="S158" i="13"/>
  <c r="S159" i="13"/>
  <c r="S160" i="13"/>
  <c r="S161" i="13"/>
  <c r="S162" i="13"/>
  <c r="S163" i="13"/>
  <c r="S164" i="13"/>
  <c r="S165" i="13"/>
  <c r="S166" i="13"/>
  <c r="S167" i="13"/>
  <c r="S168" i="13"/>
  <c r="S169" i="13"/>
  <c r="S170" i="13"/>
  <c r="S171" i="13"/>
  <c r="S172" i="13"/>
  <c r="S173" i="13"/>
  <c r="S174" i="13"/>
  <c r="S175" i="13"/>
  <c r="S176" i="13"/>
  <c r="S177" i="13"/>
  <c r="S178" i="13"/>
  <c r="S179" i="13"/>
  <c r="S180" i="13"/>
  <c r="S181" i="13"/>
  <c r="S182" i="13"/>
  <c r="S183" i="13"/>
  <c r="S184" i="13"/>
  <c r="S185" i="13"/>
  <c r="S186" i="13"/>
  <c r="S187" i="13"/>
  <c r="S188" i="13"/>
  <c r="S189" i="13"/>
  <c r="S190" i="13"/>
  <c r="S191" i="13"/>
  <c r="S192" i="13"/>
  <c r="S193" i="13"/>
  <c r="S194" i="13"/>
  <c r="S195" i="13"/>
  <c r="S196" i="13"/>
  <c r="S197" i="13"/>
  <c r="S198" i="13"/>
  <c r="S199" i="13"/>
  <c r="S200" i="13"/>
  <c r="S201" i="13"/>
  <c r="S202" i="13"/>
  <c r="S203" i="13"/>
  <c r="S204" i="13"/>
  <c r="S205" i="13"/>
  <c r="S206" i="13"/>
  <c r="S207" i="13"/>
  <c r="S208" i="13"/>
  <c r="S209" i="13"/>
  <c r="S210" i="13"/>
  <c r="S211" i="13"/>
  <c r="S212" i="13"/>
  <c r="S213" i="13"/>
  <c r="S214" i="13"/>
  <c r="S215" i="13"/>
  <c r="S216" i="13"/>
  <c r="S217" i="13"/>
  <c r="S218" i="13"/>
  <c r="S219" i="13"/>
  <c r="S220" i="13"/>
  <c r="S221" i="13"/>
  <c r="S222" i="13"/>
  <c r="S223" i="13"/>
  <c r="S224" i="13"/>
  <c r="S225" i="13"/>
  <c r="S226" i="13"/>
  <c r="S227" i="13"/>
  <c r="S228" i="13"/>
  <c r="S229" i="13"/>
  <c r="S230" i="13"/>
  <c r="S231" i="13"/>
  <c r="S232" i="13"/>
  <c r="S233" i="13"/>
  <c r="S234" i="13"/>
  <c r="S235" i="13"/>
  <c r="S236" i="13"/>
  <c r="S237" i="13"/>
  <c r="S238" i="13"/>
  <c r="S239" i="13"/>
  <c r="S240" i="13"/>
  <c r="S241" i="13"/>
  <c r="S242" i="13"/>
  <c r="S243" i="13"/>
  <c r="S244" i="13"/>
  <c r="S245" i="13"/>
  <c r="S246" i="13"/>
  <c r="S247" i="13"/>
  <c r="S248" i="13"/>
  <c r="S249" i="13"/>
  <c r="S250" i="13"/>
  <c r="S251" i="13"/>
  <c r="S252" i="13"/>
  <c r="S253" i="13"/>
  <c r="S254" i="13"/>
  <c r="S255" i="13"/>
  <c r="S256" i="13"/>
  <c r="S257" i="13"/>
  <c r="S258" i="13"/>
  <c r="S259" i="13"/>
  <c r="S260" i="13"/>
  <c r="S261" i="13"/>
  <c r="S262" i="13"/>
  <c r="S263" i="13"/>
  <c r="S264" i="13"/>
  <c r="S265" i="13"/>
  <c r="S266" i="13"/>
  <c r="S267" i="13"/>
  <c r="S268" i="13"/>
  <c r="S269" i="13"/>
  <c r="S270" i="13"/>
  <c r="S271" i="13"/>
  <c r="S272" i="13"/>
  <c r="S273" i="13"/>
  <c r="S274" i="13"/>
  <c r="S275" i="13"/>
  <c r="S276" i="13"/>
  <c r="S277" i="13"/>
  <c r="S278" i="13"/>
  <c r="S279" i="13"/>
  <c r="S280" i="13"/>
  <c r="S281" i="13"/>
  <c r="S282" i="13"/>
  <c r="S283" i="13"/>
  <c r="S284" i="13"/>
  <c r="S285" i="13"/>
  <c r="S286" i="13"/>
  <c r="S287" i="13"/>
  <c r="S288" i="13"/>
  <c r="S289" i="13"/>
  <c r="S290" i="13"/>
  <c r="S291" i="13"/>
  <c r="S292" i="13"/>
  <c r="S293" i="13"/>
  <c r="S294" i="13"/>
  <c r="S295" i="13"/>
  <c r="S296" i="13"/>
  <c r="S297" i="13"/>
  <c r="S298" i="13"/>
  <c r="S299" i="13"/>
  <c r="S300" i="13"/>
  <c r="S301" i="13"/>
  <c r="S302" i="13"/>
  <c r="S303" i="13"/>
  <c r="S304" i="13"/>
  <c r="S305" i="13"/>
  <c r="S306" i="13"/>
  <c r="S307" i="13"/>
  <c r="S308" i="13"/>
  <c r="S309" i="13"/>
  <c r="S310" i="13"/>
  <c r="S311" i="13"/>
  <c r="S312" i="13"/>
  <c r="S313" i="13"/>
  <c r="S314" i="13"/>
  <c r="S315" i="13"/>
  <c r="S316" i="13"/>
  <c r="S317" i="13"/>
  <c r="S318" i="13"/>
  <c r="S319" i="13"/>
  <c r="S320" i="13"/>
  <c r="S321" i="13"/>
  <c r="S322" i="13"/>
  <c r="S323" i="13"/>
  <c r="S324" i="13"/>
  <c r="S325" i="13"/>
  <c r="S326" i="13"/>
  <c r="S327" i="13"/>
  <c r="S328" i="13"/>
  <c r="S329" i="13"/>
  <c r="S330" i="13"/>
  <c r="S331" i="13"/>
  <c r="S332" i="13"/>
  <c r="S333" i="13"/>
  <c r="S334" i="13"/>
  <c r="S335" i="13"/>
  <c r="S336" i="13"/>
  <c r="S337" i="13"/>
  <c r="S338" i="13"/>
  <c r="S339" i="13"/>
  <c r="S340" i="13"/>
  <c r="S341" i="13"/>
  <c r="S342" i="13"/>
  <c r="S343" i="13"/>
  <c r="S344" i="13"/>
  <c r="S345" i="13"/>
  <c r="S346" i="13"/>
  <c r="S347" i="13"/>
  <c r="S348" i="13"/>
  <c r="S349" i="13"/>
  <c r="S350" i="13"/>
  <c r="S351" i="13"/>
  <c r="S352" i="13"/>
  <c r="S353" i="13"/>
  <c r="S354" i="13"/>
  <c r="S355" i="13"/>
  <c r="S356" i="13"/>
  <c r="S357" i="13"/>
  <c r="S358" i="13"/>
  <c r="S359" i="13"/>
  <c r="S360" i="13"/>
  <c r="S361" i="13"/>
  <c r="S362" i="13"/>
  <c r="S363" i="13"/>
  <c r="S364" i="13"/>
  <c r="S365" i="13"/>
  <c r="S366" i="13"/>
  <c r="S367" i="13"/>
  <c r="S368" i="13"/>
  <c r="S369" i="13"/>
  <c r="S370" i="13"/>
  <c r="S371" i="13"/>
  <c r="S372" i="13"/>
  <c r="S373" i="13"/>
  <c r="S374" i="13"/>
  <c r="S375" i="13"/>
  <c r="S376" i="13"/>
  <c r="S377" i="13"/>
  <c r="S378" i="13"/>
  <c r="S379" i="13"/>
  <c r="S380" i="13"/>
  <c r="S381" i="13"/>
  <c r="S382" i="13"/>
  <c r="S383" i="13"/>
  <c r="S384" i="13"/>
  <c r="S385" i="13"/>
  <c r="S386" i="13"/>
  <c r="S387" i="13"/>
  <c r="S388" i="13"/>
  <c r="S389" i="13"/>
  <c r="S390" i="13"/>
  <c r="S391" i="13"/>
  <c r="S392" i="13"/>
  <c r="S393" i="13"/>
  <c r="S394" i="13"/>
  <c r="S395" i="13"/>
  <c r="S396" i="13"/>
  <c r="S397" i="13"/>
  <c r="S398" i="13"/>
  <c r="S399" i="13"/>
  <c r="S400" i="13"/>
  <c r="S401" i="13"/>
  <c r="S402" i="13"/>
  <c r="S403" i="13"/>
  <c r="S404" i="13"/>
  <c r="S405" i="13"/>
  <c r="S406" i="13"/>
  <c r="S407" i="13"/>
  <c r="S408" i="13"/>
  <c r="S409" i="13"/>
  <c r="S410" i="13"/>
  <c r="S411" i="13"/>
  <c r="S412" i="13"/>
  <c r="S413" i="13"/>
  <c r="S414" i="13"/>
  <c r="S415" i="13"/>
  <c r="S416" i="13"/>
  <c r="S417" i="13"/>
  <c r="S418" i="13"/>
  <c r="S419" i="13"/>
  <c r="S420" i="13"/>
  <c r="S421" i="13"/>
  <c r="S422" i="13"/>
  <c r="S423" i="13"/>
  <c r="S424" i="13"/>
  <c r="S425" i="13"/>
  <c r="S426" i="13"/>
  <c r="S427" i="13"/>
  <c r="S428" i="13"/>
  <c r="S429" i="13"/>
  <c r="S430" i="13"/>
  <c r="S431" i="13"/>
  <c r="S432" i="13"/>
  <c r="S433" i="13"/>
  <c r="S434" i="13"/>
  <c r="S435" i="13"/>
  <c r="S436" i="13"/>
  <c r="S437" i="13"/>
  <c r="S438" i="13"/>
  <c r="S439" i="13"/>
  <c r="S440" i="13"/>
  <c r="S441" i="13"/>
  <c r="S442" i="13"/>
  <c r="S443" i="13"/>
  <c r="S444" i="13"/>
  <c r="S445" i="13"/>
  <c r="S446" i="13"/>
  <c r="S447" i="13"/>
  <c r="S448" i="13"/>
  <c r="S449" i="13"/>
  <c r="S450" i="13"/>
  <c r="S451" i="13"/>
  <c r="S452" i="13"/>
  <c r="S453" i="13"/>
  <c r="S454" i="13"/>
  <c r="S455" i="13"/>
  <c r="S456" i="13"/>
  <c r="S457" i="13"/>
  <c r="S458" i="13"/>
  <c r="S459" i="13"/>
  <c r="S460" i="13"/>
  <c r="S461" i="13"/>
  <c r="S462" i="13"/>
  <c r="S463" i="13"/>
  <c r="S464" i="13"/>
  <c r="S465" i="13"/>
  <c r="S466" i="13"/>
  <c r="S467" i="13"/>
  <c r="S468" i="13"/>
  <c r="S469" i="13"/>
  <c r="S470" i="13"/>
  <c r="S471" i="13"/>
  <c r="S472" i="13"/>
  <c r="S473" i="13"/>
  <c r="S474" i="13"/>
  <c r="S475" i="13"/>
  <c r="S476" i="13"/>
  <c r="S477" i="13"/>
  <c r="S478" i="13"/>
  <c r="S479" i="13"/>
  <c r="S480" i="13"/>
  <c r="S481" i="13"/>
  <c r="S482" i="13"/>
  <c r="S483" i="13"/>
  <c r="S484" i="13"/>
  <c r="S485" i="13"/>
  <c r="S486" i="13"/>
  <c r="S487" i="13"/>
  <c r="S488" i="13"/>
  <c r="S489" i="13"/>
  <c r="S490" i="13"/>
  <c r="S491" i="13"/>
  <c r="S492" i="13"/>
  <c r="S493" i="13"/>
  <c r="S494" i="13"/>
  <c r="S495" i="13"/>
  <c r="S496" i="13"/>
  <c r="S497" i="13"/>
  <c r="S498" i="13"/>
  <c r="S499" i="13"/>
  <c r="S500" i="13"/>
  <c r="S501" i="13"/>
  <c r="S502" i="13"/>
  <c r="S503" i="13"/>
  <c r="S504" i="13"/>
  <c r="S505" i="13"/>
  <c r="S506" i="13"/>
  <c r="S507" i="13"/>
  <c r="S508" i="13"/>
  <c r="S509" i="13"/>
  <c r="S510" i="13"/>
  <c r="S511" i="13"/>
  <c r="S512" i="13"/>
  <c r="S513" i="13"/>
  <c r="S514" i="13"/>
  <c r="S515" i="13"/>
  <c r="S516" i="13"/>
  <c r="S517" i="13"/>
  <c r="S518" i="13"/>
  <c r="S519" i="13"/>
  <c r="S520" i="13"/>
  <c r="S521" i="13"/>
  <c r="S522" i="13"/>
  <c r="S523" i="13"/>
  <c r="S524" i="13"/>
  <c r="S525" i="13"/>
  <c r="S526" i="13"/>
  <c r="S527" i="13"/>
  <c r="S528" i="13"/>
  <c r="S529" i="13"/>
  <c r="S530" i="13"/>
  <c r="S531" i="13"/>
  <c r="S532" i="13"/>
  <c r="S533" i="13"/>
  <c r="S534" i="13"/>
  <c r="S535" i="13"/>
  <c r="S536" i="13"/>
  <c r="S537" i="13"/>
  <c r="S538" i="13"/>
  <c r="S539" i="13"/>
  <c r="S540" i="13"/>
  <c r="S541" i="13"/>
  <c r="S542" i="13"/>
  <c r="S543" i="13"/>
  <c r="S544" i="13"/>
  <c r="S545" i="13"/>
  <c r="S546" i="13"/>
  <c r="S547" i="13"/>
  <c r="S548" i="13"/>
  <c r="S549" i="13"/>
  <c r="S550" i="13"/>
  <c r="S551" i="13"/>
  <c r="S552" i="13"/>
  <c r="S553" i="13"/>
  <c r="S554" i="13"/>
  <c r="S555" i="13"/>
  <c r="S556" i="13"/>
  <c r="S557" i="13"/>
  <c r="S558" i="13"/>
  <c r="S559" i="13"/>
  <c r="S560" i="13"/>
  <c r="S561" i="13"/>
  <c r="S562" i="13"/>
  <c r="S563" i="13"/>
  <c r="S564" i="13"/>
  <c r="S565" i="13"/>
  <c r="S566" i="13"/>
  <c r="S567" i="13"/>
  <c r="S568" i="13"/>
  <c r="S569" i="13"/>
  <c r="S570" i="13"/>
  <c r="S571" i="13"/>
  <c r="S572" i="13"/>
  <c r="S573" i="13"/>
  <c r="S574" i="13"/>
  <c r="S575" i="13"/>
  <c r="S576" i="13"/>
  <c r="S577" i="13"/>
  <c r="S578" i="13"/>
  <c r="S579" i="13"/>
  <c r="S580" i="13"/>
  <c r="S581" i="13"/>
  <c r="S582" i="13"/>
  <c r="S583" i="13"/>
  <c r="S584" i="13"/>
  <c r="S585" i="13"/>
  <c r="S586" i="13"/>
  <c r="S587" i="13"/>
  <c r="S588" i="13"/>
  <c r="S589" i="13"/>
  <c r="S590" i="13"/>
  <c r="S591" i="13"/>
  <c r="S592" i="13"/>
  <c r="S593" i="13"/>
  <c r="S594" i="13"/>
  <c r="S595" i="13"/>
  <c r="S596" i="13"/>
  <c r="S597" i="13"/>
  <c r="S598" i="13"/>
  <c r="S599" i="13"/>
  <c r="S600" i="13"/>
  <c r="S601" i="13"/>
  <c r="S602" i="13"/>
  <c r="S603" i="13"/>
  <c r="S604" i="13"/>
  <c r="S605" i="13"/>
  <c r="S606" i="13"/>
  <c r="S607" i="13"/>
  <c r="S608" i="13"/>
  <c r="S609" i="13"/>
  <c r="S610" i="13"/>
  <c r="S611" i="13"/>
  <c r="S612" i="13"/>
  <c r="S613" i="13"/>
  <c r="S614" i="13"/>
  <c r="S615" i="13"/>
  <c r="S616" i="13"/>
  <c r="S617" i="13"/>
  <c r="S618" i="13"/>
  <c r="S619" i="13"/>
  <c r="S620" i="13"/>
  <c r="S621" i="13"/>
  <c r="S622" i="13"/>
  <c r="S623" i="13"/>
  <c r="S624" i="13"/>
  <c r="S625" i="13"/>
  <c r="S626" i="13"/>
  <c r="S627" i="13"/>
  <c r="S628" i="13"/>
  <c r="S629" i="13"/>
  <c r="S630" i="13"/>
  <c r="S631" i="13"/>
  <c r="S632" i="13"/>
  <c r="S633" i="13"/>
  <c r="S634" i="13"/>
  <c r="S635" i="13"/>
  <c r="S636" i="13"/>
  <c r="S637" i="13"/>
  <c r="S638" i="13"/>
  <c r="S639" i="13"/>
  <c r="S640" i="13"/>
  <c r="S641" i="13"/>
  <c r="S642" i="13"/>
  <c r="S643" i="13"/>
  <c r="S644" i="13"/>
  <c r="S645" i="13"/>
  <c r="S646" i="13"/>
  <c r="S647" i="13"/>
  <c r="S648" i="13"/>
  <c r="S649" i="13"/>
  <c r="S650" i="13"/>
  <c r="S651" i="13"/>
  <c r="S652" i="13"/>
  <c r="S653" i="13"/>
  <c r="S654" i="13"/>
  <c r="S655" i="13"/>
  <c r="S656" i="13"/>
  <c r="S657" i="13"/>
  <c r="S658" i="13"/>
  <c r="S659" i="13"/>
  <c r="S660" i="13"/>
  <c r="S661" i="13"/>
  <c r="S662" i="13"/>
  <c r="S663" i="13"/>
  <c r="S664" i="13"/>
  <c r="S665" i="13"/>
  <c r="S666" i="13"/>
  <c r="S667" i="13"/>
  <c r="S668" i="13"/>
  <c r="S669" i="13"/>
  <c r="S670" i="13"/>
  <c r="S671" i="13"/>
  <c r="S672" i="13"/>
  <c r="S673" i="13"/>
  <c r="S674" i="13"/>
  <c r="S675" i="13"/>
  <c r="S676" i="13"/>
  <c r="S677" i="13"/>
  <c r="S678" i="13"/>
  <c r="S679" i="13"/>
  <c r="S680" i="13"/>
  <c r="S681" i="13"/>
  <c r="S682" i="13"/>
  <c r="S683" i="13"/>
  <c r="S684" i="13"/>
  <c r="S685" i="13"/>
  <c r="S686" i="13"/>
  <c r="S687" i="13"/>
  <c r="S688" i="13"/>
  <c r="S689" i="13"/>
  <c r="S690" i="13"/>
  <c r="S691" i="13"/>
  <c r="S692" i="13"/>
  <c r="S693" i="13"/>
  <c r="S694" i="13"/>
  <c r="S695" i="13"/>
  <c r="S696" i="13"/>
  <c r="S697" i="13"/>
  <c r="S698" i="13"/>
  <c r="S699" i="13"/>
  <c r="S700" i="13"/>
  <c r="R1" i="13"/>
  <c r="R2" i="13"/>
  <c r="R3" i="13"/>
  <c r="R4" i="13"/>
  <c r="R5" i="13"/>
  <c r="R6" i="13"/>
  <c r="R7" i="13"/>
  <c r="R8" i="13"/>
  <c r="R9" i="13"/>
  <c r="R10" i="13"/>
  <c r="R11" i="13"/>
  <c r="R12" i="13"/>
  <c r="R13" i="13"/>
  <c r="R14" i="13"/>
  <c r="R15" i="13"/>
  <c r="R16" i="13"/>
  <c r="R17" i="13"/>
  <c r="R18" i="13"/>
  <c r="R19" i="13"/>
  <c r="R20" i="13"/>
  <c r="R21" i="13"/>
  <c r="R22" i="13"/>
  <c r="R23" i="13"/>
  <c r="R24" i="13"/>
  <c r="R25" i="13"/>
  <c r="R26" i="13"/>
  <c r="R27" i="13"/>
  <c r="R28" i="13"/>
  <c r="R29" i="13"/>
  <c r="R30" i="13"/>
  <c r="R31" i="13"/>
  <c r="R32" i="13"/>
  <c r="R33" i="13"/>
  <c r="R34" i="13"/>
  <c r="R35" i="13"/>
  <c r="R36" i="13"/>
  <c r="R37" i="13"/>
  <c r="R38" i="13"/>
  <c r="R39" i="13"/>
  <c r="R40" i="13"/>
  <c r="R41" i="13"/>
  <c r="R42" i="13"/>
  <c r="R43" i="13"/>
  <c r="R44" i="13"/>
  <c r="R45" i="13"/>
  <c r="R46" i="13"/>
  <c r="R47" i="13"/>
  <c r="R48" i="13"/>
  <c r="R49" i="13"/>
  <c r="R50" i="13"/>
  <c r="R51" i="13"/>
  <c r="R52" i="13"/>
  <c r="R53" i="13"/>
  <c r="R54" i="13"/>
  <c r="R55" i="13"/>
  <c r="R56" i="13"/>
  <c r="R57" i="13"/>
  <c r="R58" i="13"/>
  <c r="R59" i="13"/>
  <c r="R60" i="13"/>
  <c r="R61" i="13"/>
  <c r="R62" i="13"/>
  <c r="R63" i="13"/>
  <c r="R64" i="13"/>
  <c r="R65" i="13"/>
  <c r="R66" i="13"/>
  <c r="R67" i="13"/>
  <c r="R68" i="13"/>
  <c r="R69" i="13"/>
  <c r="R70" i="13"/>
  <c r="R71" i="13"/>
  <c r="R72" i="13"/>
  <c r="R73" i="13"/>
  <c r="R74" i="13"/>
  <c r="R75" i="13"/>
  <c r="R76" i="13"/>
  <c r="R77" i="13"/>
  <c r="R78" i="13"/>
  <c r="R79" i="13"/>
  <c r="R80" i="13"/>
  <c r="R81" i="13"/>
  <c r="R82" i="13"/>
  <c r="R83" i="13"/>
  <c r="R84" i="13"/>
  <c r="R85" i="13"/>
  <c r="R86" i="13"/>
  <c r="R87" i="13"/>
  <c r="R88" i="13"/>
  <c r="R89" i="13"/>
  <c r="R90" i="13"/>
  <c r="R91" i="13"/>
  <c r="R92" i="13"/>
  <c r="R93" i="13"/>
  <c r="R94" i="13"/>
  <c r="R95" i="13"/>
  <c r="R96" i="13"/>
  <c r="R97" i="13"/>
  <c r="R98" i="13"/>
  <c r="R99" i="13"/>
  <c r="R100" i="13"/>
  <c r="R101" i="13"/>
  <c r="R102" i="13"/>
  <c r="R103" i="13"/>
  <c r="R104" i="13"/>
  <c r="R105" i="13"/>
  <c r="R106" i="13"/>
  <c r="R107" i="13"/>
  <c r="R108" i="13"/>
  <c r="R109" i="13"/>
  <c r="R110" i="13"/>
  <c r="R111" i="13"/>
  <c r="R112" i="13"/>
  <c r="R113" i="13"/>
  <c r="R114" i="13"/>
  <c r="R115" i="13"/>
  <c r="R116" i="13"/>
  <c r="R117" i="13"/>
  <c r="R118" i="13"/>
  <c r="R119" i="13"/>
  <c r="R120" i="13"/>
  <c r="R121" i="13"/>
  <c r="R122" i="13"/>
  <c r="R123" i="13"/>
  <c r="R124" i="13"/>
  <c r="R125" i="13"/>
  <c r="R126" i="13"/>
  <c r="R127" i="13"/>
  <c r="R128" i="13"/>
  <c r="R129" i="13"/>
  <c r="R130" i="13"/>
  <c r="R131" i="13"/>
  <c r="R132" i="13"/>
  <c r="R133" i="13"/>
  <c r="R134" i="13"/>
  <c r="R135" i="13"/>
  <c r="R136" i="13"/>
  <c r="R137" i="13"/>
  <c r="R138" i="13"/>
  <c r="R139" i="13"/>
  <c r="R140" i="13"/>
  <c r="R141" i="13"/>
  <c r="R142" i="13"/>
  <c r="R143" i="13"/>
  <c r="R144" i="13"/>
  <c r="R145" i="13"/>
  <c r="R146" i="13"/>
  <c r="R147" i="13"/>
  <c r="R148" i="13"/>
  <c r="R149" i="13"/>
  <c r="R150" i="13"/>
  <c r="R151" i="13"/>
  <c r="R152" i="13"/>
  <c r="R153" i="13"/>
  <c r="R154" i="13"/>
  <c r="R155" i="13"/>
  <c r="R156" i="13"/>
  <c r="R157" i="13"/>
  <c r="R158" i="13"/>
  <c r="R159" i="13"/>
  <c r="R160" i="13"/>
  <c r="R161" i="13"/>
  <c r="R162" i="13"/>
  <c r="R163" i="13"/>
  <c r="R164" i="13"/>
  <c r="R165" i="13"/>
  <c r="R166" i="13"/>
  <c r="R167" i="13"/>
  <c r="R168" i="13"/>
  <c r="R169" i="13"/>
  <c r="R170" i="13"/>
  <c r="R171" i="13"/>
  <c r="R172" i="13"/>
  <c r="R173" i="13"/>
  <c r="R174" i="13"/>
  <c r="R175" i="13"/>
  <c r="R176" i="13"/>
  <c r="R177" i="13"/>
  <c r="R178" i="13"/>
  <c r="R179" i="13"/>
  <c r="R180" i="13"/>
  <c r="R181" i="13"/>
  <c r="R182" i="13"/>
  <c r="R183" i="13"/>
  <c r="R184" i="13"/>
  <c r="R185" i="13"/>
  <c r="R186" i="13"/>
  <c r="R187" i="13"/>
  <c r="R188" i="13"/>
  <c r="R189" i="13"/>
  <c r="R190" i="13"/>
  <c r="R191" i="13"/>
  <c r="R192" i="13"/>
  <c r="R193" i="13"/>
  <c r="R194" i="13"/>
  <c r="R195" i="13"/>
  <c r="R196" i="13"/>
  <c r="R197" i="13"/>
  <c r="R198" i="13"/>
  <c r="R199" i="13"/>
  <c r="R200" i="13"/>
  <c r="R201" i="13"/>
  <c r="R202" i="13"/>
  <c r="R203" i="13"/>
  <c r="R204" i="13"/>
  <c r="R205" i="13"/>
  <c r="R206" i="13"/>
  <c r="R207" i="13"/>
  <c r="R208" i="13"/>
  <c r="R209" i="13"/>
  <c r="R210" i="13"/>
  <c r="R211" i="13"/>
  <c r="R212" i="13"/>
  <c r="R213" i="13"/>
  <c r="R214" i="13"/>
  <c r="R215" i="13"/>
  <c r="R216" i="13"/>
  <c r="R217" i="13"/>
  <c r="R218" i="13"/>
  <c r="R219" i="13"/>
  <c r="R220" i="13"/>
  <c r="R221" i="13"/>
  <c r="R222" i="13"/>
  <c r="R223" i="13"/>
  <c r="R224" i="13"/>
  <c r="R225" i="13"/>
  <c r="R226" i="13"/>
  <c r="R227" i="13"/>
  <c r="R228" i="13"/>
  <c r="R229" i="13"/>
  <c r="R230" i="13"/>
  <c r="R231" i="13"/>
  <c r="R232" i="13"/>
  <c r="R233" i="13"/>
  <c r="R234" i="13"/>
  <c r="R235" i="13"/>
  <c r="R236" i="13"/>
  <c r="R237" i="13"/>
  <c r="R238" i="13"/>
  <c r="R239" i="13"/>
  <c r="R240" i="13"/>
  <c r="R241" i="13"/>
  <c r="R242" i="13"/>
  <c r="R243" i="13"/>
  <c r="R244" i="13"/>
  <c r="R245" i="13"/>
  <c r="R246" i="13"/>
  <c r="R247" i="13"/>
  <c r="R248" i="13"/>
  <c r="R249" i="13"/>
  <c r="R250" i="13"/>
  <c r="R251" i="13"/>
  <c r="R252" i="13"/>
  <c r="R253" i="13"/>
  <c r="R254" i="13"/>
  <c r="R255" i="13"/>
  <c r="R256" i="13"/>
  <c r="R257" i="13"/>
  <c r="R258" i="13"/>
  <c r="R259" i="13"/>
  <c r="R260" i="13"/>
  <c r="R261" i="13"/>
  <c r="R262" i="13"/>
  <c r="R263" i="13"/>
  <c r="R264" i="13"/>
  <c r="R265" i="13"/>
  <c r="R266" i="13"/>
  <c r="R267" i="13"/>
  <c r="R268" i="13"/>
  <c r="R269" i="13"/>
  <c r="R270" i="13"/>
  <c r="R271" i="13"/>
  <c r="R272" i="13"/>
  <c r="R273" i="13"/>
  <c r="R274" i="13"/>
  <c r="R275" i="13"/>
  <c r="R276" i="13"/>
  <c r="R277" i="13"/>
  <c r="R278" i="13"/>
  <c r="R279" i="13"/>
  <c r="R280" i="13"/>
  <c r="R281" i="13"/>
  <c r="R282" i="13"/>
  <c r="R283" i="13"/>
  <c r="R284" i="13"/>
  <c r="R285" i="13"/>
  <c r="R286" i="13"/>
  <c r="R287" i="13"/>
  <c r="R288" i="13"/>
  <c r="R289" i="13"/>
  <c r="R290" i="13"/>
  <c r="R291" i="13"/>
  <c r="R292" i="13"/>
  <c r="R293" i="13"/>
  <c r="R294" i="13"/>
  <c r="R295" i="13"/>
  <c r="R296" i="13"/>
  <c r="R297" i="13"/>
  <c r="R298" i="13"/>
  <c r="R299" i="13"/>
  <c r="R300" i="13"/>
  <c r="R301" i="13"/>
  <c r="R302" i="13"/>
  <c r="R303" i="13"/>
  <c r="R304" i="13"/>
  <c r="R305" i="13"/>
  <c r="R306" i="13"/>
  <c r="R307" i="13"/>
  <c r="R308" i="13"/>
  <c r="R309" i="13"/>
  <c r="R310" i="13"/>
  <c r="R311" i="13"/>
  <c r="R312" i="13"/>
  <c r="R313" i="13"/>
  <c r="R314" i="13"/>
  <c r="R315" i="13"/>
  <c r="R316" i="13"/>
  <c r="R317" i="13"/>
  <c r="R318" i="13"/>
  <c r="R319" i="13"/>
  <c r="R320" i="13"/>
  <c r="R321" i="13"/>
  <c r="R322" i="13"/>
  <c r="R323" i="13"/>
  <c r="R324" i="13"/>
  <c r="R325" i="13"/>
  <c r="R326" i="13"/>
  <c r="R327" i="13"/>
  <c r="R328" i="13"/>
  <c r="R329" i="13"/>
  <c r="R330" i="13"/>
  <c r="R331" i="13"/>
  <c r="R332" i="13"/>
  <c r="R333" i="13"/>
  <c r="R334" i="13"/>
  <c r="R335" i="13"/>
  <c r="R336" i="13"/>
  <c r="R337" i="13"/>
  <c r="R338" i="13"/>
  <c r="R339" i="13"/>
  <c r="R340" i="13"/>
  <c r="R341" i="13"/>
  <c r="R342" i="13"/>
  <c r="R343" i="13"/>
  <c r="R344" i="13"/>
  <c r="R345" i="13"/>
  <c r="R346" i="13"/>
  <c r="R347" i="13"/>
  <c r="R348" i="13"/>
  <c r="R349" i="13"/>
  <c r="R350" i="13"/>
  <c r="R351" i="13"/>
  <c r="R352" i="13"/>
  <c r="R353" i="13"/>
  <c r="R354" i="13"/>
  <c r="R355" i="13"/>
  <c r="R356" i="13"/>
  <c r="R357" i="13"/>
  <c r="R358" i="13"/>
  <c r="R359" i="13"/>
  <c r="R360" i="13"/>
  <c r="R361" i="13"/>
  <c r="R362" i="13"/>
  <c r="R363" i="13"/>
  <c r="R364" i="13"/>
  <c r="R365" i="13"/>
  <c r="R366" i="13"/>
  <c r="R367" i="13"/>
  <c r="R368" i="13"/>
  <c r="R369" i="13"/>
  <c r="R370" i="13"/>
  <c r="R371" i="13"/>
  <c r="R372" i="13"/>
  <c r="R373" i="13"/>
  <c r="R374" i="13"/>
  <c r="R375" i="13"/>
  <c r="R376" i="13"/>
  <c r="R377" i="13"/>
  <c r="R378" i="13"/>
  <c r="R379" i="13"/>
  <c r="R380" i="13"/>
  <c r="R381" i="13"/>
  <c r="R382" i="13"/>
  <c r="R383" i="13"/>
  <c r="R384" i="13"/>
  <c r="R385" i="13"/>
  <c r="R386" i="13"/>
  <c r="R387" i="13"/>
  <c r="R388" i="13"/>
  <c r="R389" i="13"/>
  <c r="R390" i="13"/>
  <c r="R391" i="13"/>
  <c r="R392" i="13"/>
  <c r="R393" i="13"/>
  <c r="R394" i="13"/>
  <c r="R395" i="13"/>
  <c r="R396" i="13"/>
  <c r="R397" i="13"/>
  <c r="R398" i="13"/>
  <c r="R399" i="13"/>
  <c r="R400" i="13"/>
  <c r="R401" i="13"/>
  <c r="R402" i="13"/>
  <c r="R403" i="13"/>
  <c r="R404" i="13"/>
  <c r="R405" i="13"/>
  <c r="R406" i="13"/>
  <c r="R407" i="13"/>
  <c r="R408" i="13"/>
  <c r="R409" i="13"/>
  <c r="R410" i="13"/>
  <c r="R411" i="13"/>
  <c r="R412" i="13"/>
  <c r="R413" i="13"/>
  <c r="R414" i="13"/>
  <c r="R415" i="13"/>
  <c r="R416" i="13"/>
  <c r="R417" i="13"/>
  <c r="R418" i="13"/>
  <c r="R419" i="13"/>
  <c r="R420" i="13"/>
  <c r="R421" i="13"/>
  <c r="R422" i="13"/>
  <c r="R423" i="13"/>
  <c r="R424" i="13"/>
  <c r="R425" i="13"/>
  <c r="R426" i="13"/>
  <c r="R427" i="13"/>
  <c r="R428" i="13"/>
  <c r="R429" i="13"/>
  <c r="R430" i="13"/>
  <c r="R431" i="13"/>
  <c r="R432" i="13"/>
  <c r="R433" i="13"/>
  <c r="R434" i="13"/>
  <c r="R435" i="13"/>
  <c r="R436" i="13"/>
  <c r="R437" i="13"/>
  <c r="R438" i="13"/>
  <c r="R439" i="13"/>
  <c r="R440" i="13"/>
  <c r="R441" i="13"/>
  <c r="R442" i="13"/>
  <c r="R443" i="13"/>
  <c r="R444" i="13"/>
  <c r="R445" i="13"/>
  <c r="R446" i="13"/>
  <c r="R447" i="13"/>
  <c r="R448" i="13"/>
  <c r="R449" i="13"/>
  <c r="R450" i="13"/>
  <c r="R451" i="13"/>
  <c r="R452" i="13"/>
  <c r="R453" i="13"/>
  <c r="R454" i="13"/>
  <c r="R455" i="13"/>
  <c r="R456" i="13"/>
  <c r="R457" i="13"/>
  <c r="R458" i="13"/>
  <c r="R459" i="13"/>
  <c r="R460" i="13"/>
  <c r="R461" i="13"/>
  <c r="R462" i="13"/>
  <c r="R463" i="13"/>
  <c r="R464" i="13"/>
  <c r="R465" i="13"/>
  <c r="R466" i="13"/>
  <c r="R467" i="13"/>
  <c r="R468" i="13"/>
  <c r="R469" i="13"/>
  <c r="R470" i="13"/>
  <c r="R471" i="13"/>
  <c r="R472" i="13"/>
  <c r="R473" i="13"/>
  <c r="R474" i="13"/>
  <c r="R475" i="13"/>
  <c r="R476" i="13"/>
  <c r="R477" i="13"/>
  <c r="R478" i="13"/>
  <c r="R479" i="13"/>
  <c r="R480" i="13"/>
  <c r="R481" i="13"/>
  <c r="R482" i="13"/>
  <c r="R483" i="13"/>
  <c r="R484" i="13"/>
  <c r="R485" i="13"/>
  <c r="R486" i="13"/>
  <c r="R487" i="13"/>
  <c r="R488" i="13"/>
  <c r="R489" i="13"/>
  <c r="R490" i="13"/>
  <c r="R491" i="13"/>
  <c r="R492" i="13"/>
  <c r="R493" i="13"/>
  <c r="R494" i="13"/>
  <c r="R495" i="13"/>
  <c r="R496" i="13"/>
  <c r="R497" i="13"/>
  <c r="R498" i="13"/>
  <c r="R499" i="13"/>
  <c r="R500" i="13"/>
  <c r="R501" i="13"/>
  <c r="R502" i="13"/>
  <c r="R503" i="13"/>
  <c r="R504" i="13"/>
  <c r="R505" i="13"/>
  <c r="R506" i="13"/>
  <c r="R507" i="13"/>
  <c r="R508" i="13"/>
  <c r="R509" i="13"/>
  <c r="R510" i="13"/>
  <c r="R511" i="13"/>
  <c r="R512" i="13"/>
  <c r="R513" i="13"/>
  <c r="R514" i="13"/>
  <c r="R515" i="13"/>
  <c r="R516" i="13"/>
  <c r="R517" i="13"/>
  <c r="R518" i="13"/>
  <c r="R519" i="13"/>
  <c r="R520" i="13"/>
  <c r="R521" i="13"/>
  <c r="R522" i="13"/>
  <c r="R523" i="13"/>
  <c r="R524" i="13"/>
  <c r="R525" i="13"/>
  <c r="R526" i="13"/>
  <c r="R527" i="13"/>
  <c r="R528" i="13"/>
  <c r="R529" i="13"/>
  <c r="R530" i="13"/>
  <c r="R531" i="13"/>
  <c r="R532" i="13"/>
  <c r="R533" i="13"/>
  <c r="R534" i="13"/>
  <c r="R535" i="13"/>
  <c r="R536" i="13"/>
  <c r="R537" i="13"/>
  <c r="R538" i="13"/>
  <c r="R539" i="13"/>
  <c r="R540" i="13"/>
  <c r="R541" i="13"/>
  <c r="R542" i="13"/>
  <c r="R543" i="13"/>
  <c r="R544" i="13"/>
  <c r="R545" i="13"/>
  <c r="R546" i="13"/>
  <c r="R547" i="13"/>
  <c r="R548" i="13"/>
  <c r="R549" i="13"/>
  <c r="R550" i="13"/>
  <c r="R551" i="13"/>
  <c r="R552" i="13"/>
  <c r="R553" i="13"/>
  <c r="R554" i="13"/>
  <c r="R555" i="13"/>
  <c r="R556" i="13"/>
  <c r="R557" i="13"/>
  <c r="R558" i="13"/>
  <c r="R559" i="13"/>
  <c r="R560" i="13"/>
  <c r="R561" i="13"/>
  <c r="R562" i="13"/>
  <c r="R563" i="13"/>
  <c r="R564" i="13"/>
  <c r="R565" i="13"/>
  <c r="R566" i="13"/>
  <c r="R567" i="13"/>
  <c r="R568" i="13"/>
  <c r="R569" i="13"/>
  <c r="R570" i="13"/>
  <c r="R571" i="13"/>
  <c r="R572" i="13"/>
  <c r="R573" i="13"/>
  <c r="R574" i="13"/>
  <c r="R575" i="13"/>
  <c r="R576" i="13"/>
  <c r="R577" i="13"/>
  <c r="R578" i="13"/>
  <c r="R579" i="13"/>
  <c r="R580" i="13"/>
  <c r="R581" i="13"/>
  <c r="R582" i="13"/>
  <c r="R583" i="13"/>
  <c r="R584" i="13"/>
  <c r="R585" i="13"/>
  <c r="R586" i="13"/>
  <c r="R587" i="13"/>
  <c r="R588" i="13"/>
  <c r="R589" i="13"/>
  <c r="R590" i="13"/>
  <c r="R591" i="13"/>
  <c r="R592" i="13"/>
  <c r="R593" i="13"/>
  <c r="R594" i="13"/>
  <c r="R595" i="13"/>
  <c r="R596" i="13"/>
  <c r="R597" i="13"/>
  <c r="R598" i="13"/>
  <c r="R599" i="13"/>
  <c r="R600" i="13"/>
  <c r="R601" i="13"/>
  <c r="R602" i="13"/>
  <c r="R603" i="13"/>
  <c r="R604" i="13"/>
  <c r="R605" i="13"/>
  <c r="R606" i="13"/>
  <c r="R607" i="13"/>
  <c r="R608" i="13"/>
  <c r="R609" i="13"/>
  <c r="R610" i="13"/>
  <c r="R611" i="13"/>
  <c r="R612" i="13"/>
  <c r="R613" i="13"/>
  <c r="R614" i="13"/>
  <c r="R615" i="13"/>
  <c r="R616" i="13"/>
  <c r="R617" i="13"/>
  <c r="R618" i="13"/>
  <c r="R619" i="13"/>
  <c r="R620" i="13"/>
  <c r="R621" i="13"/>
  <c r="R622" i="13"/>
  <c r="R623" i="13"/>
  <c r="R624" i="13"/>
  <c r="R625" i="13"/>
  <c r="R626" i="13"/>
  <c r="R627" i="13"/>
  <c r="R628" i="13"/>
  <c r="R629" i="13"/>
  <c r="R630" i="13"/>
  <c r="R631" i="13"/>
  <c r="R632" i="13"/>
  <c r="R633" i="13"/>
  <c r="R634" i="13"/>
  <c r="R635" i="13"/>
  <c r="R636" i="13"/>
  <c r="R637" i="13"/>
  <c r="R638" i="13"/>
  <c r="R639" i="13"/>
  <c r="R640" i="13"/>
  <c r="R641" i="13"/>
  <c r="R642" i="13"/>
  <c r="R643" i="13"/>
  <c r="R644" i="13"/>
  <c r="R645" i="13"/>
  <c r="R646" i="13"/>
  <c r="R647" i="13"/>
  <c r="R648" i="13"/>
  <c r="R649" i="13"/>
  <c r="R650" i="13"/>
  <c r="R651" i="13"/>
  <c r="R652" i="13"/>
  <c r="R653" i="13"/>
  <c r="R654" i="13"/>
  <c r="R655" i="13"/>
  <c r="R656" i="13"/>
  <c r="R657" i="13"/>
  <c r="R658" i="13"/>
  <c r="R659" i="13"/>
  <c r="R660" i="13"/>
  <c r="R661" i="13"/>
  <c r="R662" i="13"/>
  <c r="R663" i="13"/>
  <c r="R664" i="13"/>
  <c r="R665" i="13"/>
  <c r="R666" i="13"/>
  <c r="R667" i="13"/>
  <c r="R668" i="13"/>
  <c r="R669" i="13"/>
  <c r="R670" i="13"/>
  <c r="R671" i="13"/>
  <c r="R672" i="13"/>
  <c r="R673" i="13"/>
  <c r="R674" i="13"/>
  <c r="R675" i="13"/>
  <c r="R676" i="13"/>
  <c r="R677" i="13"/>
  <c r="R678" i="13"/>
  <c r="R679" i="13"/>
  <c r="R680" i="13"/>
  <c r="R681" i="13"/>
  <c r="R682" i="13"/>
  <c r="R683" i="13"/>
  <c r="R684" i="13"/>
  <c r="R685" i="13"/>
  <c r="R686" i="13"/>
  <c r="R687" i="13"/>
  <c r="R688" i="13"/>
  <c r="R689" i="13"/>
  <c r="R690" i="13"/>
  <c r="R691" i="13"/>
  <c r="R692" i="13"/>
  <c r="R693" i="13"/>
  <c r="R694" i="13"/>
  <c r="R695" i="13"/>
  <c r="R696" i="13"/>
  <c r="R697" i="13"/>
  <c r="R698" i="13"/>
  <c r="R699" i="13"/>
  <c r="R700" i="13"/>
  <c r="P1" i="13"/>
  <c r="P2" i="13"/>
  <c r="P3" i="13"/>
  <c r="P4" i="13"/>
  <c r="P5" i="13"/>
  <c r="P6" i="13"/>
  <c r="P7" i="13"/>
  <c r="P8" i="13"/>
  <c r="P9" i="13"/>
  <c r="P10" i="13"/>
  <c r="P11" i="13"/>
  <c r="P12" i="13"/>
  <c r="P13" i="13"/>
  <c r="P14" i="13"/>
  <c r="P15" i="13"/>
  <c r="P16" i="13"/>
  <c r="P17" i="13"/>
  <c r="P18" i="13"/>
  <c r="P19" i="13"/>
  <c r="P20" i="13"/>
  <c r="P21" i="13"/>
  <c r="P22" i="13"/>
  <c r="P23" i="13"/>
  <c r="P24" i="13"/>
  <c r="P25" i="13"/>
  <c r="P26" i="13"/>
  <c r="P27" i="13"/>
  <c r="P28" i="13"/>
  <c r="P29" i="13"/>
  <c r="P30" i="13"/>
  <c r="P31" i="13"/>
  <c r="P32" i="13"/>
  <c r="P33" i="13"/>
  <c r="P34" i="13"/>
  <c r="P35" i="13"/>
  <c r="P36" i="13"/>
  <c r="P37" i="13"/>
  <c r="P38" i="13"/>
  <c r="P39" i="13"/>
  <c r="P40" i="13"/>
  <c r="P41" i="13"/>
  <c r="P42" i="13"/>
  <c r="P43" i="13"/>
  <c r="P44" i="13"/>
  <c r="P45" i="13"/>
  <c r="P46" i="13"/>
  <c r="P47" i="13"/>
  <c r="P48" i="13"/>
  <c r="P49" i="13"/>
  <c r="P50" i="13"/>
  <c r="P51" i="13"/>
  <c r="P52" i="13"/>
  <c r="P53" i="13"/>
  <c r="P54" i="13"/>
  <c r="P55" i="13"/>
  <c r="P56" i="13"/>
  <c r="P57" i="13"/>
  <c r="P58" i="13"/>
  <c r="P59" i="13"/>
  <c r="P60" i="13"/>
  <c r="P61" i="13"/>
  <c r="P62" i="13"/>
  <c r="P63" i="13"/>
  <c r="P64" i="13"/>
  <c r="P65" i="13"/>
  <c r="P66" i="13"/>
  <c r="P67" i="13"/>
  <c r="P68" i="13"/>
  <c r="P69" i="13"/>
  <c r="P70" i="13"/>
  <c r="P71" i="13"/>
  <c r="P72" i="13"/>
  <c r="P73" i="13"/>
  <c r="P74" i="13"/>
  <c r="P75" i="13"/>
  <c r="P76" i="13"/>
  <c r="P77" i="13"/>
  <c r="P78" i="13"/>
  <c r="P79" i="13"/>
  <c r="P80" i="13"/>
  <c r="P81" i="13"/>
  <c r="P82" i="13"/>
  <c r="P83" i="13"/>
  <c r="P84" i="13"/>
  <c r="P85" i="13"/>
  <c r="P86" i="13"/>
  <c r="P87" i="13"/>
  <c r="P88" i="13"/>
  <c r="P89" i="13"/>
  <c r="P90" i="13"/>
  <c r="P91" i="13"/>
  <c r="P92" i="13"/>
  <c r="P93" i="13"/>
  <c r="P94" i="13"/>
  <c r="P95" i="13"/>
  <c r="P96" i="13"/>
  <c r="P97" i="13"/>
  <c r="P98" i="13"/>
  <c r="P99" i="13"/>
  <c r="P100" i="13"/>
  <c r="P101" i="13"/>
  <c r="P102" i="13"/>
  <c r="P103" i="13"/>
  <c r="P104" i="13"/>
  <c r="P105" i="13"/>
  <c r="P106" i="13"/>
  <c r="P107" i="13"/>
  <c r="P108" i="13"/>
  <c r="P109" i="13"/>
  <c r="P110" i="13"/>
  <c r="P111" i="13"/>
  <c r="P112" i="13"/>
  <c r="P113" i="13"/>
  <c r="P114" i="13"/>
  <c r="P115" i="13"/>
  <c r="P116" i="13"/>
  <c r="P117" i="13"/>
  <c r="P118" i="13"/>
  <c r="P119" i="13"/>
  <c r="P120" i="13"/>
  <c r="P121" i="13"/>
  <c r="P122" i="13"/>
  <c r="P123" i="13"/>
  <c r="P124" i="13"/>
  <c r="P125" i="13"/>
  <c r="P126" i="13"/>
  <c r="P127" i="13"/>
  <c r="P128" i="13"/>
  <c r="P129" i="13"/>
  <c r="P130" i="13"/>
  <c r="P131" i="13"/>
  <c r="P132" i="13"/>
  <c r="P133" i="13"/>
  <c r="P134" i="13"/>
  <c r="P135" i="13"/>
  <c r="P136" i="13"/>
  <c r="P137" i="13"/>
  <c r="P138" i="13"/>
  <c r="P139" i="13"/>
  <c r="P140" i="13"/>
  <c r="P141" i="13"/>
  <c r="P142" i="13"/>
  <c r="P143" i="13"/>
  <c r="P144" i="13"/>
  <c r="P145" i="13"/>
  <c r="P146" i="13"/>
  <c r="P147" i="13"/>
  <c r="P148" i="13"/>
  <c r="P149" i="13"/>
  <c r="P150" i="13"/>
  <c r="P151" i="13"/>
  <c r="P152" i="13"/>
  <c r="P153" i="13"/>
  <c r="P154" i="13"/>
  <c r="P155" i="13"/>
  <c r="P156" i="13"/>
  <c r="P157" i="13"/>
  <c r="P158" i="13"/>
  <c r="P159" i="13"/>
  <c r="P160" i="13"/>
  <c r="P161" i="13"/>
  <c r="P162" i="13"/>
  <c r="P163" i="13"/>
  <c r="P164" i="13"/>
  <c r="P165" i="13"/>
  <c r="P166" i="13"/>
  <c r="P167" i="13"/>
  <c r="P168" i="13"/>
  <c r="P169" i="13"/>
  <c r="P170" i="13"/>
  <c r="P171" i="13"/>
  <c r="P172" i="13"/>
  <c r="P173" i="13"/>
  <c r="P174" i="13"/>
  <c r="P175" i="13"/>
  <c r="P176" i="13"/>
  <c r="P177" i="13"/>
  <c r="P178" i="13"/>
  <c r="P179" i="13"/>
  <c r="P180" i="13"/>
  <c r="P181" i="13"/>
  <c r="P182" i="13"/>
  <c r="P183" i="13"/>
  <c r="P184" i="13"/>
  <c r="P185" i="13"/>
  <c r="P186" i="13"/>
  <c r="P187" i="13"/>
  <c r="P188" i="13"/>
  <c r="P189" i="13"/>
  <c r="P190" i="13"/>
  <c r="P191" i="13"/>
  <c r="P192" i="13"/>
  <c r="P193" i="13"/>
  <c r="P194" i="13"/>
  <c r="P195" i="13"/>
  <c r="P196" i="13"/>
  <c r="P197" i="13"/>
  <c r="P198" i="13"/>
  <c r="P199" i="13"/>
  <c r="P200" i="13"/>
  <c r="P201" i="13"/>
  <c r="P202" i="13"/>
  <c r="P203" i="13"/>
  <c r="P204" i="13"/>
  <c r="P205" i="13"/>
  <c r="P206" i="13"/>
  <c r="P207" i="13"/>
  <c r="P208" i="13"/>
  <c r="P209" i="13"/>
  <c r="P210" i="13"/>
  <c r="P211" i="13"/>
  <c r="P212" i="13"/>
  <c r="P213" i="13"/>
  <c r="P214" i="13"/>
  <c r="P215" i="13"/>
  <c r="P216" i="13"/>
  <c r="P217" i="13"/>
  <c r="P218" i="13"/>
  <c r="P219" i="13"/>
  <c r="P220" i="13"/>
  <c r="P221" i="13"/>
  <c r="P222" i="13"/>
  <c r="P223" i="13"/>
  <c r="P224" i="13"/>
  <c r="P225" i="13"/>
  <c r="P226" i="13"/>
  <c r="P227" i="13"/>
  <c r="P228" i="13"/>
  <c r="P229" i="13"/>
  <c r="P230" i="13"/>
  <c r="P231" i="13"/>
  <c r="P232" i="13"/>
  <c r="P233" i="13"/>
  <c r="P234" i="13"/>
  <c r="P235" i="13"/>
  <c r="P236" i="13"/>
  <c r="P237" i="13"/>
  <c r="P238" i="13"/>
  <c r="P239" i="13"/>
  <c r="P240" i="13"/>
  <c r="P241" i="13"/>
  <c r="P242" i="13"/>
  <c r="P243" i="13"/>
  <c r="P244" i="13"/>
  <c r="P245" i="13"/>
  <c r="P246" i="13"/>
  <c r="P247" i="13"/>
  <c r="P248" i="13"/>
  <c r="P249" i="13"/>
  <c r="P250" i="13"/>
  <c r="P251" i="13"/>
  <c r="P252" i="13"/>
  <c r="P253" i="13"/>
  <c r="P254" i="13"/>
  <c r="P255" i="13"/>
  <c r="P256" i="13"/>
  <c r="P257" i="13"/>
  <c r="P258" i="13"/>
  <c r="P259" i="13"/>
  <c r="P260" i="13"/>
  <c r="P261" i="13"/>
  <c r="P262" i="13"/>
  <c r="P263" i="13"/>
  <c r="P264" i="13"/>
  <c r="P265" i="13"/>
  <c r="P266" i="13"/>
  <c r="P267" i="13"/>
  <c r="P268" i="13"/>
  <c r="P269" i="13"/>
  <c r="P270" i="13"/>
  <c r="P271" i="13"/>
  <c r="P272" i="13"/>
  <c r="P273" i="13"/>
  <c r="P274" i="13"/>
  <c r="P275" i="13"/>
  <c r="P276" i="13"/>
  <c r="P277" i="13"/>
  <c r="P278" i="13"/>
  <c r="P279" i="13"/>
  <c r="P280" i="13"/>
  <c r="P281" i="13"/>
  <c r="P282" i="13"/>
  <c r="P283" i="13"/>
  <c r="P284" i="13"/>
  <c r="P285" i="13"/>
  <c r="P286" i="13"/>
  <c r="P287" i="13"/>
  <c r="P288" i="13"/>
  <c r="P289" i="13"/>
  <c r="P290" i="13"/>
  <c r="P291" i="13"/>
  <c r="P292" i="13"/>
  <c r="P293" i="13"/>
  <c r="P294" i="13"/>
  <c r="P295" i="13"/>
  <c r="P296" i="13"/>
  <c r="P297" i="13"/>
  <c r="P298" i="13"/>
  <c r="P299" i="13"/>
  <c r="P300" i="13"/>
  <c r="P301" i="13"/>
  <c r="P302" i="13"/>
  <c r="P303" i="13"/>
  <c r="P304" i="13"/>
  <c r="P305" i="13"/>
  <c r="P306" i="13"/>
  <c r="P307" i="13"/>
  <c r="P308" i="13"/>
  <c r="P309" i="13"/>
  <c r="P310" i="13"/>
  <c r="P311" i="13"/>
  <c r="P312" i="13"/>
  <c r="P313" i="13"/>
  <c r="P314" i="13"/>
  <c r="P315" i="13"/>
  <c r="P316" i="13"/>
  <c r="P317" i="13"/>
  <c r="P318" i="13"/>
  <c r="P319" i="13"/>
  <c r="P320" i="13"/>
  <c r="P321" i="13"/>
  <c r="P322" i="13"/>
  <c r="P323" i="13"/>
  <c r="P324" i="13"/>
  <c r="P325" i="13"/>
  <c r="P326" i="13"/>
  <c r="P327" i="13"/>
  <c r="P328" i="13"/>
  <c r="P329" i="13"/>
  <c r="P330" i="13"/>
  <c r="P331" i="13"/>
  <c r="P332" i="13"/>
  <c r="P333" i="13"/>
  <c r="P334" i="13"/>
  <c r="P335" i="13"/>
  <c r="P336" i="13"/>
  <c r="P337" i="13"/>
  <c r="P338" i="13"/>
  <c r="P339" i="13"/>
  <c r="P340" i="13"/>
  <c r="P341" i="13"/>
  <c r="P342" i="13"/>
  <c r="P343" i="13"/>
  <c r="P344" i="13"/>
  <c r="P345" i="13"/>
  <c r="P346" i="13"/>
  <c r="P347" i="13"/>
  <c r="P348" i="13"/>
  <c r="P349" i="13"/>
  <c r="P350" i="13"/>
  <c r="P351" i="13"/>
  <c r="P352" i="13"/>
  <c r="P353" i="13"/>
  <c r="P354" i="13"/>
  <c r="P355" i="13"/>
  <c r="P356" i="13"/>
  <c r="P357" i="13"/>
  <c r="P358" i="13"/>
  <c r="P359" i="13"/>
  <c r="P360" i="13"/>
  <c r="P361" i="13"/>
  <c r="P362" i="13"/>
  <c r="P363" i="13"/>
  <c r="P364" i="13"/>
  <c r="P365" i="13"/>
  <c r="P366" i="13"/>
  <c r="P367" i="13"/>
  <c r="P368" i="13"/>
  <c r="P369" i="13"/>
  <c r="P370" i="13"/>
  <c r="P371" i="13"/>
  <c r="P372" i="13"/>
  <c r="P373" i="13"/>
  <c r="P374" i="13"/>
  <c r="P375" i="13"/>
  <c r="P376" i="13"/>
  <c r="P377" i="13"/>
  <c r="P378" i="13"/>
  <c r="P379" i="13"/>
  <c r="P380" i="13"/>
  <c r="P381" i="13"/>
  <c r="P382" i="13"/>
  <c r="P383" i="13"/>
  <c r="P384" i="13"/>
  <c r="P385" i="13"/>
  <c r="P386" i="13"/>
  <c r="P387" i="13"/>
  <c r="P388" i="13"/>
  <c r="P389" i="13"/>
  <c r="P390" i="13"/>
  <c r="P391" i="13"/>
  <c r="P392" i="13"/>
  <c r="P393" i="13"/>
  <c r="P394" i="13"/>
  <c r="P395" i="13"/>
  <c r="P396" i="13"/>
  <c r="P397" i="13"/>
  <c r="P398" i="13"/>
  <c r="P399" i="13"/>
  <c r="P400" i="13"/>
  <c r="P401" i="13"/>
  <c r="P402" i="13"/>
  <c r="P403" i="13"/>
  <c r="P404" i="13"/>
  <c r="P405" i="13"/>
  <c r="P406" i="13"/>
  <c r="P407" i="13"/>
  <c r="P408" i="13"/>
  <c r="P409" i="13"/>
  <c r="P410" i="13"/>
  <c r="P411" i="13"/>
  <c r="P412" i="13"/>
  <c r="P413" i="13"/>
  <c r="P414" i="13"/>
  <c r="P415" i="13"/>
  <c r="P416" i="13"/>
  <c r="P417" i="13"/>
  <c r="P418" i="13"/>
  <c r="P419" i="13"/>
  <c r="P420" i="13"/>
  <c r="P421" i="13"/>
  <c r="P422" i="13"/>
  <c r="P423" i="13"/>
  <c r="P424" i="13"/>
  <c r="P425" i="13"/>
  <c r="P426" i="13"/>
  <c r="P427" i="13"/>
  <c r="P428" i="13"/>
  <c r="P429" i="13"/>
  <c r="P430" i="13"/>
  <c r="P431" i="13"/>
  <c r="P432" i="13"/>
  <c r="P433" i="13"/>
  <c r="P434" i="13"/>
  <c r="P435" i="13"/>
  <c r="P436" i="13"/>
  <c r="P437" i="13"/>
  <c r="P438" i="13"/>
  <c r="P439" i="13"/>
  <c r="P440" i="13"/>
  <c r="P441" i="13"/>
  <c r="P442" i="13"/>
  <c r="P443" i="13"/>
  <c r="P444" i="13"/>
  <c r="P445" i="13"/>
  <c r="P446" i="13"/>
  <c r="P447" i="13"/>
  <c r="P448" i="13"/>
  <c r="P449" i="13"/>
  <c r="P450" i="13"/>
  <c r="P451" i="13"/>
  <c r="P452" i="13"/>
  <c r="P453" i="13"/>
  <c r="P454" i="13"/>
  <c r="P455" i="13"/>
  <c r="P456" i="13"/>
  <c r="P457" i="13"/>
  <c r="P458" i="13"/>
  <c r="P459" i="13"/>
  <c r="P460" i="13"/>
  <c r="P461" i="13"/>
  <c r="P462" i="13"/>
  <c r="P463" i="13"/>
  <c r="P464" i="13"/>
  <c r="P465" i="13"/>
  <c r="P466" i="13"/>
  <c r="P467" i="13"/>
  <c r="P468" i="13"/>
  <c r="P469" i="13"/>
  <c r="P470" i="13"/>
  <c r="P471" i="13"/>
  <c r="P472" i="13"/>
  <c r="P473" i="13"/>
  <c r="P474" i="13"/>
  <c r="P475" i="13"/>
  <c r="P476" i="13"/>
  <c r="P477" i="13"/>
  <c r="P478" i="13"/>
  <c r="P479" i="13"/>
  <c r="P480" i="13"/>
  <c r="P481" i="13"/>
  <c r="P482" i="13"/>
  <c r="P483" i="13"/>
  <c r="P484" i="13"/>
  <c r="P485" i="13"/>
  <c r="P486" i="13"/>
  <c r="P487" i="13"/>
  <c r="P488" i="13"/>
  <c r="P489" i="13"/>
  <c r="P490" i="13"/>
  <c r="P491" i="13"/>
  <c r="P492" i="13"/>
  <c r="P493" i="13"/>
  <c r="P494" i="13"/>
  <c r="P495" i="13"/>
  <c r="P496" i="13"/>
  <c r="P497" i="13"/>
  <c r="P498" i="13"/>
  <c r="P499" i="13"/>
  <c r="P500" i="13"/>
  <c r="P501" i="13"/>
  <c r="P502" i="13"/>
  <c r="P503" i="13"/>
  <c r="P504" i="13"/>
  <c r="P505" i="13"/>
  <c r="P506" i="13"/>
  <c r="P507" i="13"/>
  <c r="P508" i="13"/>
  <c r="P509" i="13"/>
  <c r="P510" i="13"/>
  <c r="P511" i="13"/>
  <c r="P512" i="13"/>
  <c r="P513" i="13"/>
  <c r="P514" i="13"/>
  <c r="P515" i="13"/>
  <c r="P516" i="13"/>
  <c r="P517" i="13"/>
  <c r="P518" i="13"/>
  <c r="P519" i="13"/>
  <c r="P520" i="13"/>
  <c r="P521" i="13"/>
  <c r="P522" i="13"/>
  <c r="P523" i="13"/>
  <c r="P524" i="13"/>
  <c r="P525" i="13"/>
  <c r="P526" i="13"/>
  <c r="P527" i="13"/>
  <c r="P528" i="13"/>
  <c r="P529" i="13"/>
  <c r="P530" i="13"/>
  <c r="P531" i="13"/>
  <c r="P532" i="13"/>
  <c r="P533" i="13"/>
  <c r="P534" i="13"/>
  <c r="P535" i="13"/>
  <c r="P536" i="13"/>
  <c r="P537" i="13"/>
  <c r="P538" i="13"/>
  <c r="P539" i="13"/>
  <c r="P540" i="13"/>
  <c r="P541" i="13"/>
  <c r="P542" i="13"/>
  <c r="P543" i="13"/>
  <c r="P544" i="13"/>
  <c r="P545" i="13"/>
  <c r="P546" i="13"/>
  <c r="P547" i="13"/>
  <c r="P548" i="13"/>
  <c r="P549" i="13"/>
  <c r="P550" i="13"/>
  <c r="P551" i="13"/>
  <c r="P552" i="13"/>
  <c r="P553" i="13"/>
  <c r="P554" i="13"/>
  <c r="P555" i="13"/>
  <c r="P556" i="13"/>
  <c r="P557" i="13"/>
  <c r="P558" i="13"/>
  <c r="P559" i="13"/>
  <c r="P560" i="13"/>
  <c r="P561" i="13"/>
  <c r="P562" i="13"/>
  <c r="P563" i="13"/>
  <c r="P564" i="13"/>
  <c r="P565" i="13"/>
  <c r="P566" i="13"/>
  <c r="P567" i="13"/>
  <c r="P568" i="13"/>
  <c r="P569" i="13"/>
  <c r="P570" i="13"/>
  <c r="P571" i="13"/>
  <c r="P572" i="13"/>
  <c r="P573" i="13"/>
  <c r="P574" i="13"/>
  <c r="P575" i="13"/>
  <c r="P576" i="13"/>
  <c r="P577" i="13"/>
  <c r="P578" i="13"/>
  <c r="P579" i="13"/>
  <c r="P580" i="13"/>
  <c r="P581" i="13"/>
  <c r="P582" i="13"/>
  <c r="P583" i="13"/>
  <c r="P584" i="13"/>
  <c r="P585" i="13"/>
  <c r="P586" i="13"/>
  <c r="P587" i="13"/>
  <c r="P588" i="13"/>
  <c r="P589" i="13"/>
  <c r="P590" i="13"/>
  <c r="P591" i="13"/>
  <c r="P592" i="13"/>
  <c r="P593" i="13"/>
  <c r="P594" i="13"/>
  <c r="P595" i="13"/>
  <c r="P596" i="13"/>
  <c r="P597" i="13"/>
  <c r="P598" i="13"/>
  <c r="P599" i="13"/>
  <c r="P600" i="13"/>
  <c r="P601" i="13"/>
  <c r="P602" i="13"/>
  <c r="P603" i="13"/>
  <c r="P604" i="13"/>
  <c r="P605" i="13"/>
  <c r="P606" i="13"/>
  <c r="P607" i="13"/>
  <c r="P608" i="13"/>
  <c r="P609" i="13"/>
  <c r="P610" i="13"/>
  <c r="P611" i="13"/>
  <c r="P612" i="13"/>
  <c r="P613" i="13"/>
  <c r="P614" i="13"/>
  <c r="P615" i="13"/>
  <c r="P616" i="13"/>
  <c r="P617" i="13"/>
  <c r="P618" i="13"/>
  <c r="P619" i="13"/>
  <c r="P620" i="13"/>
  <c r="P621" i="13"/>
  <c r="P622" i="13"/>
  <c r="P623" i="13"/>
  <c r="P624" i="13"/>
  <c r="P625" i="13"/>
  <c r="P626" i="13"/>
  <c r="P627" i="13"/>
  <c r="P628" i="13"/>
  <c r="P629" i="13"/>
  <c r="P630" i="13"/>
  <c r="P631" i="13"/>
  <c r="P632" i="13"/>
  <c r="P633" i="13"/>
  <c r="P634" i="13"/>
  <c r="P635" i="13"/>
  <c r="P636" i="13"/>
  <c r="P637" i="13"/>
  <c r="P638" i="13"/>
  <c r="P639" i="13"/>
  <c r="P640" i="13"/>
  <c r="P641" i="13"/>
  <c r="P642" i="13"/>
  <c r="P643" i="13"/>
  <c r="P644" i="13"/>
  <c r="P645" i="13"/>
  <c r="P646" i="13"/>
  <c r="P647" i="13"/>
  <c r="P648" i="13"/>
  <c r="P649" i="13"/>
  <c r="P650" i="13"/>
  <c r="P651" i="13"/>
  <c r="P652" i="13"/>
  <c r="P653" i="13"/>
  <c r="P654" i="13"/>
  <c r="P655" i="13"/>
  <c r="P656" i="13"/>
  <c r="P657" i="13"/>
  <c r="P658" i="13"/>
  <c r="P659" i="13"/>
  <c r="P660" i="13"/>
  <c r="P661" i="13"/>
  <c r="P662" i="13"/>
  <c r="P663" i="13"/>
  <c r="P664" i="13"/>
  <c r="P665" i="13"/>
  <c r="P666" i="13"/>
  <c r="P667" i="13"/>
  <c r="P668" i="13"/>
  <c r="P669" i="13"/>
  <c r="P670" i="13"/>
  <c r="P671" i="13"/>
  <c r="P672" i="13"/>
  <c r="P673" i="13"/>
  <c r="P674" i="13"/>
  <c r="P675" i="13"/>
  <c r="P676" i="13"/>
  <c r="P677" i="13"/>
  <c r="P678" i="13"/>
  <c r="P679" i="13"/>
  <c r="P680" i="13"/>
  <c r="P681" i="13"/>
  <c r="P682" i="13"/>
  <c r="P683" i="13"/>
  <c r="P684" i="13"/>
  <c r="P685" i="13"/>
  <c r="P686" i="13"/>
  <c r="P687" i="13"/>
  <c r="P688" i="13"/>
  <c r="P689" i="13"/>
  <c r="P690" i="13"/>
  <c r="P691" i="13"/>
  <c r="P692" i="13"/>
  <c r="P693" i="13"/>
  <c r="P694" i="13"/>
  <c r="P695" i="13"/>
  <c r="P696" i="13"/>
  <c r="P697" i="13"/>
  <c r="P698" i="13"/>
  <c r="P699" i="13"/>
  <c r="P700" i="13"/>
  <c r="O1" i="13"/>
  <c r="O2" i="13"/>
  <c r="O3" i="13"/>
  <c r="O4" i="13"/>
  <c r="O5" i="13"/>
  <c r="O6" i="13"/>
  <c r="O7" i="13"/>
  <c r="O8" i="13"/>
  <c r="O9" i="13"/>
  <c r="O10" i="13"/>
  <c r="O11" i="13"/>
  <c r="O12" i="13"/>
  <c r="O13" i="13"/>
  <c r="O14" i="13"/>
  <c r="O15" i="13"/>
  <c r="O16" i="13"/>
  <c r="O17" i="13"/>
  <c r="O18" i="13"/>
  <c r="O19" i="13"/>
  <c r="O20" i="13"/>
  <c r="O21" i="13"/>
  <c r="O22" i="13"/>
  <c r="O23" i="13"/>
  <c r="O24" i="13"/>
  <c r="O25" i="13"/>
  <c r="O26" i="13"/>
  <c r="O27" i="13"/>
  <c r="O28" i="13"/>
  <c r="O29" i="13"/>
  <c r="O30" i="13"/>
  <c r="O31" i="13"/>
  <c r="O32" i="13"/>
  <c r="O33" i="13"/>
  <c r="O34" i="13"/>
  <c r="O35" i="13"/>
  <c r="O36" i="13"/>
  <c r="O37" i="13"/>
  <c r="O38" i="13"/>
  <c r="O39" i="13"/>
  <c r="O40" i="13"/>
  <c r="O41" i="13"/>
  <c r="O42" i="13"/>
  <c r="O43" i="13"/>
  <c r="O44" i="13"/>
  <c r="O45" i="13"/>
  <c r="O46" i="13"/>
  <c r="O47" i="13"/>
  <c r="O48" i="13"/>
  <c r="O49" i="13"/>
  <c r="O50" i="13"/>
  <c r="O51" i="13"/>
  <c r="O52" i="13"/>
  <c r="O53" i="13"/>
  <c r="O54" i="13"/>
  <c r="O55" i="13"/>
  <c r="O56" i="13"/>
  <c r="O57" i="13"/>
  <c r="O58" i="13"/>
  <c r="O59" i="13"/>
  <c r="O60" i="13"/>
  <c r="O61" i="13"/>
  <c r="O62" i="13"/>
  <c r="O63" i="13"/>
  <c r="O64" i="13"/>
  <c r="O65" i="13"/>
  <c r="O66" i="13"/>
  <c r="O67" i="13"/>
  <c r="O68" i="13"/>
  <c r="O69" i="13"/>
  <c r="O70" i="13"/>
  <c r="O71" i="13"/>
  <c r="O72" i="13"/>
  <c r="O73" i="13"/>
  <c r="O74" i="13"/>
  <c r="O75" i="13"/>
  <c r="O76" i="13"/>
  <c r="O77" i="13"/>
  <c r="O78" i="13"/>
  <c r="O79" i="13"/>
  <c r="O80" i="13"/>
  <c r="O81" i="13"/>
  <c r="O82" i="13"/>
  <c r="O83" i="13"/>
  <c r="O84" i="13"/>
  <c r="O85" i="13"/>
  <c r="O86" i="13"/>
  <c r="O87" i="13"/>
  <c r="O88" i="13"/>
  <c r="O89" i="13"/>
  <c r="O90" i="13"/>
  <c r="O91" i="13"/>
  <c r="O92" i="13"/>
  <c r="O93" i="13"/>
  <c r="O94" i="13"/>
  <c r="O95" i="13"/>
  <c r="O96" i="13"/>
  <c r="O97" i="13"/>
  <c r="O98" i="13"/>
  <c r="O99" i="13"/>
  <c r="O100" i="13"/>
  <c r="O101" i="13"/>
  <c r="O102" i="13"/>
  <c r="O103" i="13"/>
  <c r="O104" i="13"/>
  <c r="O105" i="13"/>
  <c r="O106" i="13"/>
  <c r="O107" i="13"/>
  <c r="O108" i="13"/>
  <c r="O109" i="13"/>
  <c r="O110" i="13"/>
  <c r="O111" i="13"/>
  <c r="O112" i="13"/>
  <c r="O113" i="13"/>
  <c r="O114" i="13"/>
  <c r="O115" i="13"/>
  <c r="O116" i="13"/>
  <c r="O117" i="13"/>
  <c r="O118" i="13"/>
  <c r="O119" i="13"/>
  <c r="O120" i="13"/>
  <c r="O121" i="13"/>
  <c r="O122" i="13"/>
  <c r="O123" i="13"/>
  <c r="O124" i="13"/>
  <c r="O125" i="13"/>
  <c r="O126" i="13"/>
  <c r="O127" i="13"/>
  <c r="O128" i="13"/>
  <c r="O129" i="13"/>
  <c r="O130" i="13"/>
  <c r="O131" i="13"/>
  <c r="O132" i="13"/>
  <c r="O133" i="13"/>
  <c r="O134" i="13"/>
  <c r="O135" i="13"/>
  <c r="O136" i="13"/>
  <c r="O137" i="13"/>
  <c r="O138" i="13"/>
  <c r="O139" i="13"/>
  <c r="O140" i="13"/>
  <c r="O141" i="13"/>
  <c r="O142" i="13"/>
  <c r="O143" i="13"/>
  <c r="O144" i="13"/>
  <c r="O145" i="13"/>
  <c r="O146" i="13"/>
  <c r="O147" i="13"/>
  <c r="O148" i="13"/>
  <c r="O149" i="13"/>
  <c r="O150" i="13"/>
  <c r="O151" i="13"/>
  <c r="O152" i="13"/>
  <c r="O153" i="13"/>
  <c r="O154" i="13"/>
  <c r="O155" i="13"/>
  <c r="O156" i="13"/>
  <c r="O157" i="13"/>
  <c r="O158" i="13"/>
  <c r="O159" i="13"/>
  <c r="O160" i="13"/>
  <c r="O161" i="13"/>
  <c r="O162" i="13"/>
  <c r="O163" i="13"/>
  <c r="O164" i="13"/>
  <c r="O165" i="13"/>
  <c r="O166" i="13"/>
  <c r="O167" i="13"/>
  <c r="O168" i="13"/>
  <c r="O169" i="13"/>
  <c r="O170" i="13"/>
  <c r="O171" i="13"/>
  <c r="O172" i="13"/>
  <c r="O173" i="13"/>
  <c r="O174" i="13"/>
  <c r="O175" i="13"/>
  <c r="O176" i="13"/>
  <c r="O177" i="13"/>
  <c r="O178" i="13"/>
  <c r="O179" i="13"/>
  <c r="O180" i="13"/>
  <c r="O181" i="13"/>
  <c r="O182" i="13"/>
  <c r="O183" i="13"/>
  <c r="O184" i="13"/>
  <c r="O185" i="13"/>
  <c r="O186" i="13"/>
  <c r="O187" i="13"/>
  <c r="O188" i="13"/>
  <c r="O189" i="13"/>
  <c r="O190" i="13"/>
  <c r="O191" i="13"/>
  <c r="O192" i="13"/>
  <c r="O193" i="13"/>
  <c r="O194" i="13"/>
  <c r="O195" i="13"/>
  <c r="O196" i="13"/>
  <c r="O197" i="13"/>
  <c r="O198" i="13"/>
  <c r="O199" i="13"/>
  <c r="O200" i="13"/>
  <c r="O201" i="13"/>
  <c r="O202" i="13"/>
  <c r="O203" i="13"/>
  <c r="O204" i="13"/>
  <c r="O205" i="13"/>
  <c r="O206" i="13"/>
  <c r="O207" i="13"/>
  <c r="O208" i="13"/>
  <c r="O209" i="13"/>
  <c r="O210" i="13"/>
  <c r="O211" i="13"/>
  <c r="O212" i="13"/>
  <c r="O213" i="13"/>
  <c r="O214" i="13"/>
  <c r="O215" i="13"/>
  <c r="O216" i="13"/>
  <c r="O217" i="13"/>
  <c r="O218" i="13"/>
  <c r="O219" i="13"/>
  <c r="O220" i="13"/>
  <c r="O221" i="13"/>
  <c r="O222" i="13"/>
  <c r="O223" i="13"/>
  <c r="O224" i="13"/>
  <c r="O225" i="13"/>
  <c r="O226" i="13"/>
  <c r="O227" i="13"/>
  <c r="O228" i="13"/>
  <c r="O229" i="13"/>
  <c r="O230" i="13"/>
  <c r="O231" i="13"/>
  <c r="O232" i="13"/>
  <c r="O233" i="13"/>
  <c r="O234" i="13"/>
  <c r="O235" i="13"/>
  <c r="O236" i="13"/>
  <c r="O237" i="13"/>
  <c r="O238" i="13"/>
  <c r="O239" i="13"/>
  <c r="O240" i="13"/>
  <c r="O241" i="13"/>
  <c r="O242" i="13"/>
  <c r="O243" i="13"/>
  <c r="O244" i="13"/>
  <c r="O245" i="13"/>
  <c r="O246" i="13"/>
  <c r="O247" i="13"/>
  <c r="O248" i="13"/>
  <c r="O249" i="13"/>
  <c r="O250" i="13"/>
  <c r="O251" i="13"/>
  <c r="O252" i="13"/>
  <c r="O253" i="13"/>
  <c r="O254" i="13"/>
  <c r="O255" i="13"/>
  <c r="O256" i="13"/>
  <c r="O257" i="13"/>
  <c r="O258" i="13"/>
  <c r="O259" i="13"/>
  <c r="O260" i="13"/>
  <c r="O261" i="13"/>
  <c r="O262" i="13"/>
  <c r="O263" i="13"/>
  <c r="O264" i="13"/>
  <c r="O265" i="13"/>
  <c r="O266" i="13"/>
  <c r="O267" i="13"/>
  <c r="O268" i="13"/>
  <c r="O269" i="13"/>
  <c r="O270" i="13"/>
  <c r="O271" i="13"/>
  <c r="O272" i="13"/>
  <c r="O273" i="13"/>
  <c r="O274" i="13"/>
  <c r="O275" i="13"/>
  <c r="O276" i="13"/>
  <c r="O277" i="13"/>
  <c r="O278" i="13"/>
  <c r="O279" i="13"/>
  <c r="O280" i="13"/>
  <c r="O281" i="13"/>
  <c r="O282" i="13"/>
  <c r="O283" i="13"/>
  <c r="O284" i="13"/>
  <c r="O285" i="13"/>
  <c r="O286" i="13"/>
  <c r="O287" i="13"/>
  <c r="O288" i="13"/>
  <c r="O289" i="13"/>
  <c r="O290" i="13"/>
  <c r="O291" i="13"/>
  <c r="O292" i="13"/>
  <c r="O293" i="13"/>
  <c r="O294" i="13"/>
  <c r="O295" i="13"/>
  <c r="O296" i="13"/>
  <c r="O297" i="13"/>
  <c r="O298" i="13"/>
  <c r="O299" i="13"/>
  <c r="O300" i="13"/>
  <c r="O301" i="13"/>
  <c r="O302" i="13"/>
  <c r="O303" i="13"/>
  <c r="O304" i="13"/>
  <c r="O305" i="13"/>
  <c r="O306" i="13"/>
  <c r="O307" i="13"/>
  <c r="O308" i="13"/>
  <c r="O309" i="13"/>
  <c r="O310" i="13"/>
  <c r="O311" i="13"/>
  <c r="O312" i="13"/>
  <c r="O313" i="13"/>
  <c r="O314" i="13"/>
  <c r="O315" i="13"/>
  <c r="O316" i="13"/>
  <c r="O317" i="13"/>
  <c r="O318" i="13"/>
  <c r="O319" i="13"/>
  <c r="O320" i="13"/>
  <c r="O321" i="13"/>
  <c r="O322" i="13"/>
  <c r="O323" i="13"/>
  <c r="O324" i="13"/>
  <c r="O325" i="13"/>
  <c r="O326" i="13"/>
  <c r="O327" i="13"/>
  <c r="O328" i="13"/>
  <c r="O329" i="13"/>
  <c r="O330" i="13"/>
  <c r="O331" i="13"/>
  <c r="O332" i="13"/>
  <c r="O333" i="13"/>
  <c r="O334" i="13"/>
  <c r="O335" i="13"/>
  <c r="O336" i="13"/>
  <c r="O337" i="13"/>
  <c r="O338" i="13"/>
  <c r="O339" i="13"/>
  <c r="O340" i="13"/>
  <c r="O341" i="13"/>
  <c r="O342" i="13"/>
  <c r="O343" i="13"/>
  <c r="O344" i="13"/>
  <c r="O345" i="13"/>
  <c r="O346" i="13"/>
  <c r="O347" i="13"/>
  <c r="O348" i="13"/>
  <c r="O349" i="13"/>
  <c r="O350" i="13"/>
  <c r="O351" i="13"/>
  <c r="O352" i="13"/>
  <c r="O353" i="13"/>
  <c r="O354" i="13"/>
  <c r="O355" i="13"/>
  <c r="O356" i="13"/>
  <c r="O357" i="13"/>
  <c r="O358" i="13"/>
  <c r="O359" i="13"/>
  <c r="O360" i="13"/>
  <c r="O361" i="13"/>
  <c r="O362" i="13"/>
  <c r="O363" i="13"/>
  <c r="O364" i="13"/>
  <c r="O365" i="13"/>
  <c r="O366" i="13"/>
  <c r="O367" i="13"/>
  <c r="O368" i="13"/>
  <c r="O369" i="13"/>
  <c r="O370" i="13"/>
  <c r="O371" i="13"/>
  <c r="O372" i="13"/>
  <c r="O373" i="13"/>
  <c r="O374" i="13"/>
  <c r="O375" i="13"/>
  <c r="O376" i="13"/>
  <c r="O377" i="13"/>
  <c r="O378" i="13"/>
  <c r="O379" i="13"/>
  <c r="O380" i="13"/>
  <c r="O381" i="13"/>
  <c r="O382" i="13"/>
  <c r="O383" i="13"/>
  <c r="O384" i="13"/>
  <c r="O385" i="13"/>
  <c r="O386" i="13"/>
  <c r="O387" i="13"/>
  <c r="O388" i="13"/>
  <c r="O389" i="13"/>
  <c r="O390" i="13"/>
  <c r="O391" i="13"/>
  <c r="O392" i="13"/>
  <c r="O393" i="13"/>
  <c r="O394" i="13"/>
  <c r="O395" i="13"/>
  <c r="O396" i="13"/>
  <c r="O397" i="13"/>
  <c r="O398" i="13"/>
  <c r="O399" i="13"/>
  <c r="O400" i="13"/>
  <c r="O401" i="13"/>
  <c r="O402" i="13"/>
  <c r="O403" i="13"/>
  <c r="O404" i="13"/>
  <c r="O405" i="13"/>
  <c r="O406" i="13"/>
  <c r="O407" i="13"/>
  <c r="O408" i="13"/>
  <c r="O409" i="13"/>
  <c r="O410" i="13"/>
  <c r="O411" i="13"/>
  <c r="O412" i="13"/>
  <c r="O413" i="13"/>
  <c r="O414" i="13"/>
  <c r="O415" i="13"/>
  <c r="O416" i="13"/>
  <c r="O417" i="13"/>
  <c r="O418" i="13"/>
  <c r="O419" i="13"/>
  <c r="O420" i="13"/>
  <c r="O421" i="13"/>
  <c r="O422" i="13"/>
  <c r="O423" i="13"/>
  <c r="O424" i="13"/>
  <c r="O425" i="13"/>
  <c r="O426" i="13"/>
  <c r="O427" i="13"/>
  <c r="O428" i="13"/>
  <c r="O429" i="13"/>
  <c r="O430" i="13"/>
  <c r="O431" i="13"/>
  <c r="O432" i="13"/>
  <c r="O433" i="13"/>
  <c r="O434" i="13"/>
  <c r="O435" i="13"/>
  <c r="O436" i="13"/>
  <c r="O437" i="13"/>
  <c r="O438" i="13"/>
  <c r="O439" i="13"/>
  <c r="O440" i="13"/>
  <c r="O441" i="13"/>
  <c r="O442" i="13"/>
  <c r="O443" i="13"/>
  <c r="O444" i="13"/>
  <c r="O445" i="13"/>
  <c r="O446" i="13"/>
  <c r="O447" i="13"/>
  <c r="O448" i="13"/>
  <c r="O449" i="13"/>
  <c r="O450" i="13"/>
  <c r="O451" i="13"/>
  <c r="O452" i="13"/>
  <c r="O453" i="13"/>
  <c r="O454" i="13"/>
  <c r="O455" i="13"/>
  <c r="O456" i="13"/>
  <c r="O457" i="13"/>
  <c r="O458" i="13"/>
  <c r="O459" i="13"/>
  <c r="O460" i="13"/>
  <c r="O461" i="13"/>
  <c r="O462" i="13"/>
  <c r="O463" i="13"/>
  <c r="O464" i="13"/>
  <c r="O465" i="13"/>
  <c r="O466" i="13"/>
  <c r="O467" i="13"/>
  <c r="O468" i="13"/>
  <c r="O469" i="13"/>
  <c r="O470" i="13"/>
  <c r="O471" i="13"/>
  <c r="O472" i="13"/>
  <c r="O473" i="13"/>
  <c r="O474" i="13"/>
  <c r="O475" i="13"/>
  <c r="O476" i="13"/>
  <c r="O477" i="13"/>
  <c r="O478" i="13"/>
  <c r="O479" i="13"/>
  <c r="O480" i="13"/>
  <c r="O481" i="13"/>
  <c r="O482" i="13"/>
  <c r="O483" i="13"/>
  <c r="O484" i="13"/>
  <c r="O485" i="13"/>
  <c r="O486" i="13"/>
  <c r="O487" i="13"/>
  <c r="O488" i="13"/>
  <c r="O489" i="13"/>
  <c r="O490" i="13"/>
  <c r="O491" i="13"/>
  <c r="O492" i="13"/>
  <c r="O493" i="13"/>
  <c r="O494" i="13"/>
  <c r="O495" i="13"/>
  <c r="O496" i="13"/>
  <c r="O497" i="13"/>
  <c r="O498" i="13"/>
  <c r="O499" i="13"/>
  <c r="O500" i="13"/>
  <c r="O501" i="13"/>
  <c r="O502" i="13"/>
  <c r="O503" i="13"/>
  <c r="O504" i="13"/>
  <c r="O505" i="13"/>
  <c r="O506" i="13"/>
  <c r="O507" i="13"/>
  <c r="O508" i="13"/>
  <c r="O509" i="13"/>
  <c r="O510" i="13"/>
  <c r="O511" i="13"/>
  <c r="O512" i="13"/>
  <c r="O513" i="13"/>
  <c r="O514" i="13"/>
  <c r="O515" i="13"/>
  <c r="O516" i="13"/>
  <c r="O517" i="13"/>
  <c r="O518" i="13"/>
  <c r="O519" i="13"/>
  <c r="O520" i="13"/>
  <c r="O521" i="13"/>
  <c r="O522" i="13"/>
  <c r="O523" i="13"/>
  <c r="O524" i="13"/>
  <c r="O525" i="13"/>
  <c r="O526" i="13"/>
  <c r="O527" i="13"/>
  <c r="O528" i="13"/>
  <c r="O529" i="13"/>
  <c r="O530" i="13"/>
  <c r="O531" i="13"/>
  <c r="O532" i="13"/>
  <c r="O533" i="13"/>
  <c r="O534" i="13"/>
  <c r="O535" i="13"/>
  <c r="O536" i="13"/>
  <c r="O537" i="13"/>
  <c r="O538" i="13"/>
  <c r="O539" i="13"/>
  <c r="O540" i="13"/>
  <c r="O541" i="13"/>
  <c r="O542" i="13"/>
  <c r="O543" i="13"/>
  <c r="O544" i="13"/>
  <c r="O545" i="13"/>
  <c r="O546" i="13"/>
  <c r="O547" i="13"/>
  <c r="O548" i="13"/>
  <c r="O549" i="13"/>
  <c r="O550" i="13"/>
  <c r="O551" i="13"/>
  <c r="O552" i="13"/>
  <c r="O553" i="13"/>
  <c r="O554" i="13"/>
  <c r="O555" i="13"/>
  <c r="O556" i="13"/>
  <c r="O557" i="13"/>
  <c r="O558" i="13"/>
  <c r="O559" i="13"/>
  <c r="O560" i="13"/>
  <c r="O561" i="13"/>
  <c r="O562" i="13"/>
  <c r="O563" i="13"/>
  <c r="O564" i="13"/>
  <c r="O565" i="13"/>
  <c r="O566" i="13"/>
  <c r="O567" i="13"/>
  <c r="O568" i="13"/>
  <c r="O569" i="13"/>
  <c r="O570" i="13"/>
  <c r="O571" i="13"/>
  <c r="O572" i="13"/>
  <c r="O573" i="13"/>
  <c r="O574" i="13"/>
  <c r="O575" i="13"/>
  <c r="O576" i="13"/>
  <c r="O577" i="13"/>
  <c r="O578" i="13"/>
  <c r="O579" i="13"/>
  <c r="O580" i="13"/>
  <c r="O581" i="13"/>
  <c r="O582" i="13"/>
  <c r="O583" i="13"/>
  <c r="O584" i="13"/>
  <c r="O585" i="13"/>
  <c r="O586" i="13"/>
  <c r="O587" i="13"/>
  <c r="O588" i="13"/>
  <c r="O589" i="13"/>
  <c r="O590" i="13"/>
  <c r="O591" i="13"/>
  <c r="O592" i="13"/>
  <c r="O593" i="13"/>
  <c r="O594" i="13"/>
  <c r="O595" i="13"/>
  <c r="O596" i="13"/>
  <c r="O597" i="13"/>
  <c r="O598" i="13"/>
  <c r="O599" i="13"/>
  <c r="O600" i="13"/>
  <c r="O601" i="13"/>
  <c r="O602" i="13"/>
  <c r="O603" i="13"/>
  <c r="O604" i="13"/>
  <c r="O605" i="13"/>
  <c r="O606" i="13"/>
  <c r="O607" i="13"/>
  <c r="O608" i="13"/>
  <c r="O609" i="13"/>
  <c r="O610" i="13"/>
  <c r="O611" i="13"/>
  <c r="O612" i="13"/>
  <c r="O613" i="13"/>
  <c r="O614" i="13"/>
  <c r="O615" i="13"/>
  <c r="O616" i="13"/>
  <c r="O617" i="13"/>
  <c r="O618" i="13"/>
  <c r="O619" i="13"/>
  <c r="O620" i="13"/>
  <c r="O621" i="13"/>
  <c r="O622" i="13"/>
  <c r="O623" i="13"/>
  <c r="O624" i="13"/>
  <c r="O625" i="13"/>
  <c r="O626" i="13"/>
  <c r="O627" i="13"/>
  <c r="O628" i="13"/>
  <c r="O629" i="13"/>
  <c r="O630" i="13"/>
  <c r="O631" i="13"/>
  <c r="O632" i="13"/>
  <c r="O633" i="13"/>
  <c r="O634" i="13"/>
  <c r="O635" i="13"/>
  <c r="O636" i="13"/>
  <c r="O637" i="13"/>
  <c r="O638" i="13"/>
  <c r="O639" i="13"/>
  <c r="O640" i="13"/>
  <c r="O641" i="13"/>
  <c r="O642" i="13"/>
  <c r="O643" i="13"/>
  <c r="O644" i="13"/>
  <c r="O645" i="13"/>
  <c r="O646" i="13"/>
  <c r="O647" i="13"/>
  <c r="O648" i="13"/>
  <c r="O649" i="13"/>
  <c r="O650" i="13"/>
  <c r="O651" i="13"/>
  <c r="O652" i="13"/>
  <c r="O653" i="13"/>
  <c r="O654" i="13"/>
  <c r="O655" i="13"/>
  <c r="O656" i="13"/>
  <c r="O657" i="13"/>
  <c r="O658" i="13"/>
  <c r="O659" i="13"/>
  <c r="O660" i="13"/>
  <c r="O661" i="13"/>
  <c r="O662" i="13"/>
  <c r="O663" i="13"/>
  <c r="O664" i="13"/>
  <c r="O665" i="13"/>
  <c r="O666" i="13"/>
  <c r="O667" i="13"/>
  <c r="O668" i="13"/>
  <c r="O669" i="13"/>
  <c r="O670" i="13"/>
  <c r="O671" i="13"/>
  <c r="O672" i="13"/>
  <c r="O673" i="13"/>
  <c r="O674" i="13"/>
  <c r="O675" i="13"/>
  <c r="O676" i="13"/>
  <c r="O677" i="13"/>
  <c r="O678" i="13"/>
  <c r="O679" i="13"/>
  <c r="O680" i="13"/>
  <c r="O681" i="13"/>
  <c r="O682" i="13"/>
  <c r="O683" i="13"/>
  <c r="O684" i="13"/>
  <c r="O685" i="13"/>
  <c r="O686" i="13"/>
  <c r="O687" i="13"/>
  <c r="O688" i="13"/>
  <c r="O689" i="13"/>
  <c r="O690" i="13"/>
  <c r="O691" i="13"/>
  <c r="O692" i="13"/>
  <c r="O693" i="13"/>
  <c r="O694" i="13"/>
  <c r="O695" i="13"/>
  <c r="O696" i="13"/>
  <c r="O697" i="13"/>
  <c r="O698" i="13"/>
  <c r="O699" i="13"/>
  <c r="O700" i="13"/>
  <c r="N1" i="13"/>
  <c r="N2" i="13"/>
  <c r="N3" i="13"/>
  <c r="N4" i="13"/>
  <c r="N5" i="13"/>
  <c r="N6" i="13"/>
  <c r="N7" i="13"/>
  <c r="N8" i="13"/>
  <c r="N9" i="13"/>
  <c r="N10" i="13"/>
  <c r="N11" i="13"/>
  <c r="N12" i="13"/>
  <c r="N13" i="13"/>
  <c r="N14" i="13"/>
  <c r="N15" i="13"/>
  <c r="N16" i="13"/>
  <c r="N17" i="13"/>
  <c r="N18" i="13"/>
  <c r="N19" i="13"/>
  <c r="N20" i="13"/>
  <c r="N21" i="13"/>
  <c r="N22" i="13"/>
  <c r="N23" i="13"/>
  <c r="N24" i="13"/>
  <c r="N25" i="13"/>
  <c r="N26" i="13"/>
  <c r="N27" i="13"/>
  <c r="N28" i="13"/>
  <c r="N29" i="13"/>
  <c r="N30" i="13"/>
  <c r="N31" i="13"/>
  <c r="N32" i="13"/>
  <c r="N33" i="13"/>
  <c r="N34" i="13"/>
  <c r="N35" i="13"/>
  <c r="N36" i="13"/>
  <c r="N37" i="13"/>
  <c r="N38" i="13"/>
  <c r="N39" i="13"/>
  <c r="N40" i="13"/>
  <c r="N41" i="13"/>
  <c r="N42" i="13"/>
  <c r="N43" i="13"/>
  <c r="N44" i="13"/>
  <c r="N45" i="13"/>
  <c r="N46" i="13"/>
  <c r="N47" i="13"/>
  <c r="N48" i="13"/>
  <c r="N49" i="13"/>
  <c r="N50" i="13"/>
  <c r="N51" i="13"/>
  <c r="N52" i="13"/>
  <c r="N53" i="13"/>
  <c r="N54" i="13"/>
  <c r="N55" i="13"/>
  <c r="N56" i="13"/>
  <c r="N57" i="13"/>
  <c r="N58" i="13"/>
  <c r="N59" i="13"/>
  <c r="N60" i="13"/>
  <c r="N61" i="13"/>
  <c r="N62" i="13"/>
  <c r="N63" i="13"/>
  <c r="N64" i="13"/>
  <c r="N65" i="13"/>
  <c r="N66" i="13"/>
  <c r="N67" i="13"/>
  <c r="N68" i="13"/>
  <c r="N69" i="13"/>
  <c r="N70" i="13"/>
  <c r="N71" i="13"/>
  <c r="N72" i="13"/>
  <c r="N73" i="13"/>
  <c r="N74" i="13"/>
  <c r="N75" i="13"/>
  <c r="N76" i="13"/>
  <c r="N77" i="13"/>
  <c r="N78" i="13"/>
  <c r="N79" i="13"/>
  <c r="N80" i="13"/>
  <c r="N81" i="13"/>
  <c r="N82" i="13"/>
  <c r="N83" i="13"/>
  <c r="N84" i="13"/>
  <c r="N85" i="13"/>
  <c r="N86" i="13"/>
  <c r="N87" i="13"/>
  <c r="N88" i="13"/>
  <c r="N89" i="13"/>
  <c r="N90" i="13"/>
  <c r="N91" i="13"/>
  <c r="N92" i="13"/>
  <c r="N93" i="13"/>
  <c r="N94" i="13"/>
  <c r="N95" i="13"/>
  <c r="N96" i="13"/>
  <c r="N97" i="13"/>
  <c r="N98" i="13"/>
  <c r="N99" i="13"/>
  <c r="N100" i="13"/>
  <c r="N101" i="13"/>
  <c r="N102" i="13"/>
  <c r="N103" i="13"/>
  <c r="N104" i="13"/>
  <c r="N105" i="13"/>
  <c r="N106" i="13"/>
  <c r="N107" i="13"/>
  <c r="N108" i="13"/>
  <c r="N109" i="13"/>
  <c r="N110" i="13"/>
  <c r="N111" i="13"/>
  <c r="N112" i="13"/>
  <c r="N113" i="13"/>
  <c r="N114" i="13"/>
  <c r="N115" i="13"/>
  <c r="N116" i="13"/>
  <c r="N117" i="13"/>
  <c r="N118" i="13"/>
  <c r="N119" i="13"/>
  <c r="N120" i="13"/>
  <c r="N121" i="13"/>
  <c r="N122" i="13"/>
  <c r="N123" i="13"/>
  <c r="N124" i="13"/>
  <c r="N125" i="13"/>
  <c r="N126" i="13"/>
  <c r="N127" i="13"/>
  <c r="N128" i="13"/>
  <c r="N129" i="13"/>
  <c r="N130" i="13"/>
  <c r="N131" i="13"/>
  <c r="N132" i="13"/>
  <c r="N133" i="13"/>
  <c r="N134" i="13"/>
  <c r="N135" i="13"/>
  <c r="N136" i="13"/>
  <c r="N137" i="13"/>
  <c r="N138" i="13"/>
  <c r="N139" i="13"/>
  <c r="N140" i="13"/>
  <c r="N141" i="13"/>
  <c r="N142" i="13"/>
  <c r="N143" i="13"/>
  <c r="N144" i="13"/>
  <c r="N145" i="13"/>
  <c r="N146" i="13"/>
  <c r="N147" i="13"/>
  <c r="N148" i="13"/>
  <c r="N149" i="13"/>
  <c r="N150" i="13"/>
  <c r="N151" i="13"/>
  <c r="N152" i="13"/>
  <c r="N153" i="13"/>
  <c r="N154" i="13"/>
  <c r="N155" i="13"/>
  <c r="N156" i="13"/>
  <c r="N157" i="13"/>
  <c r="N158" i="13"/>
  <c r="N159" i="13"/>
  <c r="N160" i="13"/>
  <c r="N161" i="13"/>
  <c r="N162" i="13"/>
  <c r="N163" i="13"/>
  <c r="N164" i="13"/>
  <c r="N165" i="13"/>
  <c r="N166" i="13"/>
  <c r="N167" i="13"/>
  <c r="N168" i="13"/>
  <c r="N169" i="13"/>
  <c r="N170" i="13"/>
  <c r="N171" i="13"/>
  <c r="N172" i="13"/>
  <c r="N173" i="13"/>
  <c r="N174" i="13"/>
  <c r="N175" i="13"/>
  <c r="N176" i="13"/>
  <c r="N177" i="13"/>
  <c r="N178" i="13"/>
  <c r="N179" i="13"/>
  <c r="N180" i="13"/>
  <c r="N181" i="13"/>
  <c r="N182" i="13"/>
  <c r="N183" i="13"/>
  <c r="N184" i="13"/>
  <c r="N185" i="13"/>
  <c r="N186" i="13"/>
  <c r="N187" i="13"/>
  <c r="N188" i="13"/>
  <c r="N189" i="13"/>
  <c r="N190" i="13"/>
  <c r="N191" i="13"/>
  <c r="N192" i="13"/>
  <c r="N193" i="13"/>
  <c r="N194" i="13"/>
  <c r="N195" i="13"/>
  <c r="N196" i="13"/>
  <c r="N197" i="13"/>
  <c r="N198" i="13"/>
  <c r="N199" i="13"/>
  <c r="N200" i="13"/>
  <c r="N201" i="13"/>
  <c r="N202" i="13"/>
  <c r="N203" i="13"/>
  <c r="N204" i="13"/>
  <c r="N205" i="13"/>
  <c r="N206" i="13"/>
  <c r="N207" i="13"/>
  <c r="N208" i="13"/>
  <c r="N209" i="13"/>
  <c r="N210" i="13"/>
  <c r="N211" i="13"/>
  <c r="N212" i="13"/>
  <c r="N213" i="13"/>
  <c r="N214" i="13"/>
  <c r="N215" i="13"/>
  <c r="N216" i="13"/>
  <c r="N217" i="13"/>
  <c r="N218" i="13"/>
  <c r="N219" i="13"/>
  <c r="N220" i="13"/>
  <c r="N221" i="13"/>
  <c r="N222" i="13"/>
  <c r="N223" i="13"/>
  <c r="N224" i="13"/>
  <c r="N225" i="13"/>
  <c r="N226" i="13"/>
  <c r="N227" i="13"/>
  <c r="N228" i="13"/>
  <c r="N229" i="13"/>
  <c r="N230" i="13"/>
  <c r="N231" i="13"/>
  <c r="N232" i="13"/>
  <c r="N233" i="13"/>
  <c r="N234" i="13"/>
  <c r="N235" i="13"/>
  <c r="N236" i="13"/>
  <c r="N237" i="13"/>
  <c r="N238" i="13"/>
  <c r="N239" i="13"/>
  <c r="N240" i="13"/>
  <c r="N241" i="13"/>
  <c r="N242" i="13"/>
  <c r="N243" i="13"/>
  <c r="N244" i="13"/>
  <c r="N245" i="13"/>
  <c r="N246" i="13"/>
  <c r="N247" i="13"/>
  <c r="N248" i="13"/>
  <c r="N249" i="13"/>
  <c r="N250" i="13"/>
  <c r="N251" i="13"/>
  <c r="N252" i="13"/>
  <c r="N253" i="13"/>
  <c r="N254" i="13"/>
  <c r="N255" i="13"/>
  <c r="N256" i="13"/>
  <c r="N257" i="13"/>
  <c r="N258" i="13"/>
  <c r="N259" i="13"/>
  <c r="N260" i="13"/>
  <c r="N261" i="13"/>
  <c r="N262" i="13"/>
  <c r="N263" i="13"/>
  <c r="N264" i="13"/>
  <c r="N265" i="13"/>
  <c r="N266" i="13"/>
  <c r="N267" i="13"/>
  <c r="N268" i="13"/>
  <c r="N269" i="13"/>
  <c r="N270" i="13"/>
  <c r="N271" i="13"/>
  <c r="N272" i="13"/>
  <c r="N273" i="13"/>
  <c r="N274" i="13"/>
  <c r="N275" i="13"/>
  <c r="N276" i="13"/>
  <c r="N277" i="13"/>
  <c r="N278" i="13"/>
  <c r="N279" i="13"/>
  <c r="N280" i="13"/>
  <c r="N281" i="13"/>
  <c r="N282" i="13"/>
  <c r="N283" i="13"/>
  <c r="N284" i="13"/>
  <c r="N285" i="13"/>
  <c r="N286" i="13"/>
  <c r="N287" i="13"/>
  <c r="N288" i="13"/>
  <c r="N289" i="13"/>
  <c r="N290" i="13"/>
  <c r="N291" i="13"/>
  <c r="N292" i="13"/>
  <c r="N293" i="13"/>
  <c r="N294" i="13"/>
  <c r="N295" i="13"/>
  <c r="N296" i="13"/>
  <c r="N297" i="13"/>
  <c r="N298" i="13"/>
  <c r="N299" i="13"/>
  <c r="N300" i="13"/>
  <c r="N301" i="13"/>
  <c r="N302" i="13"/>
  <c r="N303" i="13"/>
  <c r="N304" i="13"/>
  <c r="N305" i="13"/>
  <c r="N306" i="13"/>
  <c r="N307" i="13"/>
  <c r="N308" i="13"/>
  <c r="N309" i="13"/>
  <c r="N310" i="13"/>
  <c r="N311" i="13"/>
  <c r="N312" i="13"/>
  <c r="N313" i="13"/>
  <c r="N314" i="13"/>
  <c r="N315" i="13"/>
  <c r="N316" i="13"/>
  <c r="N317" i="13"/>
  <c r="N318" i="13"/>
  <c r="N319" i="13"/>
  <c r="N320" i="13"/>
  <c r="N321" i="13"/>
  <c r="N322" i="13"/>
  <c r="N323" i="13"/>
  <c r="N324" i="13"/>
  <c r="N325" i="13"/>
  <c r="N326" i="13"/>
  <c r="N327" i="13"/>
  <c r="N328" i="13"/>
  <c r="N329" i="13"/>
  <c r="N330" i="13"/>
  <c r="N331" i="13"/>
  <c r="N332" i="13"/>
  <c r="N333" i="13"/>
  <c r="N334" i="13"/>
  <c r="N335" i="13"/>
  <c r="N336" i="13"/>
  <c r="N337" i="13"/>
  <c r="N338" i="13"/>
  <c r="N339" i="13"/>
  <c r="N340" i="13"/>
  <c r="N341" i="13"/>
  <c r="N342" i="13"/>
  <c r="N343" i="13"/>
  <c r="N344" i="13"/>
  <c r="N345" i="13"/>
  <c r="N346" i="13"/>
  <c r="N347" i="13"/>
  <c r="N348" i="13"/>
  <c r="N349" i="13"/>
  <c r="N350" i="13"/>
  <c r="N351" i="13"/>
  <c r="N352" i="13"/>
  <c r="N353" i="13"/>
  <c r="N354" i="13"/>
  <c r="N355" i="13"/>
  <c r="N356" i="13"/>
  <c r="N357" i="13"/>
  <c r="N358" i="13"/>
  <c r="N359" i="13"/>
  <c r="N360" i="13"/>
  <c r="N361" i="13"/>
  <c r="N362" i="13"/>
  <c r="N363" i="13"/>
  <c r="N364" i="13"/>
  <c r="N365" i="13"/>
  <c r="N366" i="13"/>
  <c r="N367" i="13"/>
  <c r="N368" i="13"/>
  <c r="N369" i="13"/>
  <c r="N370" i="13"/>
  <c r="N371" i="13"/>
  <c r="N372" i="13"/>
  <c r="N373" i="13"/>
  <c r="N374" i="13"/>
  <c r="N375" i="13"/>
  <c r="N376" i="13"/>
  <c r="N377" i="13"/>
  <c r="N378" i="13"/>
  <c r="N379" i="13"/>
  <c r="N380" i="13"/>
  <c r="N381" i="13"/>
  <c r="N382" i="13"/>
  <c r="N383" i="13"/>
  <c r="N384" i="13"/>
  <c r="N385" i="13"/>
  <c r="N386" i="13"/>
  <c r="N387" i="13"/>
  <c r="N388" i="13"/>
  <c r="N389" i="13"/>
  <c r="N390" i="13"/>
  <c r="N391" i="13"/>
  <c r="N392" i="13"/>
  <c r="N393" i="13"/>
  <c r="N394" i="13"/>
  <c r="N395" i="13"/>
  <c r="N396" i="13"/>
  <c r="N397" i="13"/>
  <c r="N398" i="13"/>
  <c r="N399" i="13"/>
  <c r="N400" i="13"/>
  <c r="N401" i="13"/>
  <c r="N402" i="13"/>
  <c r="N403" i="13"/>
  <c r="N404" i="13"/>
  <c r="N405" i="13"/>
  <c r="N406" i="13"/>
  <c r="N407" i="13"/>
  <c r="N408" i="13"/>
  <c r="N409" i="13"/>
  <c r="N410" i="13"/>
  <c r="N411" i="13"/>
  <c r="N412" i="13"/>
  <c r="N413" i="13"/>
  <c r="N414" i="13"/>
  <c r="N415" i="13"/>
  <c r="N416" i="13"/>
  <c r="N417" i="13"/>
  <c r="N418" i="13"/>
  <c r="N419" i="13"/>
  <c r="N420" i="13"/>
  <c r="N421" i="13"/>
  <c r="N422" i="13"/>
  <c r="N423" i="13"/>
  <c r="N424" i="13"/>
  <c r="N425" i="13"/>
  <c r="N426" i="13"/>
  <c r="N427" i="13"/>
  <c r="N428" i="13"/>
  <c r="N429" i="13"/>
  <c r="N430" i="13"/>
  <c r="N431" i="13"/>
  <c r="N432" i="13"/>
  <c r="N433" i="13"/>
  <c r="N434" i="13"/>
  <c r="N435" i="13"/>
  <c r="N436" i="13"/>
  <c r="N437" i="13"/>
  <c r="N438" i="13"/>
  <c r="N439" i="13"/>
  <c r="N440" i="13"/>
  <c r="N441" i="13"/>
  <c r="N442" i="13"/>
  <c r="N443" i="13"/>
  <c r="N444" i="13"/>
  <c r="N445" i="13"/>
  <c r="N446" i="13"/>
  <c r="N447" i="13"/>
  <c r="N448" i="13"/>
  <c r="N449" i="13"/>
  <c r="N450" i="13"/>
  <c r="N451" i="13"/>
  <c r="N452" i="13"/>
  <c r="N453" i="13"/>
  <c r="N454" i="13"/>
  <c r="N455" i="13"/>
  <c r="N456" i="13"/>
  <c r="N457" i="13"/>
  <c r="N458" i="13"/>
  <c r="N459" i="13"/>
  <c r="N460" i="13"/>
  <c r="N461" i="13"/>
  <c r="N462" i="13"/>
  <c r="N463" i="13"/>
  <c r="N464" i="13"/>
  <c r="N465" i="13"/>
  <c r="N466" i="13"/>
  <c r="N467" i="13"/>
  <c r="N468" i="13"/>
  <c r="N469" i="13"/>
  <c r="N470" i="13"/>
  <c r="N471" i="13"/>
  <c r="N472" i="13"/>
  <c r="N473" i="13"/>
  <c r="N474" i="13"/>
  <c r="N475" i="13"/>
  <c r="N476" i="13"/>
  <c r="N477" i="13"/>
  <c r="N478" i="13"/>
  <c r="N479" i="13"/>
  <c r="N480" i="13"/>
  <c r="N481" i="13"/>
  <c r="N482" i="13"/>
  <c r="N483" i="13"/>
  <c r="N484" i="13"/>
  <c r="N485" i="13"/>
  <c r="N486" i="13"/>
  <c r="N487" i="13"/>
  <c r="N488" i="13"/>
  <c r="N489" i="13"/>
  <c r="N490" i="13"/>
  <c r="N491" i="13"/>
  <c r="N492" i="13"/>
  <c r="N493" i="13"/>
  <c r="N494" i="13"/>
  <c r="N495" i="13"/>
  <c r="N496" i="13"/>
  <c r="N497" i="13"/>
  <c r="N498" i="13"/>
  <c r="N499" i="13"/>
  <c r="N500" i="13"/>
  <c r="N501" i="13"/>
  <c r="N502" i="13"/>
  <c r="N503" i="13"/>
  <c r="N504" i="13"/>
  <c r="N505" i="13"/>
  <c r="N506" i="13"/>
  <c r="N507" i="13"/>
  <c r="N508" i="13"/>
  <c r="N509" i="13"/>
  <c r="N510" i="13"/>
  <c r="N511" i="13"/>
  <c r="N512" i="13"/>
  <c r="N513" i="13"/>
  <c r="N514" i="13"/>
  <c r="N515" i="13"/>
  <c r="N516" i="13"/>
  <c r="N517" i="13"/>
  <c r="N518" i="13"/>
  <c r="N519" i="13"/>
  <c r="N520" i="13"/>
  <c r="N521" i="13"/>
  <c r="N522" i="13"/>
  <c r="N523" i="13"/>
  <c r="N524" i="13"/>
  <c r="N525" i="13"/>
  <c r="N526" i="13"/>
  <c r="N527" i="13"/>
  <c r="N528" i="13"/>
  <c r="N529" i="13"/>
  <c r="N530" i="13"/>
  <c r="N531" i="13"/>
  <c r="N532" i="13"/>
  <c r="N533" i="13"/>
  <c r="N534" i="13"/>
  <c r="N535" i="13"/>
  <c r="N536" i="13"/>
  <c r="N537" i="13"/>
  <c r="N538" i="13"/>
  <c r="N539" i="13"/>
  <c r="N540" i="13"/>
  <c r="N541" i="13"/>
  <c r="N542" i="13"/>
  <c r="N543" i="13"/>
  <c r="N544" i="13"/>
  <c r="N545" i="13"/>
  <c r="N546" i="13"/>
  <c r="N547" i="13"/>
  <c r="N548" i="13"/>
  <c r="N549" i="13"/>
  <c r="N550" i="13"/>
  <c r="N551" i="13"/>
  <c r="N552" i="13"/>
  <c r="N553" i="13"/>
  <c r="N554" i="13"/>
  <c r="N555" i="13"/>
  <c r="N556" i="13"/>
  <c r="N557" i="13"/>
  <c r="N558" i="13"/>
  <c r="N559" i="13"/>
  <c r="N560" i="13"/>
  <c r="N561" i="13"/>
  <c r="N562" i="13"/>
  <c r="N563" i="13"/>
  <c r="N564" i="13"/>
  <c r="N565" i="13"/>
  <c r="N566" i="13"/>
  <c r="N567" i="13"/>
  <c r="N568" i="13"/>
  <c r="N569" i="13"/>
  <c r="N570" i="13"/>
  <c r="N571" i="13"/>
  <c r="N572" i="13"/>
  <c r="N573" i="13"/>
  <c r="N574" i="13"/>
  <c r="N575" i="13"/>
  <c r="N576" i="13"/>
  <c r="N577" i="13"/>
  <c r="N578" i="13"/>
  <c r="N579" i="13"/>
  <c r="N580" i="13"/>
  <c r="N581" i="13"/>
  <c r="N582" i="13"/>
  <c r="N583" i="13"/>
  <c r="N584" i="13"/>
  <c r="N585" i="13"/>
  <c r="N586" i="13"/>
  <c r="N587" i="13"/>
  <c r="N588" i="13"/>
  <c r="N589" i="13"/>
  <c r="N590" i="13"/>
  <c r="N591" i="13"/>
  <c r="N592" i="13"/>
  <c r="N593" i="13"/>
  <c r="N594" i="13"/>
  <c r="N595" i="13"/>
  <c r="N596" i="13"/>
  <c r="N597" i="13"/>
  <c r="N598" i="13"/>
  <c r="N599" i="13"/>
  <c r="N600" i="13"/>
  <c r="N601" i="13"/>
  <c r="N602" i="13"/>
  <c r="N603" i="13"/>
  <c r="N604" i="13"/>
  <c r="N605" i="13"/>
  <c r="N606" i="13"/>
  <c r="N607" i="13"/>
  <c r="N608" i="13"/>
  <c r="N609" i="13"/>
  <c r="N610" i="13"/>
  <c r="N611" i="13"/>
  <c r="N612" i="13"/>
  <c r="N613" i="13"/>
  <c r="N614" i="13"/>
  <c r="N615" i="13"/>
  <c r="N616" i="13"/>
  <c r="N617" i="13"/>
  <c r="N618" i="13"/>
  <c r="N619" i="13"/>
  <c r="N620" i="13"/>
  <c r="N621" i="13"/>
  <c r="N622" i="13"/>
  <c r="N623" i="13"/>
  <c r="N624" i="13"/>
  <c r="N625" i="13"/>
  <c r="N626" i="13"/>
  <c r="N627" i="13"/>
  <c r="N628" i="13"/>
  <c r="N629" i="13"/>
  <c r="N630" i="13"/>
  <c r="N631" i="13"/>
  <c r="N632" i="13"/>
  <c r="N633" i="13"/>
  <c r="N634" i="13"/>
  <c r="N635" i="13"/>
  <c r="N636" i="13"/>
  <c r="N637" i="13"/>
  <c r="N638" i="13"/>
  <c r="N639" i="13"/>
  <c r="N640" i="13"/>
  <c r="N641" i="13"/>
  <c r="N642" i="13"/>
  <c r="N643" i="13"/>
  <c r="N644" i="13"/>
  <c r="N645" i="13"/>
  <c r="N646" i="13"/>
  <c r="N647" i="13"/>
  <c r="N648" i="13"/>
  <c r="N649" i="13"/>
  <c r="N650" i="13"/>
  <c r="N651" i="13"/>
  <c r="N652" i="13"/>
  <c r="N653" i="13"/>
  <c r="N654" i="13"/>
  <c r="N655" i="13"/>
  <c r="N656" i="13"/>
  <c r="N657" i="13"/>
  <c r="N658" i="13"/>
  <c r="N659" i="13"/>
  <c r="N660" i="13"/>
  <c r="N661" i="13"/>
  <c r="N662" i="13"/>
  <c r="N663" i="13"/>
  <c r="N664" i="13"/>
  <c r="N665" i="13"/>
  <c r="N666" i="13"/>
  <c r="N667" i="13"/>
  <c r="N668" i="13"/>
  <c r="N669" i="13"/>
  <c r="N670" i="13"/>
  <c r="N671" i="13"/>
  <c r="N672" i="13"/>
  <c r="N673" i="13"/>
  <c r="N674" i="13"/>
  <c r="N675" i="13"/>
  <c r="N676" i="13"/>
  <c r="N677" i="13"/>
  <c r="N678" i="13"/>
  <c r="N679" i="13"/>
  <c r="N680" i="13"/>
  <c r="N681" i="13"/>
  <c r="N682" i="13"/>
  <c r="N683" i="13"/>
  <c r="N684" i="13"/>
  <c r="N685" i="13"/>
  <c r="N686" i="13"/>
  <c r="N687" i="13"/>
  <c r="N688" i="13"/>
  <c r="N689" i="13"/>
  <c r="N690" i="13"/>
  <c r="N691" i="13"/>
  <c r="N692" i="13"/>
  <c r="N693" i="13"/>
  <c r="N694" i="13"/>
  <c r="N695" i="13"/>
  <c r="N696" i="13"/>
  <c r="N697" i="13"/>
  <c r="N698" i="13"/>
  <c r="N699" i="13"/>
  <c r="N700" i="13"/>
  <c r="L1" i="13"/>
  <c r="L2" i="13"/>
  <c r="L3" i="13"/>
  <c r="L4" i="13"/>
  <c r="L5" i="13"/>
  <c r="L6" i="13"/>
  <c r="L7" i="13"/>
  <c r="L8" i="13"/>
  <c r="L9" i="13"/>
  <c r="L10" i="13"/>
  <c r="L11" i="13"/>
  <c r="L12" i="13"/>
  <c r="L13" i="13"/>
  <c r="L14" i="13"/>
  <c r="L15" i="13"/>
  <c r="L16" i="13"/>
  <c r="L17" i="13"/>
  <c r="L18" i="13"/>
  <c r="L19" i="13"/>
  <c r="L20" i="13"/>
  <c r="L21" i="13"/>
  <c r="L22" i="13"/>
  <c r="L23" i="13"/>
  <c r="L24" i="13"/>
  <c r="L25" i="13"/>
  <c r="L26" i="13"/>
  <c r="L27" i="13"/>
  <c r="L28" i="13"/>
  <c r="L29" i="13"/>
  <c r="L30" i="13"/>
  <c r="L31" i="13"/>
  <c r="L32" i="13"/>
  <c r="L33" i="13"/>
  <c r="L34" i="13"/>
  <c r="L35" i="13"/>
  <c r="L36" i="13"/>
  <c r="L37" i="13"/>
  <c r="L38" i="13"/>
  <c r="L39" i="13"/>
  <c r="L40" i="13"/>
  <c r="L41" i="13"/>
  <c r="L42" i="13"/>
  <c r="L43" i="13"/>
  <c r="L44" i="13"/>
  <c r="L45" i="13"/>
  <c r="L46" i="13"/>
  <c r="L47" i="13"/>
  <c r="L48" i="13"/>
  <c r="L49" i="13"/>
  <c r="L50" i="13"/>
  <c r="L51" i="13"/>
  <c r="L52" i="13"/>
  <c r="L53" i="13"/>
  <c r="L54" i="13"/>
  <c r="L55" i="13"/>
  <c r="L56" i="13"/>
  <c r="L57" i="13"/>
  <c r="L58" i="13"/>
  <c r="L59" i="13"/>
  <c r="L60" i="13"/>
  <c r="L61" i="13"/>
  <c r="L62" i="13"/>
  <c r="L63" i="13"/>
  <c r="L64" i="13"/>
  <c r="L65" i="13"/>
  <c r="L66" i="13"/>
  <c r="L67" i="13"/>
  <c r="L68" i="13"/>
  <c r="L69" i="13"/>
  <c r="L70" i="13"/>
  <c r="L71" i="13"/>
  <c r="L72" i="13"/>
  <c r="L73" i="13"/>
  <c r="L74" i="13"/>
  <c r="L75" i="13"/>
  <c r="L76" i="13"/>
  <c r="L77" i="13"/>
  <c r="L78" i="13"/>
  <c r="L79" i="13"/>
  <c r="L80" i="13"/>
  <c r="L81" i="13"/>
  <c r="L82" i="13"/>
  <c r="L83" i="13"/>
  <c r="L84" i="13"/>
  <c r="L85" i="13"/>
  <c r="L86" i="13"/>
  <c r="L87" i="13"/>
  <c r="L88" i="13"/>
  <c r="L89" i="13"/>
  <c r="L90" i="13"/>
  <c r="L91" i="13"/>
  <c r="L92" i="13"/>
  <c r="L93" i="13"/>
  <c r="L94" i="13"/>
  <c r="L95" i="13"/>
  <c r="L96" i="13"/>
  <c r="L97" i="13"/>
  <c r="L98" i="13"/>
  <c r="L99" i="13"/>
  <c r="L100" i="13"/>
  <c r="L101" i="13"/>
  <c r="L102" i="13"/>
  <c r="L103" i="13"/>
  <c r="L104" i="13"/>
  <c r="L105" i="13"/>
  <c r="L106" i="13"/>
  <c r="L107" i="13"/>
  <c r="L108" i="13"/>
  <c r="L109" i="13"/>
  <c r="L110" i="13"/>
  <c r="L111" i="13"/>
  <c r="L112" i="13"/>
  <c r="L113" i="13"/>
  <c r="L114" i="13"/>
  <c r="L115" i="13"/>
  <c r="L116" i="13"/>
  <c r="L117" i="13"/>
  <c r="L118" i="13"/>
  <c r="L119" i="13"/>
  <c r="L120" i="13"/>
  <c r="L121" i="13"/>
  <c r="L122" i="13"/>
  <c r="L123" i="13"/>
  <c r="L124" i="13"/>
  <c r="L125" i="13"/>
  <c r="L126" i="13"/>
  <c r="L127" i="13"/>
  <c r="L128" i="13"/>
  <c r="L129" i="13"/>
  <c r="L130" i="13"/>
  <c r="L131" i="13"/>
  <c r="L132" i="13"/>
  <c r="L133" i="13"/>
  <c r="L134" i="13"/>
  <c r="L135" i="13"/>
  <c r="L136" i="13"/>
  <c r="L137" i="13"/>
  <c r="L138" i="13"/>
  <c r="L139" i="13"/>
  <c r="L140" i="13"/>
  <c r="L141" i="13"/>
  <c r="L142" i="13"/>
  <c r="L143" i="13"/>
  <c r="L144" i="13"/>
  <c r="L145" i="13"/>
  <c r="L146" i="13"/>
  <c r="L147" i="13"/>
  <c r="L148" i="13"/>
  <c r="L149" i="13"/>
  <c r="L150" i="13"/>
  <c r="L151" i="13"/>
  <c r="L152" i="13"/>
  <c r="L153" i="13"/>
  <c r="L154" i="13"/>
  <c r="L155" i="13"/>
  <c r="L156" i="13"/>
  <c r="L157" i="13"/>
  <c r="L158" i="13"/>
  <c r="L159" i="13"/>
  <c r="L160" i="13"/>
  <c r="L161" i="13"/>
  <c r="L162" i="13"/>
  <c r="L163" i="13"/>
  <c r="L164" i="13"/>
  <c r="L165" i="13"/>
  <c r="L166" i="13"/>
  <c r="L167" i="13"/>
  <c r="L168" i="13"/>
  <c r="L169" i="13"/>
  <c r="L170" i="13"/>
  <c r="L171" i="13"/>
  <c r="L172" i="13"/>
  <c r="L173" i="13"/>
  <c r="L174" i="13"/>
  <c r="L175" i="13"/>
  <c r="L176" i="13"/>
  <c r="L177" i="13"/>
  <c r="L178" i="13"/>
  <c r="L179" i="13"/>
  <c r="L180" i="13"/>
  <c r="L181" i="13"/>
  <c r="L182" i="13"/>
  <c r="L183" i="13"/>
  <c r="L184" i="13"/>
  <c r="L185" i="13"/>
  <c r="L186" i="13"/>
  <c r="L187" i="13"/>
  <c r="L188" i="13"/>
  <c r="L189" i="13"/>
  <c r="L190" i="13"/>
  <c r="L191" i="13"/>
  <c r="L192" i="13"/>
  <c r="L193" i="13"/>
  <c r="L194" i="13"/>
  <c r="L195" i="13"/>
  <c r="L196" i="13"/>
  <c r="L197" i="13"/>
  <c r="L198" i="13"/>
  <c r="L199" i="13"/>
  <c r="L200" i="13"/>
  <c r="L201" i="13"/>
  <c r="L202" i="13"/>
  <c r="L203" i="13"/>
  <c r="L204" i="13"/>
  <c r="L205" i="13"/>
  <c r="L206" i="13"/>
  <c r="L207" i="13"/>
  <c r="L208" i="13"/>
  <c r="L209" i="13"/>
  <c r="L210" i="13"/>
  <c r="L211" i="13"/>
  <c r="L212" i="13"/>
  <c r="L213" i="13"/>
  <c r="L214" i="13"/>
  <c r="L215" i="13"/>
  <c r="L216" i="13"/>
  <c r="L217" i="13"/>
  <c r="L218" i="13"/>
  <c r="L219" i="13"/>
  <c r="L220" i="13"/>
  <c r="L221" i="13"/>
  <c r="L222" i="13"/>
  <c r="L223" i="13"/>
  <c r="L224" i="13"/>
  <c r="L225" i="13"/>
  <c r="L226" i="13"/>
  <c r="L227" i="13"/>
  <c r="L228" i="13"/>
  <c r="L229" i="13"/>
  <c r="L230" i="13"/>
  <c r="L231" i="13"/>
  <c r="L232" i="13"/>
  <c r="L233" i="13"/>
  <c r="L234" i="13"/>
  <c r="L235" i="13"/>
  <c r="L236" i="13"/>
  <c r="L237" i="13"/>
  <c r="L238" i="13"/>
  <c r="L239" i="13"/>
  <c r="L240" i="13"/>
  <c r="L241" i="13"/>
  <c r="L242" i="13"/>
  <c r="L243" i="13"/>
  <c r="L244" i="13"/>
  <c r="L245" i="13"/>
  <c r="L246" i="13"/>
  <c r="L247" i="13"/>
  <c r="L248" i="13"/>
  <c r="L249" i="13"/>
  <c r="L250" i="13"/>
  <c r="L251" i="13"/>
  <c r="L252" i="13"/>
  <c r="L253" i="13"/>
  <c r="L254" i="13"/>
  <c r="L255" i="13"/>
  <c r="L256" i="13"/>
  <c r="L257" i="13"/>
  <c r="L258" i="13"/>
  <c r="L259" i="13"/>
  <c r="L260" i="13"/>
  <c r="L261" i="13"/>
  <c r="L262" i="13"/>
  <c r="L263" i="13"/>
  <c r="L264" i="13"/>
  <c r="L265" i="13"/>
  <c r="L266" i="13"/>
  <c r="L267" i="13"/>
  <c r="L268" i="13"/>
  <c r="L269" i="13"/>
  <c r="L270" i="13"/>
  <c r="L271" i="13"/>
  <c r="L272" i="13"/>
  <c r="L273" i="13"/>
  <c r="L274" i="13"/>
  <c r="L275" i="13"/>
  <c r="L276" i="13"/>
  <c r="L277" i="13"/>
  <c r="L278" i="13"/>
  <c r="L279" i="13"/>
  <c r="L280" i="13"/>
  <c r="L281" i="13"/>
  <c r="L282" i="13"/>
  <c r="L283" i="13"/>
  <c r="L284" i="13"/>
  <c r="L285" i="13"/>
  <c r="L286" i="13"/>
  <c r="L287" i="13"/>
  <c r="L288" i="13"/>
  <c r="L289" i="13"/>
  <c r="L290" i="13"/>
  <c r="L291" i="13"/>
  <c r="L292" i="13"/>
  <c r="L293" i="13"/>
  <c r="L294" i="13"/>
  <c r="L295" i="13"/>
  <c r="L296" i="13"/>
  <c r="L297" i="13"/>
  <c r="L298" i="13"/>
  <c r="L299" i="13"/>
  <c r="L300" i="13"/>
  <c r="L301" i="13"/>
  <c r="L302" i="13"/>
  <c r="L303" i="13"/>
  <c r="L304" i="13"/>
  <c r="L305" i="13"/>
  <c r="L306" i="13"/>
  <c r="L307" i="13"/>
  <c r="L308" i="13"/>
  <c r="L309" i="13"/>
  <c r="L310" i="13"/>
  <c r="L311" i="13"/>
  <c r="L312" i="13"/>
  <c r="L313" i="13"/>
  <c r="L314" i="13"/>
  <c r="L315" i="13"/>
  <c r="L316" i="13"/>
  <c r="L317" i="13"/>
  <c r="L318" i="13"/>
  <c r="L319" i="13"/>
  <c r="L320" i="13"/>
  <c r="L321" i="13"/>
  <c r="L322" i="13"/>
  <c r="L323" i="13"/>
  <c r="L324" i="13"/>
  <c r="L325" i="13"/>
  <c r="L326" i="13"/>
  <c r="L327" i="13"/>
  <c r="L328" i="13"/>
  <c r="L329" i="13"/>
  <c r="L330" i="13"/>
  <c r="L331" i="13"/>
  <c r="L332" i="13"/>
  <c r="L333" i="13"/>
  <c r="L334" i="13"/>
  <c r="L335" i="13"/>
  <c r="L336" i="13"/>
  <c r="L337" i="13"/>
  <c r="L338" i="13"/>
  <c r="L339" i="13"/>
  <c r="L340" i="13"/>
  <c r="L341" i="13"/>
  <c r="L342" i="13"/>
  <c r="L343" i="13"/>
  <c r="L344" i="13"/>
  <c r="L345" i="13"/>
  <c r="L346" i="13"/>
  <c r="L347" i="13"/>
  <c r="L348" i="13"/>
  <c r="L349" i="13"/>
  <c r="L350" i="13"/>
  <c r="L351" i="13"/>
  <c r="L352" i="13"/>
  <c r="L353" i="13"/>
  <c r="L354" i="13"/>
  <c r="L355" i="13"/>
  <c r="L356" i="13"/>
  <c r="L357" i="13"/>
  <c r="L358" i="13"/>
  <c r="L359" i="13"/>
  <c r="L360" i="13"/>
  <c r="L361" i="13"/>
  <c r="L362" i="13"/>
  <c r="L363" i="13"/>
  <c r="L364" i="13"/>
  <c r="L365" i="13"/>
  <c r="L366" i="13"/>
  <c r="L367" i="13"/>
  <c r="L368" i="13"/>
  <c r="L369" i="13"/>
  <c r="L370" i="13"/>
  <c r="L371" i="13"/>
  <c r="L372" i="13"/>
  <c r="L373" i="13"/>
  <c r="L374" i="13"/>
  <c r="L375" i="13"/>
  <c r="L376" i="13"/>
  <c r="L377" i="13"/>
  <c r="L378" i="13"/>
  <c r="L379" i="13"/>
  <c r="L380" i="13"/>
  <c r="L381" i="13"/>
  <c r="L382" i="13"/>
  <c r="L383" i="13"/>
  <c r="L384" i="13"/>
  <c r="L385" i="13"/>
  <c r="L386" i="13"/>
  <c r="L387" i="13"/>
  <c r="L388" i="13"/>
  <c r="L389" i="13"/>
  <c r="L390" i="13"/>
  <c r="L391" i="13"/>
  <c r="L392" i="13"/>
  <c r="L393" i="13"/>
  <c r="L394" i="13"/>
  <c r="L395" i="13"/>
  <c r="L396" i="13"/>
  <c r="L397" i="13"/>
  <c r="L398" i="13"/>
  <c r="L399" i="13"/>
  <c r="L400" i="13"/>
  <c r="L401" i="13"/>
  <c r="L402" i="13"/>
  <c r="L403" i="13"/>
  <c r="L404" i="13"/>
  <c r="L405" i="13"/>
  <c r="L406" i="13"/>
  <c r="L407" i="13"/>
  <c r="L408" i="13"/>
  <c r="L409" i="13"/>
  <c r="L410" i="13"/>
  <c r="L411" i="13"/>
  <c r="L412" i="13"/>
  <c r="L413" i="13"/>
  <c r="L414" i="13"/>
  <c r="L415" i="13"/>
  <c r="L416" i="13"/>
  <c r="L417" i="13"/>
  <c r="L418" i="13"/>
  <c r="L419" i="13"/>
  <c r="L420" i="13"/>
  <c r="L421" i="13"/>
  <c r="L422" i="13"/>
  <c r="L423" i="13"/>
  <c r="L424" i="13"/>
  <c r="L425" i="13"/>
  <c r="L426" i="13"/>
  <c r="L427" i="13"/>
  <c r="L428" i="13"/>
  <c r="L429" i="13"/>
  <c r="L430" i="13"/>
  <c r="L431" i="13"/>
  <c r="L432" i="13"/>
  <c r="L433" i="13"/>
  <c r="L434" i="13"/>
  <c r="L435" i="13"/>
  <c r="L436" i="13"/>
  <c r="L437" i="13"/>
  <c r="L438" i="13"/>
  <c r="L439" i="13"/>
  <c r="L440" i="13"/>
  <c r="L441" i="13"/>
  <c r="L442" i="13"/>
  <c r="L443" i="13"/>
  <c r="L444" i="13"/>
  <c r="L445" i="13"/>
  <c r="L446" i="13"/>
  <c r="L447" i="13"/>
  <c r="L448" i="13"/>
  <c r="L449" i="13"/>
  <c r="L450" i="13"/>
  <c r="L451" i="13"/>
  <c r="L452" i="13"/>
  <c r="L453" i="13"/>
  <c r="L454" i="13"/>
  <c r="L455" i="13"/>
  <c r="L456" i="13"/>
  <c r="L457" i="13"/>
  <c r="L458" i="13"/>
  <c r="L459" i="13"/>
  <c r="L460" i="13"/>
  <c r="L461" i="13"/>
  <c r="L462" i="13"/>
  <c r="L463" i="13"/>
  <c r="L464" i="13"/>
  <c r="L465" i="13"/>
  <c r="L466" i="13"/>
  <c r="L467" i="13"/>
  <c r="L468" i="13"/>
  <c r="L469" i="13"/>
  <c r="L470" i="13"/>
  <c r="L471" i="13"/>
  <c r="L472" i="13"/>
  <c r="L473" i="13"/>
  <c r="L474" i="13"/>
  <c r="L475" i="13"/>
  <c r="L476" i="13"/>
  <c r="L477" i="13"/>
  <c r="L478" i="13"/>
  <c r="L479" i="13"/>
  <c r="L480" i="13"/>
  <c r="L481" i="13"/>
  <c r="L482" i="13"/>
  <c r="L483" i="13"/>
  <c r="L484" i="13"/>
  <c r="L485" i="13"/>
  <c r="L486" i="13"/>
  <c r="L487" i="13"/>
  <c r="L488" i="13"/>
  <c r="L489" i="13"/>
  <c r="L490" i="13"/>
  <c r="L491" i="13"/>
  <c r="L492" i="13"/>
  <c r="L493" i="13"/>
  <c r="L494" i="13"/>
  <c r="L495" i="13"/>
  <c r="L496" i="13"/>
  <c r="L497" i="13"/>
  <c r="L498" i="13"/>
  <c r="L499" i="13"/>
  <c r="L500" i="13"/>
  <c r="L501" i="13"/>
  <c r="L502" i="13"/>
  <c r="L503" i="13"/>
  <c r="L504" i="13"/>
  <c r="L505" i="13"/>
  <c r="L506" i="13"/>
  <c r="L507" i="13"/>
  <c r="L508" i="13"/>
  <c r="L509" i="13"/>
  <c r="L510" i="13"/>
  <c r="L511" i="13"/>
  <c r="L512" i="13"/>
  <c r="L513" i="13"/>
  <c r="L514" i="13"/>
  <c r="L515" i="13"/>
  <c r="L516" i="13"/>
  <c r="L517" i="13"/>
  <c r="L518" i="13"/>
  <c r="L519" i="13"/>
  <c r="L520" i="13"/>
  <c r="L521" i="13"/>
  <c r="L522" i="13"/>
  <c r="L523" i="13"/>
  <c r="L524" i="13"/>
  <c r="L525" i="13"/>
  <c r="L526" i="13"/>
  <c r="L527" i="13"/>
  <c r="L528" i="13"/>
  <c r="L529" i="13"/>
  <c r="L530" i="13"/>
  <c r="L531" i="13"/>
  <c r="L532" i="13"/>
  <c r="L533" i="13"/>
  <c r="L534" i="13"/>
  <c r="L535" i="13"/>
  <c r="L536" i="13"/>
  <c r="L537" i="13"/>
  <c r="L538" i="13"/>
  <c r="L539" i="13"/>
  <c r="L540" i="13"/>
  <c r="L541" i="13"/>
  <c r="L542" i="13"/>
  <c r="L543" i="13"/>
  <c r="L544" i="13"/>
  <c r="L545" i="13"/>
  <c r="L546" i="13"/>
  <c r="L547" i="13"/>
  <c r="L548" i="13"/>
  <c r="L549" i="13"/>
  <c r="L550" i="13"/>
  <c r="L551" i="13"/>
  <c r="L552" i="13"/>
  <c r="L553" i="13"/>
  <c r="L554" i="13"/>
  <c r="L555" i="13"/>
  <c r="L556" i="13"/>
  <c r="L557" i="13"/>
  <c r="L558" i="13"/>
  <c r="L559" i="13"/>
  <c r="L560" i="13"/>
  <c r="L561" i="13"/>
  <c r="L562" i="13"/>
  <c r="L563" i="13"/>
  <c r="L564" i="13"/>
  <c r="L565" i="13"/>
  <c r="L566" i="13"/>
  <c r="L567" i="13"/>
  <c r="L568" i="13"/>
  <c r="L569" i="13"/>
  <c r="L570" i="13"/>
  <c r="L571" i="13"/>
  <c r="L572" i="13"/>
  <c r="L573" i="13"/>
  <c r="L574" i="13"/>
  <c r="L575" i="13"/>
  <c r="L576" i="13"/>
  <c r="L577" i="13"/>
  <c r="L578" i="13"/>
  <c r="L579" i="13"/>
  <c r="L580" i="13"/>
  <c r="L581" i="13"/>
  <c r="L582" i="13"/>
  <c r="L583" i="13"/>
  <c r="L584" i="13"/>
  <c r="L585" i="13"/>
  <c r="L586" i="13"/>
  <c r="L587" i="13"/>
  <c r="L588" i="13"/>
  <c r="L589" i="13"/>
  <c r="L590" i="13"/>
  <c r="L591" i="13"/>
  <c r="L592" i="13"/>
  <c r="L593" i="13"/>
  <c r="L594" i="13"/>
  <c r="L595" i="13"/>
  <c r="L596" i="13"/>
  <c r="L597" i="13"/>
  <c r="L598" i="13"/>
  <c r="L599" i="13"/>
  <c r="L600" i="13"/>
  <c r="L601" i="13"/>
  <c r="L602" i="13"/>
  <c r="L603" i="13"/>
  <c r="L604" i="13"/>
  <c r="L605" i="13"/>
  <c r="L606" i="13"/>
  <c r="L607" i="13"/>
  <c r="L608" i="13"/>
  <c r="L609" i="13"/>
  <c r="L610" i="13"/>
  <c r="L611" i="13"/>
  <c r="L612" i="13"/>
  <c r="L613" i="13"/>
  <c r="L614" i="13"/>
  <c r="L615" i="13"/>
  <c r="L616" i="13"/>
  <c r="L617" i="13"/>
  <c r="L618" i="13"/>
  <c r="L619" i="13"/>
  <c r="L620" i="13"/>
  <c r="L621" i="13"/>
  <c r="L622" i="13"/>
  <c r="L623" i="13"/>
  <c r="L624" i="13"/>
  <c r="L625" i="13"/>
  <c r="L626" i="13"/>
  <c r="L627" i="13"/>
  <c r="L628" i="13"/>
  <c r="L629" i="13"/>
  <c r="L630" i="13"/>
  <c r="L631" i="13"/>
  <c r="L632" i="13"/>
  <c r="L633" i="13"/>
  <c r="L634" i="13"/>
  <c r="L635" i="13"/>
  <c r="L636" i="13"/>
  <c r="L637" i="13"/>
  <c r="L638" i="13"/>
  <c r="L639" i="13"/>
  <c r="L640" i="13"/>
  <c r="L641" i="13"/>
  <c r="L642" i="13"/>
  <c r="L643" i="13"/>
  <c r="L644" i="13"/>
  <c r="L645" i="13"/>
  <c r="L646" i="13"/>
  <c r="L647" i="13"/>
  <c r="L648" i="13"/>
  <c r="L649" i="13"/>
  <c r="L650" i="13"/>
  <c r="L651" i="13"/>
  <c r="L652" i="13"/>
  <c r="L653" i="13"/>
  <c r="L654" i="13"/>
  <c r="L655" i="13"/>
  <c r="L656" i="13"/>
  <c r="L657" i="13"/>
  <c r="L658" i="13"/>
  <c r="L659" i="13"/>
  <c r="L660" i="13"/>
  <c r="L661" i="13"/>
  <c r="L662" i="13"/>
  <c r="L663" i="13"/>
  <c r="L664" i="13"/>
  <c r="L665" i="13"/>
  <c r="L666" i="13"/>
  <c r="L667" i="13"/>
  <c r="L668" i="13"/>
  <c r="L669" i="13"/>
  <c r="L670" i="13"/>
  <c r="L671" i="13"/>
  <c r="L672" i="13"/>
  <c r="L673" i="13"/>
  <c r="L674" i="13"/>
  <c r="L675" i="13"/>
  <c r="L676" i="13"/>
  <c r="L677" i="13"/>
  <c r="L678" i="13"/>
  <c r="L679" i="13"/>
  <c r="L680" i="13"/>
  <c r="L681" i="13"/>
  <c r="L682" i="13"/>
  <c r="L683" i="13"/>
  <c r="L684" i="13"/>
  <c r="L685" i="13"/>
  <c r="L686" i="13"/>
  <c r="L687" i="13"/>
  <c r="L688" i="13"/>
  <c r="L689" i="13"/>
  <c r="L690" i="13"/>
  <c r="L691" i="13"/>
  <c r="L692" i="13"/>
  <c r="L693" i="13"/>
  <c r="L694" i="13"/>
  <c r="L695" i="13"/>
  <c r="L696" i="13"/>
  <c r="L697" i="13"/>
  <c r="L698" i="13"/>
  <c r="L699" i="13"/>
  <c r="L700" i="13"/>
  <c r="K1" i="13"/>
  <c r="K2" i="13"/>
  <c r="K3" i="13"/>
  <c r="K4" i="13"/>
  <c r="K5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40" i="13"/>
  <c r="K41" i="13"/>
  <c r="K42" i="13"/>
  <c r="K43" i="13"/>
  <c r="K44" i="13"/>
  <c r="K45" i="13"/>
  <c r="K46" i="13"/>
  <c r="K47" i="13"/>
  <c r="K48" i="13"/>
  <c r="K49" i="13"/>
  <c r="K50" i="13"/>
  <c r="K51" i="13"/>
  <c r="K52" i="13"/>
  <c r="K53" i="13"/>
  <c r="K54" i="13"/>
  <c r="K55" i="13"/>
  <c r="K56" i="13"/>
  <c r="K57" i="13"/>
  <c r="K58" i="13"/>
  <c r="K59" i="13"/>
  <c r="K60" i="13"/>
  <c r="K61" i="13"/>
  <c r="K62" i="13"/>
  <c r="K63" i="13"/>
  <c r="K64" i="13"/>
  <c r="K65" i="13"/>
  <c r="K66" i="13"/>
  <c r="K67" i="13"/>
  <c r="K68" i="13"/>
  <c r="K69" i="13"/>
  <c r="K70" i="13"/>
  <c r="K71" i="13"/>
  <c r="K72" i="13"/>
  <c r="K73" i="13"/>
  <c r="K74" i="13"/>
  <c r="K75" i="13"/>
  <c r="K76" i="13"/>
  <c r="K77" i="13"/>
  <c r="K78" i="13"/>
  <c r="K79" i="13"/>
  <c r="K80" i="13"/>
  <c r="K81" i="13"/>
  <c r="K82" i="13"/>
  <c r="K83" i="13"/>
  <c r="K84" i="13"/>
  <c r="K85" i="13"/>
  <c r="K86" i="13"/>
  <c r="K87" i="13"/>
  <c r="K88" i="13"/>
  <c r="K89" i="13"/>
  <c r="K90" i="13"/>
  <c r="K91" i="13"/>
  <c r="K92" i="13"/>
  <c r="K93" i="13"/>
  <c r="K94" i="13"/>
  <c r="K95" i="13"/>
  <c r="K96" i="13"/>
  <c r="K97" i="13"/>
  <c r="K98" i="13"/>
  <c r="K99" i="13"/>
  <c r="K100" i="13"/>
  <c r="K101" i="13"/>
  <c r="K102" i="13"/>
  <c r="K103" i="13"/>
  <c r="K104" i="13"/>
  <c r="K105" i="13"/>
  <c r="K106" i="13"/>
  <c r="K107" i="13"/>
  <c r="K108" i="13"/>
  <c r="K109" i="13"/>
  <c r="K110" i="13"/>
  <c r="K111" i="13"/>
  <c r="K112" i="13"/>
  <c r="K113" i="13"/>
  <c r="K114" i="13"/>
  <c r="K115" i="13"/>
  <c r="K116" i="13"/>
  <c r="K117" i="13"/>
  <c r="K118" i="13"/>
  <c r="K119" i="13"/>
  <c r="K120" i="13"/>
  <c r="K121" i="13"/>
  <c r="K122" i="13"/>
  <c r="K123" i="13"/>
  <c r="K124" i="13"/>
  <c r="K125" i="13"/>
  <c r="K126" i="13"/>
  <c r="K127" i="13"/>
  <c r="K128" i="13"/>
  <c r="K129" i="13"/>
  <c r="K130" i="13"/>
  <c r="K131" i="13"/>
  <c r="K132" i="13"/>
  <c r="K133" i="13"/>
  <c r="K134" i="13"/>
  <c r="K135" i="13"/>
  <c r="K136" i="13"/>
  <c r="K137" i="13"/>
  <c r="K138" i="13"/>
  <c r="K139" i="13"/>
  <c r="K140" i="13"/>
  <c r="K141" i="13"/>
  <c r="K142" i="13"/>
  <c r="K143" i="13"/>
  <c r="K144" i="13"/>
  <c r="K145" i="13"/>
  <c r="K146" i="13"/>
  <c r="K147" i="13"/>
  <c r="K148" i="13"/>
  <c r="K149" i="13"/>
  <c r="K150" i="13"/>
  <c r="K151" i="13"/>
  <c r="K152" i="13"/>
  <c r="K153" i="13"/>
  <c r="K154" i="13"/>
  <c r="K155" i="13"/>
  <c r="K156" i="13"/>
  <c r="K157" i="13"/>
  <c r="K158" i="13"/>
  <c r="K159" i="13"/>
  <c r="K160" i="13"/>
  <c r="K161" i="13"/>
  <c r="K162" i="13"/>
  <c r="K163" i="13"/>
  <c r="K164" i="13"/>
  <c r="K165" i="13"/>
  <c r="K166" i="13"/>
  <c r="K167" i="13"/>
  <c r="K168" i="13"/>
  <c r="K169" i="13"/>
  <c r="K170" i="13"/>
  <c r="K171" i="13"/>
  <c r="K172" i="13"/>
  <c r="K173" i="13"/>
  <c r="K174" i="13"/>
  <c r="K175" i="13"/>
  <c r="K176" i="13"/>
  <c r="K177" i="13"/>
  <c r="K178" i="13"/>
  <c r="K179" i="13"/>
  <c r="K180" i="13"/>
  <c r="K181" i="13"/>
  <c r="K182" i="13"/>
  <c r="K183" i="13"/>
  <c r="K184" i="13"/>
  <c r="K185" i="13"/>
  <c r="K186" i="13"/>
  <c r="K187" i="13"/>
  <c r="K188" i="13"/>
  <c r="K189" i="13"/>
  <c r="K190" i="13"/>
  <c r="K191" i="13"/>
  <c r="K192" i="13"/>
  <c r="K193" i="13"/>
  <c r="K194" i="13"/>
  <c r="K195" i="13"/>
  <c r="K196" i="13"/>
  <c r="K197" i="13"/>
  <c r="K198" i="13"/>
  <c r="K199" i="13"/>
  <c r="K200" i="13"/>
  <c r="K201" i="13"/>
  <c r="K202" i="13"/>
  <c r="K203" i="13"/>
  <c r="K204" i="13"/>
  <c r="K205" i="13"/>
  <c r="K206" i="13"/>
  <c r="K207" i="13"/>
  <c r="K208" i="13"/>
  <c r="K209" i="13"/>
  <c r="K210" i="13"/>
  <c r="K211" i="13"/>
  <c r="K212" i="13"/>
  <c r="K213" i="13"/>
  <c r="K214" i="13"/>
  <c r="K215" i="13"/>
  <c r="K216" i="13"/>
  <c r="K217" i="13"/>
  <c r="K218" i="13"/>
  <c r="K219" i="13"/>
  <c r="K220" i="13"/>
  <c r="K221" i="13"/>
  <c r="K222" i="13"/>
  <c r="K223" i="13"/>
  <c r="K224" i="13"/>
  <c r="K225" i="13"/>
  <c r="K226" i="13"/>
  <c r="K227" i="13"/>
  <c r="K228" i="13"/>
  <c r="K229" i="13"/>
  <c r="K230" i="13"/>
  <c r="K231" i="13"/>
  <c r="K232" i="13"/>
  <c r="K233" i="13"/>
  <c r="K234" i="13"/>
  <c r="K235" i="13"/>
  <c r="K236" i="13"/>
  <c r="K237" i="13"/>
  <c r="K238" i="13"/>
  <c r="K239" i="13"/>
  <c r="K240" i="13"/>
  <c r="K241" i="13"/>
  <c r="K242" i="13"/>
  <c r="K243" i="13"/>
  <c r="K244" i="13"/>
  <c r="K245" i="13"/>
  <c r="K246" i="13"/>
  <c r="K247" i="13"/>
  <c r="K248" i="13"/>
  <c r="K249" i="13"/>
  <c r="K250" i="13"/>
  <c r="K251" i="13"/>
  <c r="K252" i="13"/>
  <c r="K253" i="13"/>
  <c r="K254" i="13"/>
  <c r="K255" i="13"/>
  <c r="K256" i="13"/>
  <c r="K257" i="13"/>
  <c r="K258" i="13"/>
  <c r="K259" i="13"/>
  <c r="K260" i="13"/>
  <c r="K261" i="13"/>
  <c r="K262" i="13"/>
  <c r="K263" i="13"/>
  <c r="K264" i="13"/>
  <c r="K265" i="13"/>
  <c r="K266" i="13"/>
  <c r="K267" i="13"/>
  <c r="K268" i="13"/>
  <c r="K269" i="13"/>
  <c r="K270" i="13"/>
  <c r="K271" i="13"/>
  <c r="K272" i="13"/>
  <c r="K273" i="13"/>
  <c r="K274" i="13"/>
  <c r="K275" i="13"/>
  <c r="K276" i="13"/>
  <c r="K277" i="13"/>
  <c r="K278" i="13"/>
  <c r="K279" i="13"/>
  <c r="K280" i="13"/>
  <c r="K281" i="13"/>
  <c r="K282" i="13"/>
  <c r="K283" i="13"/>
  <c r="K284" i="13"/>
  <c r="K285" i="13"/>
  <c r="K286" i="13"/>
  <c r="K287" i="13"/>
  <c r="K288" i="13"/>
  <c r="K289" i="13"/>
  <c r="K290" i="13"/>
  <c r="K291" i="13"/>
  <c r="K292" i="13"/>
  <c r="K293" i="13"/>
  <c r="K294" i="13"/>
  <c r="K295" i="13"/>
  <c r="K296" i="13"/>
  <c r="K297" i="13"/>
  <c r="K298" i="13"/>
  <c r="K299" i="13"/>
  <c r="K300" i="13"/>
  <c r="K301" i="13"/>
  <c r="K302" i="13"/>
  <c r="K303" i="13"/>
  <c r="K304" i="13"/>
  <c r="K305" i="13"/>
  <c r="K306" i="13"/>
  <c r="K307" i="13"/>
  <c r="K308" i="13"/>
  <c r="K309" i="13"/>
  <c r="K310" i="13"/>
  <c r="K311" i="13"/>
  <c r="K312" i="13"/>
  <c r="K313" i="13"/>
  <c r="K314" i="13"/>
  <c r="K315" i="13"/>
  <c r="K316" i="13"/>
  <c r="K317" i="13"/>
  <c r="K318" i="13"/>
  <c r="K319" i="13"/>
  <c r="K320" i="13"/>
  <c r="K321" i="13"/>
  <c r="K322" i="13"/>
  <c r="K323" i="13"/>
  <c r="K324" i="13"/>
  <c r="K325" i="13"/>
  <c r="K326" i="13"/>
  <c r="K327" i="13"/>
  <c r="K328" i="13"/>
  <c r="K329" i="13"/>
  <c r="K330" i="13"/>
  <c r="K331" i="13"/>
  <c r="K332" i="13"/>
  <c r="K333" i="13"/>
  <c r="K334" i="13"/>
  <c r="K335" i="13"/>
  <c r="K336" i="13"/>
  <c r="K337" i="13"/>
  <c r="K338" i="13"/>
  <c r="K339" i="13"/>
  <c r="K340" i="13"/>
  <c r="K341" i="13"/>
  <c r="K342" i="13"/>
  <c r="K343" i="13"/>
  <c r="K344" i="13"/>
  <c r="K345" i="13"/>
  <c r="K346" i="13"/>
  <c r="K347" i="13"/>
  <c r="K348" i="13"/>
  <c r="K349" i="13"/>
  <c r="K350" i="13"/>
  <c r="K351" i="13"/>
  <c r="K352" i="13"/>
  <c r="K353" i="13"/>
  <c r="K354" i="13"/>
  <c r="K355" i="13"/>
  <c r="K356" i="13"/>
  <c r="K357" i="13"/>
  <c r="K358" i="13"/>
  <c r="K359" i="13"/>
  <c r="K360" i="13"/>
  <c r="K361" i="13"/>
  <c r="K362" i="13"/>
  <c r="K363" i="13"/>
  <c r="K364" i="13"/>
  <c r="K365" i="13"/>
  <c r="K366" i="13"/>
  <c r="K367" i="13"/>
  <c r="K368" i="13"/>
  <c r="K369" i="13"/>
  <c r="K370" i="13"/>
  <c r="K371" i="13"/>
  <c r="K372" i="13"/>
  <c r="K373" i="13"/>
  <c r="K374" i="13"/>
  <c r="K375" i="13"/>
  <c r="K376" i="13"/>
  <c r="K377" i="13"/>
  <c r="K378" i="13"/>
  <c r="K379" i="13"/>
  <c r="K380" i="13"/>
  <c r="K381" i="13"/>
  <c r="K382" i="13"/>
  <c r="K383" i="13"/>
  <c r="K384" i="13"/>
  <c r="K385" i="13"/>
  <c r="K386" i="13"/>
  <c r="K387" i="13"/>
  <c r="K388" i="13"/>
  <c r="K389" i="13"/>
  <c r="K390" i="13"/>
  <c r="K391" i="13"/>
  <c r="K392" i="13"/>
  <c r="K393" i="13"/>
  <c r="K394" i="13"/>
  <c r="K395" i="13"/>
  <c r="K396" i="13"/>
  <c r="K397" i="13"/>
  <c r="K398" i="13"/>
  <c r="K399" i="13"/>
  <c r="K400" i="13"/>
  <c r="K401" i="13"/>
  <c r="K402" i="13"/>
  <c r="K403" i="13"/>
  <c r="K404" i="13"/>
  <c r="K405" i="13"/>
  <c r="K406" i="13"/>
  <c r="K407" i="13"/>
  <c r="K408" i="13"/>
  <c r="K409" i="13"/>
  <c r="K410" i="13"/>
  <c r="K411" i="13"/>
  <c r="K412" i="13"/>
  <c r="K413" i="13"/>
  <c r="K414" i="13"/>
  <c r="K415" i="13"/>
  <c r="K416" i="13"/>
  <c r="K417" i="13"/>
  <c r="K418" i="13"/>
  <c r="K419" i="13"/>
  <c r="K420" i="13"/>
  <c r="K421" i="13"/>
  <c r="K422" i="13"/>
  <c r="K423" i="13"/>
  <c r="K424" i="13"/>
  <c r="K425" i="13"/>
  <c r="K426" i="13"/>
  <c r="K427" i="13"/>
  <c r="K428" i="13"/>
  <c r="K429" i="13"/>
  <c r="K430" i="13"/>
  <c r="K431" i="13"/>
  <c r="K432" i="13"/>
  <c r="K433" i="13"/>
  <c r="K434" i="13"/>
  <c r="K435" i="13"/>
  <c r="K436" i="13"/>
  <c r="K437" i="13"/>
  <c r="K438" i="13"/>
  <c r="K439" i="13"/>
  <c r="K440" i="13"/>
  <c r="K441" i="13"/>
  <c r="K442" i="13"/>
  <c r="K443" i="13"/>
  <c r="K444" i="13"/>
  <c r="K445" i="13"/>
  <c r="K446" i="13"/>
  <c r="K447" i="13"/>
  <c r="K448" i="13"/>
  <c r="K449" i="13"/>
  <c r="K450" i="13"/>
  <c r="K451" i="13"/>
  <c r="K452" i="13"/>
  <c r="K453" i="13"/>
  <c r="K454" i="13"/>
  <c r="K455" i="13"/>
  <c r="K456" i="13"/>
  <c r="K457" i="13"/>
  <c r="K458" i="13"/>
  <c r="K459" i="13"/>
  <c r="K460" i="13"/>
  <c r="K461" i="13"/>
  <c r="K462" i="13"/>
  <c r="K463" i="13"/>
  <c r="K464" i="13"/>
  <c r="K465" i="13"/>
  <c r="K466" i="13"/>
  <c r="K467" i="13"/>
  <c r="K468" i="13"/>
  <c r="K469" i="13"/>
  <c r="K470" i="13"/>
  <c r="K471" i="13"/>
  <c r="K472" i="13"/>
  <c r="K473" i="13"/>
  <c r="K474" i="13"/>
  <c r="K475" i="13"/>
  <c r="K476" i="13"/>
  <c r="K477" i="13"/>
  <c r="K478" i="13"/>
  <c r="K479" i="13"/>
  <c r="K480" i="13"/>
  <c r="K481" i="13"/>
  <c r="K482" i="13"/>
  <c r="K483" i="13"/>
  <c r="K484" i="13"/>
  <c r="K485" i="13"/>
  <c r="K486" i="13"/>
  <c r="K487" i="13"/>
  <c r="K488" i="13"/>
  <c r="K489" i="13"/>
  <c r="K490" i="13"/>
  <c r="K491" i="13"/>
  <c r="K492" i="13"/>
  <c r="K493" i="13"/>
  <c r="K494" i="13"/>
  <c r="K495" i="13"/>
  <c r="K496" i="13"/>
  <c r="K497" i="13"/>
  <c r="K498" i="13"/>
  <c r="K499" i="13"/>
  <c r="K500" i="13"/>
  <c r="K501" i="13"/>
  <c r="K502" i="13"/>
  <c r="K503" i="13"/>
  <c r="K504" i="13"/>
  <c r="K505" i="13"/>
  <c r="K506" i="13"/>
  <c r="K507" i="13"/>
  <c r="K508" i="13"/>
  <c r="K509" i="13"/>
  <c r="K510" i="13"/>
  <c r="K511" i="13"/>
  <c r="K512" i="13"/>
  <c r="K513" i="13"/>
  <c r="K514" i="13"/>
  <c r="K515" i="13"/>
  <c r="K516" i="13"/>
  <c r="K517" i="13"/>
  <c r="K518" i="13"/>
  <c r="K519" i="13"/>
  <c r="K520" i="13"/>
  <c r="K521" i="13"/>
  <c r="K522" i="13"/>
  <c r="K523" i="13"/>
  <c r="K524" i="13"/>
  <c r="K525" i="13"/>
  <c r="K526" i="13"/>
  <c r="K527" i="13"/>
  <c r="K528" i="13"/>
  <c r="K529" i="13"/>
  <c r="K530" i="13"/>
  <c r="K531" i="13"/>
  <c r="K532" i="13"/>
  <c r="K533" i="13"/>
  <c r="K534" i="13"/>
  <c r="K535" i="13"/>
  <c r="K536" i="13"/>
  <c r="K537" i="13"/>
  <c r="K538" i="13"/>
  <c r="K539" i="13"/>
  <c r="K540" i="13"/>
  <c r="K541" i="13"/>
  <c r="K542" i="13"/>
  <c r="K543" i="13"/>
  <c r="K544" i="13"/>
  <c r="K545" i="13"/>
  <c r="K546" i="13"/>
  <c r="K547" i="13"/>
  <c r="K548" i="13"/>
  <c r="K549" i="13"/>
  <c r="K550" i="13"/>
  <c r="K551" i="13"/>
  <c r="K552" i="13"/>
  <c r="K553" i="13"/>
  <c r="K554" i="13"/>
  <c r="K555" i="13"/>
  <c r="K556" i="13"/>
  <c r="K557" i="13"/>
  <c r="K558" i="13"/>
  <c r="K559" i="13"/>
  <c r="K560" i="13"/>
  <c r="K561" i="13"/>
  <c r="K562" i="13"/>
  <c r="K563" i="13"/>
  <c r="K564" i="13"/>
  <c r="K565" i="13"/>
  <c r="K566" i="13"/>
  <c r="K567" i="13"/>
  <c r="K568" i="13"/>
  <c r="K569" i="13"/>
  <c r="K570" i="13"/>
  <c r="K571" i="13"/>
  <c r="K572" i="13"/>
  <c r="K573" i="13"/>
  <c r="K574" i="13"/>
  <c r="K575" i="13"/>
  <c r="K576" i="13"/>
  <c r="K577" i="13"/>
  <c r="K578" i="13"/>
  <c r="K579" i="13"/>
  <c r="K580" i="13"/>
  <c r="K581" i="13"/>
  <c r="K582" i="13"/>
  <c r="K583" i="13"/>
  <c r="K584" i="13"/>
  <c r="K585" i="13"/>
  <c r="K586" i="13"/>
  <c r="K587" i="13"/>
  <c r="K588" i="13"/>
  <c r="K589" i="13"/>
  <c r="K590" i="13"/>
  <c r="K591" i="13"/>
  <c r="K592" i="13"/>
  <c r="K593" i="13"/>
  <c r="K594" i="13"/>
  <c r="K595" i="13"/>
  <c r="K596" i="13"/>
  <c r="K597" i="13"/>
  <c r="K598" i="13"/>
  <c r="K599" i="13"/>
  <c r="K600" i="13"/>
  <c r="K601" i="13"/>
  <c r="K602" i="13"/>
  <c r="K603" i="13"/>
  <c r="K604" i="13"/>
  <c r="K605" i="13"/>
  <c r="K606" i="13"/>
  <c r="K607" i="13"/>
  <c r="K608" i="13"/>
  <c r="K609" i="13"/>
  <c r="K610" i="13"/>
  <c r="K611" i="13"/>
  <c r="K612" i="13"/>
  <c r="K613" i="13"/>
  <c r="K614" i="13"/>
  <c r="K615" i="13"/>
  <c r="K616" i="13"/>
  <c r="K617" i="13"/>
  <c r="K618" i="13"/>
  <c r="K619" i="13"/>
  <c r="K620" i="13"/>
  <c r="K621" i="13"/>
  <c r="K622" i="13"/>
  <c r="K623" i="13"/>
  <c r="K624" i="13"/>
  <c r="K625" i="13"/>
  <c r="K626" i="13"/>
  <c r="K627" i="13"/>
  <c r="K628" i="13"/>
  <c r="K629" i="13"/>
  <c r="K630" i="13"/>
  <c r="K631" i="13"/>
  <c r="K632" i="13"/>
  <c r="K633" i="13"/>
  <c r="K634" i="13"/>
  <c r="K635" i="13"/>
  <c r="K636" i="13"/>
  <c r="K637" i="13"/>
  <c r="K638" i="13"/>
  <c r="K639" i="13"/>
  <c r="K640" i="13"/>
  <c r="K641" i="13"/>
  <c r="K642" i="13"/>
  <c r="K643" i="13"/>
  <c r="K644" i="13"/>
  <c r="K645" i="13"/>
  <c r="K646" i="13"/>
  <c r="K647" i="13"/>
  <c r="K648" i="13"/>
  <c r="K649" i="13"/>
  <c r="K650" i="13"/>
  <c r="K651" i="13"/>
  <c r="K652" i="13"/>
  <c r="K653" i="13"/>
  <c r="K654" i="13"/>
  <c r="K655" i="13"/>
  <c r="K656" i="13"/>
  <c r="K657" i="13"/>
  <c r="K658" i="13"/>
  <c r="K659" i="13"/>
  <c r="K660" i="13"/>
  <c r="K661" i="13"/>
  <c r="K662" i="13"/>
  <c r="K663" i="13"/>
  <c r="K664" i="13"/>
  <c r="K665" i="13"/>
  <c r="K666" i="13"/>
  <c r="K667" i="13"/>
  <c r="K668" i="13"/>
  <c r="K669" i="13"/>
  <c r="K670" i="13"/>
  <c r="K671" i="13"/>
  <c r="K672" i="13"/>
  <c r="K673" i="13"/>
  <c r="K674" i="13"/>
  <c r="K675" i="13"/>
  <c r="K676" i="13"/>
  <c r="K677" i="13"/>
  <c r="K678" i="13"/>
  <c r="K679" i="13"/>
  <c r="K680" i="13"/>
  <c r="K681" i="13"/>
  <c r="K682" i="13"/>
  <c r="K683" i="13"/>
  <c r="K684" i="13"/>
  <c r="K685" i="13"/>
  <c r="K686" i="13"/>
  <c r="K687" i="13"/>
  <c r="K688" i="13"/>
  <c r="K689" i="13"/>
  <c r="K690" i="13"/>
  <c r="K691" i="13"/>
  <c r="K692" i="13"/>
  <c r="K693" i="13"/>
  <c r="K694" i="13"/>
  <c r="K695" i="13"/>
  <c r="K696" i="13"/>
  <c r="K697" i="13"/>
  <c r="K698" i="13"/>
  <c r="K699" i="13"/>
  <c r="K700" i="13"/>
  <c r="J1" i="13"/>
  <c r="J2" i="13"/>
  <c r="J3" i="13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J64" i="13"/>
  <c r="J65" i="13"/>
  <c r="J66" i="13"/>
  <c r="J67" i="13"/>
  <c r="J68" i="13"/>
  <c r="J69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82" i="13"/>
  <c r="J83" i="13"/>
  <c r="J84" i="13"/>
  <c r="J85" i="13"/>
  <c r="J86" i="13"/>
  <c r="J87" i="13"/>
  <c r="J88" i="13"/>
  <c r="J89" i="13"/>
  <c r="J90" i="13"/>
  <c r="J91" i="13"/>
  <c r="J92" i="13"/>
  <c r="J93" i="13"/>
  <c r="J94" i="13"/>
  <c r="J95" i="13"/>
  <c r="J96" i="13"/>
  <c r="J97" i="13"/>
  <c r="J98" i="13"/>
  <c r="J99" i="13"/>
  <c r="J100" i="13"/>
  <c r="J101" i="13"/>
  <c r="J102" i="13"/>
  <c r="J103" i="13"/>
  <c r="J104" i="13"/>
  <c r="J105" i="13"/>
  <c r="J106" i="13"/>
  <c r="J107" i="13"/>
  <c r="J108" i="13"/>
  <c r="J109" i="13"/>
  <c r="J110" i="13"/>
  <c r="J111" i="13"/>
  <c r="J112" i="13"/>
  <c r="J113" i="13"/>
  <c r="J114" i="13"/>
  <c r="J115" i="13"/>
  <c r="J116" i="13"/>
  <c r="J117" i="13"/>
  <c r="J118" i="13"/>
  <c r="J119" i="13"/>
  <c r="J120" i="13"/>
  <c r="J121" i="13"/>
  <c r="J122" i="13"/>
  <c r="J123" i="13"/>
  <c r="J124" i="13"/>
  <c r="J125" i="13"/>
  <c r="J126" i="13"/>
  <c r="J127" i="13"/>
  <c r="J128" i="13"/>
  <c r="J129" i="13"/>
  <c r="J130" i="13"/>
  <c r="J131" i="13"/>
  <c r="J132" i="13"/>
  <c r="J133" i="13"/>
  <c r="J134" i="13"/>
  <c r="J135" i="13"/>
  <c r="J136" i="13"/>
  <c r="J137" i="13"/>
  <c r="J138" i="13"/>
  <c r="J139" i="13"/>
  <c r="J140" i="13"/>
  <c r="J141" i="13"/>
  <c r="J142" i="13"/>
  <c r="J143" i="13"/>
  <c r="J144" i="13"/>
  <c r="J145" i="13"/>
  <c r="J146" i="13"/>
  <c r="J147" i="13"/>
  <c r="J148" i="13"/>
  <c r="J149" i="13"/>
  <c r="J150" i="13"/>
  <c r="J151" i="13"/>
  <c r="J152" i="13"/>
  <c r="J153" i="13"/>
  <c r="J154" i="13"/>
  <c r="J155" i="13"/>
  <c r="J156" i="13"/>
  <c r="J157" i="13"/>
  <c r="J158" i="13"/>
  <c r="J159" i="13"/>
  <c r="J160" i="13"/>
  <c r="J161" i="13"/>
  <c r="J162" i="13"/>
  <c r="J163" i="13"/>
  <c r="J164" i="13"/>
  <c r="J165" i="13"/>
  <c r="J166" i="13"/>
  <c r="J167" i="13"/>
  <c r="J168" i="13"/>
  <c r="J169" i="13"/>
  <c r="J170" i="13"/>
  <c r="J171" i="13"/>
  <c r="J172" i="13"/>
  <c r="J173" i="13"/>
  <c r="J174" i="13"/>
  <c r="J175" i="13"/>
  <c r="J176" i="13"/>
  <c r="J177" i="13"/>
  <c r="J178" i="13"/>
  <c r="J179" i="13"/>
  <c r="J180" i="13"/>
  <c r="J181" i="13"/>
  <c r="J182" i="13"/>
  <c r="J183" i="13"/>
  <c r="J184" i="13"/>
  <c r="J185" i="13"/>
  <c r="J186" i="13"/>
  <c r="J187" i="13"/>
  <c r="J188" i="13"/>
  <c r="J189" i="13"/>
  <c r="J190" i="13"/>
  <c r="J191" i="13"/>
  <c r="J192" i="13"/>
  <c r="J193" i="13"/>
  <c r="J194" i="13"/>
  <c r="J195" i="13"/>
  <c r="J196" i="13"/>
  <c r="J197" i="13"/>
  <c r="J198" i="13"/>
  <c r="J199" i="13"/>
  <c r="J200" i="13"/>
  <c r="J201" i="13"/>
  <c r="J202" i="13"/>
  <c r="J203" i="13"/>
  <c r="J204" i="13"/>
  <c r="J205" i="13"/>
  <c r="J206" i="13"/>
  <c r="J207" i="13"/>
  <c r="J208" i="13"/>
  <c r="J209" i="13"/>
  <c r="J210" i="13"/>
  <c r="J211" i="13"/>
  <c r="J212" i="13"/>
  <c r="J213" i="13"/>
  <c r="J214" i="13"/>
  <c r="J215" i="13"/>
  <c r="J216" i="13"/>
  <c r="J217" i="13"/>
  <c r="J218" i="13"/>
  <c r="J219" i="13"/>
  <c r="J220" i="13"/>
  <c r="J221" i="13"/>
  <c r="J222" i="13"/>
  <c r="J223" i="13"/>
  <c r="J224" i="13"/>
  <c r="J225" i="13"/>
  <c r="J226" i="13"/>
  <c r="J227" i="13"/>
  <c r="J228" i="13"/>
  <c r="J229" i="13"/>
  <c r="J230" i="13"/>
  <c r="J231" i="13"/>
  <c r="J232" i="13"/>
  <c r="J233" i="13"/>
  <c r="J234" i="13"/>
  <c r="J235" i="13"/>
  <c r="J236" i="13"/>
  <c r="J237" i="13"/>
  <c r="J238" i="13"/>
  <c r="J239" i="13"/>
  <c r="J240" i="13"/>
  <c r="J241" i="13"/>
  <c r="J242" i="13"/>
  <c r="J243" i="13"/>
  <c r="J244" i="13"/>
  <c r="J245" i="13"/>
  <c r="J246" i="13"/>
  <c r="J247" i="13"/>
  <c r="J248" i="13"/>
  <c r="J249" i="13"/>
  <c r="J250" i="13"/>
  <c r="J251" i="13"/>
  <c r="J252" i="13"/>
  <c r="J253" i="13"/>
  <c r="J254" i="13"/>
  <c r="J255" i="13"/>
  <c r="J256" i="13"/>
  <c r="J257" i="13"/>
  <c r="J258" i="13"/>
  <c r="J259" i="13"/>
  <c r="J260" i="13"/>
  <c r="J261" i="13"/>
  <c r="J262" i="13"/>
  <c r="J263" i="13"/>
  <c r="J264" i="13"/>
  <c r="J265" i="13"/>
  <c r="J266" i="13"/>
  <c r="J267" i="13"/>
  <c r="J268" i="13"/>
  <c r="J269" i="13"/>
  <c r="J270" i="13"/>
  <c r="J271" i="13"/>
  <c r="J272" i="13"/>
  <c r="J273" i="13"/>
  <c r="J274" i="13"/>
  <c r="J275" i="13"/>
  <c r="J276" i="13"/>
  <c r="J277" i="13"/>
  <c r="J278" i="13"/>
  <c r="J279" i="13"/>
  <c r="J280" i="13"/>
  <c r="J281" i="13"/>
  <c r="J282" i="13"/>
  <c r="J283" i="13"/>
  <c r="J284" i="13"/>
  <c r="J285" i="13"/>
  <c r="J286" i="13"/>
  <c r="J287" i="13"/>
  <c r="J288" i="13"/>
  <c r="J289" i="13"/>
  <c r="J290" i="13"/>
  <c r="J291" i="13"/>
  <c r="J292" i="13"/>
  <c r="J293" i="13"/>
  <c r="J294" i="13"/>
  <c r="J295" i="13"/>
  <c r="J296" i="13"/>
  <c r="J297" i="13"/>
  <c r="J298" i="13"/>
  <c r="J299" i="13"/>
  <c r="J300" i="13"/>
  <c r="J301" i="13"/>
  <c r="J302" i="13"/>
  <c r="J303" i="13"/>
  <c r="J304" i="13"/>
  <c r="J305" i="13"/>
  <c r="J306" i="13"/>
  <c r="J307" i="13"/>
  <c r="J308" i="13"/>
  <c r="J309" i="13"/>
  <c r="J310" i="13"/>
  <c r="J311" i="13"/>
  <c r="J312" i="13"/>
  <c r="J313" i="13"/>
  <c r="J314" i="13"/>
  <c r="J315" i="13"/>
  <c r="J316" i="13"/>
  <c r="J317" i="13"/>
  <c r="J318" i="13"/>
  <c r="J319" i="13"/>
  <c r="J320" i="13"/>
  <c r="J321" i="13"/>
  <c r="J322" i="13"/>
  <c r="J323" i="13"/>
  <c r="J324" i="13"/>
  <c r="J325" i="13"/>
  <c r="J326" i="13"/>
  <c r="J327" i="13"/>
  <c r="J328" i="13"/>
  <c r="J329" i="13"/>
  <c r="J330" i="13"/>
  <c r="J331" i="13"/>
  <c r="J332" i="13"/>
  <c r="J333" i="13"/>
  <c r="J334" i="13"/>
  <c r="J335" i="13"/>
  <c r="J336" i="13"/>
  <c r="J337" i="13"/>
  <c r="J338" i="13"/>
  <c r="J339" i="13"/>
  <c r="J340" i="13"/>
  <c r="J341" i="13"/>
  <c r="J342" i="13"/>
  <c r="J343" i="13"/>
  <c r="J344" i="13"/>
  <c r="J345" i="13"/>
  <c r="J346" i="13"/>
  <c r="J347" i="13"/>
  <c r="J348" i="13"/>
  <c r="J349" i="13"/>
  <c r="J350" i="13"/>
  <c r="J351" i="13"/>
  <c r="J352" i="13"/>
  <c r="J353" i="13"/>
  <c r="J354" i="13"/>
  <c r="J355" i="13"/>
  <c r="J356" i="13"/>
  <c r="J357" i="13"/>
  <c r="J358" i="13"/>
  <c r="J359" i="13"/>
  <c r="J360" i="13"/>
  <c r="J361" i="13"/>
  <c r="J362" i="13"/>
  <c r="J363" i="13"/>
  <c r="J364" i="13"/>
  <c r="J365" i="13"/>
  <c r="J366" i="13"/>
  <c r="J367" i="13"/>
  <c r="J368" i="13"/>
  <c r="J369" i="13"/>
  <c r="J370" i="13"/>
  <c r="J371" i="13"/>
  <c r="J372" i="13"/>
  <c r="J373" i="13"/>
  <c r="J374" i="13"/>
  <c r="J375" i="13"/>
  <c r="J376" i="13"/>
  <c r="J377" i="13"/>
  <c r="J378" i="13"/>
  <c r="J379" i="13"/>
  <c r="J380" i="13"/>
  <c r="J381" i="13"/>
  <c r="J382" i="13"/>
  <c r="J383" i="13"/>
  <c r="J384" i="13"/>
  <c r="J385" i="13"/>
  <c r="J386" i="13"/>
  <c r="J387" i="13"/>
  <c r="J388" i="13"/>
  <c r="J389" i="13"/>
  <c r="J390" i="13"/>
  <c r="J391" i="13"/>
  <c r="J392" i="13"/>
  <c r="J393" i="13"/>
  <c r="J394" i="13"/>
  <c r="J395" i="13"/>
  <c r="J396" i="13"/>
  <c r="J397" i="13"/>
  <c r="J398" i="13"/>
  <c r="J399" i="13"/>
  <c r="J400" i="13"/>
  <c r="J401" i="13"/>
  <c r="J402" i="13"/>
  <c r="J403" i="13"/>
  <c r="J404" i="13"/>
  <c r="J405" i="13"/>
  <c r="J406" i="13"/>
  <c r="J407" i="13"/>
  <c r="J408" i="13"/>
  <c r="J409" i="13"/>
  <c r="J410" i="13"/>
  <c r="J411" i="13"/>
  <c r="J412" i="13"/>
  <c r="J413" i="13"/>
  <c r="J414" i="13"/>
  <c r="J415" i="13"/>
  <c r="J416" i="13"/>
  <c r="J417" i="13"/>
  <c r="J418" i="13"/>
  <c r="J419" i="13"/>
  <c r="J420" i="13"/>
  <c r="J421" i="13"/>
  <c r="J422" i="13"/>
  <c r="J423" i="13"/>
  <c r="J424" i="13"/>
  <c r="J425" i="13"/>
  <c r="J426" i="13"/>
  <c r="J427" i="13"/>
  <c r="J428" i="13"/>
  <c r="J429" i="13"/>
  <c r="J430" i="13"/>
  <c r="J431" i="13"/>
  <c r="J432" i="13"/>
  <c r="J433" i="13"/>
  <c r="J434" i="13"/>
  <c r="J435" i="13"/>
  <c r="J436" i="13"/>
  <c r="J437" i="13"/>
  <c r="J438" i="13"/>
  <c r="J439" i="13"/>
  <c r="J440" i="13"/>
  <c r="J441" i="13"/>
  <c r="J442" i="13"/>
  <c r="J443" i="13"/>
  <c r="J444" i="13"/>
  <c r="J445" i="13"/>
  <c r="J446" i="13"/>
  <c r="J447" i="13"/>
  <c r="J448" i="13"/>
  <c r="J449" i="13"/>
  <c r="J450" i="13"/>
  <c r="J451" i="13"/>
  <c r="J452" i="13"/>
  <c r="J453" i="13"/>
  <c r="J454" i="13"/>
  <c r="J455" i="13"/>
  <c r="J456" i="13"/>
  <c r="J457" i="13"/>
  <c r="J458" i="13"/>
  <c r="J459" i="13"/>
  <c r="J460" i="13"/>
  <c r="J461" i="13"/>
  <c r="J462" i="13"/>
  <c r="J463" i="13"/>
  <c r="J464" i="13"/>
  <c r="J465" i="13"/>
  <c r="J466" i="13"/>
  <c r="J467" i="13"/>
  <c r="J468" i="13"/>
  <c r="J469" i="13"/>
  <c r="J470" i="13"/>
  <c r="J471" i="13"/>
  <c r="J472" i="13"/>
  <c r="J473" i="13"/>
  <c r="J474" i="13"/>
  <c r="J475" i="13"/>
  <c r="J476" i="13"/>
  <c r="J477" i="13"/>
  <c r="J478" i="13"/>
  <c r="J479" i="13"/>
  <c r="J480" i="13"/>
  <c r="J481" i="13"/>
  <c r="J482" i="13"/>
  <c r="J483" i="13"/>
  <c r="J484" i="13"/>
  <c r="J485" i="13"/>
  <c r="J486" i="13"/>
  <c r="J487" i="13"/>
  <c r="J488" i="13"/>
  <c r="J489" i="13"/>
  <c r="J490" i="13"/>
  <c r="J491" i="13"/>
  <c r="J492" i="13"/>
  <c r="J493" i="13"/>
  <c r="J494" i="13"/>
  <c r="J495" i="13"/>
  <c r="J496" i="13"/>
  <c r="J497" i="13"/>
  <c r="J498" i="13"/>
  <c r="J499" i="13"/>
  <c r="J500" i="13"/>
  <c r="J501" i="13"/>
  <c r="J502" i="13"/>
  <c r="J503" i="13"/>
  <c r="J504" i="13"/>
  <c r="J505" i="13"/>
  <c r="J506" i="13"/>
  <c r="J507" i="13"/>
  <c r="J508" i="13"/>
  <c r="J509" i="13"/>
  <c r="J510" i="13"/>
  <c r="J511" i="13"/>
  <c r="J512" i="13"/>
  <c r="J513" i="13"/>
  <c r="J514" i="13"/>
  <c r="J515" i="13"/>
  <c r="J516" i="13"/>
  <c r="J517" i="13"/>
  <c r="J518" i="13"/>
  <c r="J519" i="13"/>
  <c r="J520" i="13"/>
  <c r="J521" i="13"/>
  <c r="J522" i="13"/>
  <c r="J523" i="13"/>
  <c r="J524" i="13"/>
  <c r="J525" i="13"/>
  <c r="J526" i="13"/>
  <c r="J527" i="13"/>
  <c r="J528" i="13"/>
  <c r="J529" i="13"/>
  <c r="J530" i="13"/>
  <c r="J531" i="13"/>
  <c r="J532" i="13"/>
  <c r="J533" i="13"/>
  <c r="J534" i="13"/>
  <c r="J535" i="13"/>
  <c r="J536" i="13"/>
  <c r="J537" i="13"/>
  <c r="J538" i="13"/>
  <c r="J539" i="13"/>
  <c r="J540" i="13"/>
  <c r="J541" i="13"/>
  <c r="J542" i="13"/>
  <c r="J543" i="13"/>
  <c r="J544" i="13"/>
  <c r="J545" i="13"/>
  <c r="J546" i="13"/>
  <c r="J547" i="13"/>
  <c r="J548" i="13"/>
  <c r="J549" i="13"/>
  <c r="J550" i="13"/>
  <c r="J551" i="13"/>
  <c r="J552" i="13"/>
  <c r="J553" i="13"/>
  <c r="J554" i="13"/>
  <c r="J555" i="13"/>
  <c r="J556" i="13"/>
  <c r="J557" i="13"/>
  <c r="J558" i="13"/>
  <c r="J559" i="13"/>
  <c r="J560" i="13"/>
  <c r="J561" i="13"/>
  <c r="J562" i="13"/>
  <c r="J563" i="13"/>
  <c r="J564" i="13"/>
  <c r="J565" i="13"/>
  <c r="J566" i="13"/>
  <c r="J567" i="13"/>
  <c r="J568" i="13"/>
  <c r="J569" i="13"/>
  <c r="J570" i="13"/>
  <c r="J571" i="13"/>
  <c r="J572" i="13"/>
  <c r="J573" i="13"/>
  <c r="J574" i="13"/>
  <c r="J575" i="13"/>
  <c r="J576" i="13"/>
  <c r="J577" i="13"/>
  <c r="J578" i="13"/>
  <c r="J579" i="13"/>
  <c r="J580" i="13"/>
  <c r="J581" i="13"/>
  <c r="J582" i="13"/>
  <c r="J583" i="13"/>
  <c r="J584" i="13"/>
  <c r="J585" i="13"/>
  <c r="J586" i="13"/>
  <c r="J587" i="13"/>
  <c r="J588" i="13"/>
  <c r="J589" i="13"/>
  <c r="J590" i="13"/>
  <c r="J591" i="13"/>
  <c r="J592" i="13"/>
  <c r="J593" i="13"/>
  <c r="J594" i="13"/>
  <c r="J595" i="13"/>
  <c r="J596" i="13"/>
  <c r="J597" i="13"/>
  <c r="J598" i="13"/>
  <c r="J599" i="13"/>
  <c r="J600" i="13"/>
  <c r="J601" i="13"/>
  <c r="J602" i="13"/>
  <c r="J603" i="13"/>
  <c r="J604" i="13"/>
  <c r="J605" i="13"/>
  <c r="J606" i="13"/>
  <c r="J607" i="13"/>
  <c r="J608" i="13"/>
  <c r="J609" i="13"/>
  <c r="J610" i="13"/>
  <c r="J611" i="13"/>
  <c r="J612" i="13"/>
  <c r="J613" i="13"/>
  <c r="J614" i="13"/>
  <c r="J615" i="13"/>
  <c r="J616" i="13"/>
  <c r="J617" i="13"/>
  <c r="J618" i="13"/>
  <c r="J619" i="13"/>
  <c r="J620" i="13"/>
  <c r="J621" i="13"/>
  <c r="J622" i="13"/>
  <c r="J623" i="13"/>
  <c r="J624" i="13"/>
  <c r="J625" i="13"/>
  <c r="J626" i="13"/>
  <c r="J627" i="13"/>
  <c r="J628" i="13"/>
  <c r="J629" i="13"/>
  <c r="J630" i="13"/>
  <c r="J631" i="13"/>
  <c r="J632" i="13"/>
  <c r="J633" i="13"/>
  <c r="J634" i="13"/>
  <c r="J635" i="13"/>
  <c r="J636" i="13"/>
  <c r="J637" i="13"/>
  <c r="J638" i="13"/>
  <c r="J639" i="13"/>
  <c r="J640" i="13"/>
  <c r="J641" i="13"/>
  <c r="J642" i="13"/>
  <c r="J643" i="13"/>
  <c r="J644" i="13"/>
  <c r="J645" i="13"/>
  <c r="J646" i="13"/>
  <c r="J647" i="13"/>
  <c r="J648" i="13"/>
  <c r="J649" i="13"/>
  <c r="J650" i="13"/>
  <c r="J651" i="13"/>
  <c r="J652" i="13"/>
  <c r="J653" i="13"/>
  <c r="J654" i="13"/>
  <c r="J655" i="13"/>
  <c r="J656" i="13"/>
  <c r="J657" i="13"/>
  <c r="J658" i="13"/>
  <c r="J659" i="13"/>
  <c r="J660" i="13"/>
  <c r="J661" i="13"/>
  <c r="J662" i="13"/>
  <c r="J663" i="13"/>
  <c r="J664" i="13"/>
  <c r="J665" i="13"/>
  <c r="J666" i="13"/>
  <c r="J667" i="13"/>
  <c r="J668" i="13"/>
  <c r="J669" i="13"/>
  <c r="J670" i="13"/>
  <c r="J671" i="13"/>
  <c r="J672" i="13"/>
  <c r="J673" i="13"/>
  <c r="J674" i="13"/>
  <c r="J675" i="13"/>
  <c r="J676" i="13"/>
  <c r="J677" i="13"/>
  <c r="J678" i="13"/>
  <c r="J679" i="13"/>
  <c r="J680" i="13"/>
  <c r="J681" i="13"/>
  <c r="J682" i="13"/>
  <c r="J683" i="13"/>
  <c r="J684" i="13"/>
  <c r="J685" i="13"/>
  <c r="J686" i="13"/>
  <c r="J687" i="13"/>
  <c r="J688" i="13"/>
  <c r="J689" i="13"/>
  <c r="J690" i="13"/>
  <c r="J691" i="13"/>
  <c r="J692" i="13"/>
  <c r="J693" i="13"/>
  <c r="J694" i="13"/>
  <c r="J695" i="13"/>
  <c r="J696" i="13"/>
  <c r="J697" i="13"/>
  <c r="J698" i="13"/>
  <c r="J699" i="13"/>
  <c r="J700" i="13"/>
  <c r="H1" i="13"/>
  <c r="H2" i="13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101" i="13"/>
  <c r="H102" i="13"/>
  <c r="H103" i="13"/>
  <c r="H104" i="13"/>
  <c r="H105" i="13"/>
  <c r="H106" i="13"/>
  <c r="H107" i="13"/>
  <c r="H108" i="13"/>
  <c r="H109" i="13"/>
  <c r="H110" i="13"/>
  <c r="H111" i="13"/>
  <c r="H112" i="13"/>
  <c r="H113" i="13"/>
  <c r="H114" i="13"/>
  <c r="H115" i="13"/>
  <c r="H116" i="13"/>
  <c r="H117" i="13"/>
  <c r="H118" i="13"/>
  <c r="H119" i="13"/>
  <c r="H120" i="13"/>
  <c r="H121" i="13"/>
  <c r="H122" i="13"/>
  <c r="H123" i="13"/>
  <c r="H124" i="13"/>
  <c r="H125" i="13"/>
  <c r="H126" i="13"/>
  <c r="H127" i="13"/>
  <c r="H128" i="13"/>
  <c r="H129" i="13"/>
  <c r="H130" i="13"/>
  <c r="H131" i="13"/>
  <c r="H132" i="13"/>
  <c r="H133" i="13"/>
  <c r="H134" i="13"/>
  <c r="H135" i="13"/>
  <c r="H136" i="13"/>
  <c r="H137" i="13"/>
  <c r="H138" i="13"/>
  <c r="H139" i="13"/>
  <c r="H140" i="13"/>
  <c r="H141" i="13"/>
  <c r="H142" i="13"/>
  <c r="H143" i="13"/>
  <c r="H144" i="13"/>
  <c r="H145" i="13"/>
  <c r="H146" i="13"/>
  <c r="H147" i="13"/>
  <c r="H148" i="13"/>
  <c r="H149" i="13"/>
  <c r="H150" i="13"/>
  <c r="H151" i="13"/>
  <c r="H152" i="13"/>
  <c r="H153" i="13"/>
  <c r="H154" i="13"/>
  <c r="H155" i="13"/>
  <c r="H156" i="13"/>
  <c r="H157" i="13"/>
  <c r="H158" i="13"/>
  <c r="H159" i="13"/>
  <c r="H160" i="13"/>
  <c r="H161" i="13"/>
  <c r="H162" i="13"/>
  <c r="H163" i="13"/>
  <c r="H164" i="13"/>
  <c r="H165" i="13"/>
  <c r="H166" i="13"/>
  <c r="H167" i="13"/>
  <c r="H168" i="13"/>
  <c r="H169" i="13"/>
  <c r="H170" i="13"/>
  <c r="H171" i="13"/>
  <c r="H172" i="13"/>
  <c r="H173" i="13"/>
  <c r="H174" i="13"/>
  <c r="H175" i="13"/>
  <c r="H176" i="13"/>
  <c r="H177" i="13"/>
  <c r="H178" i="13"/>
  <c r="H179" i="13"/>
  <c r="H180" i="13"/>
  <c r="H181" i="13"/>
  <c r="H182" i="13"/>
  <c r="H183" i="13"/>
  <c r="H184" i="13"/>
  <c r="H185" i="13"/>
  <c r="H186" i="13"/>
  <c r="H187" i="13"/>
  <c r="H188" i="13"/>
  <c r="H189" i="13"/>
  <c r="H190" i="13"/>
  <c r="H191" i="13"/>
  <c r="H192" i="13"/>
  <c r="H193" i="13"/>
  <c r="H194" i="13"/>
  <c r="H195" i="13"/>
  <c r="H196" i="13"/>
  <c r="H197" i="13"/>
  <c r="H198" i="13"/>
  <c r="H199" i="13"/>
  <c r="H200" i="13"/>
  <c r="H201" i="13"/>
  <c r="H202" i="13"/>
  <c r="H203" i="13"/>
  <c r="H204" i="13"/>
  <c r="H205" i="13"/>
  <c r="H206" i="13"/>
  <c r="H207" i="13"/>
  <c r="H208" i="13"/>
  <c r="H209" i="13"/>
  <c r="H210" i="13"/>
  <c r="H211" i="13"/>
  <c r="H212" i="13"/>
  <c r="H213" i="13"/>
  <c r="H214" i="13"/>
  <c r="H215" i="13"/>
  <c r="H216" i="13"/>
  <c r="H217" i="13"/>
  <c r="H218" i="13"/>
  <c r="H219" i="13"/>
  <c r="H220" i="13"/>
  <c r="H221" i="13"/>
  <c r="H222" i="13"/>
  <c r="H223" i="13"/>
  <c r="H224" i="13"/>
  <c r="H225" i="13"/>
  <c r="H226" i="13"/>
  <c r="H227" i="13"/>
  <c r="H228" i="13"/>
  <c r="H229" i="13"/>
  <c r="H230" i="13"/>
  <c r="H231" i="13"/>
  <c r="H232" i="13"/>
  <c r="H233" i="13"/>
  <c r="H234" i="13"/>
  <c r="H235" i="13"/>
  <c r="H236" i="13"/>
  <c r="H237" i="13"/>
  <c r="H238" i="13"/>
  <c r="H239" i="13"/>
  <c r="H240" i="13"/>
  <c r="H241" i="13"/>
  <c r="H242" i="13"/>
  <c r="H243" i="13"/>
  <c r="H244" i="13"/>
  <c r="H245" i="13"/>
  <c r="H246" i="13"/>
  <c r="H247" i="13"/>
  <c r="H248" i="13"/>
  <c r="H249" i="13"/>
  <c r="H250" i="13"/>
  <c r="H251" i="13"/>
  <c r="H252" i="13"/>
  <c r="H253" i="13"/>
  <c r="H254" i="13"/>
  <c r="H255" i="13"/>
  <c r="H256" i="13"/>
  <c r="H257" i="13"/>
  <c r="H258" i="13"/>
  <c r="H259" i="13"/>
  <c r="H260" i="13"/>
  <c r="H261" i="13"/>
  <c r="H262" i="13"/>
  <c r="H263" i="13"/>
  <c r="H264" i="13"/>
  <c r="H265" i="13"/>
  <c r="H266" i="13"/>
  <c r="H267" i="13"/>
  <c r="H268" i="13"/>
  <c r="H269" i="13"/>
  <c r="H270" i="13"/>
  <c r="H271" i="13"/>
  <c r="H272" i="13"/>
  <c r="H273" i="13"/>
  <c r="H274" i="13"/>
  <c r="H275" i="13"/>
  <c r="H276" i="13"/>
  <c r="H277" i="13"/>
  <c r="H278" i="13"/>
  <c r="H279" i="13"/>
  <c r="H280" i="13"/>
  <c r="H281" i="13"/>
  <c r="H282" i="13"/>
  <c r="H283" i="13"/>
  <c r="H284" i="13"/>
  <c r="H285" i="13"/>
  <c r="H286" i="13"/>
  <c r="H287" i="13"/>
  <c r="H288" i="13"/>
  <c r="H289" i="13"/>
  <c r="H290" i="13"/>
  <c r="H291" i="13"/>
  <c r="H292" i="13"/>
  <c r="H293" i="13"/>
  <c r="H294" i="13"/>
  <c r="H295" i="13"/>
  <c r="H296" i="13"/>
  <c r="H297" i="13"/>
  <c r="H298" i="13"/>
  <c r="H299" i="13"/>
  <c r="H300" i="13"/>
  <c r="H301" i="13"/>
  <c r="H302" i="13"/>
  <c r="H303" i="13"/>
  <c r="H304" i="13"/>
  <c r="H305" i="13"/>
  <c r="H306" i="13"/>
  <c r="H307" i="13"/>
  <c r="H308" i="13"/>
  <c r="H309" i="13"/>
  <c r="H310" i="13"/>
  <c r="H311" i="13"/>
  <c r="H312" i="13"/>
  <c r="H313" i="13"/>
  <c r="H314" i="13"/>
  <c r="H315" i="13"/>
  <c r="H316" i="13"/>
  <c r="H317" i="13"/>
  <c r="H318" i="13"/>
  <c r="H319" i="13"/>
  <c r="H320" i="13"/>
  <c r="H321" i="13"/>
  <c r="H322" i="13"/>
  <c r="H323" i="13"/>
  <c r="H324" i="13"/>
  <c r="H325" i="13"/>
  <c r="H326" i="13"/>
  <c r="H327" i="13"/>
  <c r="H328" i="13"/>
  <c r="H329" i="13"/>
  <c r="H330" i="13"/>
  <c r="H331" i="13"/>
  <c r="H332" i="13"/>
  <c r="H333" i="13"/>
  <c r="H334" i="13"/>
  <c r="H335" i="13"/>
  <c r="H336" i="13"/>
  <c r="H337" i="13"/>
  <c r="H338" i="13"/>
  <c r="H339" i="13"/>
  <c r="H340" i="13"/>
  <c r="H341" i="13"/>
  <c r="H342" i="13"/>
  <c r="H343" i="13"/>
  <c r="H344" i="13"/>
  <c r="H345" i="13"/>
  <c r="H346" i="13"/>
  <c r="H347" i="13"/>
  <c r="H348" i="13"/>
  <c r="H349" i="13"/>
  <c r="H350" i="13"/>
  <c r="H351" i="13"/>
  <c r="H352" i="13"/>
  <c r="H353" i="13"/>
  <c r="H354" i="13"/>
  <c r="H355" i="13"/>
  <c r="H356" i="13"/>
  <c r="H357" i="13"/>
  <c r="H358" i="13"/>
  <c r="H359" i="13"/>
  <c r="H360" i="13"/>
  <c r="H361" i="13"/>
  <c r="H362" i="13"/>
  <c r="H363" i="13"/>
  <c r="H364" i="13"/>
  <c r="H365" i="13"/>
  <c r="H366" i="13"/>
  <c r="H367" i="13"/>
  <c r="H368" i="13"/>
  <c r="H369" i="13"/>
  <c r="H370" i="13"/>
  <c r="H371" i="13"/>
  <c r="H372" i="13"/>
  <c r="H373" i="13"/>
  <c r="H374" i="13"/>
  <c r="H375" i="13"/>
  <c r="H376" i="13"/>
  <c r="H377" i="13"/>
  <c r="H378" i="13"/>
  <c r="H379" i="13"/>
  <c r="H380" i="13"/>
  <c r="H381" i="13"/>
  <c r="H382" i="13"/>
  <c r="H383" i="13"/>
  <c r="H384" i="13"/>
  <c r="H385" i="13"/>
  <c r="H386" i="13"/>
  <c r="H387" i="13"/>
  <c r="H388" i="13"/>
  <c r="H389" i="13"/>
  <c r="H390" i="13"/>
  <c r="H391" i="13"/>
  <c r="H392" i="13"/>
  <c r="H393" i="13"/>
  <c r="H394" i="13"/>
  <c r="H395" i="13"/>
  <c r="H396" i="13"/>
  <c r="H397" i="13"/>
  <c r="H398" i="13"/>
  <c r="H399" i="13"/>
  <c r="H400" i="13"/>
  <c r="H401" i="13"/>
  <c r="H402" i="13"/>
  <c r="H403" i="13"/>
  <c r="H404" i="13"/>
  <c r="H405" i="13"/>
  <c r="H406" i="13"/>
  <c r="H407" i="13"/>
  <c r="H408" i="13"/>
  <c r="H409" i="13"/>
  <c r="H410" i="13"/>
  <c r="H411" i="13"/>
  <c r="H412" i="13"/>
  <c r="H413" i="13"/>
  <c r="H414" i="13"/>
  <c r="H415" i="13"/>
  <c r="H416" i="13"/>
  <c r="H417" i="13"/>
  <c r="H418" i="13"/>
  <c r="H419" i="13"/>
  <c r="H420" i="13"/>
  <c r="H421" i="13"/>
  <c r="H422" i="13"/>
  <c r="H423" i="13"/>
  <c r="H424" i="13"/>
  <c r="H425" i="13"/>
  <c r="H426" i="13"/>
  <c r="H427" i="13"/>
  <c r="H428" i="13"/>
  <c r="H429" i="13"/>
  <c r="H430" i="13"/>
  <c r="H431" i="13"/>
  <c r="H432" i="13"/>
  <c r="H433" i="13"/>
  <c r="H434" i="13"/>
  <c r="H435" i="13"/>
  <c r="H436" i="13"/>
  <c r="H437" i="13"/>
  <c r="H438" i="13"/>
  <c r="H439" i="13"/>
  <c r="H440" i="13"/>
  <c r="H441" i="13"/>
  <c r="H442" i="13"/>
  <c r="H443" i="13"/>
  <c r="H444" i="13"/>
  <c r="H445" i="13"/>
  <c r="H446" i="13"/>
  <c r="H447" i="13"/>
  <c r="H448" i="13"/>
  <c r="H449" i="13"/>
  <c r="H450" i="13"/>
  <c r="H451" i="13"/>
  <c r="H452" i="13"/>
  <c r="H453" i="13"/>
  <c r="H454" i="13"/>
  <c r="H455" i="13"/>
  <c r="H456" i="13"/>
  <c r="H457" i="13"/>
  <c r="H458" i="13"/>
  <c r="H459" i="13"/>
  <c r="H460" i="13"/>
  <c r="H461" i="13"/>
  <c r="H462" i="13"/>
  <c r="H463" i="13"/>
  <c r="H464" i="13"/>
  <c r="H465" i="13"/>
  <c r="H466" i="13"/>
  <c r="H467" i="13"/>
  <c r="H468" i="13"/>
  <c r="H469" i="13"/>
  <c r="H470" i="13"/>
  <c r="H471" i="13"/>
  <c r="H472" i="13"/>
  <c r="H473" i="13"/>
  <c r="H474" i="13"/>
  <c r="H475" i="13"/>
  <c r="H476" i="13"/>
  <c r="H477" i="13"/>
  <c r="H478" i="13"/>
  <c r="H479" i="13"/>
  <c r="H480" i="13"/>
  <c r="H481" i="13"/>
  <c r="H482" i="13"/>
  <c r="H483" i="13"/>
  <c r="H484" i="13"/>
  <c r="H485" i="13"/>
  <c r="H486" i="13"/>
  <c r="H487" i="13"/>
  <c r="H488" i="13"/>
  <c r="H489" i="13"/>
  <c r="H490" i="13"/>
  <c r="H491" i="13"/>
  <c r="H492" i="13"/>
  <c r="H493" i="13"/>
  <c r="H494" i="13"/>
  <c r="H495" i="13"/>
  <c r="H496" i="13"/>
  <c r="H497" i="13"/>
  <c r="H498" i="13"/>
  <c r="H499" i="13"/>
  <c r="H500" i="13"/>
  <c r="H501" i="13"/>
  <c r="H502" i="13"/>
  <c r="H503" i="13"/>
  <c r="H504" i="13"/>
  <c r="H505" i="13"/>
  <c r="H506" i="13"/>
  <c r="H507" i="13"/>
  <c r="H508" i="13"/>
  <c r="H509" i="13"/>
  <c r="H510" i="13"/>
  <c r="H511" i="13"/>
  <c r="H512" i="13"/>
  <c r="H513" i="13"/>
  <c r="H514" i="13"/>
  <c r="H515" i="13"/>
  <c r="H516" i="13"/>
  <c r="H517" i="13"/>
  <c r="H518" i="13"/>
  <c r="H519" i="13"/>
  <c r="H520" i="13"/>
  <c r="H521" i="13"/>
  <c r="H522" i="13"/>
  <c r="H523" i="13"/>
  <c r="H524" i="13"/>
  <c r="H525" i="13"/>
  <c r="H526" i="13"/>
  <c r="H527" i="13"/>
  <c r="H528" i="13"/>
  <c r="H529" i="13"/>
  <c r="H530" i="13"/>
  <c r="H531" i="13"/>
  <c r="H532" i="13"/>
  <c r="H533" i="13"/>
  <c r="H534" i="13"/>
  <c r="H535" i="13"/>
  <c r="H536" i="13"/>
  <c r="H537" i="13"/>
  <c r="H538" i="13"/>
  <c r="H539" i="13"/>
  <c r="H540" i="13"/>
  <c r="H541" i="13"/>
  <c r="H542" i="13"/>
  <c r="H543" i="13"/>
  <c r="H544" i="13"/>
  <c r="H545" i="13"/>
  <c r="H546" i="13"/>
  <c r="H547" i="13"/>
  <c r="H548" i="13"/>
  <c r="H549" i="13"/>
  <c r="H550" i="13"/>
  <c r="H551" i="13"/>
  <c r="H552" i="13"/>
  <c r="H553" i="13"/>
  <c r="H554" i="13"/>
  <c r="H555" i="13"/>
  <c r="H556" i="13"/>
  <c r="H557" i="13"/>
  <c r="H558" i="13"/>
  <c r="H559" i="13"/>
  <c r="H560" i="13"/>
  <c r="H561" i="13"/>
  <c r="H562" i="13"/>
  <c r="H563" i="13"/>
  <c r="H564" i="13"/>
  <c r="H565" i="13"/>
  <c r="H566" i="13"/>
  <c r="H567" i="13"/>
  <c r="H568" i="13"/>
  <c r="H569" i="13"/>
  <c r="H570" i="13"/>
  <c r="H571" i="13"/>
  <c r="H572" i="13"/>
  <c r="H573" i="13"/>
  <c r="H574" i="13"/>
  <c r="H575" i="13"/>
  <c r="H576" i="13"/>
  <c r="H577" i="13"/>
  <c r="H578" i="13"/>
  <c r="H579" i="13"/>
  <c r="H580" i="13"/>
  <c r="H581" i="13"/>
  <c r="H582" i="13"/>
  <c r="H583" i="13"/>
  <c r="H584" i="13"/>
  <c r="H585" i="13"/>
  <c r="H586" i="13"/>
  <c r="H587" i="13"/>
  <c r="H588" i="13"/>
  <c r="H589" i="13"/>
  <c r="H590" i="13"/>
  <c r="H591" i="13"/>
  <c r="H592" i="13"/>
  <c r="H593" i="13"/>
  <c r="H594" i="13"/>
  <c r="H595" i="13"/>
  <c r="H596" i="13"/>
  <c r="H597" i="13"/>
  <c r="H598" i="13"/>
  <c r="H599" i="13"/>
  <c r="H600" i="13"/>
  <c r="H601" i="13"/>
  <c r="H602" i="13"/>
  <c r="H603" i="13"/>
  <c r="H604" i="13"/>
  <c r="H605" i="13"/>
  <c r="H606" i="13"/>
  <c r="H607" i="13"/>
  <c r="H608" i="13"/>
  <c r="H609" i="13"/>
  <c r="H610" i="13"/>
  <c r="H611" i="13"/>
  <c r="H612" i="13"/>
  <c r="H613" i="13"/>
  <c r="H614" i="13"/>
  <c r="H615" i="13"/>
  <c r="H616" i="13"/>
  <c r="H617" i="13"/>
  <c r="H618" i="13"/>
  <c r="H619" i="13"/>
  <c r="H620" i="13"/>
  <c r="H621" i="13"/>
  <c r="H622" i="13"/>
  <c r="H623" i="13"/>
  <c r="H624" i="13"/>
  <c r="H625" i="13"/>
  <c r="H626" i="13"/>
  <c r="H627" i="13"/>
  <c r="H628" i="13"/>
  <c r="H629" i="13"/>
  <c r="H630" i="13"/>
  <c r="H631" i="13"/>
  <c r="H632" i="13"/>
  <c r="H633" i="13"/>
  <c r="H634" i="13"/>
  <c r="H635" i="13"/>
  <c r="H636" i="13"/>
  <c r="H637" i="13"/>
  <c r="H638" i="13"/>
  <c r="H639" i="13"/>
  <c r="H640" i="13"/>
  <c r="H641" i="13"/>
  <c r="H642" i="13"/>
  <c r="H643" i="13"/>
  <c r="H644" i="13"/>
  <c r="H645" i="13"/>
  <c r="H646" i="13"/>
  <c r="H647" i="13"/>
  <c r="H648" i="13"/>
  <c r="H649" i="13"/>
  <c r="H650" i="13"/>
  <c r="H651" i="13"/>
  <c r="H652" i="13"/>
  <c r="H653" i="13"/>
  <c r="H654" i="13"/>
  <c r="H655" i="13"/>
  <c r="H656" i="13"/>
  <c r="H657" i="13"/>
  <c r="H658" i="13"/>
  <c r="H659" i="13"/>
  <c r="H660" i="13"/>
  <c r="H661" i="13"/>
  <c r="H662" i="13"/>
  <c r="H663" i="13"/>
  <c r="H664" i="13"/>
  <c r="H665" i="13"/>
  <c r="H666" i="13"/>
  <c r="H667" i="13"/>
  <c r="H668" i="13"/>
  <c r="H669" i="13"/>
  <c r="H670" i="13"/>
  <c r="H671" i="13"/>
  <c r="H672" i="13"/>
  <c r="H673" i="13"/>
  <c r="H674" i="13"/>
  <c r="H675" i="13"/>
  <c r="H676" i="13"/>
  <c r="H677" i="13"/>
  <c r="H678" i="13"/>
  <c r="H679" i="13"/>
  <c r="H680" i="13"/>
  <c r="H681" i="13"/>
  <c r="H682" i="13"/>
  <c r="H683" i="13"/>
  <c r="H684" i="13"/>
  <c r="H685" i="13"/>
  <c r="H686" i="13"/>
  <c r="H687" i="13"/>
  <c r="H688" i="13"/>
  <c r="H689" i="13"/>
  <c r="H690" i="13"/>
  <c r="H691" i="13"/>
  <c r="H692" i="13"/>
  <c r="H693" i="13"/>
  <c r="H694" i="13"/>
  <c r="H695" i="13"/>
  <c r="H696" i="13"/>
  <c r="H697" i="13"/>
  <c r="H698" i="13"/>
  <c r="H699" i="13"/>
  <c r="H700" i="13"/>
  <c r="G1" i="13"/>
  <c r="G2" i="13"/>
  <c r="G3" i="13"/>
  <c r="G4" i="13"/>
  <c r="G5" i="13"/>
  <c r="G6" i="13"/>
  <c r="G7" i="13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3" i="13"/>
  <c r="G34" i="13"/>
  <c r="G35" i="13"/>
  <c r="G36" i="13"/>
  <c r="G37" i="13"/>
  <c r="G38" i="13"/>
  <c r="G39" i="13"/>
  <c r="G40" i="13"/>
  <c r="G41" i="13"/>
  <c r="G42" i="13"/>
  <c r="G43" i="13"/>
  <c r="G44" i="13"/>
  <c r="G45" i="13"/>
  <c r="G46" i="13"/>
  <c r="G47" i="13"/>
  <c r="G48" i="13"/>
  <c r="G49" i="13"/>
  <c r="G50" i="13"/>
  <c r="G51" i="13"/>
  <c r="G52" i="13"/>
  <c r="G53" i="13"/>
  <c r="G54" i="13"/>
  <c r="G55" i="13"/>
  <c r="G56" i="13"/>
  <c r="G57" i="13"/>
  <c r="G58" i="13"/>
  <c r="G59" i="13"/>
  <c r="G60" i="13"/>
  <c r="G61" i="13"/>
  <c r="G62" i="13"/>
  <c r="G63" i="13"/>
  <c r="G64" i="13"/>
  <c r="G65" i="13"/>
  <c r="G66" i="13"/>
  <c r="G67" i="13"/>
  <c r="G68" i="13"/>
  <c r="G69" i="13"/>
  <c r="G70" i="13"/>
  <c r="G71" i="13"/>
  <c r="G72" i="13"/>
  <c r="G73" i="13"/>
  <c r="G74" i="13"/>
  <c r="G75" i="13"/>
  <c r="G76" i="13"/>
  <c r="G77" i="13"/>
  <c r="G78" i="13"/>
  <c r="G79" i="13"/>
  <c r="G80" i="13"/>
  <c r="G81" i="13"/>
  <c r="G82" i="13"/>
  <c r="G83" i="13"/>
  <c r="G84" i="13"/>
  <c r="G85" i="13"/>
  <c r="G86" i="13"/>
  <c r="G87" i="13"/>
  <c r="G88" i="13"/>
  <c r="G89" i="13"/>
  <c r="G90" i="13"/>
  <c r="G91" i="13"/>
  <c r="G92" i="13"/>
  <c r="G93" i="13"/>
  <c r="G94" i="13"/>
  <c r="G95" i="13"/>
  <c r="G96" i="13"/>
  <c r="G97" i="13"/>
  <c r="G98" i="13"/>
  <c r="G99" i="13"/>
  <c r="G100" i="13"/>
  <c r="G101" i="13"/>
  <c r="G102" i="13"/>
  <c r="G103" i="13"/>
  <c r="G104" i="13"/>
  <c r="G105" i="13"/>
  <c r="G106" i="13"/>
  <c r="G107" i="13"/>
  <c r="G108" i="13"/>
  <c r="G109" i="13"/>
  <c r="G110" i="13"/>
  <c r="G111" i="13"/>
  <c r="G112" i="13"/>
  <c r="G113" i="13"/>
  <c r="G114" i="13"/>
  <c r="G115" i="13"/>
  <c r="G116" i="13"/>
  <c r="G117" i="13"/>
  <c r="G118" i="13"/>
  <c r="G119" i="13"/>
  <c r="G120" i="13"/>
  <c r="G121" i="13"/>
  <c r="G122" i="13"/>
  <c r="G123" i="13"/>
  <c r="G124" i="13"/>
  <c r="G125" i="13"/>
  <c r="G126" i="13"/>
  <c r="G127" i="13"/>
  <c r="G128" i="13"/>
  <c r="G129" i="13"/>
  <c r="G130" i="13"/>
  <c r="G131" i="13"/>
  <c r="G132" i="13"/>
  <c r="G133" i="13"/>
  <c r="G134" i="13"/>
  <c r="G135" i="13"/>
  <c r="G136" i="13"/>
  <c r="G137" i="13"/>
  <c r="G138" i="13"/>
  <c r="G139" i="13"/>
  <c r="G140" i="13"/>
  <c r="G141" i="13"/>
  <c r="G142" i="13"/>
  <c r="G143" i="13"/>
  <c r="G144" i="13"/>
  <c r="G145" i="13"/>
  <c r="G146" i="13"/>
  <c r="G147" i="13"/>
  <c r="G148" i="13"/>
  <c r="G149" i="13"/>
  <c r="G150" i="13"/>
  <c r="G151" i="13"/>
  <c r="G152" i="13"/>
  <c r="G153" i="13"/>
  <c r="G154" i="13"/>
  <c r="G155" i="13"/>
  <c r="G156" i="13"/>
  <c r="G157" i="13"/>
  <c r="G158" i="13"/>
  <c r="G159" i="13"/>
  <c r="G160" i="13"/>
  <c r="G161" i="13"/>
  <c r="G162" i="13"/>
  <c r="G163" i="13"/>
  <c r="G164" i="13"/>
  <c r="G165" i="13"/>
  <c r="G166" i="13"/>
  <c r="G167" i="13"/>
  <c r="G168" i="13"/>
  <c r="G169" i="13"/>
  <c r="G170" i="13"/>
  <c r="G171" i="13"/>
  <c r="G172" i="13"/>
  <c r="G173" i="13"/>
  <c r="G174" i="13"/>
  <c r="G175" i="13"/>
  <c r="G176" i="13"/>
  <c r="G177" i="13"/>
  <c r="G178" i="13"/>
  <c r="G179" i="13"/>
  <c r="G180" i="13"/>
  <c r="G181" i="13"/>
  <c r="G182" i="13"/>
  <c r="G183" i="13"/>
  <c r="G184" i="13"/>
  <c r="G185" i="13"/>
  <c r="G186" i="13"/>
  <c r="G187" i="13"/>
  <c r="G188" i="13"/>
  <c r="G189" i="13"/>
  <c r="G190" i="13"/>
  <c r="G191" i="13"/>
  <c r="G192" i="13"/>
  <c r="G193" i="13"/>
  <c r="G194" i="13"/>
  <c r="G195" i="13"/>
  <c r="G196" i="13"/>
  <c r="G197" i="13"/>
  <c r="G198" i="13"/>
  <c r="G199" i="13"/>
  <c r="G200" i="13"/>
  <c r="G201" i="13"/>
  <c r="G202" i="13"/>
  <c r="G203" i="13"/>
  <c r="G204" i="13"/>
  <c r="G205" i="13"/>
  <c r="G206" i="13"/>
  <c r="G207" i="13"/>
  <c r="G208" i="13"/>
  <c r="G209" i="13"/>
  <c r="G210" i="13"/>
  <c r="G211" i="13"/>
  <c r="G212" i="13"/>
  <c r="G213" i="13"/>
  <c r="G214" i="13"/>
  <c r="G215" i="13"/>
  <c r="G216" i="13"/>
  <c r="G217" i="13"/>
  <c r="G218" i="13"/>
  <c r="G219" i="13"/>
  <c r="G220" i="13"/>
  <c r="G221" i="13"/>
  <c r="G222" i="13"/>
  <c r="G223" i="13"/>
  <c r="G224" i="13"/>
  <c r="G225" i="13"/>
  <c r="G226" i="13"/>
  <c r="G227" i="13"/>
  <c r="G228" i="13"/>
  <c r="G229" i="13"/>
  <c r="G230" i="13"/>
  <c r="G231" i="13"/>
  <c r="G232" i="13"/>
  <c r="G233" i="13"/>
  <c r="G234" i="13"/>
  <c r="G235" i="13"/>
  <c r="G236" i="13"/>
  <c r="G237" i="13"/>
  <c r="G238" i="13"/>
  <c r="G239" i="13"/>
  <c r="G240" i="13"/>
  <c r="G241" i="13"/>
  <c r="G242" i="13"/>
  <c r="G243" i="13"/>
  <c r="G244" i="13"/>
  <c r="G245" i="13"/>
  <c r="G246" i="13"/>
  <c r="G247" i="13"/>
  <c r="G248" i="13"/>
  <c r="G249" i="13"/>
  <c r="G250" i="13"/>
  <c r="G251" i="13"/>
  <c r="G252" i="13"/>
  <c r="G253" i="13"/>
  <c r="G254" i="13"/>
  <c r="G255" i="13"/>
  <c r="G256" i="13"/>
  <c r="G257" i="13"/>
  <c r="G258" i="13"/>
  <c r="G259" i="13"/>
  <c r="G260" i="13"/>
  <c r="G261" i="13"/>
  <c r="G262" i="13"/>
  <c r="G263" i="13"/>
  <c r="G264" i="13"/>
  <c r="G265" i="13"/>
  <c r="G266" i="13"/>
  <c r="G267" i="13"/>
  <c r="G268" i="13"/>
  <c r="G269" i="13"/>
  <c r="G270" i="13"/>
  <c r="G271" i="13"/>
  <c r="G272" i="13"/>
  <c r="G273" i="13"/>
  <c r="G274" i="13"/>
  <c r="G275" i="13"/>
  <c r="G276" i="13"/>
  <c r="G277" i="13"/>
  <c r="G278" i="13"/>
  <c r="G279" i="13"/>
  <c r="G280" i="13"/>
  <c r="G281" i="13"/>
  <c r="G282" i="13"/>
  <c r="G283" i="13"/>
  <c r="G284" i="13"/>
  <c r="G285" i="13"/>
  <c r="G286" i="13"/>
  <c r="G287" i="13"/>
  <c r="G288" i="13"/>
  <c r="G289" i="13"/>
  <c r="G290" i="13"/>
  <c r="G291" i="13"/>
  <c r="G292" i="13"/>
  <c r="G293" i="13"/>
  <c r="G294" i="13"/>
  <c r="G295" i="13"/>
  <c r="G296" i="13"/>
  <c r="G297" i="13"/>
  <c r="G298" i="13"/>
  <c r="G299" i="13"/>
  <c r="G300" i="13"/>
  <c r="G301" i="13"/>
  <c r="G302" i="13"/>
  <c r="G303" i="13"/>
  <c r="G304" i="13"/>
  <c r="G305" i="13"/>
  <c r="G306" i="13"/>
  <c r="G307" i="13"/>
  <c r="G308" i="13"/>
  <c r="G309" i="13"/>
  <c r="G310" i="13"/>
  <c r="G311" i="13"/>
  <c r="G312" i="13"/>
  <c r="G313" i="13"/>
  <c r="G314" i="13"/>
  <c r="G315" i="13"/>
  <c r="G316" i="13"/>
  <c r="G317" i="13"/>
  <c r="G318" i="13"/>
  <c r="G319" i="13"/>
  <c r="G320" i="13"/>
  <c r="G321" i="13"/>
  <c r="G322" i="13"/>
  <c r="G323" i="13"/>
  <c r="G324" i="13"/>
  <c r="G325" i="13"/>
  <c r="G326" i="13"/>
  <c r="G327" i="13"/>
  <c r="G328" i="13"/>
  <c r="G329" i="13"/>
  <c r="G330" i="13"/>
  <c r="G331" i="13"/>
  <c r="G332" i="13"/>
  <c r="G333" i="13"/>
  <c r="G334" i="13"/>
  <c r="G335" i="13"/>
  <c r="G336" i="13"/>
  <c r="G337" i="13"/>
  <c r="G338" i="13"/>
  <c r="G339" i="13"/>
  <c r="G340" i="13"/>
  <c r="G341" i="13"/>
  <c r="G342" i="13"/>
  <c r="G343" i="13"/>
  <c r="G344" i="13"/>
  <c r="G345" i="13"/>
  <c r="G346" i="13"/>
  <c r="G347" i="13"/>
  <c r="G348" i="13"/>
  <c r="G349" i="13"/>
  <c r="G350" i="13"/>
  <c r="G351" i="13"/>
  <c r="G352" i="13"/>
  <c r="G353" i="13"/>
  <c r="G354" i="13"/>
  <c r="G355" i="13"/>
  <c r="G356" i="13"/>
  <c r="G357" i="13"/>
  <c r="G358" i="13"/>
  <c r="G359" i="13"/>
  <c r="G360" i="13"/>
  <c r="G361" i="13"/>
  <c r="G362" i="13"/>
  <c r="G363" i="13"/>
  <c r="G364" i="13"/>
  <c r="G365" i="13"/>
  <c r="G366" i="13"/>
  <c r="G367" i="13"/>
  <c r="G368" i="13"/>
  <c r="G369" i="13"/>
  <c r="G370" i="13"/>
  <c r="G371" i="13"/>
  <c r="G372" i="13"/>
  <c r="G373" i="13"/>
  <c r="G374" i="13"/>
  <c r="G375" i="13"/>
  <c r="G376" i="13"/>
  <c r="G377" i="13"/>
  <c r="G378" i="13"/>
  <c r="G379" i="13"/>
  <c r="G380" i="13"/>
  <c r="G381" i="13"/>
  <c r="G382" i="13"/>
  <c r="G383" i="13"/>
  <c r="G384" i="13"/>
  <c r="G385" i="13"/>
  <c r="G386" i="13"/>
  <c r="G387" i="13"/>
  <c r="G388" i="13"/>
  <c r="G389" i="13"/>
  <c r="G390" i="13"/>
  <c r="G391" i="13"/>
  <c r="G392" i="13"/>
  <c r="G393" i="13"/>
  <c r="G394" i="13"/>
  <c r="G395" i="13"/>
  <c r="G396" i="13"/>
  <c r="G397" i="13"/>
  <c r="G398" i="13"/>
  <c r="G399" i="13"/>
  <c r="G400" i="13"/>
  <c r="G401" i="13"/>
  <c r="G402" i="13"/>
  <c r="G403" i="13"/>
  <c r="G404" i="13"/>
  <c r="G405" i="13"/>
  <c r="G406" i="13"/>
  <c r="G407" i="13"/>
  <c r="G408" i="13"/>
  <c r="G409" i="13"/>
  <c r="G410" i="13"/>
  <c r="G411" i="13"/>
  <c r="G412" i="13"/>
  <c r="G413" i="13"/>
  <c r="G414" i="13"/>
  <c r="G415" i="13"/>
  <c r="G416" i="13"/>
  <c r="G417" i="13"/>
  <c r="G418" i="13"/>
  <c r="G419" i="13"/>
  <c r="G420" i="13"/>
  <c r="G421" i="13"/>
  <c r="G422" i="13"/>
  <c r="G423" i="13"/>
  <c r="G424" i="13"/>
  <c r="G425" i="13"/>
  <c r="G426" i="13"/>
  <c r="G427" i="13"/>
  <c r="G428" i="13"/>
  <c r="G429" i="13"/>
  <c r="G430" i="13"/>
  <c r="G431" i="13"/>
  <c r="G432" i="13"/>
  <c r="G433" i="13"/>
  <c r="G434" i="13"/>
  <c r="G435" i="13"/>
  <c r="G436" i="13"/>
  <c r="G437" i="13"/>
  <c r="G438" i="13"/>
  <c r="G439" i="13"/>
  <c r="G440" i="13"/>
  <c r="G441" i="13"/>
  <c r="G442" i="13"/>
  <c r="G443" i="13"/>
  <c r="G444" i="13"/>
  <c r="G445" i="13"/>
  <c r="G446" i="13"/>
  <c r="G447" i="13"/>
  <c r="G448" i="13"/>
  <c r="G449" i="13"/>
  <c r="G450" i="13"/>
  <c r="G451" i="13"/>
  <c r="G452" i="13"/>
  <c r="G453" i="13"/>
  <c r="G454" i="13"/>
  <c r="G455" i="13"/>
  <c r="G456" i="13"/>
  <c r="G457" i="13"/>
  <c r="G458" i="13"/>
  <c r="G459" i="13"/>
  <c r="G460" i="13"/>
  <c r="G461" i="13"/>
  <c r="G462" i="13"/>
  <c r="G463" i="13"/>
  <c r="G464" i="13"/>
  <c r="G465" i="13"/>
  <c r="G466" i="13"/>
  <c r="G467" i="13"/>
  <c r="G468" i="13"/>
  <c r="G469" i="13"/>
  <c r="G470" i="13"/>
  <c r="G471" i="13"/>
  <c r="G472" i="13"/>
  <c r="G473" i="13"/>
  <c r="G474" i="13"/>
  <c r="G475" i="13"/>
  <c r="G476" i="13"/>
  <c r="G477" i="13"/>
  <c r="G478" i="13"/>
  <c r="G479" i="13"/>
  <c r="G480" i="13"/>
  <c r="G481" i="13"/>
  <c r="G482" i="13"/>
  <c r="G483" i="13"/>
  <c r="G484" i="13"/>
  <c r="G485" i="13"/>
  <c r="G486" i="13"/>
  <c r="G487" i="13"/>
  <c r="G488" i="13"/>
  <c r="G489" i="13"/>
  <c r="G490" i="13"/>
  <c r="G491" i="13"/>
  <c r="G492" i="13"/>
  <c r="G493" i="13"/>
  <c r="G494" i="13"/>
  <c r="G495" i="13"/>
  <c r="G496" i="13"/>
  <c r="G497" i="13"/>
  <c r="G498" i="13"/>
  <c r="G499" i="13"/>
  <c r="G500" i="13"/>
  <c r="G501" i="13"/>
  <c r="G502" i="13"/>
  <c r="G503" i="13"/>
  <c r="G504" i="13"/>
  <c r="G505" i="13"/>
  <c r="G506" i="13"/>
  <c r="G507" i="13"/>
  <c r="G508" i="13"/>
  <c r="G509" i="13"/>
  <c r="G510" i="13"/>
  <c r="G511" i="13"/>
  <c r="G512" i="13"/>
  <c r="G513" i="13"/>
  <c r="G514" i="13"/>
  <c r="G515" i="13"/>
  <c r="G516" i="13"/>
  <c r="G517" i="13"/>
  <c r="G518" i="13"/>
  <c r="G519" i="13"/>
  <c r="G520" i="13"/>
  <c r="G521" i="13"/>
  <c r="G522" i="13"/>
  <c r="G523" i="13"/>
  <c r="G524" i="13"/>
  <c r="G525" i="13"/>
  <c r="G526" i="13"/>
  <c r="G527" i="13"/>
  <c r="G528" i="13"/>
  <c r="G529" i="13"/>
  <c r="G530" i="13"/>
  <c r="G531" i="13"/>
  <c r="G532" i="13"/>
  <c r="G533" i="13"/>
  <c r="G534" i="13"/>
  <c r="G535" i="13"/>
  <c r="G536" i="13"/>
  <c r="G537" i="13"/>
  <c r="G538" i="13"/>
  <c r="G539" i="13"/>
  <c r="G540" i="13"/>
  <c r="G541" i="13"/>
  <c r="G542" i="13"/>
  <c r="G543" i="13"/>
  <c r="G544" i="13"/>
  <c r="G545" i="13"/>
  <c r="G546" i="13"/>
  <c r="G547" i="13"/>
  <c r="G548" i="13"/>
  <c r="G549" i="13"/>
  <c r="G550" i="13"/>
  <c r="G551" i="13"/>
  <c r="G552" i="13"/>
  <c r="G553" i="13"/>
  <c r="G554" i="13"/>
  <c r="G555" i="13"/>
  <c r="G556" i="13"/>
  <c r="G557" i="13"/>
  <c r="G558" i="13"/>
  <c r="G559" i="13"/>
  <c r="G560" i="13"/>
  <c r="G561" i="13"/>
  <c r="G562" i="13"/>
  <c r="G563" i="13"/>
  <c r="G564" i="13"/>
  <c r="G565" i="13"/>
  <c r="G566" i="13"/>
  <c r="G567" i="13"/>
  <c r="G568" i="13"/>
  <c r="G569" i="13"/>
  <c r="G570" i="13"/>
  <c r="G571" i="13"/>
  <c r="G572" i="13"/>
  <c r="G573" i="13"/>
  <c r="G574" i="13"/>
  <c r="G575" i="13"/>
  <c r="G576" i="13"/>
  <c r="G577" i="13"/>
  <c r="G578" i="13"/>
  <c r="G579" i="13"/>
  <c r="G580" i="13"/>
  <c r="G581" i="13"/>
  <c r="G582" i="13"/>
  <c r="G583" i="13"/>
  <c r="G584" i="13"/>
  <c r="G585" i="13"/>
  <c r="G586" i="13"/>
  <c r="G587" i="13"/>
  <c r="G588" i="13"/>
  <c r="G589" i="13"/>
  <c r="G590" i="13"/>
  <c r="G591" i="13"/>
  <c r="G592" i="13"/>
  <c r="G593" i="13"/>
  <c r="G594" i="13"/>
  <c r="G595" i="13"/>
  <c r="G596" i="13"/>
  <c r="G597" i="13"/>
  <c r="G598" i="13"/>
  <c r="G599" i="13"/>
  <c r="G600" i="13"/>
  <c r="G601" i="13"/>
  <c r="G602" i="13"/>
  <c r="G603" i="13"/>
  <c r="G604" i="13"/>
  <c r="G605" i="13"/>
  <c r="G606" i="13"/>
  <c r="G607" i="13"/>
  <c r="G608" i="13"/>
  <c r="G609" i="13"/>
  <c r="G610" i="13"/>
  <c r="G611" i="13"/>
  <c r="G612" i="13"/>
  <c r="G613" i="13"/>
  <c r="G614" i="13"/>
  <c r="G615" i="13"/>
  <c r="G616" i="13"/>
  <c r="G617" i="13"/>
  <c r="G618" i="13"/>
  <c r="G619" i="13"/>
  <c r="G620" i="13"/>
  <c r="G621" i="13"/>
  <c r="G622" i="13"/>
  <c r="G623" i="13"/>
  <c r="G624" i="13"/>
  <c r="G625" i="13"/>
  <c r="G626" i="13"/>
  <c r="G627" i="13"/>
  <c r="G628" i="13"/>
  <c r="G629" i="13"/>
  <c r="G630" i="13"/>
  <c r="G631" i="13"/>
  <c r="G632" i="13"/>
  <c r="G633" i="13"/>
  <c r="G634" i="13"/>
  <c r="G635" i="13"/>
  <c r="G636" i="13"/>
  <c r="G637" i="13"/>
  <c r="G638" i="13"/>
  <c r="G639" i="13"/>
  <c r="G640" i="13"/>
  <c r="G641" i="13"/>
  <c r="G642" i="13"/>
  <c r="G643" i="13"/>
  <c r="G644" i="13"/>
  <c r="G645" i="13"/>
  <c r="G646" i="13"/>
  <c r="G647" i="13"/>
  <c r="G648" i="13"/>
  <c r="G649" i="13"/>
  <c r="G650" i="13"/>
  <c r="G651" i="13"/>
  <c r="G652" i="13"/>
  <c r="G653" i="13"/>
  <c r="G654" i="13"/>
  <c r="G655" i="13"/>
  <c r="G656" i="13"/>
  <c r="G657" i="13"/>
  <c r="G658" i="13"/>
  <c r="G659" i="13"/>
  <c r="G660" i="13"/>
  <c r="G661" i="13"/>
  <c r="G662" i="13"/>
  <c r="G663" i="13"/>
  <c r="G664" i="13"/>
  <c r="G665" i="13"/>
  <c r="G666" i="13"/>
  <c r="G667" i="13"/>
  <c r="G668" i="13"/>
  <c r="G669" i="13"/>
  <c r="G670" i="13"/>
  <c r="G671" i="13"/>
  <c r="G672" i="13"/>
  <c r="G673" i="13"/>
  <c r="G674" i="13"/>
  <c r="G675" i="13"/>
  <c r="G676" i="13"/>
  <c r="G677" i="13"/>
  <c r="G678" i="13"/>
  <c r="G679" i="13"/>
  <c r="G680" i="13"/>
  <c r="G681" i="13"/>
  <c r="G682" i="13"/>
  <c r="G683" i="13"/>
  <c r="G684" i="13"/>
  <c r="G685" i="13"/>
  <c r="G686" i="13"/>
  <c r="G687" i="13"/>
  <c r="G688" i="13"/>
  <c r="G689" i="13"/>
  <c r="G690" i="13"/>
  <c r="G691" i="13"/>
  <c r="G692" i="13"/>
  <c r="G693" i="13"/>
  <c r="G694" i="13"/>
  <c r="G695" i="13"/>
  <c r="G696" i="13"/>
  <c r="G697" i="13"/>
  <c r="G698" i="13"/>
  <c r="G699" i="13"/>
  <c r="G700" i="13"/>
  <c r="F1" i="13"/>
  <c r="F2" i="13"/>
  <c r="F3" i="13"/>
  <c r="F4" i="13"/>
  <c r="F5" i="13"/>
  <c r="F6" i="13"/>
  <c r="F7" i="13"/>
  <c r="F8" i="13"/>
  <c r="F9" i="13"/>
  <c r="F10" i="13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33" i="13"/>
  <c r="F34" i="13"/>
  <c r="F35" i="13"/>
  <c r="F36" i="13"/>
  <c r="F37" i="13"/>
  <c r="F38" i="13"/>
  <c r="F39" i="13"/>
  <c r="F40" i="13"/>
  <c r="F41" i="13"/>
  <c r="F42" i="13"/>
  <c r="F43" i="13"/>
  <c r="F44" i="13"/>
  <c r="F45" i="13"/>
  <c r="F46" i="13"/>
  <c r="F47" i="13"/>
  <c r="F48" i="13"/>
  <c r="F49" i="13"/>
  <c r="F50" i="13"/>
  <c r="F51" i="13"/>
  <c r="F52" i="13"/>
  <c r="F53" i="13"/>
  <c r="F54" i="13"/>
  <c r="F55" i="13"/>
  <c r="F56" i="13"/>
  <c r="F57" i="13"/>
  <c r="F58" i="13"/>
  <c r="F59" i="13"/>
  <c r="F60" i="13"/>
  <c r="F61" i="13"/>
  <c r="F62" i="13"/>
  <c r="F63" i="13"/>
  <c r="F64" i="13"/>
  <c r="F65" i="13"/>
  <c r="F66" i="13"/>
  <c r="F67" i="13"/>
  <c r="F68" i="13"/>
  <c r="F69" i="13"/>
  <c r="F70" i="13"/>
  <c r="F71" i="13"/>
  <c r="F72" i="13"/>
  <c r="F73" i="13"/>
  <c r="F74" i="13"/>
  <c r="F75" i="13"/>
  <c r="F76" i="13"/>
  <c r="F77" i="13"/>
  <c r="F78" i="13"/>
  <c r="F79" i="13"/>
  <c r="F80" i="13"/>
  <c r="F81" i="13"/>
  <c r="F82" i="13"/>
  <c r="F83" i="13"/>
  <c r="F84" i="13"/>
  <c r="F85" i="13"/>
  <c r="F86" i="13"/>
  <c r="F87" i="13"/>
  <c r="F88" i="13"/>
  <c r="F89" i="13"/>
  <c r="F90" i="13"/>
  <c r="F91" i="13"/>
  <c r="F92" i="13"/>
  <c r="F93" i="13"/>
  <c r="F94" i="13"/>
  <c r="F95" i="13"/>
  <c r="F96" i="13"/>
  <c r="F97" i="13"/>
  <c r="F98" i="13"/>
  <c r="F99" i="13"/>
  <c r="F100" i="13"/>
  <c r="F101" i="13"/>
  <c r="F102" i="13"/>
  <c r="F103" i="13"/>
  <c r="F104" i="13"/>
  <c r="F105" i="13"/>
  <c r="F106" i="13"/>
  <c r="F107" i="13"/>
  <c r="F108" i="13"/>
  <c r="F109" i="13"/>
  <c r="F110" i="13"/>
  <c r="F111" i="13"/>
  <c r="F112" i="13"/>
  <c r="F113" i="13"/>
  <c r="F114" i="13"/>
  <c r="F115" i="13"/>
  <c r="F116" i="13"/>
  <c r="F117" i="13"/>
  <c r="F118" i="13"/>
  <c r="F119" i="13"/>
  <c r="F120" i="13"/>
  <c r="F121" i="13"/>
  <c r="F122" i="13"/>
  <c r="F123" i="13"/>
  <c r="F124" i="13"/>
  <c r="F125" i="13"/>
  <c r="F126" i="13"/>
  <c r="F127" i="13"/>
  <c r="F128" i="13"/>
  <c r="F129" i="13"/>
  <c r="F130" i="13"/>
  <c r="F131" i="13"/>
  <c r="F132" i="13"/>
  <c r="F133" i="13"/>
  <c r="F134" i="13"/>
  <c r="F135" i="13"/>
  <c r="F136" i="13"/>
  <c r="F137" i="13"/>
  <c r="F138" i="13"/>
  <c r="F139" i="13"/>
  <c r="F140" i="13"/>
  <c r="F141" i="13"/>
  <c r="F142" i="13"/>
  <c r="F143" i="13"/>
  <c r="F144" i="13"/>
  <c r="F145" i="13"/>
  <c r="F146" i="13"/>
  <c r="F147" i="13"/>
  <c r="F148" i="13"/>
  <c r="F149" i="13"/>
  <c r="F150" i="13"/>
  <c r="F151" i="13"/>
  <c r="F152" i="13"/>
  <c r="F153" i="13"/>
  <c r="F154" i="13"/>
  <c r="F155" i="13"/>
  <c r="F156" i="13"/>
  <c r="F157" i="13"/>
  <c r="F158" i="13"/>
  <c r="F159" i="13"/>
  <c r="F160" i="13"/>
  <c r="F161" i="13"/>
  <c r="F162" i="13"/>
  <c r="F163" i="13"/>
  <c r="F164" i="13"/>
  <c r="F165" i="13"/>
  <c r="F166" i="13"/>
  <c r="F167" i="13"/>
  <c r="F168" i="13"/>
  <c r="F169" i="13"/>
  <c r="F170" i="13"/>
  <c r="F171" i="13"/>
  <c r="F172" i="13"/>
  <c r="F173" i="13"/>
  <c r="F174" i="13"/>
  <c r="F175" i="13"/>
  <c r="F176" i="13"/>
  <c r="F177" i="13"/>
  <c r="F178" i="13"/>
  <c r="F179" i="13"/>
  <c r="F180" i="13"/>
  <c r="F181" i="13"/>
  <c r="F182" i="13"/>
  <c r="F183" i="13"/>
  <c r="F184" i="13"/>
  <c r="F185" i="13"/>
  <c r="F186" i="13"/>
  <c r="F187" i="13"/>
  <c r="F188" i="13"/>
  <c r="F189" i="13"/>
  <c r="F190" i="13"/>
  <c r="F191" i="13"/>
  <c r="F192" i="13"/>
  <c r="F193" i="13"/>
  <c r="F194" i="13"/>
  <c r="F195" i="13"/>
  <c r="F196" i="13"/>
  <c r="F197" i="13"/>
  <c r="F198" i="13"/>
  <c r="F199" i="13"/>
  <c r="F200" i="13"/>
  <c r="F201" i="13"/>
  <c r="F202" i="13"/>
  <c r="F203" i="13"/>
  <c r="F204" i="13"/>
  <c r="F205" i="13"/>
  <c r="F206" i="13"/>
  <c r="F207" i="13"/>
  <c r="F208" i="13"/>
  <c r="F209" i="13"/>
  <c r="F210" i="13"/>
  <c r="F211" i="13"/>
  <c r="F212" i="13"/>
  <c r="F213" i="13"/>
  <c r="F214" i="13"/>
  <c r="F215" i="13"/>
  <c r="F216" i="13"/>
  <c r="F217" i="13"/>
  <c r="F218" i="13"/>
  <c r="F219" i="13"/>
  <c r="F220" i="13"/>
  <c r="F221" i="13"/>
  <c r="F222" i="13"/>
  <c r="F223" i="13"/>
  <c r="F224" i="13"/>
  <c r="F225" i="13"/>
  <c r="F226" i="13"/>
  <c r="F227" i="13"/>
  <c r="F228" i="13"/>
  <c r="F229" i="13"/>
  <c r="F230" i="13"/>
  <c r="F231" i="13"/>
  <c r="F232" i="13"/>
  <c r="F233" i="13"/>
  <c r="F234" i="13"/>
  <c r="F235" i="13"/>
  <c r="F236" i="13"/>
  <c r="F237" i="13"/>
  <c r="F238" i="13"/>
  <c r="F239" i="13"/>
  <c r="F240" i="13"/>
  <c r="F241" i="13"/>
  <c r="F242" i="13"/>
  <c r="F243" i="13"/>
  <c r="F244" i="13"/>
  <c r="F245" i="13"/>
  <c r="F246" i="13"/>
  <c r="F247" i="13"/>
  <c r="F248" i="13"/>
  <c r="F249" i="13"/>
  <c r="F250" i="13"/>
  <c r="F251" i="13"/>
  <c r="F252" i="13"/>
  <c r="F253" i="13"/>
  <c r="F254" i="13"/>
  <c r="F255" i="13"/>
  <c r="F256" i="13"/>
  <c r="F257" i="13"/>
  <c r="F258" i="13"/>
  <c r="F259" i="13"/>
  <c r="F260" i="13"/>
  <c r="F261" i="13"/>
  <c r="F262" i="13"/>
  <c r="F263" i="13"/>
  <c r="F264" i="13"/>
  <c r="F265" i="13"/>
  <c r="F266" i="13"/>
  <c r="F267" i="13"/>
  <c r="F268" i="13"/>
  <c r="F269" i="13"/>
  <c r="F270" i="13"/>
  <c r="F271" i="13"/>
  <c r="F272" i="13"/>
  <c r="F273" i="13"/>
  <c r="F274" i="13"/>
  <c r="F275" i="13"/>
  <c r="F276" i="13"/>
  <c r="F277" i="13"/>
  <c r="F278" i="13"/>
  <c r="F279" i="13"/>
  <c r="F280" i="13"/>
  <c r="F281" i="13"/>
  <c r="F282" i="13"/>
  <c r="F283" i="13"/>
  <c r="F284" i="13"/>
  <c r="F285" i="13"/>
  <c r="F286" i="13"/>
  <c r="F287" i="13"/>
  <c r="F288" i="13"/>
  <c r="F289" i="13"/>
  <c r="F290" i="13"/>
  <c r="F291" i="13"/>
  <c r="F292" i="13"/>
  <c r="F293" i="13"/>
  <c r="F294" i="13"/>
  <c r="F295" i="13"/>
  <c r="F296" i="13"/>
  <c r="F297" i="13"/>
  <c r="F298" i="13"/>
  <c r="F299" i="13"/>
  <c r="F300" i="13"/>
  <c r="F301" i="13"/>
  <c r="F302" i="13"/>
  <c r="F303" i="13"/>
  <c r="F304" i="13"/>
  <c r="F305" i="13"/>
  <c r="F306" i="13"/>
  <c r="F307" i="13"/>
  <c r="F308" i="13"/>
  <c r="F309" i="13"/>
  <c r="F310" i="13"/>
  <c r="F311" i="13"/>
  <c r="F312" i="13"/>
  <c r="F313" i="13"/>
  <c r="F314" i="13"/>
  <c r="F315" i="13"/>
  <c r="F316" i="13"/>
  <c r="F317" i="13"/>
  <c r="F318" i="13"/>
  <c r="F319" i="13"/>
  <c r="F320" i="13"/>
  <c r="F321" i="13"/>
  <c r="F322" i="13"/>
  <c r="F323" i="13"/>
  <c r="F324" i="13"/>
  <c r="F325" i="13"/>
  <c r="F326" i="13"/>
  <c r="F327" i="13"/>
  <c r="F328" i="13"/>
  <c r="F329" i="13"/>
  <c r="F330" i="13"/>
  <c r="F331" i="13"/>
  <c r="F332" i="13"/>
  <c r="F333" i="13"/>
  <c r="F334" i="13"/>
  <c r="F335" i="13"/>
  <c r="F336" i="13"/>
  <c r="F337" i="13"/>
  <c r="F338" i="13"/>
  <c r="F339" i="13"/>
  <c r="F340" i="13"/>
  <c r="F341" i="13"/>
  <c r="F342" i="13"/>
  <c r="F343" i="13"/>
  <c r="F344" i="13"/>
  <c r="F345" i="13"/>
  <c r="F346" i="13"/>
  <c r="F347" i="13"/>
  <c r="F348" i="13"/>
  <c r="F349" i="13"/>
  <c r="F350" i="13"/>
  <c r="F351" i="13"/>
  <c r="F352" i="13"/>
  <c r="F353" i="13"/>
  <c r="F354" i="13"/>
  <c r="F355" i="13"/>
  <c r="F356" i="13"/>
  <c r="F357" i="13"/>
  <c r="F358" i="13"/>
  <c r="F359" i="13"/>
  <c r="F360" i="13"/>
  <c r="F361" i="13"/>
  <c r="F362" i="13"/>
  <c r="F363" i="13"/>
  <c r="F364" i="13"/>
  <c r="F365" i="13"/>
  <c r="F366" i="13"/>
  <c r="F367" i="13"/>
  <c r="F368" i="13"/>
  <c r="F369" i="13"/>
  <c r="F370" i="13"/>
  <c r="F371" i="13"/>
  <c r="F372" i="13"/>
  <c r="F373" i="13"/>
  <c r="F374" i="13"/>
  <c r="F375" i="13"/>
  <c r="F376" i="13"/>
  <c r="F377" i="13"/>
  <c r="F378" i="13"/>
  <c r="F379" i="13"/>
  <c r="F380" i="13"/>
  <c r="F381" i="13"/>
  <c r="F382" i="13"/>
  <c r="F383" i="13"/>
  <c r="F384" i="13"/>
  <c r="F385" i="13"/>
  <c r="F386" i="13"/>
  <c r="F387" i="13"/>
  <c r="F388" i="13"/>
  <c r="F389" i="13"/>
  <c r="F390" i="13"/>
  <c r="F391" i="13"/>
  <c r="F392" i="13"/>
  <c r="F393" i="13"/>
  <c r="F394" i="13"/>
  <c r="F395" i="13"/>
  <c r="F396" i="13"/>
  <c r="F397" i="13"/>
  <c r="F398" i="13"/>
  <c r="F399" i="13"/>
  <c r="F400" i="13"/>
  <c r="F401" i="13"/>
  <c r="F402" i="13"/>
  <c r="F403" i="13"/>
  <c r="F404" i="13"/>
  <c r="F405" i="13"/>
  <c r="F406" i="13"/>
  <c r="F407" i="13"/>
  <c r="F408" i="13"/>
  <c r="F409" i="13"/>
  <c r="F410" i="13"/>
  <c r="F411" i="13"/>
  <c r="F412" i="13"/>
  <c r="F413" i="13"/>
  <c r="F414" i="13"/>
  <c r="F415" i="13"/>
  <c r="F416" i="13"/>
  <c r="F417" i="13"/>
  <c r="F418" i="13"/>
  <c r="F419" i="13"/>
  <c r="F420" i="13"/>
  <c r="F421" i="13"/>
  <c r="F422" i="13"/>
  <c r="F423" i="13"/>
  <c r="F424" i="13"/>
  <c r="F425" i="13"/>
  <c r="F426" i="13"/>
  <c r="F427" i="13"/>
  <c r="F428" i="13"/>
  <c r="F429" i="13"/>
  <c r="F430" i="13"/>
  <c r="F431" i="13"/>
  <c r="F432" i="13"/>
  <c r="F433" i="13"/>
  <c r="F434" i="13"/>
  <c r="F435" i="13"/>
  <c r="F436" i="13"/>
  <c r="F437" i="13"/>
  <c r="F438" i="13"/>
  <c r="F439" i="13"/>
  <c r="F440" i="13"/>
  <c r="F441" i="13"/>
  <c r="F442" i="13"/>
  <c r="F443" i="13"/>
  <c r="F444" i="13"/>
  <c r="F445" i="13"/>
  <c r="F446" i="13"/>
  <c r="F447" i="13"/>
  <c r="F448" i="13"/>
  <c r="F449" i="13"/>
  <c r="F450" i="13"/>
  <c r="F451" i="13"/>
  <c r="F452" i="13"/>
  <c r="F453" i="13"/>
  <c r="F454" i="13"/>
  <c r="F455" i="13"/>
  <c r="F456" i="13"/>
  <c r="F457" i="13"/>
  <c r="F458" i="13"/>
  <c r="F459" i="13"/>
  <c r="F460" i="13"/>
  <c r="F461" i="13"/>
  <c r="F462" i="13"/>
  <c r="F463" i="13"/>
  <c r="F464" i="13"/>
  <c r="F465" i="13"/>
  <c r="F466" i="13"/>
  <c r="F467" i="13"/>
  <c r="F468" i="13"/>
  <c r="F469" i="13"/>
  <c r="F470" i="13"/>
  <c r="F471" i="13"/>
  <c r="F472" i="13"/>
  <c r="F473" i="13"/>
  <c r="F474" i="13"/>
  <c r="F475" i="13"/>
  <c r="F476" i="13"/>
  <c r="F477" i="13"/>
  <c r="F478" i="13"/>
  <c r="F479" i="13"/>
  <c r="F480" i="13"/>
  <c r="F481" i="13"/>
  <c r="F482" i="13"/>
  <c r="F483" i="13"/>
  <c r="F484" i="13"/>
  <c r="F485" i="13"/>
  <c r="F486" i="13"/>
  <c r="F487" i="13"/>
  <c r="F488" i="13"/>
  <c r="F489" i="13"/>
  <c r="F490" i="13"/>
  <c r="F491" i="13"/>
  <c r="F492" i="13"/>
  <c r="F493" i="13"/>
  <c r="F494" i="13"/>
  <c r="F495" i="13"/>
  <c r="F496" i="13"/>
  <c r="F497" i="13"/>
  <c r="F498" i="13"/>
  <c r="F499" i="13"/>
  <c r="F500" i="13"/>
  <c r="F501" i="13"/>
  <c r="F502" i="13"/>
  <c r="F503" i="13"/>
  <c r="F504" i="13"/>
  <c r="F505" i="13"/>
  <c r="F506" i="13"/>
  <c r="F507" i="13"/>
  <c r="F508" i="13"/>
  <c r="F509" i="13"/>
  <c r="F510" i="13"/>
  <c r="F511" i="13"/>
  <c r="F512" i="13"/>
  <c r="F513" i="13"/>
  <c r="F514" i="13"/>
  <c r="F515" i="13"/>
  <c r="F516" i="13"/>
  <c r="F517" i="13"/>
  <c r="F518" i="13"/>
  <c r="F519" i="13"/>
  <c r="F520" i="13"/>
  <c r="F521" i="13"/>
  <c r="F522" i="13"/>
  <c r="F523" i="13"/>
  <c r="F524" i="13"/>
  <c r="F525" i="13"/>
  <c r="F526" i="13"/>
  <c r="F527" i="13"/>
  <c r="F528" i="13"/>
  <c r="F529" i="13"/>
  <c r="F530" i="13"/>
  <c r="F531" i="13"/>
  <c r="F532" i="13"/>
  <c r="F533" i="13"/>
  <c r="F534" i="13"/>
  <c r="F535" i="13"/>
  <c r="F536" i="13"/>
  <c r="F537" i="13"/>
  <c r="F538" i="13"/>
  <c r="F539" i="13"/>
  <c r="F540" i="13"/>
  <c r="F541" i="13"/>
  <c r="F542" i="13"/>
  <c r="F543" i="13"/>
  <c r="F544" i="13"/>
  <c r="F545" i="13"/>
  <c r="F546" i="13"/>
  <c r="F547" i="13"/>
  <c r="F548" i="13"/>
  <c r="F549" i="13"/>
  <c r="F550" i="13"/>
  <c r="F551" i="13"/>
  <c r="F552" i="13"/>
  <c r="F553" i="13"/>
  <c r="F554" i="13"/>
  <c r="F555" i="13"/>
  <c r="F556" i="13"/>
  <c r="F557" i="13"/>
  <c r="F558" i="13"/>
  <c r="F559" i="13"/>
  <c r="F560" i="13"/>
  <c r="F561" i="13"/>
  <c r="F562" i="13"/>
  <c r="F563" i="13"/>
  <c r="F564" i="13"/>
  <c r="F565" i="13"/>
  <c r="F566" i="13"/>
  <c r="F567" i="13"/>
  <c r="F568" i="13"/>
  <c r="F569" i="13"/>
  <c r="F570" i="13"/>
  <c r="F571" i="13"/>
  <c r="F572" i="13"/>
  <c r="F573" i="13"/>
  <c r="F574" i="13"/>
  <c r="F575" i="13"/>
  <c r="F576" i="13"/>
  <c r="F577" i="13"/>
  <c r="F578" i="13"/>
  <c r="F579" i="13"/>
  <c r="F580" i="13"/>
  <c r="F581" i="13"/>
  <c r="F582" i="13"/>
  <c r="F583" i="13"/>
  <c r="F584" i="13"/>
  <c r="F585" i="13"/>
  <c r="F586" i="13"/>
  <c r="F587" i="13"/>
  <c r="F588" i="13"/>
  <c r="F589" i="13"/>
  <c r="F590" i="13"/>
  <c r="F591" i="13"/>
  <c r="F592" i="13"/>
  <c r="F593" i="13"/>
  <c r="F594" i="13"/>
  <c r="F595" i="13"/>
  <c r="F596" i="13"/>
  <c r="F597" i="13"/>
  <c r="F598" i="13"/>
  <c r="F599" i="13"/>
  <c r="F600" i="13"/>
  <c r="F601" i="13"/>
  <c r="F602" i="13"/>
  <c r="F603" i="13"/>
  <c r="F604" i="13"/>
  <c r="F605" i="13"/>
  <c r="F606" i="13"/>
  <c r="F607" i="13"/>
  <c r="F608" i="13"/>
  <c r="F609" i="13"/>
  <c r="F610" i="13"/>
  <c r="F611" i="13"/>
  <c r="F612" i="13"/>
  <c r="F613" i="13"/>
  <c r="F614" i="13"/>
  <c r="F615" i="13"/>
  <c r="F616" i="13"/>
  <c r="F617" i="13"/>
  <c r="F618" i="13"/>
  <c r="F619" i="13"/>
  <c r="F620" i="13"/>
  <c r="F621" i="13"/>
  <c r="F622" i="13"/>
  <c r="F623" i="13"/>
  <c r="F624" i="13"/>
  <c r="F625" i="13"/>
  <c r="F626" i="13"/>
  <c r="F627" i="13"/>
  <c r="F628" i="13"/>
  <c r="F629" i="13"/>
  <c r="F630" i="13"/>
  <c r="F631" i="13"/>
  <c r="F632" i="13"/>
  <c r="F633" i="13"/>
  <c r="F634" i="13"/>
  <c r="F635" i="13"/>
  <c r="F636" i="13"/>
  <c r="F637" i="13"/>
  <c r="F638" i="13"/>
  <c r="F639" i="13"/>
  <c r="F640" i="13"/>
  <c r="F641" i="13"/>
  <c r="F642" i="13"/>
  <c r="F643" i="13"/>
  <c r="F644" i="13"/>
  <c r="F645" i="13"/>
  <c r="F646" i="13"/>
  <c r="F647" i="13"/>
  <c r="F648" i="13"/>
  <c r="F649" i="13"/>
  <c r="F650" i="13"/>
  <c r="F651" i="13"/>
  <c r="F652" i="13"/>
  <c r="F653" i="13"/>
  <c r="F654" i="13"/>
  <c r="F655" i="13"/>
  <c r="F656" i="13"/>
  <c r="F657" i="13"/>
  <c r="F658" i="13"/>
  <c r="F659" i="13"/>
  <c r="F660" i="13"/>
  <c r="F661" i="13"/>
  <c r="F662" i="13"/>
  <c r="F663" i="13"/>
  <c r="F664" i="13"/>
  <c r="F665" i="13"/>
  <c r="F666" i="13"/>
  <c r="F667" i="13"/>
  <c r="F668" i="13"/>
  <c r="F669" i="13"/>
  <c r="F670" i="13"/>
  <c r="F671" i="13"/>
  <c r="F672" i="13"/>
  <c r="F673" i="13"/>
  <c r="F674" i="13"/>
  <c r="F675" i="13"/>
  <c r="F676" i="13"/>
  <c r="F677" i="13"/>
  <c r="F678" i="13"/>
  <c r="F679" i="13"/>
  <c r="F680" i="13"/>
  <c r="F681" i="13"/>
  <c r="F682" i="13"/>
  <c r="F683" i="13"/>
  <c r="F684" i="13"/>
  <c r="F685" i="13"/>
  <c r="F686" i="13"/>
  <c r="F687" i="13"/>
  <c r="F688" i="13"/>
  <c r="F689" i="13"/>
  <c r="F690" i="13"/>
  <c r="F691" i="13"/>
  <c r="F692" i="13"/>
  <c r="F693" i="13"/>
  <c r="F694" i="13"/>
  <c r="F695" i="13"/>
  <c r="F696" i="13"/>
  <c r="F697" i="13"/>
  <c r="F698" i="13"/>
  <c r="F699" i="13"/>
  <c r="F700" i="13"/>
  <c r="D1" i="13"/>
  <c r="D2" i="13"/>
  <c r="D3" i="13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5" i="13"/>
  <c r="D56" i="13"/>
  <c r="D57" i="13"/>
  <c r="D58" i="13"/>
  <c r="D59" i="13"/>
  <c r="D60" i="13"/>
  <c r="D61" i="13"/>
  <c r="D62" i="13"/>
  <c r="D63" i="13"/>
  <c r="D64" i="13"/>
  <c r="D65" i="13"/>
  <c r="D66" i="13"/>
  <c r="D67" i="13"/>
  <c r="D68" i="13"/>
  <c r="D69" i="13"/>
  <c r="D70" i="13"/>
  <c r="D71" i="13"/>
  <c r="D72" i="13"/>
  <c r="D73" i="13"/>
  <c r="D74" i="13"/>
  <c r="D75" i="13"/>
  <c r="D76" i="13"/>
  <c r="D77" i="13"/>
  <c r="D78" i="13"/>
  <c r="D79" i="13"/>
  <c r="D80" i="13"/>
  <c r="D81" i="13"/>
  <c r="D82" i="13"/>
  <c r="D83" i="13"/>
  <c r="D84" i="13"/>
  <c r="D85" i="13"/>
  <c r="D86" i="13"/>
  <c r="D87" i="13"/>
  <c r="D88" i="13"/>
  <c r="D89" i="13"/>
  <c r="D90" i="13"/>
  <c r="D91" i="13"/>
  <c r="D92" i="13"/>
  <c r="D93" i="13"/>
  <c r="D94" i="13"/>
  <c r="D95" i="13"/>
  <c r="D96" i="13"/>
  <c r="D97" i="13"/>
  <c r="D98" i="13"/>
  <c r="D99" i="13"/>
  <c r="D100" i="13"/>
  <c r="D101" i="13"/>
  <c r="D102" i="13"/>
  <c r="D103" i="13"/>
  <c r="D104" i="13"/>
  <c r="D105" i="13"/>
  <c r="D106" i="13"/>
  <c r="D107" i="13"/>
  <c r="D108" i="13"/>
  <c r="D109" i="13"/>
  <c r="D110" i="13"/>
  <c r="D111" i="13"/>
  <c r="D112" i="13"/>
  <c r="D113" i="13"/>
  <c r="D114" i="13"/>
  <c r="D115" i="13"/>
  <c r="D116" i="13"/>
  <c r="D117" i="13"/>
  <c r="D118" i="13"/>
  <c r="D119" i="13"/>
  <c r="D120" i="13"/>
  <c r="D121" i="13"/>
  <c r="D122" i="13"/>
  <c r="D123" i="13"/>
  <c r="D124" i="13"/>
  <c r="D125" i="13"/>
  <c r="D126" i="13"/>
  <c r="D127" i="13"/>
  <c r="D128" i="13"/>
  <c r="D129" i="13"/>
  <c r="D130" i="13"/>
  <c r="D131" i="13"/>
  <c r="D132" i="13"/>
  <c r="D133" i="13"/>
  <c r="D134" i="13"/>
  <c r="D135" i="13"/>
  <c r="D136" i="13"/>
  <c r="D137" i="13"/>
  <c r="D138" i="13"/>
  <c r="D139" i="13"/>
  <c r="D140" i="13"/>
  <c r="D141" i="13"/>
  <c r="D142" i="13"/>
  <c r="D143" i="13"/>
  <c r="D144" i="13"/>
  <c r="D145" i="13"/>
  <c r="D146" i="13"/>
  <c r="D147" i="13"/>
  <c r="D148" i="13"/>
  <c r="D149" i="13"/>
  <c r="D150" i="13"/>
  <c r="D151" i="13"/>
  <c r="D152" i="13"/>
  <c r="D153" i="13"/>
  <c r="D154" i="13"/>
  <c r="D155" i="13"/>
  <c r="D156" i="13"/>
  <c r="D157" i="13"/>
  <c r="D158" i="13"/>
  <c r="D159" i="13"/>
  <c r="D160" i="13"/>
  <c r="D161" i="13"/>
  <c r="D162" i="13"/>
  <c r="D163" i="13"/>
  <c r="D164" i="13"/>
  <c r="D165" i="13"/>
  <c r="D166" i="13"/>
  <c r="D167" i="13"/>
  <c r="D168" i="13"/>
  <c r="D169" i="13"/>
  <c r="D170" i="13"/>
  <c r="D171" i="13"/>
  <c r="D172" i="13"/>
  <c r="D173" i="13"/>
  <c r="D174" i="13"/>
  <c r="D175" i="13"/>
  <c r="D176" i="13"/>
  <c r="D177" i="13"/>
  <c r="D178" i="13"/>
  <c r="D179" i="13"/>
  <c r="D180" i="13"/>
  <c r="D181" i="13"/>
  <c r="D182" i="13"/>
  <c r="D183" i="13"/>
  <c r="D184" i="13"/>
  <c r="D185" i="13"/>
  <c r="D186" i="13"/>
  <c r="D187" i="13"/>
  <c r="D188" i="13"/>
  <c r="D189" i="13"/>
  <c r="D190" i="13"/>
  <c r="D191" i="13"/>
  <c r="D192" i="13"/>
  <c r="D193" i="13"/>
  <c r="D194" i="13"/>
  <c r="D195" i="13"/>
  <c r="D196" i="13"/>
  <c r="D197" i="13"/>
  <c r="D198" i="13"/>
  <c r="D199" i="13"/>
  <c r="D200" i="13"/>
  <c r="D201" i="13"/>
  <c r="D202" i="13"/>
  <c r="D203" i="13"/>
  <c r="D204" i="13"/>
  <c r="D205" i="13"/>
  <c r="D206" i="13"/>
  <c r="D207" i="13"/>
  <c r="D208" i="13"/>
  <c r="D209" i="13"/>
  <c r="D210" i="13"/>
  <c r="D211" i="13"/>
  <c r="D212" i="13"/>
  <c r="D213" i="13"/>
  <c r="D214" i="13"/>
  <c r="D215" i="13"/>
  <c r="D216" i="13"/>
  <c r="D217" i="13"/>
  <c r="D218" i="13"/>
  <c r="D219" i="13"/>
  <c r="D220" i="13"/>
  <c r="D221" i="13"/>
  <c r="D222" i="13"/>
  <c r="D223" i="13"/>
  <c r="D224" i="13"/>
  <c r="D225" i="13"/>
  <c r="D226" i="13"/>
  <c r="D227" i="13"/>
  <c r="D228" i="13"/>
  <c r="D229" i="13"/>
  <c r="D230" i="13"/>
  <c r="D231" i="13"/>
  <c r="D232" i="13"/>
  <c r="D233" i="13"/>
  <c r="D234" i="13"/>
  <c r="D235" i="13"/>
  <c r="D236" i="13"/>
  <c r="D237" i="13"/>
  <c r="D238" i="13"/>
  <c r="D239" i="13"/>
  <c r="D240" i="13"/>
  <c r="D241" i="13"/>
  <c r="D242" i="13"/>
  <c r="D243" i="13"/>
  <c r="D244" i="13"/>
  <c r="D245" i="13"/>
  <c r="D246" i="13"/>
  <c r="D247" i="13"/>
  <c r="D248" i="13"/>
  <c r="D249" i="13"/>
  <c r="D250" i="13"/>
  <c r="D251" i="13"/>
  <c r="D252" i="13"/>
  <c r="D253" i="13"/>
  <c r="D254" i="13"/>
  <c r="D255" i="13"/>
  <c r="D256" i="13"/>
  <c r="D257" i="13"/>
  <c r="D258" i="13"/>
  <c r="D259" i="13"/>
  <c r="D260" i="13"/>
  <c r="D261" i="13"/>
  <c r="D262" i="13"/>
  <c r="D263" i="13"/>
  <c r="D264" i="13"/>
  <c r="D265" i="13"/>
  <c r="D266" i="13"/>
  <c r="D267" i="13"/>
  <c r="D268" i="13"/>
  <c r="D269" i="13"/>
  <c r="D270" i="13"/>
  <c r="D271" i="13"/>
  <c r="D272" i="13"/>
  <c r="D273" i="13"/>
  <c r="D274" i="13"/>
  <c r="D275" i="13"/>
  <c r="D276" i="13"/>
  <c r="D277" i="13"/>
  <c r="D278" i="13"/>
  <c r="D279" i="13"/>
  <c r="D280" i="13"/>
  <c r="D281" i="13"/>
  <c r="D282" i="13"/>
  <c r="D283" i="13"/>
  <c r="D284" i="13"/>
  <c r="D285" i="13"/>
  <c r="D286" i="13"/>
  <c r="D287" i="13"/>
  <c r="D288" i="13"/>
  <c r="D289" i="13"/>
  <c r="D290" i="13"/>
  <c r="D291" i="13"/>
  <c r="D292" i="13"/>
  <c r="D293" i="13"/>
  <c r="D294" i="13"/>
  <c r="D295" i="13"/>
  <c r="D296" i="13"/>
  <c r="D297" i="13"/>
  <c r="D298" i="13"/>
  <c r="D299" i="13"/>
  <c r="D300" i="13"/>
  <c r="D301" i="13"/>
  <c r="D302" i="13"/>
  <c r="D303" i="13"/>
  <c r="D304" i="13"/>
  <c r="D305" i="13"/>
  <c r="D306" i="13"/>
  <c r="D307" i="13"/>
  <c r="D308" i="13"/>
  <c r="D309" i="13"/>
  <c r="D310" i="13"/>
  <c r="D311" i="13"/>
  <c r="D312" i="13"/>
  <c r="D313" i="13"/>
  <c r="D314" i="13"/>
  <c r="D315" i="13"/>
  <c r="D316" i="13"/>
  <c r="D317" i="13"/>
  <c r="D318" i="13"/>
  <c r="D319" i="13"/>
  <c r="D320" i="13"/>
  <c r="D321" i="13"/>
  <c r="D322" i="13"/>
  <c r="D323" i="13"/>
  <c r="D324" i="13"/>
  <c r="D325" i="13"/>
  <c r="D326" i="13"/>
  <c r="D327" i="13"/>
  <c r="D328" i="13"/>
  <c r="D329" i="13"/>
  <c r="D330" i="13"/>
  <c r="D331" i="13"/>
  <c r="D332" i="13"/>
  <c r="D333" i="13"/>
  <c r="D334" i="13"/>
  <c r="D335" i="13"/>
  <c r="D336" i="13"/>
  <c r="D337" i="13"/>
  <c r="D338" i="13"/>
  <c r="D339" i="13"/>
  <c r="D340" i="13"/>
  <c r="D341" i="13"/>
  <c r="D342" i="13"/>
  <c r="D343" i="13"/>
  <c r="D344" i="13"/>
  <c r="D345" i="13"/>
  <c r="D346" i="13"/>
  <c r="D347" i="13"/>
  <c r="D348" i="13"/>
  <c r="D349" i="13"/>
  <c r="D350" i="13"/>
  <c r="D351" i="13"/>
  <c r="D352" i="13"/>
  <c r="D353" i="13"/>
  <c r="D354" i="13"/>
  <c r="D355" i="13"/>
  <c r="D356" i="13"/>
  <c r="D357" i="13"/>
  <c r="D358" i="13"/>
  <c r="D359" i="13"/>
  <c r="D360" i="13"/>
  <c r="D361" i="13"/>
  <c r="D362" i="13"/>
  <c r="D363" i="13"/>
  <c r="D364" i="13"/>
  <c r="D365" i="13"/>
  <c r="D366" i="13"/>
  <c r="D367" i="13"/>
  <c r="D368" i="13"/>
  <c r="D369" i="13"/>
  <c r="D370" i="13"/>
  <c r="D371" i="13"/>
  <c r="D372" i="13"/>
  <c r="D373" i="13"/>
  <c r="D374" i="13"/>
  <c r="D375" i="13"/>
  <c r="D376" i="13"/>
  <c r="D377" i="13"/>
  <c r="D378" i="13"/>
  <c r="D379" i="13"/>
  <c r="D380" i="13"/>
  <c r="D381" i="13"/>
  <c r="D382" i="13"/>
  <c r="D383" i="13"/>
  <c r="D384" i="13"/>
  <c r="D385" i="13"/>
  <c r="D386" i="13"/>
  <c r="D387" i="13"/>
  <c r="D388" i="13"/>
  <c r="D389" i="13"/>
  <c r="D390" i="13"/>
  <c r="D391" i="13"/>
  <c r="D392" i="13"/>
  <c r="D393" i="13"/>
  <c r="D394" i="13"/>
  <c r="D395" i="13"/>
  <c r="D396" i="13"/>
  <c r="D397" i="13"/>
  <c r="D398" i="13"/>
  <c r="D399" i="13"/>
  <c r="D400" i="13"/>
  <c r="D401" i="13"/>
  <c r="D402" i="13"/>
  <c r="D403" i="13"/>
  <c r="D404" i="13"/>
  <c r="D405" i="13"/>
  <c r="D406" i="13"/>
  <c r="D407" i="13"/>
  <c r="D408" i="13"/>
  <c r="D409" i="13"/>
  <c r="D410" i="13"/>
  <c r="D411" i="13"/>
  <c r="D412" i="13"/>
  <c r="D413" i="13"/>
  <c r="D414" i="13"/>
  <c r="D415" i="13"/>
  <c r="D416" i="13"/>
  <c r="D417" i="13"/>
  <c r="D418" i="13"/>
  <c r="D419" i="13"/>
  <c r="D420" i="13"/>
  <c r="D421" i="13"/>
  <c r="D422" i="13"/>
  <c r="D423" i="13"/>
  <c r="D424" i="13"/>
  <c r="D425" i="13"/>
  <c r="D426" i="13"/>
  <c r="D427" i="13"/>
  <c r="D428" i="13"/>
  <c r="D429" i="13"/>
  <c r="D430" i="13"/>
  <c r="D431" i="13"/>
  <c r="D432" i="13"/>
  <c r="D433" i="13"/>
  <c r="D434" i="13"/>
  <c r="D435" i="13"/>
  <c r="D436" i="13"/>
  <c r="D437" i="13"/>
  <c r="D438" i="13"/>
  <c r="D439" i="13"/>
  <c r="D440" i="13"/>
  <c r="D441" i="13"/>
  <c r="D442" i="13"/>
  <c r="D443" i="13"/>
  <c r="D444" i="13"/>
  <c r="D445" i="13"/>
  <c r="D446" i="13"/>
  <c r="D447" i="13"/>
  <c r="D448" i="13"/>
  <c r="D449" i="13"/>
  <c r="D450" i="13"/>
  <c r="D451" i="13"/>
  <c r="D452" i="13"/>
  <c r="D453" i="13"/>
  <c r="D454" i="13"/>
  <c r="D455" i="13"/>
  <c r="D456" i="13"/>
  <c r="D457" i="13"/>
  <c r="D458" i="13"/>
  <c r="D459" i="13"/>
  <c r="D460" i="13"/>
  <c r="D461" i="13"/>
  <c r="D462" i="13"/>
  <c r="D463" i="13"/>
  <c r="D464" i="13"/>
  <c r="D465" i="13"/>
  <c r="D466" i="13"/>
  <c r="D467" i="13"/>
  <c r="D468" i="13"/>
  <c r="D469" i="13"/>
  <c r="D470" i="13"/>
  <c r="D471" i="13"/>
  <c r="D472" i="13"/>
  <c r="D473" i="13"/>
  <c r="D474" i="13"/>
  <c r="D475" i="13"/>
  <c r="D476" i="13"/>
  <c r="D477" i="13"/>
  <c r="D478" i="13"/>
  <c r="D479" i="13"/>
  <c r="D480" i="13"/>
  <c r="D481" i="13"/>
  <c r="D482" i="13"/>
  <c r="D483" i="13"/>
  <c r="D484" i="13"/>
  <c r="D485" i="13"/>
  <c r="D486" i="13"/>
  <c r="D487" i="13"/>
  <c r="D488" i="13"/>
  <c r="D489" i="13"/>
  <c r="D490" i="13"/>
  <c r="D491" i="13"/>
  <c r="D492" i="13"/>
  <c r="D493" i="13"/>
  <c r="D494" i="13"/>
  <c r="D495" i="13"/>
  <c r="D496" i="13"/>
  <c r="D497" i="13"/>
  <c r="D498" i="13"/>
  <c r="D499" i="13"/>
  <c r="D500" i="13"/>
  <c r="D501" i="13"/>
  <c r="D502" i="13"/>
  <c r="D503" i="13"/>
  <c r="D504" i="13"/>
  <c r="D505" i="13"/>
  <c r="D506" i="13"/>
  <c r="D507" i="13"/>
  <c r="D508" i="13"/>
  <c r="D509" i="13"/>
  <c r="D510" i="13"/>
  <c r="D511" i="13"/>
  <c r="D512" i="13"/>
  <c r="D513" i="13"/>
  <c r="D514" i="13"/>
  <c r="D515" i="13"/>
  <c r="D516" i="13"/>
  <c r="D517" i="13"/>
  <c r="D518" i="13"/>
  <c r="D519" i="13"/>
  <c r="D520" i="13"/>
  <c r="D521" i="13"/>
  <c r="D522" i="13"/>
  <c r="D523" i="13"/>
  <c r="D524" i="13"/>
  <c r="D525" i="13"/>
  <c r="D526" i="13"/>
  <c r="D527" i="13"/>
  <c r="D528" i="13"/>
  <c r="D529" i="13"/>
  <c r="D530" i="13"/>
  <c r="D531" i="13"/>
  <c r="D532" i="13"/>
  <c r="D533" i="13"/>
  <c r="D534" i="13"/>
  <c r="D535" i="13"/>
  <c r="D536" i="13"/>
  <c r="D537" i="13"/>
  <c r="D538" i="13"/>
  <c r="D539" i="13"/>
  <c r="D540" i="13"/>
  <c r="D541" i="13"/>
  <c r="D542" i="13"/>
  <c r="D543" i="13"/>
  <c r="D544" i="13"/>
  <c r="D545" i="13"/>
  <c r="D546" i="13"/>
  <c r="D547" i="13"/>
  <c r="D548" i="13"/>
  <c r="D549" i="13"/>
  <c r="D550" i="13"/>
  <c r="D551" i="13"/>
  <c r="D552" i="13"/>
  <c r="D553" i="13"/>
  <c r="D554" i="13"/>
  <c r="D555" i="13"/>
  <c r="D556" i="13"/>
  <c r="D557" i="13"/>
  <c r="D558" i="13"/>
  <c r="D559" i="13"/>
  <c r="D560" i="13"/>
  <c r="D561" i="13"/>
  <c r="D562" i="13"/>
  <c r="D563" i="13"/>
  <c r="D564" i="13"/>
  <c r="D565" i="13"/>
  <c r="D566" i="13"/>
  <c r="D567" i="13"/>
  <c r="D568" i="13"/>
  <c r="D569" i="13"/>
  <c r="D570" i="13"/>
  <c r="D571" i="13"/>
  <c r="D572" i="13"/>
  <c r="D573" i="13"/>
  <c r="D574" i="13"/>
  <c r="D575" i="13"/>
  <c r="D576" i="13"/>
  <c r="D577" i="13"/>
  <c r="D578" i="13"/>
  <c r="D579" i="13"/>
  <c r="D580" i="13"/>
  <c r="D581" i="13"/>
  <c r="D582" i="13"/>
  <c r="D583" i="13"/>
  <c r="D584" i="13"/>
  <c r="D585" i="13"/>
  <c r="D586" i="13"/>
  <c r="D587" i="13"/>
  <c r="D588" i="13"/>
  <c r="D589" i="13"/>
  <c r="D590" i="13"/>
  <c r="D591" i="13"/>
  <c r="D592" i="13"/>
  <c r="D593" i="13"/>
  <c r="D594" i="13"/>
  <c r="D595" i="13"/>
  <c r="D596" i="13"/>
  <c r="D597" i="13"/>
  <c r="D598" i="13"/>
  <c r="D599" i="13"/>
  <c r="D600" i="13"/>
  <c r="D601" i="13"/>
  <c r="D602" i="13"/>
  <c r="D603" i="13"/>
  <c r="D604" i="13"/>
  <c r="D605" i="13"/>
  <c r="D606" i="13"/>
  <c r="D607" i="13"/>
  <c r="D608" i="13"/>
  <c r="D609" i="13"/>
  <c r="D610" i="13"/>
  <c r="D611" i="13"/>
  <c r="D612" i="13"/>
  <c r="D613" i="13"/>
  <c r="D614" i="13"/>
  <c r="D615" i="13"/>
  <c r="D616" i="13"/>
  <c r="D617" i="13"/>
  <c r="D618" i="13"/>
  <c r="D619" i="13"/>
  <c r="D620" i="13"/>
  <c r="D621" i="13"/>
  <c r="D622" i="13"/>
  <c r="D623" i="13"/>
  <c r="D624" i="13"/>
  <c r="D625" i="13"/>
  <c r="D626" i="13"/>
  <c r="D627" i="13"/>
  <c r="D628" i="13"/>
  <c r="D629" i="13"/>
  <c r="D630" i="13"/>
  <c r="D631" i="13"/>
  <c r="D632" i="13"/>
  <c r="D633" i="13"/>
  <c r="D634" i="13"/>
  <c r="D635" i="13"/>
  <c r="D636" i="13"/>
  <c r="D637" i="13"/>
  <c r="D638" i="13"/>
  <c r="D639" i="13"/>
  <c r="D640" i="13"/>
  <c r="D641" i="13"/>
  <c r="D642" i="13"/>
  <c r="D643" i="13"/>
  <c r="D644" i="13"/>
  <c r="D645" i="13"/>
  <c r="D646" i="13"/>
  <c r="D647" i="13"/>
  <c r="D648" i="13"/>
  <c r="D649" i="13"/>
  <c r="D650" i="13"/>
  <c r="D651" i="13"/>
  <c r="D652" i="13"/>
  <c r="D653" i="13"/>
  <c r="D654" i="13"/>
  <c r="D655" i="13"/>
  <c r="D656" i="13"/>
  <c r="D657" i="13"/>
  <c r="D658" i="13"/>
  <c r="D659" i="13"/>
  <c r="D660" i="13"/>
  <c r="D661" i="13"/>
  <c r="D662" i="13"/>
  <c r="D663" i="13"/>
  <c r="D664" i="13"/>
  <c r="D665" i="13"/>
  <c r="D666" i="13"/>
  <c r="D667" i="13"/>
  <c r="D668" i="13"/>
  <c r="D669" i="13"/>
  <c r="D670" i="13"/>
  <c r="D671" i="13"/>
  <c r="D672" i="13"/>
  <c r="D673" i="13"/>
  <c r="D674" i="13"/>
  <c r="D675" i="13"/>
  <c r="D676" i="13"/>
  <c r="D677" i="13"/>
  <c r="D678" i="13"/>
  <c r="D679" i="13"/>
  <c r="D680" i="13"/>
  <c r="D681" i="13"/>
  <c r="D682" i="13"/>
  <c r="D683" i="13"/>
  <c r="D684" i="13"/>
  <c r="D685" i="13"/>
  <c r="D686" i="13"/>
  <c r="D687" i="13"/>
  <c r="D688" i="13"/>
  <c r="D689" i="13"/>
  <c r="D690" i="13"/>
  <c r="D691" i="13"/>
  <c r="D692" i="13"/>
  <c r="D693" i="13"/>
  <c r="D694" i="13"/>
  <c r="D695" i="13"/>
  <c r="D696" i="13"/>
  <c r="D697" i="13"/>
  <c r="D698" i="13"/>
  <c r="D699" i="13"/>
  <c r="D700" i="13"/>
  <c r="C1" i="13"/>
  <c r="C2" i="13"/>
  <c r="C3" i="13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75" i="13"/>
  <c r="C176" i="13"/>
  <c r="C177" i="13"/>
  <c r="C178" i="13"/>
  <c r="C179" i="13"/>
  <c r="C180" i="13"/>
  <c r="C181" i="13"/>
  <c r="C182" i="13"/>
  <c r="C183" i="13"/>
  <c r="C184" i="13"/>
  <c r="C185" i="13"/>
  <c r="C186" i="13"/>
  <c r="C187" i="13"/>
  <c r="C188" i="13"/>
  <c r="C189" i="13"/>
  <c r="C190" i="13"/>
  <c r="C191" i="13"/>
  <c r="C192" i="13"/>
  <c r="C193" i="13"/>
  <c r="C194" i="13"/>
  <c r="C195" i="13"/>
  <c r="C196" i="13"/>
  <c r="C197" i="13"/>
  <c r="C198" i="13"/>
  <c r="C199" i="13"/>
  <c r="C200" i="13"/>
  <c r="C201" i="13"/>
  <c r="C202" i="13"/>
  <c r="C203" i="13"/>
  <c r="C204" i="13"/>
  <c r="C205" i="13"/>
  <c r="C206" i="13"/>
  <c r="C207" i="13"/>
  <c r="C208" i="13"/>
  <c r="C209" i="13"/>
  <c r="C210" i="13"/>
  <c r="C211" i="13"/>
  <c r="C212" i="13"/>
  <c r="C213" i="13"/>
  <c r="C214" i="13"/>
  <c r="C215" i="13"/>
  <c r="C216" i="13"/>
  <c r="C217" i="13"/>
  <c r="C218" i="13"/>
  <c r="C219" i="13"/>
  <c r="C220" i="13"/>
  <c r="C221" i="13"/>
  <c r="C222" i="13"/>
  <c r="C223" i="13"/>
  <c r="C224" i="13"/>
  <c r="C225" i="13"/>
  <c r="C226" i="13"/>
  <c r="C227" i="13"/>
  <c r="C228" i="13"/>
  <c r="C229" i="13"/>
  <c r="C230" i="13"/>
  <c r="C231" i="13"/>
  <c r="C232" i="13"/>
  <c r="C233" i="13"/>
  <c r="C234" i="13"/>
  <c r="C235" i="13"/>
  <c r="C236" i="13"/>
  <c r="C237" i="13"/>
  <c r="C238" i="13"/>
  <c r="C239" i="13"/>
  <c r="C240" i="13"/>
  <c r="C241" i="13"/>
  <c r="C242" i="13"/>
  <c r="C243" i="13"/>
  <c r="C244" i="13"/>
  <c r="C245" i="13"/>
  <c r="C246" i="13"/>
  <c r="C247" i="13"/>
  <c r="C248" i="13"/>
  <c r="C249" i="13"/>
  <c r="C250" i="13"/>
  <c r="C251" i="13"/>
  <c r="C252" i="13"/>
  <c r="C253" i="13"/>
  <c r="C254" i="13"/>
  <c r="C255" i="13"/>
  <c r="C256" i="13"/>
  <c r="C257" i="13"/>
  <c r="C258" i="13"/>
  <c r="C259" i="13"/>
  <c r="C260" i="13"/>
  <c r="C261" i="13"/>
  <c r="C262" i="13"/>
  <c r="C263" i="13"/>
  <c r="C264" i="13"/>
  <c r="C265" i="13"/>
  <c r="C266" i="13"/>
  <c r="C267" i="13"/>
  <c r="C268" i="13"/>
  <c r="C269" i="13"/>
  <c r="C270" i="13"/>
  <c r="C271" i="13"/>
  <c r="C272" i="13"/>
  <c r="C273" i="13"/>
  <c r="C274" i="13"/>
  <c r="C275" i="13"/>
  <c r="C276" i="13"/>
  <c r="C277" i="13"/>
  <c r="C278" i="13"/>
  <c r="C279" i="13"/>
  <c r="C280" i="13"/>
  <c r="C281" i="13"/>
  <c r="C282" i="13"/>
  <c r="C283" i="13"/>
  <c r="C284" i="13"/>
  <c r="C285" i="13"/>
  <c r="C286" i="13"/>
  <c r="C287" i="13"/>
  <c r="C288" i="13"/>
  <c r="C289" i="13"/>
  <c r="C290" i="13"/>
  <c r="C291" i="13"/>
  <c r="C292" i="13"/>
  <c r="C293" i="13"/>
  <c r="C294" i="13"/>
  <c r="C295" i="13"/>
  <c r="C296" i="13"/>
  <c r="C297" i="13"/>
  <c r="C298" i="13"/>
  <c r="C299" i="13"/>
  <c r="C300" i="13"/>
  <c r="C301" i="13"/>
  <c r="C302" i="13"/>
  <c r="C303" i="13"/>
  <c r="C304" i="13"/>
  <c r="C305" i="13"/>
  <c r="C306" i="13"/>
  <c r="C307" i="13"/>
  <c r="C308" i="13"/>
  <c r="C309" i="13"/>
  <c r="C310" i="13"/>
  <c r="C311" i="13"/>
  <c r="C312" i="13"/>
  <c r="C313" i="13"/>
  <c r="C314" i="13"/>
  <c r="C315" i="13"/>
  <c r="C316" i="13"/>
  <c r="C317" i="13"/>
  <c r="C318" i="13"/>
  <c r="C319" i="13"/>
  <c r="C320" i="13"/>
  <c r="C321" i="13"/>
  <c r="C322" i="13"/>
  <c r="C323" i="13"/>
  <c r="C324" i="13"/>
  <c r="C325" i="13"/>
  <c r="C326" i="13"/>
  <c r="C327" i="13"/>
  <c r="C328" i="13"/>
  <c r="C329" i="13"/>
  <c r="C330" i="13"/>
  <c r="C331" i="13"/>
  <c r="C332" i="13"/>
  <c r="C333" i="13"/>
  <c r="C334" i="13"/>
  <c r="C335" i="13"/>
  <c r="C336" i="13"/>
  <c r="C337" i="13"/>
  <c r="C338" i="13"/>
  <c r="C339" i="13"/>
  <c r="C340" i="13"/>
  <c r="C341" i="13"/>
  <c r="C342" i="13"/>
  <c r="C343" i="13"/>
  <c r="C344" i="13"/>
  <c r="C345" i="13"/>
  <c r="C346" i="13"/>
  <c r="C347" i="13"/>
  <c r="C348" i="13"/>
  <c r="C349" i="13"/>
  <c r="C350" i="13"/>
  <c r="C351" i="13"/>
  <c r="C352" i="13"/>
  <c r="C353" i="13"/>
  <c r="C354" i="13"/>
  <c r="C355" i="13"/>
  <c r="C356" i="13"/>
  <c r="C357" i="13"/>
  <c r="C358" i="13"/>
  <c r="C359" i="13"/>
  <c r="C360" i="13"/>
  <c r="C361" i="13"/>
  <c r="C362" i="13"/>
  <c r="C363" i="13"/>
  <c r="C364" i="13"/>
  <c r="C365" i="13"/>
  <c r="C366" i="13"/>
  <c r="C367" i="13"/>
  <c r="C368" i="13"/>
  <c r="C369" i="13"/>
  <c r="C370" i="13"/>
  <c r="C371" i="13"/>
  <c r="C372" i="13"/>
  <c r="C373" i="13"/>
  <c r="C374" i="13"/>
  <c r="C375" i="13"/>
  <c r="C376" i="13"/>
  <c r="C377" i="13"/>
  <c r="C378" i="13"/>
  <c r="C379" i="13"/>
  <c r="C380" i="13"/>
  <c r="C381" i="13"/>
  <c r="C382" i="13"/>
  <c r="C383" i="13"/>
  <c r="C384" i="13"/>
  <c r="C385" i="13"/>
  <c r="C386" i="13"/>
  <c r="C387" i="13"/>
  <c r="C388" i="13"/>
  <c r="C389" i="13"/>
  <c r="C390" i="13"/>
  <c r="C391" i="13"/>
  <c r="C392" i="13"/>
  <c r="C393" i="13"/>
  <c r="C394" i="13"/>
  <c r="C395" i="13"/>
  <c r="C396" i="13"/>
  <c r="C397" i="13"/>
  <c r="C398" i="13"/>
  <c r="C399" i="13"/>
  <c r="C400" i="13"/>
  <c r="C401" i="13"/>
  <c r="C402" i="13"/>
  <c r="C403" i="13"/>
  <c r="C404" i="13"/>
  <c r="C405" i="13"/>
  <c r="C406" i="13"/>
  <c r="C407" i="13"/>
  <c r="C408" i="13"/>
  <c r="C409" i="13"/>
  <c r="C410" i="13"/>
  <c r="C411" i="13"/>
  <c r="C412" i="13"/>
  <c r="C413" i="13"/>
  <c r="C414" i="13"/>
  <c r="C415" i="13"/>
  <c r="C416" i="13"/>
  <c r="C417" i="13"/>
  <c r="C418" i="13"/>
  <c r="C419" i="13"/>
  <c r="C420" i="13"/>
  <c r="C421" i="13"/>
  <c r="C422" i="13"/>
  <c r="C423" i="13"/>
  <c r="C424" i="13"/>
  <c r="C425" i="13"/>
  <c r="C426" i="13"/>
  <c r="C427" i="13"/>
  <c r="C428" i="13"/>
  <c r="C429" i="13"/>
  <c r="C430" i="13"/>
  <c r="C431" i="13"/>
  <c r="C432" i="13"/>
  <c r="C433" i="13"/>
  <c r="C434" i="13"/>
  <c r="C435" i="13"/>
  <c r="C436" i="13"/>
  <c r="C437" i="13"/>
  <c r="C438" i="13"/>
  <c r="C439" i="13"/>
  <c r="C440" i="13"/>
  <c r="C441" i="13"/>
  <c r="C442" i="13"/>
  <c r="C443" i="13"/>
  <c r="C444" i="13"/>
  <c r="C445" i="13"/>
  <c r="C446" i="13"/>
  <c r="C447" i="13"/>
  <c r="C448" i="13"/>
  <c r="C449" i="13"/>
  <c r="C450" i="13"/>
  <c r="C451" i="13"/>
  <c r="C452" i="13"/>
  <c r="C453" i="13"/>
  <c r="C454" i="13"/>
  <c r="C455" i="13"/>
  <c r="C456" i="13"/>
  <c r="C457" i="13"/>
  <c r="C458" i="13"/>
  <c r="C459" i="13"/>
  <c r="C460" i="13"/>
  <c r="C461" i="13"/>
  <c r="C462" i="13"/>
  <c r="C463" i="13"/>
  <c r="C464" i="13"/>
  <c r="C465" i="13"/>
  <c r="C466" i="13"/>
  <c r="C467" i="13"/>
  <c r="C468" i="13"/>
  <c r="C469" i="13"/>
  <c r="C470" i="13"/>
  <c r="C471" i="13"/>
  <c r="C472" i="13"/>
  <c r="C473" i="13"/>
  <c r="C474" i="13"/>
  <c r="C475" i="13"/>
  <c r="C476" i="13"/>
  <c r="C477" i="13"/>
  <c r="C478" i="13"/>
  <c r="C479" i="13"/>
  <c r="C480" i="13"/>
  <c r="C481" i="13"/>
  <c r="C482" i="13"/>
  <c r="C483" i="13"/>
  <c r="C484" i="13"/>
  <c r="C485" i="13"/>
  <c r="C486" i="13"/>
  <c r="C487" i="13"/>
  <c r="C488" i="13"/>
  <c r="C489" i="13"/>
  <c r="C490" i="13"/>
  <c r="C491" i="13"/>
  <c r="C492" i="13"/>
  <c r="C493" i="13"/>
  <c r="C494" i="13"/>
  <c r="C495" i="13"/>
  <c r="C496" i="13"/>
  <c r="C497" i="13"/>
  <c r="C498" i="13"/>
  <c r="C499" i="13"/>
  <c r="C500" i="13"/>
  <c r="C501" i="13"/>
  <c r="C502" i="13"/>
  <c r="C503" i="13"/>
  <c r="C504" i="13"/>
  <c r="C505" i="13"/>
  <c r="C506" i="13"/>
  <c r="C507" i="13"/>
  <c r="C508" i="13"/>
  <c r="C509" i="13"/>
  <c r="C510" i="13"/>
  <c r="C511" i="13"/>
  <c r="C512" i="13"/>
  <c r="C513" i="13"/>
  <c r="C514" i="13"/>
  <c r="C515" i="13"/>
  <c r="C516" i="13"/>
  <c r="C517" i="13"/>
  <c r="C518" i="13"/>
  <c r="C519" i="13"/>
  <c r="C520" i="13"/>
  <c r="C521" i="13"/>
  <c r="C522" i="13"/>
  <c r="C523" i="13"/>
  <c r="C524" i="13"/>
  <c r="C525" i="13"/>
  <c r="C526" i="13"/>
  <c r="C527" i="13"/>
  <c r="C528" i="13"/>
  <c r="C529" i="13"/>
  <c r="C530" i="13"/>
  <c r="C531" i="13"/>
  <c r="C532" i="13"/>
  <c r="C533" i="13"/>
  <c r="C534" i="13"/>
  <c r="C535" i="13"/>
  <c r="C536" i="13"/>
  <c r="C537" i="13"/>
  <c r="C538" i="13"/>
  <c r="C539" i="13"/>
  <c r="C540" i="13"/>
  <c r="C541" i="13"/>
  <c r="C542" i="13"/>
  <c r="C543" i="13"/>
  <c r="C544" i="13"/>
  <c r="C545" i="13"/>
  <c r="C546" i="13"/>
  <c r="C547" i="13"/>
  <c r="C548" i="13"/>
  <c r="C549" i="13"/>
  <c r="C550" i="13"/>
  <c r="C551" i="13"/>
  <c r="C552" i="13"/>
  <c r="C553" i="13"/>
  <c r="C554" i="13"/>
  <c r="C555" i="13"/>
  <c r="C556" i="13"/>
  <c r="C557" i="13"/>
  <c r="C558" i="13"/>
  <c r="C559" i="13"/>
  <c r="C560" i="13"/>
  <c r="C561" i="13"/>
  <c r="C562" i="13"/>
  <c r="C563" i="13"/>
  <c r="C564" i="13"/>
  <c r="C565" i="13"/>
  <c r="C566" i="13"/>
  <c r="C567" i="13"/>
  <c r="C568" i="13"/>
  <c r="C569" i="13"/>
  <c r="C570" i="13"/>
  <c r="C571" i="13"/>
  <c r="C572" i="13"/>
  <c r="C573" i="13"/>
  <c r="C574" i="13"/>
  <c r="C575" i="13"/>
  <c r="C576" i="13"/>
  <c r="C577" i="13"/>
  <c r="C578" i="13"/>
  <c r="C579" i="13"/>
  <c r="C580" i="13"/>
  <c r="C581" i="13"/>
  <c r="C582" i="13"/>
  <c r="C583" i="13"/>
  <c r="C584" i="13"/>
  <c r="C585" i="13"/>
  <c r="C586" i="13"/>
  <c r="C587" i="13"/>
  <c r="C588" i="13"/>
  <c r="C589" i="13"/>
  <c r="C590" i="13"/>
  <c r="C591" i="13"/>
  <c r="C592" i="13"/>
  <c r="C593" i="13"/>
  <c r="C594" i="13"/>
  <c r="C595" i="13"/>
  <c r="C596" i="13"/>
  <c r="C597" i="13"/>
  <c r="C598" i="13"/>
  <c r="C599" i="13"/>
  <c r="C600" i="13"/>
  <c r="C601" i="13"/>
  <c r="C602" i="13"/>
  <c r="C603" i="13"/>
  <c r="C604" i="13"/>
  <c r="C605" i="13"/>
  <c r="C606" i="13"/>
  <c r="C607" i="13"/>
  <c r="C608" i="13"/>
  <c r="C609" i="13"/>
  <c r="C610" i="13"/>
  <c r="C611" i="13"/>
  <c r="C612" i="13"/>
  <c r="C613" i="13"/>
  <c r="C614" i="13"/>
  <c r="C615" i="13"/>
  <c r="C616" i="13"/>
  <c r="C617" i="13"/>
  <c r="C618" i="13"/>
  <c r="C619" i="13"/>
  <c r="C620" i="13"/>
  <c r="C621" i="13"/>
  <c r="C622" i="13"/>
  <c r="C623" i="13"/>
  <c r="C624" i="13"/>
  <c r="C625" i="13"/>
  <c r="C626" i="13"/>
  <c r="C627" i="13"/>
  <c r="C628" i="13"/>
  <c r="C629" i="13"/>
  <c r="C630" i="13"/>
  <c r="C631" i="13"/>
  <c r="C632" i="13"/>
  <c r="C633" i="13"/>
  <c r="C634" i="13"/>
  <c r="C635" i="13"/>
  <c r="C636" i="13"/>
  <c r="C637" i="13"/>
  <c r="C638" i="13"/>
  <c r="C639" i="13"/>
  <c r="C640" i="13"/>
  <c r="C641" i="13"/>
  <c r="C642" i="13"/>
  <c r="C643" i="13"/>
  <c r="C644" i="13"/>
  <c r="C645" i="13"/>
  <c r="C646" i="13"/>
  <c r="C647" i="13"/>
  <c r="C648" i="13"/>
  <c r="C649" i="13"/>
  <c r="C650" i="13"/>
  <c r="C651" i="13"/>
  <c r="C652" i="13"/>
  <c r="C653" i="13"/>
  <c r="C654" i="13"/>
  <c r="C655" i="13"/>
  <c r="C656" i="13"/>
  <c r="C657" i="13"/>
  <c r="C658" i="13"/>
  <c r="C659" i="13"/>
  <c r="C660" i="13"/>
  <c r="C661" i="13"/>
  <c r="C662" i="13"/>
  <c r="C663" i="13"/>
  <c r="C664" i="13"/>
  <c r="C665" i="13"/>
  <c r="C666" i="13"/>
  <c r="C667" i="13"/>
  <c r="C668" i="13"/>
  <c r="C669" i="13"/>
  <c r="C670" i="13"/>
  <c r="C671" i="13"/>
  <c r="C672" i="13"/>
  <c r="C673" i="13"/>
  <c r="C674" i="13"/>
  <c r="C675" i="13"/>
  <c r="C676" i="13"/>
  <c r="C677" i="13"/>
  <c r="C678" i="13"/>
  <c r="C679" i="13"/>
  <c r="C680" i="13"/>
  <c r="C681" i="13"/>
  <c r="C682" i="13"/>
  <c r="C683" i="13"/>
  <c r="C684" i="13"/>
  <c r="C685" i="13"/>
  <c r="C686" i="13"/>
  <c r="C687" i="13"/>
  <c r="C688" i="13"/>
  <c r="C689" i="13"/>
  <c r="C690" i="13"/>
  <c r="C691" i="13"/>
  <c r="C692" i="13"/>
  <c r="C693" i="13"/>
  <c r="C694" i="13"/>
  <c r="C695" i="13"/>
  <c r="C696" i="13"/>
  <c r="C697" i="13"/>
  <c r="C698" i="13"/>
  <c r="C699" i="13"/>
  <c r="C700" i="13"/>
  <c r="B1" i="13"/>
  <c r="B2" i="13"/>
  <c r="B3" i="13"/>
  <c r="B4" i="13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B167" i="13"/>
  <c r="B168" i="13"/>
  <c r="B169" i="13"/>
  <c r="B170" i="13"/>
  <c r="B171" i="13"/>
  <c r="B172" i="13"/>
  <c r="B173" i="13"/>
  <c r="B174" i="13"/>
  <c r="B175" i="13"/>
  <c r="B176" i="13"/>
  <c r="B177" i="13"/>
  <c r="B178" i="13"/>
  <c r="B179" i="13"/>
  <c r="B180" i="13"/>
  <c r="B181" i="13"/>
  <c r="B182" i="13"/>
  <c r="B183" i="13"/>
  <c r="B184" i="13"/>
  <c r="B185" i="13"/>
  <c r="B186" i="13"/>
  <c r="B187" i="13"/>
  <c r="B188" i="13"/>
  <c r="B189" i="13"/>
  <c r="B190" i="13"/>
  <c r="B191" i="13"/>
  <c r="B192" i="13"/>
  <c r="B193" i="13"/>
  <c r="B194" i="13"/>
  <c r="B195" i="13"/>
  <c r="B196" i="13"/>
  <c r="B197" i="13"/>
  <c r="B198" i="13"/>
  <c r="B199" i="13"/>
  <c r="B200" i="13"/>
  <c r="B201" i="13"/>
  <c r="B202" i="13"/>
  <c r="B203" i="13"/>
  <c r="B204" i="13"/>
  <c r="B205" i="13"/>
  <c r="B206" i="13"/>
  <c r="B207" i="13"/>
  <c r="B208" i="13"/>
  <c r="B209" i="13"/>
  <c r="B210" i="13"/>
  <c r="B211" i="13"/>
  <c r="B212" i="13"/>
  <c r="B213" i="13"/>
  <c r="B214" i="13"/>
  <c r="B215" i="13"/>
  <c r="B216" i="13"/>
  <c r="B217" i="13"/>
  <c r="B218" i="13"/>
  <c r="B219" i="13"/>
  <c r="B220" i="13"/>
  <c r="B221" i="13"/>
  <c r="B222" i="13"/>
  <c r="B223" i="13"/>
  <c r="B224" i="13"/>
  <c r="B225" i="13"/>
  <c r="B226" i="13"/>
  <c r="B227" i="13"/>
  <c r="B228" i="13"/>
  <c r="B229" i="13"/>
  <c r="B230" i="13"/>
  <c r="B231" i="13"/>
  <c r="B232" i="13"/>
  <c r="B233" i="13"/>
  <c r="B234" i="13"/>
  <c r="B235" i="13"/>
  <c r="B236" i="13"/>
  <c r="B237" i="13"/>
  <c r="B238" i="13"/>
  <c r="B239" i="13"/>
  <c r="B240" i="13"/>
  <c r="B241" i="13"/>
  <c r="B242" i="13"/>
  <c r="B243" i="13"/>
  <c r="B244" i="13"/>
  <c r="B245" i="13"/>
  <c r="B246" i="13"/>
  <c r="B247" i="13"/>
  <c r="B248" i="13"/>
  <c r="B249" i="13"/>
  <c r="B250" i="13"/>
  <c r="B251" i="13"/>
  <c r="B252" i="13"/>
  <c r="B253" i="13"/>
  <c r="B254" i="13"/>
  <c r="B255" i="13"/>
  <c r="B256" i="13"/>
  <c r="B257" i="13"/>
  <c r="B258" i="13"/>
  <c r="B259" i="13"/>
  <c r="B260" i="13"/>
  <c r="B261" i="13"/>
  <c r="B262" i="13"/>
  <c r="B263" i="13"/>
  <c r="B264" i="13"/>
  <c r="B265" i="13"/>
  <c r="B266" i="13"/>
  <c r="B267" i="13"/>
  <c r="B268" i="13"/>
  <c r="B269" i="13"/>
  <c r="B270" i="13"/>
  <c r="B271" i="13"/>
  <c r="B272" i="13"/>
  <c r="B273" i="13"/>
  <c r="B274" i="13"/>
  <c r="B275" i="13"/>
  <c r="B276" i="13"/>
  <c r="B277" i="13"/>
  <c r="B278" i="13"/>
  <c r="B279" i="13"/>
  <c r="B280" i="13"/>
  <c r="B281" i="13"/>
  <c r="B282" i="13"/>
  <c r="B283" i="13"/>
  <c r="B284" i="13"/>
  <c r="B285" i="13"/>
  <c r="B286" i="13"/>
  <c r="B287" i="13"/>
  <c r="B288" i="13"/>
  <c r="B289" i="13"/>
  <c r="B290" i="13"/>
  <c r="B291" i="13"/>
  <c r="B292" i="13"/>
  <c r="B293" i="13"/>
  <c r="B294" i="13"/>
  <c r="B295" i="13"/>
  <c r="B296" i="13"/>
  <c r="B297" i="13"/>
  <c r="B298" i="13"/>
  <c r="B299" i="13"/>
  <c r="B300" i="13"/>
  <c r="B301" i="13"/>
  <c r="B302" i="13"/>
  <c r="B303" i="13"/>
  <c r="B304" i="13"/>
  <c r="B305" i="13"/>
  <c r="B306" i="13"/>
  <c r="B307" i="13"/>
  <c r="B308" i="13"/>
  <c r="B309" i="13"/>
  <c r="B310" i="13"/>
  <c r="B311" i="13"/>
  <c r="B312" i="13"/>
  <c r="B313" i="13"/>
  <c r="B314" i="13"/>
  <c r="B315" i="13"/>
  <c r="B316" i="13"/>
  <c r="B317" i="13"/>
  <c r="B318" i="13"/>
  <c r="B319" i="13"/>
  <c r="B320" i="13"/>
  <c r="B321" i="13"/>
  <c r="B322" i="13"/>
  <c r="B323" i="13"/>
  <c r="B324" i="13"/>
  <c r="B325" i="13"/>
  <c r="B326" i="13"/>
  <c r="B327" i="13"/>
  <c r="B328" i="13"/>
  <c r="B329" i="13"/>
  <c r="B330" i="13"/>
  <c r="B331" i="13"/>
  <c r="B332" i="13"/>
  <c r="B333" i="13"/>
  <c r="B334" i="13"/>
  <c r="B335" i="13"/>
  <c r="B336" i="13"/>
  <c r="B337" i="13"/>
  <c r="B338" i="13"/>
  <c r="B339" i="13"/>
  <c r="B340" i="13"/>
  <c r="B341" i="13"/>
  <c r="B342" i="13"/>
  <c r="B343" i="13"/>
  <c r="B344" i="13"/>
  <c r="B345" i="13"/>
  <c r="B346" i="13"/>
  <c r="B347" i="13"/>
  <c r="B348" i="13"/>
  <c r="B349" i="13"/>
  <c r="B350" i="13"/>
  <c r="B351" i="13"/>
  <c r="B352" i="13"/>
  <c r="B353" i="13"/>
  <c r="B354" i="13"/>
  <c r="B355" i="13"/>
  <c r="B356" i="13"/>
  <c r="B357" i="13"/>
  <c r="B358" i="13"/>
  <c r="B359" i="13"/>
  <c r="B360" i="13"/>
  <c r="B361" i="13"/>
  <c r="B362" i="13"/>
  <c r="B363" i="13"/>
  <c r="B364" i="13"/>
  <c r="B365" i="13"/>
  <c r="B366" i="13"/>
  <c r="B367" i="13"/>
  <c r="B368" i="13"/>
  <c r="B369" i="13"/>
  <c r="B370" i="13"/>
  <c r="B371" i="13"/>
  <c r="B372" i="13"/>
  <c r="B373" i="13"/>
  <c r="B374" i="13"/>
  <c r="B375" i="13"/>
  <c r="B376" i="13"/>
  <c r="B377" i="13"/>
  <c r="B378" i="13"/>
  <c r="B379" i="13"/>
  <c r="B380" i="13"/>
  <c r="B381" i="13"/>
  <c r="B382" i="13"/>
  <c r="B383" i="13"/>
  <c r="B384" i="13"/>
  <c r="B385" i="13"/>
  <c r="B386" i="13"/>
  <c r="B387" i="13"/>
  <c r="B388" i="13"/>
  <c r="B389" i="13"/>
  <c r="B390" i="13"/>
  <c r="B391" i="13"/>
  <c r="B392" i="13"/>
  <c r="B393" i="13"/>
  <c r="B394" i="13"/>
  <c r="B395" i="13"/>
  <c r="B396" i="13"/>
  <c r="B397" i="13"/>
  <c r="B398" i="13"/>
  <c r="B399" i="13"/>
  <c r="B400" i="13"/>
  <c r="B401" i="13"/>
  <c r="B402" i="13"/>
  <c r="B403" i="13"/>
  <c r="B404" i="13"/>
  <c r="B405" i="13"/>
  <c r="B406" i="13"/>
  <c r="B407" i="13"/>
  <c r="B408" i="13"/>
  <c r="B409" i="13"/>
  <c r="B410" i="13"/>
  <c r="B411" i="13"/>
  <c r="B412" i="13"/>
  <c r="B413" i="13"/>
  <c r="B414" i="13"/>
  <c r="B415" i="13"/>
  <c r="B416" i="13"/>
  <c r="B417" i="13"/>
  <c r="B418" i="13"/>
  <c r="B419" i="13"/>
  <c r="B420" i="13"/>
  <c r="B421" i="13"/>
  <c r="B422" i="13"/>
  <c r="B423" i="13"/>
  <c r="B424" i="13"/>
  <c r="B425" i="13"/>
  <c r="B426" i="13"/>
  <c r="B427" i="13"/>
  <c r="B428" i="13"/>
  <c r="B429" i="13"/>
  <c r="B430" i="13"/>
  <c r="B431" i="13"/>
  <c r="B432" i="13"/>
  <c r="B433" i="13"/>
  <c r="B434" i="13"/>
  <c r="B435" i="13"/>
  <c r="B436" i="13"/>
  <c r="B437" i="13"/>
  <c r="B438" i="13"/>
  <c r="B439" i="13"/>
  <c r="B440" i="13"/>
  <c r="B441" i="13"/>
  <c r="B442" i="13"/>
  <c r="B443" i="13"/>
  <c r="B444" i="13"/>
  <c r="B445" i="13"/>
  <c r="B446" i="13"/>
  <c r="B447" i="13"/>
  <c r="B448" i="13"/>
  <c r="B449" i="13"/>
  <c r="B450" i="13"/>
  <c r="B451" i="13"/>
  <c r="B452" i="13"/>
  <c r="B453" i="13"/>
  <c r="B454" i="13"/>
  <c r="B455" i="13"/>
  <c r="B456" i="13"/>
  <c r="B457" i="13"/>
  <c r="B458" i="13"/>
  <c r="B459" i="13"/>
  <c r="B460" i="13"/>
  <c r="B461" i="13"/>
  <c r="B462" i="13"/>
  <c r="B463" i="13"/>
  <c r="B464" i="13"/>
  <c r="B465" i="13"/>
  <c r="B466" i="13"/>
  <c r="B467" i="13"/>
  <c r="B468" i="13"/>
  <c r="B469" i="13"/>
  <c r="B470" i="13"/>
  <c r="B471" i="13"/>
  <c r="B472" i="13"/>
  <c r="B473" i="13"/>
  <c r="B474" i="13"/>
  <c r="B475" i="13"/>
  <c r="B476" i="13"/>
  <c r="B477" i="13"/>
  <c r="B478" i="13"/>
  <c r="B479" i="13"/>
  <c r="B480" i="13"/>
  <c r="B481" i="13"/>
  <c r="B482" i="13"/>
  <c r="B483" i="13"/>
  <c r="B484" i="13"/>
  <c r="B485" i="13"/>
  <c r="B486" i="13"/>
  <c r="B487" i="13"/>
  <c r="B488" i="13"/>
  <c r="B489" i="13"/>
  <c r="B490" i="13"/>
  <c r="B491" i="13"/>
  <c r="B492" i="13"/>
  <c r="B493" i="13"/>
  <c r="B494" i="13"/>
  <c r="B495" i="13"/>
  <c r="B496" i="13"/>
  <c r="B497" i="13"/>
  <c r="B498" i="13"/>
  <c r="B499" i="13"/>
  <c r="B500" i="13"/>
  <c r="B501" i="13"/>
  <c r="B502" i="13"/>
  <c r="B503" i="13"/>
  <c r="B504" i="13"/>
  <c r="B505" i="13"/>
  <c r="B506" i="13"/>
  <c r="B507" i="13"/>
  <c r="B508" i="13"/>
  <c r="B509" i="13"/>
  <c r="B510" i="13"/>
  <c r="B511" i="13"/>
  <c r="B512" i="13"/>
  <c r="B513" i="13"/>
  <c r="B514" i="13"/>
  <c r="B515" i="13"/>
  <c r="B516" i="13"/>
  <c r="B517" i="13"/>
  <c r="B518" i="13"/>
  <c r="B519" i="13"/>
  <c r="B520" i="13"/>
  <c r="B521" i="13"/>
  <c r="B522" i="13"/>
  <c r="B523" i="13"/>
  <c r="B524" i="13"/>
  <c r="B525" i="13"/>
  <c r="B526" i="13"/>
  <c r="B527" i="13"/>
  <c r="B528" i="13"/>
  <c r="B529" i="13"/>
  <c r="B530" i="13"/>
  <c r="B531" i="13"/>
  <c r="B532" i="13"/>
  <c r="B533" i="13"/>
  <c r="B534" i="13"/>
  <c r="B535" i="13"/>
  <c r="B536" i="13"/>
  <c r="B537" i="13"/>
  <c r="B538" i="13"/>
  <c r="B539" i="13"/>
  <c r="B540" i="13"/>
  <c r="B541" i="13"/>
  <c r="B542" i="13"/>
  <c r="B543" i="13"/>
  <c r="B544" i="13"/>
  <c r="B545" i="13"/>
  <c r="B546" i="13"/>
  <c r="B547" i="13"/>
  <c r="B548" i="13"/>
  <c r="B549" i="13"/>
  <c r="B550" i="13"/>
  <c r="B551" i="13"/>
  <c r="B552" i="13"/>
  <c r="B553" i="13"/>
  <c r="B554" i="13"/>
  <c r="B555" i="13"/>
  <c r="B556" i="13"/>
  <c r="B557" i="13"/>
  <c r="B558" i="13"/>
  <c r="B559" i="13"/>
  <c r="B560" i="13"/>
  <c r="B561" i="13"/>
  <c r="B562" i="13"/>
  <c r="B563" i="13"/>
  <c r="B564" i="13"/>
  <c r="B565" i="13"/>
  <c r="B566" i="13"/>
  <c r="B567" i="13"/>
  <c r="B568" i="13"/>
  <c r="B569" i="13"/>
  <c r="B570" i="13"/>
  <c r="B571" i="13"/>
  <c r="B572" i="13"/>
  <c r="B573" i="13"/>
  <c r="B574" i="13"/>
  <c r="B575" i="13"/>
  <c r="B576" i="13"/>
  <c r="B577" i="13"/>
  <c r="B578" i="13"/>
  <c r="B579" i="13"/>
  <c r="B580" i="13"/>
  <c r="B581" i="13"/>
  <c r="B582" i="13"/>
  <c r="B583" i="13"/>
  <c r="B584" i="13"/>
  <c r="B585" i="13"/>
  <c r="B586" i="13"/>
  <c r="B587" i="13"/>
  <c r="B588" i="13"/>
  <c r="B589" i="13"/>
  <c r="B590" i="13"/>
  <c r="B591" i="13"/>
  <c r="B592" i="13"/>
  <c r="B593" i="13"/>
  <c r="B594" i="13"/>
  <c r="B595" i="13"/>
  <c r="B596" i="13"/>
  <c r="B597" i="13"/>
  <c r="B598" i="13"/>
  <c r="B599" i="13"/>
  <c r="B600" i="13"/>
  <c r="B601" i="13"/>
  <c r="B602" i="13"/>
  <c r="B603" i="13"/>
  <c r="B604" i="13"/>
  <c r="B605" i="13"/>
  <c r="B606" i="13"/>
  <c r="B607" i="13"/>
  <c r="B608" i="13"/>
  <c r="B609" i="13"/>
  <c r="B610" i="13"/>
  <c r="B611" i="13"/>
  <c r="B612" i="13"/>
  <c r="B613" i="13"/>
  <c r="B614" i="13"/>
  <c r="B615" i="13"/>
  <c r="B616" i="13"/>
  <c r="B617" i="13"/>
  <c r="B618" i="13"/>
  <c r="B619" i="13"/>
  <c r="B620" i="13"/>
  <c r="B621" i="13"/>
  <c r="B622" i="13"/>
  <c r="B623" i="13"/>
  <c r="B624" i="13"/>
  <c r="B625" i="13"/>
  <c r="B626" i="13"/>
  <c r="B627" i="13"/>
  <c r="B628" i="13"/>
  <c r="B629" i="13"/>
  <c r="B630" i="13"/>
  <c r="B631" i="13"/>
  <c r="B632" i="13"/>
  <c r="B633" i="13"/>
  <c r="B634" i="13"/>
  <c r="B635" i="13"/>
  <c r="B636" i="13"/>
  <c r="B637" i="13"/>
  <c r="B638" i="13"/>
  <c r="B639" i="13"/>
  <c r="B640" i="13"/>
  <c r="B641" i="13"/>
  <c r="B642" i="13"/>
  <c r="B643" i="13"/>
  <c r="B644" i="13"/>
  <c r="B645" i="13"/>
  <c r="B646" i="13"/>
  <c r="B647" i="13"/>
  <c r="B648" i="13"/>
  <c r="B649" i="13"/>
  <c r="B650" i="13"/>
  <c r="B651" i="13"/>
  <c r="B652" i="13"/>
  <c r="B653" i="13"/>
  <c r="B654" i="13"/>
  <c r="B655" i="13"/>
  <c r="B656" i="13"/>
  <c r="B657" i="13"/>
  <c r="B658" i="13"/>
  <c r="B659" i="13"/>
  <c r="B660" i="13"/>
  <c r="B661" i="13"/>
  <c r="B662" i="13"/>
  <c r="B663" i="13"/>
  <c r="B664" i="13"/>
  <c r="B665" i="13"/>
  <c r="B666" i="13"/>
  <c r="B667" i="13"/>
  <c r="B668" i="13"/>
  <c r="B669" i="13"/>
  <c r="B670" i="13"/>
  <c r="B671" i="13"/>
  <c r="B672" i="13"/>
  <c r="B673" i="13"/>
  <c r="B674" i="13"/>
  <c r="B675" i="13"/>
  <c r="B676" i="13"/>
  <c r="B677" i="13"/>
  <c r="B678" i="13"/>
  <c r="B679" i="13"/>
  <c r="B680" i="13"/>
  <c r="B681" i="13"/>
  <c r="B682" i="13"/>
  <c r="B683" i="13"/>
  <c r="B684" i="13"/>
  <c r="B685" i="13"/>
  <c r="B686" i="13"/>
  <c r="B687" i="13"/>
  <c r="B688" i="13"/>
  <c r="B689" i="13"/>
  <c r="B690" i="13"/>
  <c r="B691" i="13"/>
  <c r="B692" i="13"/>
  <c r="B693" i="13"/>
  <c r="B694" i="13"/>
  <c r="B695" i="13"/>
  <c r="B696" i="13"/>
  <c r="B697" i="13"/>
  <c r="B698" i="13"/>
  <c r="B699" i="13"/>
  <c r="B700" i="13"/>
  <c r="D23" i="7"/>
  <c r="D25" i="7" s="1"/>
  <c r="I5" i="12" l="1"/>
  <c r="I4" i="12"/>
  <c r="K5" i="12"/>
  <c r="K6" i="12" s="1"/>
  <c r="K7" i="12" s="1"/>
  <c r="C41" i="2"/>
  <c r="C36" i="2"/>
  <c r="C35" i="2"/>
  <c r="C29" i="2"/>
  <c r="C31" i="2"/>
  <c r="C30" i="2"/>
  <c r="C28" i="2"/>
  <c r="C24" i="2"/>
  <c r="C23" i="2"/>
  <c r="C22" i="2"/>
  <c r="C19" i="2"/>
  <c r="C18" i="2"/>
  <c r="B3" i="2" a="1"/>
  <c r="B3" i="2" s="1"/>
  <c r="B7" i="2" l="1"/>
  <c r="B11" i="2"/>
  <c r="B6" i="2"/>
  <c r="B5" i="2"/>
  <c r="B9" i="2"/>
  <c r="B13" i="2"/>
  <c r="B4" i="2"/>
  <c r="B8" i="2"/>
  <c r="C8" i="2" s="1"/>
  <c r="B10" i="2"/>
  <c r="B12" i="2"/>
  <c r="C12" i="2" l="1"/>
  <c r="C13" i="2"/>
  <c r="C11" i="2"/>
  <c r="C10" i="2"/>
  <c r="C9" i="2"/>
  <c r="C7" i="2"/>
  <c r="C5" i="2"/>
  <c r="C3" i="2"/>
  <c r="C4" i="2"/>
  <c r="C6" i="2"/>
  <c r="B14" i="2"/>
  <c r="C14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prakrati gupta</author>
  </authors>
  <commentList>
    <comment ref="J790" authorId="0" shapeId="0" xr:uid="{799DABAD-ABF0-44BB-9D74-74AC1226F75E}">
      <text>
        <r>
          <rPr>
            <sz val="9"/>
            <color indexed="81"/>
            <rFont val="Tahoma"/>
            <family val="2"/>
          </rPr>
          <t>Specificity</t>
        </r>
      </text>
    </comment>
    <comment ref="J791" authorId="0" shapeId="0" xr:uid="{B8D7217E-FD0C-4044-8D99-160932BA606D}">
      <text>
        <r>
          <rPr>
            <sz val="9"/>
            <color indexed="81"/>
            <rFont val="Tahoma"/>
            <family val="2"/>
          </rPr>
          <t>Sensitivity</t>
        </r>
      </text>
    </comment>
    <comment ref="J792" authorId="0" shapeId="0" xr:uid="{BD6938D3-1A06-4305-9867-13866199183E}">
      <text>
        <r>
          <rPr>
            <sz val="9"/>
            <color indexed="81"/>
            <rFont val="Tahoma"/>
            <family val="2"/>
          </rPr>
          <t>% correct</t>
        </r>
      </text>
    </comment>
  </commentList>
</comments>
</file>

<file path=xl/sharedStrings.xml><?xml version="1.0" encoding="utf-8"?>
<sst xmlns="http://schemas.openxmlformats.org/spreadsheetml/2006/main" count="1967" uniqueCount="619">
  <si>
    <t>age</t>
  </si>
  <si>
    <t>sex</t>
  </si>
  <si>
    <t>cp</t>
  </si>
  <si>
    <t>trtbps</t>
  </si>
  <si>
    <t>chol</t>
  </si>
  <si>
    <t>fbs</t>
  </si>
  <si>
    <t>restecg</t>
  </si>
  <si>
    <t>thalachh</t>
  </si>
  <si>
    <t>exng</t>
  </si>
  <si>
    <t>oldpeak</t>
  </si>
  <si>
    <t>slp</t>
  </si>
  <si>
    <t>caa</t>
  </si>
  <si>
    <t>thall</t>
  </si>
  <si>
    <t>output</t>
  </si>
  <si>
    <t>Frequency Distribution Table</t>
  </si>
  <si>
    <t>Frequency</t>
  </si>
  <si>
    <t>Relative Frequency</t>
  </si>
  <si>
    <t>Total</t>
  </si>
  <si>
    <t>Age</t>
  </si>
  <si>
    <t>Age Analysis</t>
  </si>
  <si>
    <t>Mean age</t>
  </si>
  <si>
    <t>Median age</t>
  </si>
  <si>
    <t>Cholesterol Levels</t>
  </si>
  <si>
    <t>Mean cholesterol:</t>
  </si>
  <si>
    <t>Mediaan cholesterol:</t>
  </si>
  <si>
    <t>Cholesterol Skewness:</t>
  </si>
  <si>
    <t>Count of each chest pain type:</t>
  </si>
  <si>
    <t>Chest Pain Type Frequency</t>
  </si>
  <si>
    <t>0: typical angina</t>
  </si>
  <si>
    <t>1: atypical angina</t>
  </si>
  <si>
    <t>2: non-anginal pain</t>
  </si>
  <si>
    <t>3: asymptomatic</t>
  </si>
  <si>
    <t>Correlation Analysis</t>
  </si>
  <si>
    <t>Correlation between age and cholesterol:</t>
  </si>
  <si>
    <t>Correlation between age and maximum heart rate:</t>
  </si>
  <si>
    <t>Column Labels</t>
  </si>
  <si>
    <t>Grand Total</t>
  </si>
  <si>
    <t>Row Labels</t>
  </si>
  <si>
    <t>Average of thalachh</t>
  </si>
  <si>
    <t>29-33</t>
  </si>
  <si>
    <t>34-38</t>
  </si>
  <si>
    <t>39-43</t>
  </si>
  <si>
    <t>44-48</t>
  </si>
  <si>
    <t>49-53</t>
  </si>
  <si>
    <t>54-58</t>
  </si>
  <si>
    <t>59-63</t>
  </si>
  <si>
    <t>64-68</t>
  </si>
  <si>
    <t>69-73</t>
  </si>
  <si>
    <t>74-78</t>
  </si>
  <si>
    <t>Heart Attack Risk Analysis</t>
  </si>
  <si>
    <t>Proportion of patients with high risk:</t>
  </si>
  <si>
    <t>Analysis by sex:</t>
  </si>
  <si>
    <t>Count of output</t>
  </si>
  <si>
    <t xml:space="preserve">higher chance of heart attack </t>
  </si>
  <si>
    <t xml:space="preserve">less chance of heart attack </t>
  </si>
  <si>
    <t>Female</t>
  </si>
  <si>
    <t>Male</t>
  </si>
  <si>
    <t>Conclusion:</t>
  </si>
  <si>
    <t>the proportion of patients with a high risk of heart attack is 0.5445 (or 54.45%)</t>
  </si>
  <si>
    <r>
      <t>Sex 0 (e.g., females)</t>
    </r>
    <r>
      <rPr>
        <sz val="11"/>
        <color theme="1"/>
        <rFont val="Calibri"/>
        <family val="2"/>
        <scheme val="minor"/>
      </rPr>
      <t xml:space="preserve"> has 43.64% of individuals with a higher chance of heart attack.</t>
    </r>
  </si>
  <si>
    <r>
      <t>Sex 1 (e.g., males)</t>
    </r>
    <r>
      <rPr>
        <sz val="11"/>
        <color theme="1"/>
        <rFont val="Calibri"/>
        <family val="2"/>
        <scheme val="minor"/>
      </rPr>
      <t xml:space="preserve"> has 56.36% of individuals with a higher chance of heart attack.</t>
    </r>
  </si>
  <si>
    <t>Mean</t>
  </si>
  <si>
    <t>Standard Error</t>
  </si>
  <si>
    <t>Median</t>
  </si>
  <si>
    <t>Mode</t>
  </si>
  <si>
    <t>Standard Deviation</t>
  </si>
  <si>
    <t>Sample Variance</t>
  </si>
  <si>
    <t>Kurtosis</t>
  </si>
  <si>
    <t>Skewness</t>
  </si>
  <si>
    <t>Range</t>
  </si>
  <si>
    <t>Minimum</t>
  </si>
  <si>
    <t>Maximum</t>
  </si>
  <si>
    <t>Sum</t>
  </si>
  <si>
    <t>Count</t>
  </si>
  <si>
    <t>Results of the T-Tests:</t>
  </si>
  <si>
    <r>
      <t>One-Sample T-Test</t>
    </r>
    <r>
      <rPr>
        <sz val="11"/>
        <color theme="1"/>
        <rFont val="Calibri"/>
        <family val="2"/>
        <scheme val="minor"/>
      </rPr>
      <t>:</t>
    </r>
  </si>
  <si>
    <r>
      <t>Test</t>
    </r>
    <r>
      <rPr>
        <sz val="11"/>
        <color theme="1"/>
        <rFont val="Calibri"/>
        <family val="2"/>
        <scheme val="minor"/>
      </rPr>
      <t>: Compared the average cholesterol level in the dataset to a known population mean of 200 mg/dL.</t>
    </r>
  </si>
  <si>
    <r>
      <t>Sample Mean</t>
    </r>
    <r>
      <rPr>
        <sz val="11"/>
        <color theme="1"/>
        <rFont val="Calibri"/>
        <family val="2"/>
        <scheme val="minor"/>
      </rPr>
      <t>:</t>
    </r>
  </si>
  <si>
    <t>chol (mg/dL)</t>
  </si>
  <si>
    <r>
      <t>t-statistic</t>
    </r>
    <r>
      <rPr>
        <sz val="11"/>
        <color theme="1"/>
        <rFont val="Calibri"/>
        <family val="2"/>
        <scheme val="minor"/>
      </rPr>
      <t>:</t>
    </r>
  </si>
  <si>
    <r>
      <t>p-value</t>
    </r>
    <r>
      <rPr>
        <sz val="11"/>
        <color theme="1"/>
        <rFont val="Calibri"/>
        <family val="2"/>
        <scheme val="minor"/>
      </rPr>
      <t>:</t>
    </r>
  </si>
  <si>
    <r>
      <t>Interpretation</t>
    </r>
    <r>
      <rPr>
        <sz val="11"/>
        <color theme="1"/>
        <rFont val="Calibri"/>
        <family val="2"/>
        <scheme val="minor"/>
      </rPr>
      <t>: The p-value is significantly lower than 0.05, indicating that the average cholesterol level in the dataset is significantly different from the population mean of 200 mg/dL.</t>
    </r>
  </si>
  <si>
    <r>
      <t>Independent Samples T-Test</t>
    </r>
    <r>
      <rPr>
        <sz val="11"/>
        <color theme="1"/>
        <rFont val="Calibri"/>
        <family val="2"/>
        <scheme val="minor"/>
      </rPr>
      <t>:</t>
    </r>
  </si>
  <si>
    <r>
      <t>Test</t>
    </r>
    <r>
      <rPr>
        <sz val="11"/>
        <color theme="1"/>
        <rFont val="Calibri"/>
        <family val="2"/>
        <scheme val="minor"/>
      </rPr>
      <t>: Compare the average maximum heart rate achieved (thalachh) between males and females.</t>
    </r>
  </si>
  <si>
    <t>t-Test: Two-Sample Assuming Unequal Variances</t>
  </si>
  <si>
    <t>Variance</t>
  </si>
  <si>
    <t>Observations</t>
  </si>
  <si>
    <t>Hypothesized Mean Difference</t>
  </si>
  <si>
    <t>df</t>
  </si>
  <si>
    <t>t Stat</t>
  </si>
  <si>
    <t>P(T&lt;=t) one-tail</t>
  </si>
  <si>
    <t>t Critical one-tail</t>
  </si>
  <si>
    <t>P(T&lt;=t) two-tail</t>
  </si>
  <si>
    <t>t Critical two-tail</t>
  </si>
  <si>
    <t>Male Data</t>
  </si>
  <si>
    <t>Female Data</t>
  </si>
  <si>
    <t>Results of the ANOVA:</t>
  </si>
  <si>
    <r>
      <t>One-Way ANOVA</t>
    </r>
    <r>
      <rPr>
        <sz val="11"/>
        <color theme="1"/>
        <rFont val="Calibri"/>
        <family val="2"/>
        <scheme val="minor"/>
      </rPr>
      <t xml:space="preserve">: </t>
    </r>
  </si>
  <si>
    <r>
      <rPr>
        <b/>
        <sz val="11"/>
        <color theme="1"/>
        <rFont val="Calibri"/>
        <family val="2"/>
        <scheme val="minor"/>
      </rPr>
      <t xml:space="preserve">Test: </t>
    </r>
    <r>
      <rPr>
        <sz val="11"/>
        <color theme="1"/>
        <rFont val="Calibri"/>
        <family val="2"/>
        <scheme val="minor"/>
      </rPr>
      <t>compare the mean cholesterol levels (chol) across different chest pain types (cp)</t>
    </r>
  </si>
  <si>
    <r>
      <t>Interpretation</t>
    </r>
    <r>
      <rPr>
        <sz val="11"/>
        <color theme="1"/>
        <rFont val="Calibri"/>
        <family val="2"/>
        <scheme val="minor"/>
      </rPr>
      <t xml:space="preserve">: The two-tailed p-value of 0.414 is much greater than the typical significance level of 0.05, indicating that the observed difference in means is </t>
    </r>
    <r>
      <rPr>
        <b/>
        <sz val="11"/>
        <color theme="1"/>
        <rFont val="Calibri"/>
        <family val="2"/>
        <scheme val="minor"/>
      </rPr>
      <t>not statistically significant</t>
    </r>
    <r>
      <rPr>
        <sz val="11"/>
        <color theme="1"/>
        <rFont val="Calibri"/>
        <family val="2"/>
        <scheme val="minor"/>
      </rPr>
      <t>./ suggesting that there is no significant difference in the average maximum heart rate achieved between males and females.</t>
    </r>
  </si>
  <si>
    <t>Type2chol</t>
  </si>
  <si>
    <t>Type3chol</t>
  </si>
  <si>
    <t>Type4chol</t>
  </si>
  <si>
    <t>Type1chol</t>
  </si>
  <si>
    <t>Anova: Single Factor</t>
  </si>
  <si>
    <t>SUMMARY</t>
  </si>
  <si>
    <t>Groups</t>
  </si>
  <si>
    <t>Average</t>
  </si>
  <si>
    <t>ANOVA</t>
  </si>
  <si>
    <t>Source of Variation</t>
  </si>
  <si>
    <t>SS</t>
  </si>
  <si>
    <t>MS</t>
  </si>
  <si>
    <t>F</t>
  </si>
  <si>
    <t>P-value</t>
  </si>
  <si>
    <t>F crit</t>
  </si>
  <si>
    <t>Between Groups</t>
  </si>
  <si>
    <t>Within Groups</t>
  </si>
  <si>
    <r>
      <t>F-statistic</t>
    </r>
    <r>
      <rPr>
        <sz val="11"/>
        <color theme="1"/>
        <rFont val="Calibri"/>
        <family val="2"/>
        <scheme val="minor"/>
      </rPr>
      <t>:</t>
    </r>
  </si>
  <si>
    <r>
      <t>Interpretation</t>
    </r>
    <r>
      <rPr>
        <sz val="11"/>
        <color theme="1"/>
        <rFont val="Calibri"/>
        <family val="2"/>
        <scheme val="minor"/>
      </rPr>
      <t>: The p-value is greater than 0.05, indicating no significant difference in cholesterol levels across the different chest pain types.</t>
    </r>
  </si>
  <si>
    <r>
      <t>Two-Way ANOVA</t>
    </r>
    <r>
      <rPr>
        <sz val="11"/>
        <color theme="1"/>
        <rFont val="Calibri"/>
        <family val="2"/>
        <scheme val="minor"/>
      </rPr>
      <t xml:space="preserve">: </t>
    </r>
  </si>
  <si>
    <r>
      <t>Test</t>
    </r>
    <r>
      <rPr>
        <sz val="11"/>
        <color theme="1"/>
        <rFont val="Calibri"/>
        <family val="2"/>
        <scheme val="minor"/>
      </rPr>
      <t>: Examined the influence of both chest pain type and fasting blood sugar on cholesterol levels.</t>
    </r>
  </si>
  <si>
    <t>Anova: Two-Factor Without Replication</t>
  </si>
  <si>
    <t>Rows</t>
  </si>
  <si>
    <t>Columns</t>
  </si>
  <si>
    <t>Error</t>
  </si>
  <si>
    <t>cp \ fbs</t>
  </si>
  <si>
    <t>Summary of the Results:</t>
  </si>
  <si>
    <r>
      <t>Rows</t>
    </r>
    <r>
      <rPr>
        <sz val="11"/>
        <color theme="1"/>
        <rFont val="Calibri"/>
        <family val="2"/>
        <scheme val="minor"/>
      </rPr>
      <t xml:space="preserve"> (Chest Pain Type, </t>
    </r>
    <r>
      <rPr>
        <sz val="10"/>
        <color theme="1"/>
        <rFont val="Arial Unicode MS"/>
      </rPr>
      <t>cp</t>
    </r>
    <r>
      <rPr>
        <sz val="11"/>
        <color theme="1"/>
        <rFont val="Calibri"/>
        <family val="2"/>
        <scheme val="minor"/>
      </rPr>
      <t>):</t>
    </r>
  </si>
  <si>
    <r>
      <t>Columns</t>
    </r>
    <r>
      <rPr>
        <sz val="11"/>
        <color theme="1"/>
        <rFont val="Calibri"/>
        <family val="2"/>
        <scheme val="minor"/>
      </rPr>
      <t xml:space="preserve"> (Fasting Blood Sugar, </t>
    </r>
    <r>
      <rPr>
        <sz val="10"/>
        <color theme="1"/>
        <rFont val="Arial Unicode MS"/>
      </rPr>
      <t>fbs</t>
    </r>
    <r>
      <rPr>
        <sz val="11"/>
        <color theme="1"/>
        <rFont val="Calibri"/>
        <family val="2"/>
        <scheme val="minor"/>
      </rPr>
      <t>):</t>
    </r>
  </si>
  <si>
    <t xml:space="preserve">F-statistic: </t>
  </si>
  <si>
    <t xml:space="preserve">p-value: </t>
  </si>
  <si>
    <t xml:space="preserve">F crit: </t>
  </si>
  <si>
    <r>
      <t>Conclusion</t>
    </r>
    <r>
      <rPr>
        <sz val="11"/>
        <color theme="1"/>
        <rFont val="Calibri"/>
        <family val="2"/>
        <scheme val="minor"/>
      </rPr>
      <t>:  Neither chest pain type (Rows) nor fasting blood sugar (Columns) significantly affects cholesterol levels.</t>
    </r>
  </si>
  <si>
    <t>SUMMARY OUTPUT</t>
  </si>
  <si>
    <t>Regression Statistics</t>
  </si>
  <si>
    <t>Multiple R</t>
  </si>
  <si>
    <t>R Square</t>
  </si>
  <si>
    <t>Adjusted R Square</t>
  </si>
  <si>
    <t>Regression</t>
  </si>
  <si>
    <t>Residual</t>
  </si>
  <si>
    <t>Intercept</t>
  </si>
  <si>
    <t>Significance F</t>
  </si>
  <si>
    <t>Coefficients</t>
  </si>
  <si>
    <t>Lower 95%</t>
  </si>
  <si>
    <t>Upper 95%</t>
  </si>
  <si>
    <t>Lower 95.0%</t>
  </si>
  <si>
    <t>Upper 95.0%</t>
  </si>
  <si>
    <t>RESIDUAL OUTPUT</t>
  </si>
  <si>
    <t>Observation</t>
  </si>
  <si>
    <t>Predicted chol</t>
  </si>
  <si>
    <t>Residuals</t>
  </si>
  <si>
    <t>Standard Residuals</t>
  </si>
  <si>
    <t>PROBABILITY OUTPUT</t>
  </si>
  <si>
    <t>Percentile</t>
  </si>
  <si>
    <t>Results of the Regression:</t>
  </si>
  <si>
    <t>Intercept (const)</t>
  </si>
  <si>
    <t>Slope (age coefficient)</t>
  </si>
  <si>
    <r>
      <t>R-squared</t>
    </r>
    <r>
      <rPr>
        <sz val="11"/>
        <color theme="1"/>
        <rFont val="Calibri"/>
        <family val="2"/>
        <scheme val="minor"/>
      </rPr>
      <t xml:space="preserve">: </t>
    </r>
  </si>
  <si>
    <r>
      <t>F-statistic</t>
    </r>
    <r>
      <rPr>
        <sz val="11"/>
        <color theme="1"/>
        <rFont val="Calibri"/>
        <family val="2"/>
        <scheme val="minor"/>
      </rPr>
      <t xml:space="preserve">: </t>
    </r>
  </si>
  <si>
    <t>p-value</t>
  </si>
  <si>
    <r>
      <t>Conclusion</t>
    </r>
    <r>
      <rPr>
        <sz val="11"/>
        <color theme="1"/>
        <rFont val="Calibri"/>
        <family val="2"/>
        <scheme val="minor"/>
      </rPr>
      <t>:  there is a positive relationship between age and cholesterol levels, and the relationship is statistically significant, though the amount of variance explained by age is quite low.</t>
    </r>
  </si>
  <si>
    <t>Simple Linear Regression Results</t>
  </si>
  <si>
    <t>Multiple Linear Regression Results</t>
  </si>
  <si>
    <t>age coefficient</t>
  </si>
  <si>
    <t xml:space="preserve">R-squared: </t>
  </si>
  <si>
    <r>
      <t>Resting Blood Pressure (trtbps) Coefficient</t>
    </r>
    <r>
      <rPr>
        <sz val="11"/>
        <color theme="1"/>
        <rFont val="Calibri"/>
        <family val="2"/>
        <scheme val="minor"/>
      </rPr>
      <t>:</t>
    </r>
  </si>
  <si>
    <t>Cholesterol (chol) Coefficient:</t>
  </si>
  <si>
    <r>
      <t>Conclusion</t>
    </r>
    <r>
      <rPr>
        <sz val="11"/>
        <color theme="1"/>
        <rFont val="Calibri"/>
        <family val="2"/>
        <scheme val="minor"/>
      </rPr>
      <t>:  there is a positive relationship between age, resting blood pressure and cholesterol levels, and the relationship is statistically significant, though the amount of variance explained by age is quite low.</t>
    </r>
  </si>
  <si>
    <t>You are using the XLSTAT trial version. Number of days remaining until the trial expires: 14</t>
  </si>
  <si>
    <t>Response variable(s): Workbook = heart copy.xlsm / Sheet = regression / Range = regression!$D$331:$D$634 / 303 rows and 1 column</t>
  </si>
  <si>
    <t>X / Quantitative: Workbook = heart copy.xlsm / Sheet = regression / Range = regression!$A$331:$C$634 / 303 rows and 3 columns</t>
  </si>
  <si>
    <t>Response variable(s): Binary</t>
  </si>
  <si>
    <t>Model: Logit</t>
  </si>
  <si>
    <t>Algorithm: Newton-Raphson</t>
  </si>
  <si>
    <t>Convergence: 0.000001</t>
  </si>
  <si>
    <t>Iterations: 50</t>
  </si>
  <si>
    <t>Confidence interval (%): 95</t>
  </si>
  <si>
    <t>Tolerance: 0.001</t>
  </si>
  <si>
    <t>Cutpoint: 0.5</t>
  </si>
  <si>
    <t>Summary statistics (Quantitative data):</t>
  </si>
  <si>
    <t>Variable</t>
  </si>
  <si>
    <t>Obs. with missing data</t>
  </si>
  <si>
    <t>Obs. without missing data</t>
  </si>
  <si>
    <t>Std. deviation</t>
  </si>
  <si>
    <t>Summary statistics (Qualitative data):</t>
  </si>
  <si>
    <t/>
  </si>
  <si>
    <t>0</t>
  </si>
  <si>
    <t>1</t>
  </si>
  <si>
    <t>Categories</t>
  </si>
  <si>
    <t>Counts</t>
  </si>
  <si>
    <t>Frequencies</t>
  </si>
  <si>
    <t>%</t>
  </si>
  <si>
    <t>Correlation matrix:</t>
  </si>
  <si>
    <t>Multicolinearity statistics:</t>
  </si>
  <si>
    <t>Tolerance</t>
  </si>
  <si>
    <t>VIF</t>
  </si>
  <si>
    <t>Regression of variable output (Control category = 0):</t>
  </si>
  <si>
    <t>Goodness of fit statistics (Variable output):</t>
  </si>
  <si>
    <t>Statistic</t>
  </si>
  <si>
    <t>Independent</t>
  </si>
  <si>
    <t>Full</t>
  </si>
  <si>
    <t>Sum of weights</t>
  </si>
  <si>
    <t>DF</t>
  </si>
  <si>
    <t>-2 Log(Likelihood)</t>
  </si>
  <si>
    <t>R²(McFadden)</t>
  </si>
  <si>
    <t>R²(Cox and Snell)</t>
  </si>
  <si>
    <t>R²(Nagelkerke)</t>
  </si>
  <si>
    <t>AIC</t>
  </si>
  <si>
    <t>SBC</t>
  </si>
  <si>
    <t>Iterations</t>
  </si>
  <si>
    <t>Test of the null hypothesis H0: Pr(output=1)=0.545:</t>
  </si>
  <si>
    <t>Chi-square</t>
  </si>
  <si>
    <t>Pr &gt; Chi²</t>
  </si>
  <si>
    <t>Score</t>
  </si>
  <si>
    <t>Wald</t>
  </si>
  <si>
    <t>Type II analysis (Variable output):</t>
  </si>
  <si>
    <t>Source</t>
  </si>
  <si>
    <t>Chi-square (Wald)</t>
  </si>
  <si>
    <t>Pr &gt; Wald</t>
  </si>
  <si>
    <t>Chi-square (LR)</t>
  </si>
  <si>
    <t>Pr &gt; LR</t>
  </si>
  <si>
    <t>Hosmer-Lemeshow test (Variable output):</t>
  </si>
  <si>
    <t>Hosmer-Lemeshow Statistic</t>
  </si>
  <si>
    <t>Model parameters (Variable output):</t>
  </si>
  <si>
    <t>Value</t>
  </si>
  <si>
    <t>Standard error</t>
  </si>
  <si>
    <t>Wald Chi-Square</t>
  </si>
  <si>
    <t>Wald Lower bound (95%)</t>
  </si>
  <si>
    <t>Wald Upper bound (95%)</t>
  </si>
  <si>
    <t>Odds ratio</t>
  </si>
  <si>
    <t>Odds ratio Lower bound (95%)</t>
  </si>
  <si>
    <t>Odds ratio Upper bound (95%)</t>
  </si>
  <si>
    <t>Equation of the model (Variable output):</t>
  </si>
  <si>
    <t>Pr(output=1) = 1 / (1 + exp(-(4.433240-0.072857*age-1.710789*sex+1.025633*cp)))</t>
  </si>
  <si>
    <t>Standardized coefficients (Variable output):</t>
  </si>
  <si>
    <t xml:space="preserve"> </t>
  </si>
  <si>
    <t>Predictions and residuals (Variable output):</t>
  </si>
  <si>
    <t>Pred(output)</t>
  </si>
  <si>
    <t>Obs1</t>
  </si>
  <si>
    <t>Obs2</t>
  </si>
  <si>
    <t>Obs3</t>
  </si>
  <si>
    <t>Obs4</t>
  </si>
  <si>
    <t>Obs5</t>
  </si>
  <si>
    <t>Obs6</t>
  </si>
  <si>
    <t>Obs7</t>
  </si>
  <si>
    <t>Obs8</t>
  </si>
  <si>
    <t>Obs9</t>
  </si>
  <si>
    <t>Obs10</t>
  </si>
  <si>
    <t>Obs11</t>
  </si>
  <si>
    <t>Obs12</t>
  </si>
  <si>
    <t>Obs13</t>
  </si>
  <si>
    <t>Obs14</t>
  </si>
  <si>
    <t>Obs15</t>
  </si>
  <si>
    <t>Obs16</t>
  </si>
  <si>
    <t>Obs17</t>
  </si>
  <si>
    <t>Obs18</t>
  </si>
  <si>
    <t>Obs19</t>
  </si>
  <si>
    <t>Obs20</t>
  </si>
  <si>
    <t>Obs21</t>
  </si>
  <si>
    <t>Obs22</t>
  </si>
  <si>
    <t>Obs23</t>
  </si>
  <si>
    <t>Obs24</t>
  </si>
  <si>
    <t>Obs25</t>
  </si>
  <si>
    <t>Obs26</t>
  </si>
  <si>
    <t>Obs27</t>
  </si>
  <si>
    <t>Obs28</t>
  </si>
  <si>
    <t>Obs29</t>
  </si>
  <si>
    <t>Obs30</t>
  </si>
  <si>
    <t>Obs31</t>
  </si>
  <si>
    <t>Obs32</t>
  </si>
  <si>
    <t>Obs33</t>
  </si>
  <si>
    <t>Obs34</t>
  </si>
  <si>
    <t>Obs35</t>
  </si>
  <si>
    <t>Obs36</t>
  </si>
  <si>
    <t>Obs37</t>
  </si>
  <si>
    <t>Obs38</t>
  </si>
  <si>
    <t>Obs39</t>
  </si>
  <si>
    <t>Obs40</t>
  </si>
  <si>
    <t>Obs41</t>
  </si>
  <si>
    <t>Obs42</t>
  </si>
  <si>
    <t>Obs43</t>
  </si>
  <si>
    <t>Obs44</t>
  </si>
  <si>
    <t>Obs45</t>
  </si>
  <si>
    <t>Obs46</t>
  </si>
  <si>
    <t>Obs47</t>
  </si>
  <si>
    <t>Obs48</t>
  </si>
  <si>
    <t>Obs49</t>
  </si>
  <si>
    <t>Obs50</t>
  </si>
  <si>
    <t>Obs51</t>
  </si>
  <si>
    <t>Obs52</t>
  </si>
  <si>
    <t>Obs53</t>
  </si>
  <si>
    <t>Obs54</t>
  </si>
  <si>
    <t>Obs55</t>
  </si>
  <si>
    <t>Obs56</t>
  </si>
  <si>
    <t>Obs57</t>
  </si>
  <si>
    <t>Obs58</t>
  </si>
  <si>
    <t>Obs59</t>
  </si>
  <si>
    <t>Obs60</t>
  </si>
  <si>
    <t>Obs61</t>
  </si>
  <si>
    <t>Obs62</t>
  </si>
  <si>
    <t>Obs63</t>
  </si>
  <si>
    <t>Obs64</t>
  </si>
  <si>
    <t>Obs65</t>
  </si>
  <si>
    <t>Obs66</t>
  </si>
  <si>
    <t>Obs67</t>
  </si>
  <si>
    <t>Obs68</t>
  </si>
  <si>
    <t>Obs69</t>
  </si>
  <si>
    <t>Obs70</t>
  </si>
  <si>
    <t>Obs71</t>
  </si>
  <si>
    <t>Obs72</t>
  </si>
  <si>
    <t>Obs73</t>
  </si>
  <si>
    <t>Obs74</t>
  </si>
  <si>
    <t>Obs75</t>
  </si>
  <si>
    <t>Obs76</t>
  </si>
  <si>
    <t>Obs77</t>
  </si>
  <si>
    <t>Obs78</t>
  </si>
  <si>
    <t>Obs79</t>
  </si>
  <si>
    <t>Obs80</t>
  </si>
  <si>
    <t>Obs81</t>
  </si>
  <si>
    <t>Obs82</t>
  </si>
  <si>
    <t>Obs83</t>
  </si>
  <si>
    <t>Obs84</t>
  </si>
  <si>
    <t>Obs85</t>
  </si>
  <si>
    <t>Obs86</t>
  </si>
  <si>
    <t>Obs87</t>
  </si>
  <si>
    <t>Obs88</t>
  </si>
  <si>
    <t>Obs89</t>
  </si>
  <si>
    <t>Obs90</t>
  </si>
  <si>
    <t>Obs91</t>
  </si>
  <si>
    <t>Obs92</t>
  </si>
  <si>
    <t>Obs93</t>
  </si>
  <si>
    <t>Obs94</t>
  </si>
  <si>
    <t>Obs95</t>
  </si>
  <si>
    <t>Obs96</t>
  </si>
  <si>
    <t>Obs97</t>
  </si>
  <si>
    <t>Obs98</t>
  </si>
  <si>
    <t>Obs99</t>
  </si>
  <si>
    <t>Obs100</t>
  </si>
  <si>
    <t>Obs101</t>
  </si>
  <si>
    <t>Obs102</t>
  </si>
  <si>
    <t>Obs103</t>
  </si>
  <si>
    <t>Obs104</t>
  </si>
  <si>
    <t>Obs105</t>
  </si>
  <si>
    <t>Obs106</t>
  </si>
  <si>
    <t>Obs107</t>
  </si>
  <si>
    <t>Obs108</t>
  </si>
  <si>
    <t>Obs109</t>
  </si>
  <si>
    <t>Obs110</t>
  </si>
  <si>
    <t>Obs111</t>
  </si>
  <si>
    <t>Obs112</t>
  </si>
  <si>
    <t>Obs113</t>
  </si>
  <si>
    <t>Obs114</t>
  </si>
  <si>
    <t>Obs115</t>
  </si>
  <si>
    <t>Obs116</t>
  </si>
  <si>
    <t>Obs117</t>
  </si>
  <si>
    <t>Obs118</t>
  </si>
  <si>
    <t>Obs119</t>
  </si>
  <si>
    <t>Obs120</t>
  </si>
  <si>
    <t>Obs121</t>
  </si>
  <si>
    <t>Obs122</t>
  </si>
  <si>
    <t>Obs123</t>
  </si>
  <si>
    <t>Obs124</t>
  </si>
  <si>
    <t>Obs125</t>
  </si>
  <si>
    <t>Obs126</t>
  </si>
  <si>
    <t>Obs127</t>
  </si>
  <si>
    <t>Obs128</t>
  </si>
  <si>
    <t>Obs129</t>
  </si>
  <si>
    <t>Obs130</t>
  </si>
  <si>
    <t>Obs131</t>
  </si>
  <si>
    <t>Obs132</t>
  </si>
  <si>
    <t>Obs133</t>
  </si>
  <si>
    <t>Obs134</t>
  </si>
  <si>
    <t>Obs135</t>
  </si>
  <si>
    <t>Obs136</t>
  </si>
  <si>
    <t>Obs137</t>
  </si>
  <si>
    <t>Obs138</t>
  </si>
  <si>
    <t>Obs139</t>
  </si>
  <si>
    <t>Obs140</t>
  </si>
  <si>
    <t>Obs141</t>
  </si>
  <si>
    <t>Obs142</t>
  </si>
  <si>
    <t>Obs143</t>
  </si>
  <si>
    <t>Obs144</t>
  </si>
  <si>
    <t>Obs145</t>
  </si>
  <si>
    <t>Obs146</t>
  </si>
  <si>
    <t>Obs147</t>
  </si>
  <si>
    <t>Obs148</t>
  </si>
  <si>
    <t>Obs149</t>
  </si>
  <si>
    <t>Obs150</t>
  </si>
  <si>
    <t>Obs151</t>
  </si>
  <si>
    <t>Obs152</t>
  </si>
  <si>
    <t>Obs153</t>
  </si>
  <si>
    <t>Obs154</t>
  </si>
  <si>
    <t>Obs155</t>
  </si>
  <si>
    <t>Obs156</t>
  </si>
  <si>
    <t>Obs157</t>
  </si>
  <si>
    <t>Obs158</t>
  </si>
  <si>
    <t>Obs159</t>
  </si>
  <si>
    <t>Obs160</t>
  </si>
  <si>
    <t>Obs161</t>
  </si>
  <si>
    <t>Obs162</t>
  </si>
  <si>
    <t>Obs163</t>
  </si>
  <si>
    <t>Obs164</t>
  </si>
  <si>
    <t>Obs165</t>
  </si>
  <si>
    <t>Obs166</t>
  </si>
  <si>
    <t>Obs167</t>
  </si>
  <si>
    <t>Obs168</t>
  </si>
  <si>
    <t>Obs169</t>
  </si>
  <si>
    <t>Obs170</t>
  </si>
  <si>
    <t>Obs171</t>
  </si>
  <si>
    <t>Obs172</t>
  </si>
  <si>
    <t>Obs173</t>
  </si>
  <si>
    <t>Obs174</t>
  </si>
  <si>
    <t>Obs175</t>
  </si>
  <si>
    <t>Obs176</t>
  </si>
  <si>
    <t>Obs177</t>
  </si>
  <si>
    <t>Obs178</t>
  </si>
  <si>
    <t>Obs179</t>
  </si>
  <si>
    <t>Obs180</t>
  </si>
  <si>
    <t>Obs181</t>
  </si>
  <si>
    <t>Obs182</t>
  </si>
  <si>
    <t>Obs183</t>
  </si>
  <si>
    <t>Obs184</t>
  </si>
  <si>
    <t>Obs185</t>
  </si>
  <si>
    <t>Obs186</t>
  </si>
  <si>
    <t>Obs187</t>
  </si>
  <si>
    <t>Obs188</t>
  </si>
  <si>
    <t>Obs189</t>
  </si>
  <si>
    <t>Obs190</t>
  </si>
  <si>
    <t>Obs191</t>
  </si>
  <si>
    <t>Obs192</t>
  </si>
  <si>
    <t>Obs193</t>
  </si>
  <si>
    <t>Obs194</t>
  </si>
  <si>
    <t>Obs195</t>
  </si>
  <si>
    <t>Obs196</t>
  </si>
  <si>
    <t>Obs197</t>
  </si>
  <si>
    <t>Obs198</t>
  </si>
  <si>
    <t>Obs199</t>
  </si>
  <si>
    <t>Obs200</t>
  </si>
  <si>
    <t>Obs201</t>
  </si>
  <si>
    <t>Obs202</t>
  </si>
  <si>
    <t>Obs203</t>
  </si>
  <si>
    <t>Obs204</t>
  </si>
  <si>
    <t>Obs205</t>
  </si>
  <si>
    <t>Obs206</t>
  </si>
  <si>
    <t>Obs207</t>
  </si>
  <si>
    <t>Obs208</t>
  </si>
  <si>
    <t>Obs209</t>
  </si>
  <si>
    <t>Obs210</t>
  </si>
  <si>
    <t>Obs211</t>
  </si>
  <si>
    <t>Obs212</t>
  </si>
  <si>
    <t>Obs213</t>
  </si>
  <si>
    <t>Obs214</t>
  </si>
  <si>
    <t>Obs215</t>
  </si>
  <si>
    <t>Obs216</t>
  </si>
  <si>
    <t>Obs217</t>
  </si>
  <si>
    <t>Obs218</t>
  </si>
  <si>
    <t>Obs219</t>
  </si>
  <si>
    <t>Obs220</t>
  </si>
  <si>
    <t>Obs221</t>
  </si>
  <si>
    <t>Obs222</t>
  </si>
  <si>
    <t>Obs223</t>
  </si>
  <si>
    <t>Obs224</t>
  </si>
  <si>
    <t>Obs225</t>
  </si>
  <si>
    <t>Obs226</t>
  </si>
  <si>
    <t>Obs227</t>
  </si>
  <si>
    <t>Obs228</t>
  </si>
  <si>
    <t>Obs229</t>
  </si>
  <si>
    <t>Obs230</t>
  </si>
  <si>
    <t>Obs231</t>
  </si>
  <si>
    <t>Obs232</t>
  </si>
  <si>
    <t>Obs233</t>
  </si>
  <si>
    <t>Obs234</t>
  </si>
  <si>
    <t>Obs235</t>
  </si>
  <si>
    <t>Obs236</t>
  </si>
  <si>
    <t>Obs237</t>
  </si>
  <si>
    <t>Obs238</t>
  </si>
  <si>
    <t>Obs239</t>
  </si>
  <si>
    <t>Obs240</t>
  </si>
  <si>
    <t>Obs241</t>
  </si>
  <si>
    <t>Obs242</t>
  </si>
  <si>
    <t>Obs243</t>
  </si>
  <si>
    <t>Obs244</t>
  </si>
  <si>
    <t>Obs245</t>
  </si>
  <si>
    <t>Obs246</t>
  </si>
  <si>
    <t>Obs247</t>
  </si>
  <si>
    <t>Obs248</t>
  </si>
  <si>
    <t>Obs249</t>
  </si>
  <si>
    <t>Obs250</t>
  </si>
  <si>
    <t>Obs251</t>
  </si>
  <si>
    <t>Obs252</t>
  </si>
  <si>
    <t>Obs253</t>
  </si>
  <si>
    <t>Obs254</t>
  </si>
  <si>
    <t>Obs255</t>
  </si>
  <si>
    <t>Obs256</t>
  </si>
  <si>
    <t>Obs257</t>
  </si>
  <si>
    <t>Obs258</t>
  </si>
  <si>
    <t>Obs259</t>
  </si>
  <si>
    <t>Obs260</t>
  </si>
  <si>
    <t>Obs261</t>
  </si>
  <si>
    <t>Obs262</t>
  </si>
  <si>
    <t>Obs263</t>
  </si>
  <si>
    <t>Obs264</t>
  </si>
  <si>
    <t>Obs265</t>
  </si>
  <si>
    <t>Obs266</t>
  </si>
  <si>
    <t>Obs267</t>
  </si>
  <si>
    <t>Obs268</t>
  </si>
  <si>
    <t>Obs269</t>
  </si>
  <si>
    <t>Obs270</t>
  </si>
  <si>
    <t>Obs271</t>
  </si>
  <si>
    <t>Obs272</t>
  </si>
  <si>
    <t>Obs273</t>
  </si>
  <si>
    <t>Obs274</t>
  </si>
  <si>
    <t>Obs275</t>
  </si>
  <si>
    <t>Obs276</t>
  </si>
  <si>
    <t>Obs277</t>
  </si>
  <si>
    <t>Obs278</t>
  </si>
  <si>
    <t>Obs279</t>
  </si>
  <si>
    <t>Obs280</t>
  </si>
  <si>
    <t>Obs281</t>
  </si>
  <si>
    <t>Obs282</t>
  </si>
  <si>
    <t>Obs283</t>
  </si>
  <si>
    <t>Obs284</t>
  </si>
  <si>
    <t>Obs285</t>
  </si>
  <si>
    <t>Obs286</t>
  </si>
  <si>
    <t>Obs287</t>
  </si>
  <si>
    <t>Obs288</t>
  </si>
  <si>
    <t>Obs289</t>
  </si>
  <si>
    <t>Obs290</t>
  </si>
  <si>
    <t>Obs291</t>
  </si>
  <si>
    <t>Obs292</t>
  </si>
  <si>
    <t>Obs293</t>
  </si>
  <si>
    <t>Obs294</t>
  </si>
  <si>
    <t>Obs295</t>
  </si>
  <si>
    <t>Obs296</t>
  </si>
  <si>
    <t>Obs297</t>
  </si>
  <si>
    <t>Obs298</t>
  </si>
  <si>
    <t>Obs299</t>
  </si>
  <si>
    <t>Obs300</t>
  </si>
  <si>
    <t>Obs301</t>
  </si>
  <si>
    <t>Obs302</t>
  </si>
  <si>
    <t>Obs303</t>
  </si>
  <si>
    <t>Pr(0)</t>
  </si>
  <si>
    <t>Pr(1)</t>
  </si>
  <si>
    <t>Classification table for the training sample (Variable output):</t>
  </si>
  <si>
    <t>from \ to</t>
  </si>
  <si>
    <t>% correct</t>
  </si>
  <si>
    <t>ROC Curve (Variable output):</t>
  </si>
  <si>
    <t>Area under the curve:</t>
  </si>
  <si>
    <r>
      <t>XLSTAT 2024.2.2.1422 - Logistic regression - Start time: 24/08/2024 at 09:35:46 / End time: 24/08/2024 at 09:35:49</t>
    </r>
    <r>
      <rPr>
        <sz val="11"/>
        <color rgb="FFFFFFFF"/>
        <rFont val="Calibri"/>
        <family val="2"/>
        <scheme val="minor"/>
      </rPr>
      <t xml:space="preserve"> / Microsoft Excel 16.017830</t>
    </r>
  </si>
  <si>
    <r>
      <t xml:space="preserve">Test: </t>
    </r>
    <r>
      <rPr>
        <sz val="11"/>
        <color theme="1"/>
        <rFont val="Calibri"/>
        <family val="2"/>
        <scheme val="minor"/>
      </rPr>
      <t>Examine the relationship between age and cholesterol levels.</t>
    </r>
  </si>
  <si>
    <r>
      <t xml:space="preserve">Test: </t>
    </r>
    <r>
      <rPr>
        <sz val="11"/>
        <color theme="1"/>
        <rFont val="Calibri"/>
        <family val="2"/>
        <scheme val="minor"/>
      </rPr>
      <t>Assess how age, resting blood pressure, and cholesterol levels predict the likelihood of a heart attack.</t>
    </r>
  </si>
  <si>
    <t>logistic Regression Results</t>
  </si>
  <si>
    <t>Y / Dependent variables: Workbook = heart copy.xlsm / Sheet = regression / Range = regression!$V$1:$V$304 / 303 rows and 1 column</t>
  </si>
  <si>
    <t>X / Quantitative: Workbook = heart copy.xlsm / Sheet = regression / Range = regression!$X$1:$X$304 / 303 rows and 1 column</t>
  </si>
  <si>
    <t>Tolerance: 0.0001</t>
  </si>
  <si>
    <t>Summary statistics:</t>
  </si>
  <si>
    <t>Regression of variable age:</t>
  </si>
  <si>
    <t>Goodness of fit statistics (age):</t>
  </si>
  <si>
    <t>R²</t>
  </si>
  <si>
    <t>Adjusted R²</t>
  </si>
  <si>
    <t>MSE</t>
  </si>
  <si>
    <t>RMSE</t>
  </si>
  <si>
    <t>MAPE</t>
  </si>
  <si>
    <t>DW</t>
  </si>
  <si>
    <t>Cp</t>
  </si>
  <si>
    <t>AICC</t>
  </si>
  <si>
    <t>PC</t>
  </si>
  <si>
    <t>Analysis of variance (age):</t>
  </si>
  <si>
    <t>Sum of squares</t>
  </si>
  <si>
    <t>Mean squares</t>
  </si>
  <si>
    <t>Pr &gt; F</t>
  </si>
  <si>
    <t>p-values signification codes</t>
  </si>
  <si>
    <t>Model</t>
  </si>
  <si>
    <t>Corrected Total</t>
  </si>
  <si>
    <t>***</t>
  </si>
  <si>
    <t>Computed against model Y=Mean(Y)</t>
  </si>
  <si>
    <t>Signification codes: 0 &lt; *** &lt; 0.001 &lt; ** &lt; 0.01 &lt; * &lt; 0.05 &lt; . &lt; 0.1 &lt; ° &lt; 1</t>
  </si>
  <si>
    <t>Model parameters (age):</t>
  </si>
  <si>
    <t>t</t>
  </si>
  <si>
    <t>Pr &gt; |t|</t>
  </si>
  <si>
    <t>Lower bound (95%)</t>
  </si>
  <si>
    <t>Upper bound (95%)</t>
  </si>
  <si>
    <t>Equation of the model (age):</t>
  </si>
  <si>
    <t>age = 45.1457293991185+3.74419575982615E-02*chol</t>
  </si>
  <si>
    <t>Standardized coefficients (age):</t>
  </si>
  <si>
    <t>Predictions and residuals (age):</t>
  </si>
  <si>
    <t>Weight</t>
  </si>
  <si>
    <t>Pred(age)</t>
  </si>
  <si>
    <t>Std. residual</t>
  </si>
  <si>
    <t>Std. dev. on pred. (Mean)</t>
  </si>
  <si>
    <t>Lower bound 95% (Mean)</t>
  </si>
  <si>
    <t>Upper bound 95% (Mean)</t>
  </si>
  <si>
    <t>Std. dev. on pred. (Observation)</t>
  </si>
  <si>
    <t>Lower bound 95% (Observation)</t>
  </si>
  <si>
    <t>Upper bound 95% (Observation)</t>
  </si>
  <si>
    <r>
      <t>XLSTAT 2024.2.2.1422 - Linear regression - Start time: 24/08/2024 at 09:53:35 / End time: 24/08/2024 at 09:53:37</t>
    </r>
    <r>
      <rPr>
        <sz val="11"/>
        <color rgb="FFFFFFFF"/>
        <rFont val="Calibri"/>
        <family val="2"/>
        <scheme val="minor"/>
      </rPr>
      <t xml:space="preserve"> / Microsoft Excel 16.017830</t>
    </r>
  </si>
  <si>
    <r>
      <rPr>
        <b/>
        <sz val="11"/>
        <color theme="1"/>
        <rFont val="Calibri"/>
        <family val="2"/>
        <scheme val="minor"/>
      </rPr>
      <t xml:space="preserve">Conclusion: </t>
    </r>
    <r>
      <rPr>
        <sz val="11"/>
        <color theme="1"/>
        <rFont val="Calibri"/>
        <family val="2"/>
        <scheme val="minor"/>
      </rPr>
      <t>The logistic regression model suggests that chest pain type is the most significant predictor of heart attack risk, followed by sex and age.</t>
    </r>
  </si>
  <si>
    <t>expected_sum = sum(observed)</t>
  </si>
  <si>
    <t>expected = [expected_sum / len(observed)] * len(observed)</t>
  </si>
  <si>
    <t>Chi-Square Statistic:</t>
  </si>
  <si>
    <t>P-value:</t>
  </si>
  <si>
    <t>observed</t>
  </si>
  <si>
    <t>expected</t>
  </si>
  <si>
    <r>
      <rPr>
        <b/>
        <sz val="11"/>
        <color theme="1"/>
        <rFont val="Calibri"/>
        <family val="2"/>
        <scheme val="minor"/>
      </rPr>
      <t xml:space="preserve">Conclusion: </t>
    </r>
    <r>
      <rPr>
        <sz val="11"/>
        <color theme="1"/>
        <rFont val="Calibri"/>
        <family val="2"/>
        <scheme val="minor"/>
      </rPr>
      <t>Given the high Chi-Square statistic and low p-value, we can confidently reject the null hypothesis, concluding that the observed distribution of chest pain types in the sample significantly differs from the expected distribution.</t>
    </r>
  </si>
  <si>
    <t>Chi-Square Goodness of fit:</t>
  </si>
  <si>
    <t>age coeficients</t>
  </si>
  <si>
    <t>sex coeficients</t>
  </si>
  <si>
    <t>cp coeficients</t>
  </si>
  <si>
    <r>
      <rPr>
        <b/>
        <sz val="11"/>
        <color theme="1"/>
        <rFont val="Calibri"/>
        <family val="2"/>
        <scheme val="minor"/>
      </rPr>
      <t>Test:</t>
    </r>
    <r>
      <rPr>
        <sz val="11"/>
        <color theme="1"/>
        <rFont val="Calibri"/>
        <family val="2"/>
        <scheme val="minor"/>
      </rPr>
      <t xml:space="preserve"> redict the likelihood of having a heart attack based on factors like age, sex, and chest pain type.</t>
    </r>
  </si>
  <si>
    <r>
      <t>Test:</t>
    </r>
    <r>
      <rPr>
        <sz val="12"/>
        <color theme="1"/>
        <rFont val="Calibri"/>
        <family val="2"/>
        <scheme val="minor"/>
      </rPr>
      <t xml:space="preserve"> Test if the distribution of chest pain types in your sample matches a known distribution.</t>
    </r>
  </si>
  <si>
    <r>
      <rPr>
        <b/>
        <sz val="11"/>
        <color theme="1"/>
        <rFont val="Calibri"/>
        <family val="2"/>
        <scheme val="minor"/>
      </rPr>
      <t>Test:</t>
    </r>
    <r>
      <rPr>
        <sz val="11"/>
        <color theme="1"/>
        <rFont val="Calibri"/>
        <family val="2"/>
        <scheme val="minor"/>
      </rPr>
      <t xml:space="preserve"> Test if there is an association between exercise-induced angina and the likelihood of a heart attack.</t>
    </r>
  </si>
  <si>
    <t>Chi-Square Test of Independence:</t>
  </si>
  <si>
    <t>Row Total</t>
  </si>
  <si>
    <t>Column Total</t>
  </si>
  <si>
    <t>output = 1</t>
  </si>
  <si>
    <t>output = 0</t>
  </si>
  <si>
    <t>Exng = 1</t>
  </si>
  <si>
    <t>Exng = 0</t>
  </si>
  <si>
    <t>Contingency Table: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</si>
</sst>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&lt;0.0001]&quot;&lt;0.0001&quot;;0.000"/>
  </numFmts>
  <fonts count="2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Times New Roman"/>
      <family val="1"/>
    </font>
    <font>
      <sz val="11"/>
      <color theme="1"/>
      <name val="Times New Roman"/>
      <family val="1"/>
    </font>
    <font>
      <b/>
      <sz val="12"/>
      <color theme="1"/>
      <name val="Times New Roman"/>
      <family val="1"/>
    </font>
    <font>
      <b/>
      <sz val="11"/>
      <color theme="1"/>
      <name val="Times New Roman"/>
      <family val="1"/>
    </font>
    <font>
      <b/>
      <sz val="16"/>
      <color theme="1"/>
      <name val="Times New Roman"/>
      <family val="1"/>
    </font>
    <font>
      <i/>
      <sz val="11"/>
      <color theme="1"/>
      <name val="Calibri"/>
      <family val="2"/>
      <scheme val="minor"/>
    </font>
    <font>
      <b/>
      <sz val="13.5"/>
      <color theme="1"/>
      <name val="Calibri"/>
      <family val="2"/>
      <scheme val="minor"/>
    </font>
    <font>
      <sz val="10"/>
      <color theme="1"/>
      <name val="Arial Unicode MS"/>
    </font>
    <font>
      <b/>
      <sz val="10"/>
      <color theme="1"/>
      <name val="Arial Unicode MS"/>
    </font>
    <font>
      <sz val="11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8941"/>
      <name val="Calibri"/>
      <family val="2"/>
      <scheme val="minor"/>
    </font>
    <font>
      <sz val="11"/>
      <color rgb="FF007800"/>
      <name val="Calibri"/>
      <family val="2"/>
      <scheme val="minor"/>
    </font>
    <font>
      <b/>
      <sz val="11"/>
      <color rgb="FF007800"/>
      <name val="Calibri"/>
      <family val="2"/>
      <scheme val="minor"/>
    </font>
    <font>
      <sz val="9"/>
      <color indexed="81"/>
      <name val="Tahoma"/>
      <family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95217"/>
        <bgColor indexed="64"/>
      </patternFill>
    </fill>
  </fills>
  <borders count="4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46">
    <xf numFmtId="0" fontId="0" fillId="0" borderId="0" xfId="0"/>
    <xf numFmtId="0" fontId="1" fillId="0" borderId="0" xfId="0" applyFont="1"/>
    <xf numFmtId="0" fontId="3" fillId="0" borderId="0" xfId="0" applyFont="1"/>
    <xf numFmtId="0" fontId="4" fillId="0" borderId="2" xfId="0" applyFont="1" applyBorder="1"/>
    <xf numFmtId="0" fontId="4" fillId="0" borderId="3" xfId="0" applyFont="1" applyBorder="1"/>
    <xf numFmtId="0" fontId="4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7" xfId="0" applyFont="1" applyBorder="1"/>
    <xf numFmtId="0" fontId="3" fillId="0" borderId="11" xfId="0" applyFont="1" applyBorder="1"/>
    <xf numFmtId="0" fontId="3" fillId="0" borderId="12" xfId="0" applyFont="1" applyBorder="1"/>
    <xf numFmtId="0" fontId="3" fillId="0" borderId="8" xfId="0" applyFont="1" applyBorder="1"/>
    <xf numFmtId="0" fontId="3" fillId="0" borderId="13" xfId="0" applyFont="1" applyBorder="1"/>
    <xf numFmtId="0" fontId="5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6" fillId="0" borderId="0" xfId="0" applyFont="1"/>
    <xf numFmtId="0" fontId="2" fillId="0" borderId="0" xfId="0" applyFont="1"/>
    <xf numFmtId="0" fontId="3" fillId="0" borderId="0" xfId="0" quotePrefix="1" applyFont="1"/>
    <xf numFmtId="0" fontId="0" fillId="0" borderId="0" xfId="0" pivotButton="1"/>
    <xf numFmtId="0" fontId="0" fillId="0" borderId="0" xfId="0" applyAlignment="1">
      <alignment horizontal="left"/>
    </xf>
    <xf numFmtId="0" fontId="5" fillId="0" borderId="0" xfId="0" applyFont="1"/>
    <xf numFmtId="0" fontId="3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0" fillId="0" borderId="1" xfId="0" applyBorder="1"/>
    <xf numFmtId="0" fontId="7" fillId="0" borderId="14" xfId="0" applyFont="1" applyBorder="1" applyAlignment="1">
      <alignment horizontal="center"/>
    </xf>
    <xf numFmtId="0" fontId="8" fillId="0" borderId="0" xfId="0" applyFont="1" applyAlignment="1">
      <alignment vertical="center"/>
    </xf>
    <xf numFmtId="0" fontId="0" fillId="0" borderId="16" xfId="0" applyBorder="1"/>
    <xf numFmtId="0" fontId="0" fillId="0" borderId="17" xfId="0" applyBorder="1"/>
    <xf numFmtId="0" fontId="1" fillId="0" borderId="18" xfId="0" applyFont="1" applyBorder="1"/>
    <xf numFmtId="0" fontId="0" fillId="0" borderId="19" xfId="0" applyBorder="1"/>
    <xf numFmtId="0" fontId="0" fillId="0" borderId="18" xfId="0" applyBorder="1"/>
    <xf numFmtId="0" fontId="0" fillId="0" borderId="0" xfId="0" applyAlignment="1">
      <alignment horizontal="right"/>
    </xf>
    <xf numFmtId="0" fontId="1" fillId="0" borderId="15" xfId="0" applyFont="1" applyBorder="1"/>
    <xf numFmtId="0" fontId="7" fillId="0" borderId="22" xfId="0" applyFont="1" applyBorder="1" applyAlignment="1">
      <alignment horizontal="center"/>
    </xf>
    <xf numFmtId="0" fontId="0" fillId="0" borderId="23" xfId="0" applyBorder="1"/>
    <xf numFmtId="0" fontId="0" fillId="0" borderId="24" xfId="0" applyBorder="1"/>
    <xf numFmtId="0" fontId="7" fillId="0" borderId="25" xfId="0" applyFont="1" applyBorder="1" applyAlignment="1">
      <alignment horizontal="center"/>
    </xf>
    <xf numFmtId="0" fontId="0" fillId="0" borderId="26" xfId="0" applyBorder="1"/>
    <xf numFmtId="0" fontId="0" fillId="0" borderId="27" xfId="0" applyBorder="1"/>
    <xf numFmtId="0" fontId="7" fillId="0" borderId="28" xfId="0" applyFont="1" applyBorder="1" applyAlignment="1">
      <alignment horizontal="center"/>
    </xf>
    <xf numFmtId="0" fontId="0" fillId="0" borderId="20" xfId="0" applyBorder="1"/>
    <xf numFmtId="0" fontId="0" fillId="0" borderId="21" xfId="0" applyBorder="1"/>
    <xf numFmtId="0" fontId="1" fillId="0" borderId="18" xfId="0" applyFont="1" applyBorder="1" applyAlignment="1">
      <alignment horizontal="left" vertical="center" indent="1"/>
    </xf>
    <xf numFmtId="0" fontId="1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7" fillId="0" borderId="32" xfId="0" applyFont="1" applyBorder="1" applyAlignment="1">
      <alignment horizontal="center"/>
    </xf>
    <xf numFmtId="0" fontId="8" fillId="0" borderId="18" xfId="0" applyFont="1" applyBorder="1" applyAlignment="1">
      <alignment vertical="center"/>
    </xf>
    <xf numFmtId="0" fontId="1" fillId="0" borderId="18" xfId="0" applyFont="1" applyBorder="1" applyAlignment="1">
      <alignment horizontal="left" vertical="center" indent="2"/>
    </xf>
    <xf numFmtId="0" fontId="7" fillId="0" borderId="14" xfId="0" applyFont="1" applyBorder="1" applyAlignment="1">
      <alignment horizontal="centerContinuous"/>
    </xf>
    <xf numFmtId="0" fontId="0" fillId="0" borderId="15" xfId="0" applyBorder="1"/>
    <xf numFmtId="0" fontId="1" fillId="0" borderId="18" xfId="0" applyFont="1" applyBorder="1" applyAlignment="1">
      <alignment wrapText="1"/>
    </xf>
    <xf numFmtId="0" fontId="1" fillId="0" borderId="0" xfId="0" applyFont="1" applyAlignment="1">
      <alignment horizontal="center"/>
    </xf>
    <xf numFmtId="0" fontId="11" fillId="2" borderId="0" xfId="0" applyFont="1" applyFill="1" applyAlignment="1">
      <alignment vertical="center"/>
    </xf>
    <xf numFmtId="49" fontId="0" fillId="0" borderId="0" xfId="0" applyNumberFormat="1"/>
    <xf numFmtId="0" fontId="0" fillId="0" borderId="16" xfId="0" applyBorder="1" applyAlignment="1">
      <alignment horizontal="center" vertical="center" wrapText="1"/>
    </xf>
    <xf numFmtId="49" fontId="0" fillId="0" borderId="16" xfId="0" applyNumberFormat="1" applyBorder="1" applyAlignment="1">
      <alignment horizontal="center" vertical="center" wrapText="1"/>
    </xf>
    <xf numFmtId="49" fontId="0" fillId="0" borderId="33" xfId="0" applyNumberFormat="1" applyBorder="1"/>
    <xf numFmtId="49" fontId="0" fillId="0" borderId="1" xfId="0" applyNumberFormat="1" applyBorder="1"/>
    <xf numFmtId="0" fontId="0" fillId="0" borderId="33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4" fontId="0" fillId="0" borderId="33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1" xfId="0" applyNumberFormat="1" applyBorder="1" applyAlignment="1">
      <alignment horizontal="center"/>
    </xf>
    <xf numFmtId="0" fontId="13" fillId="0" borderId="33" xfId="0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3" fillId="0" borderId="33" xfId="0" applyFont="1" applyBorder="1" applyAlignment="1">
      <alignment horizontal="left"/>
    </xf>
    <xf numFmtId="0" fontId="13" fillId="0" borderId="1" xfId="0" applyFont="1" applyBorder="1" applyAlignment="1">
      <alignment horizontal="left"/>
    </xf>
    <xf numFmtId="49" fontId="13" fillId="0" borderId="33" xfId="0" applyNumberFormat="1" applyFont="1" applyBorder="1" applyAlignment="1">
      <alignment horizontal="center"/>
    </xf>
    <xf numFmtId="49" fontId="13" fillId="0" borderId="1" xfId="0" applyNumberFormat="1" applyFont="1" applyBorder="1" applyAlignment="1">
      <alignment horizontal="center"/>
    </xf>
    <xf numFmtId="164" fontId="13" fillId="0" borderId="33" xfId="0" applyNumberFormat="1" applyFont="1" applyBorder="1" applyAlignment="1">
      <alignment horizontal="center"/>
    </xf>
    <xf numFmtId="164" fontId="13" fillId="0" borderId="1" xfId="0" applyNumberFormat="1" applyFont="1" applyBorder="1" applyAlignment="1">
      <alignment horizontal="center"/>
    </xf>
    <xf numFmtId="49" fontId="14" fillId="0" borderId="16" xfId="0" applyNumberFormat="1" applyFont="1" applyBorder="1" applyAlignment="1">
      <alignment horizontal="center" vertical="center" wrapText="1"/>
    </xf>
    <xf numFmtId="49" fontId="14" fillId="0" borderId="1" xfId="0" applyNumberFormat="1" applyFont="1" applyBorder="1"/>
    <xf numFmtId="164" fontId="14" fillId="0" borderId="33" xfId="0" applyNumberFormat="1" applyFont="1" applyBorder="1" applyAlignment="1">
      <alignment horizontal="center"/>
    </xf>
    <xf numFmtId="164" fontId="14" fillId="0" borderId="0" xfId="0" applyNumberFormat="1" applyFont="1" applyAlignment="1">
      <alignment horizontal="center"/>
    </xf>
    <xf numFmtId="164" fontId="14" fillId="0" borderId="1" xfId="0" applyNumberFormat="1" applyFont="1" applyBorder="1" applyAlignment="1">
      <alignment horizontal="center"/>
    </xf>
    <xf numFmtId="0" fontId="1" fillId="0" borderId="33" xfId="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165" fontId="0" fillId="0" borderId="33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16" xfId="0" applyBorder="1" applyAlignment="1">
      <alignment horizontal="center" vertical="center"/>
    </xf>
    <xf numFmtId="49" fontId="0" fillId="0" borderId="34" xfId="0" applyNumberFormat="1" applyBorder="1"/>
    <xf numFmtId="164" fontId="0" fillId="0" borderId="34" xfId="0" applyNumberFormat="1" applyBorder="1" applyAlignment="1">
      <alignment horizontal="center"/>
    </xf>
    <xf numFmtId="0" fontId="0" fillId="0" borderId="34" xfId="0" applyBorder="1" applyAlignment="1">
      <alignment horizontal="center"/>
    </xf>
    <xf numFmtId="165" fontId="0" fillId="0" borderId="34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5" xfId="0" applyNumberFormat="1" applyBorder="1" applyAlignment="1">
      <alignment horizontal="center" vertical="center" wrapText="1"/>
    </xf>
    <xf numFmtId="0" fontId="0" fillId="0" borderId="36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7" xfId="0" applyBorder="1" applyAlignment="1">
      <alignment horizontal="center"/>
    </xf>
    <xf numFmtId="10" fontId="0" fillId="0" borderId="36" xfId="0" applyNumberFormat="1" applyBorder="1" applyAlignment="1">
      <alignment horizontal="center"/>
    </xf>
    <xf numFmtId="10" fontId="0" fillId="0" borderId="26" xfId="0" applyNumberFormat="1" applyBorder="1" applyAlignment="1">
      <alignment horizontal="center"/>
    </xf>
    <xf numFmtId="10" fontId="0" fillId="0" borderId="37" xfId="0" applyNumberFormat="1" applyBorder="1" applyAlignment="1">
      <alignment horizontal="center"/>
    </xf>
    <xf numFmtId="164" fontId="0" fillId="0" borderId="0" xfId="0" applyNumberFormat="1"/>
    <xf numFmtId="0" fontId="17" fillId="0" borderId="0" xfId="0" applyFont="1"/>
    <xf numFmtId="49" fontId="13" fillId="0" borderId="33" xfId="0" applyNumberFormat="1" applyFont="1" applyBorder="1"/>
    <xf numFmtId="49" fontId="0" fillId="0" borderId="16" xfId="0" applyNumberFormat="1" applyBorder="1"/>
    <xf numFmtId="0" fontId="0" fillId="0" borderId="16" xfId="0" applyBorder="1" applyAlignment="1">
      <alignment horizontal="center"/>
    </xf>
    <xf numFmtId="165" fontId="1" fillId="0" borderId="33" xfId="0" applyNumberFormat="1" applyFont="1" applyBorder="1" applyAlignment="1">
      <alignment horizontal="center"/>
    </xf>
    <xf numFmtId="165" fontId="1" fillId="0" borderId="0" xfId="0" applyNumberFormat="1" applyFont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7" fillId="0" borderId="0" xfId="0" applyFont="1"/>
    <xf numFmtId="165" fontId="1" fillId="0" borderId="34" xfId="0" applyNumberFormat="1" applyFont="1" applyBorder="1" applyAlignment="1">
      <alignment horizontal="center"/>
    </xf>
    <xf numFmtId="0" fontId="0" fillId="0" borderId="38" xfId="0" applyBorder="1"/>
    <xf numFmtId="0" fontId="0" fillId="0" borderId="39" xfId="0" applyBorder="1"/>
    <xf numFmtId="0" fontId="1" fillId="0" borderId="40" xfId="0" applyFont="1" applyBorder="1"/>
    <xf numFmtId="0" fontId="1" fillId="0" borderId="41" xfId="0" applyFont="1" applyBorder="1"/>
    <xf numFmtId="0" fontId="0" fillId="0" borderId="42" xfId="0" applyBorder="1"/>
    <xf numFmtId="0" fontId="0" fillId="0" borderId="36" xfId="0" applyBorder="1"/>
    <xf numFmtId="0" fontId="19" fillId="0" borderId="0" xfId="0" applyFont="1"/>
    <xf numFmtId="0" fontId="1" fillId="0" borderId="20" xfId="0" applyFont="1" applyBorder="1"/>
    <xf numFmtId="0" fontId="20" fillId="0" borderId="0" xfId="0" applyFont="1"/>
    <xf numFmtId="0" fontId="1" fillId="0" borderId="0" xfId="0" applyFont="1" applyAlignment="1">
      <alignment vertical="center" wrapText="1"/>
    </xf>
    <xf numFmtId="0" fontId="2" fillId="0" borderId="1" xfId="0" applyFont="1" applyBorder="1" applyAlignment="1">
      <alignment horizontal="center"/>
    </xf>
    <xf numFmtId="0" fontId="1" fillId="0" borderId="20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 wrapText="1"/>
    </xf>
    <xf numFmtId="0" fontId="1" fillId="0" borderId="18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29" xfId="0" applyFont="1" applyBorder="1" applyAlignment="1">
      <alignment horizontal="center" vertical="center" wrapText="1"/>
    </xf>
    <xf numFmtId="0" fontId="1" fillId="0" borderId="30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 wrapText="1"/>
    </xf>
    <xf numFmtId="0" fontId="1" fillId="0" borderId="29" xfId="0" applyFont="1" applyBorder="1" applyAlignment="1">
      <alignment horizontal="center" wrapText="1"/>
    </xf>
    <xf numFmtId="0" fontId="1" fillId="0" borderId="30" xfId="0" applyFont="1" applyBorder="1" applyAlignment="1">
      <alignment horizontal="center" wrapText="1"/>
    </xf>
    <xf numFmtId="0" fontId="1" fillId="0" borderId="31" xfId="0" applyFont="1" applyBorder="1" applyAlignment="1">
      <alignment horizontal="center" wrapText="1"/>
    </xf>
    <xf numFmtId="0" fontId="1" fillId="0" borderId="18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19" xfId="0" applyFont="1" applyBorder="1" applyAlignment="1">
      <alignment horizontal="center" vertical="center" wrapText="1"/>
    </xf>
    <xf numFmtId="0" fontId="1" fillId="0" borderId="18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1" fillId="0" borderId="19" xfId="0" applyFont="1" applyBorder="1" applyAlignment="1">
      <alignment horizontal="center" wrapText="1"/>
    </xf>
    <xf numFmtId="0" fontId="12" fillId="2" borderId="0" xfId="0" applyFont="1" applyFill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wrapText="1"/>
    </xf>
  </cellXfs>
  <cellStyles count="1">
    <cellStyle name="Normal" xfId="0" builtinId="0"/>
  </cellStyles>
  <dxfs count="6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Chest Pain Type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strRef>
              <c:f>des.Analysis!$C$27</c:f>
              <c:strCache>
                <c:ptCount val="1"/>
              </c:strCache>
            </c:strRef>
          </c:tx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2BE-48A4-AC3C-105C39BEAD28}"/>
              </c:ext>
            </c:extLst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2BE-48A4-AC3C-105C39BEAD28}"/>
              </c:ext>
            </c:extLst>
          </c:dPt>
          <c:dPt>
            <c:idx val="2"/>
            <c:invertIfNegative val="0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72BE-48A4-AC3C-105C39BEAD28}"/>
              </c:ext>
            </c:extLst>
          </c:dPt>
          <c:dPt>
            <c:idx val="3"/>
            <c:invertIfNegative val="0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72BE-48A4-AC3C-105C39BEAD2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des.Analysis!$B$28:$B$31</c:f>
              <c:strCache>
                <c:ptCount val="4"/>
                <c:pt idx="0">
                  <c:v>0: typical angina</c:v>
                </c:pt>
                <c:pt idx="1">
                  <c:v>1: atypical angina</c:v>
                </c:pt>
                <c:pt idx="2">
                  <c:v>2: non-anginal pain</c:v>
                </c:pt>
                <c:pt idx="3">
                  <c:v>3: asymptomatic</c:v>
                </c:pt>
              </c:strCache>
            </c:strRef>
          </c:cat>
          <c:val>
            <c:numRef>
              <c:f>des.Analysis!$C$28:$C$31</c:f>
              <c:numCache>
                <c:formatCode>General</c:formatCode>
                <c:ptCount val="4"/>
                <c:pt idx="0">
                  <c:v>143</c:v>
                </c:pt>
                <c:pt idx="1">
                  <c:v>50</c:v>
                </c:pt>
                <c:pt idx="2">
                  <c:v>87</c:v>
                </c:pt>
                <c:pt idx="3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D3-4457-B949-31384572462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2133043615"/>
        <c:axId val="2133044095"/>
      </c:barChart>
      <c:catAx>
        <c:axId val="213304361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044095"/>
        <c:crosses val="autoZero"/>
        <c:auto val="1"/>
        <c:lblAlgn val="ctr"/>
        <c:lblOffset val="100"/>
        <c:noMultiLvlLbl val="0"/>
      </c:catAx>
      <c:valAx>
        <c:axId val="21330440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0436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IN"/>
              <a:t>output / Standardized coefficients
(95% conf. interval)</a:t>
            </a:r>
          </a:p>
        </c:rich>
      </c:tx>
      <c:layout>
        <c:manualLayout>
          <c:xMode val="edge"/>
          <c:yMode val="edge"/>
          <c:x val="0.25732151239281492"/>
          <c:y val="2.3529411764705882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0FB8-435B-BAD0-5146552A9D50}"/>
              </c:ext>
            </c:extLst>
          </c:dPt>
          <c:dPt>
            <c:idx val="1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0FB8-435B-BAD0-5146552A9D50}"/>
              </c:ext>
            </c:extLst>
          </c:dPt>
          <c:dPt>
            <c:idx val="2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0FB8-435B-BAD0-5146552A9D5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BarType val="both"/>
            <c:errValType val="cust"/>
            <c:noEndCap val="0"/>
            <c:plus>
              <c:numLit>
                <c:formatCode>General</c:formatCode>
                <c:ptCount val="3"/>
                <c:pt idx="0">
                  <c:v>0.16584146833933175</c:v>
                </c:pt>
                <c:pt idx="1">
                  <c:v>0.16448675378516175</c:v>
                </c:pt>
                <c:pt idx="2">
                  <c:v>0.16399295574515715</c:v>
                </c:pt>
              </c:numLit>
            </c:plus>
            <c:minus>
              <c:numLit>
                <c:formatCode>General</c:formatCode>
                <c:ptCount val="3"/>
                <c:pt idx="0">
                  <c:v>0.16584146833933172</c:v>
                </c:pt>
                <c:pt idx="1">
                  <c:v>0.16448675378516181</c:v>
                </c:pt>
                <c:pt idx="2">
                  <c:v>0.1639929557451571</c:v>
                </c:pt>
              </c:numLit>
            </c:minus>
          </c:errBars>
          <c:cat>
            <c:strRef>
              <c:f>regression!$F$436:$F$438</c:f>
              <c:strCache>
                <c:ptCount val="3"/>
                <c:pt idx="0">
                  <c:v>age</c:v>
                </c:pt>
                <c:pt idx="1">
                  <c:v>sex</c:v>
                </c:pt>
                <c:pt idx="2">
                  <c:v>cp</c:v>
                </c:pt>
              </c:strCache>
            </c:strRef>
          </c:cat>
          <c:val>
            <c:numRef>
              <c:f>regression!$G$436:$G$438</c:f>
              <c:numCache>
                <c:formatCode>0.000</c:formatCode>
                <c:ptCount val="3"/>
                <c:pt idx="0">
                  <c:v>-0.36420794468634793</c:v>
                </c:pt>
                <c:pt idx="1">
                  <c:v>-0.43881904394466215</c:v>
                </c:pt>
                <c:pt idx="2">
                  <c:v>0.58262182421755515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FB8-435B-BAD0-5146552A9D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934235759"/>
        <c:axId val="934242959"/>
      </c:barChart>
      <c:catAx>
        <c:axId val="9342357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Variable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one"/>
        <c:txPr>
          <a:bodyPr rot="0" vert="horz"/>
          <a:lstStyle/>
          <a:p>
            <a:pPr>
              <a:defRPr sz="700"/>
            </a:pPr>
            <a:endParaRPr lang="en-US"/>
          </a:p>
        </c:txPr>
        <c:crossAx val="934242959"/>
        <c:crosses val="autoZero"/>
        <c:auto val="1"/>
        <c:lblAlgn val="ctr"/>
        <c:lblOffset val="100"/>
        <c:noMultiLvlLbl val="0"/>
      </c:catAx>
      <c:valAx>
        <c:axId val="934242959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Standardized coefficients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934235759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IN"/>
              <a:t>ROC Curve (AUC=0.822)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6350">
              <a:solidFill>
                <a:srgbClr val="2A7498"/>
              </a:solidFill>
              <a:prstDash val="solid"/>
            </a:ln>
            <a:effectLst/>
          </c:spPr>
          <c:marker>
            <c:symbol val="none"/>
          </c:marker>
          <c:xVal>
            <c:numRef>
              <c:f>Sheet5_HID_HID!$A$1:$A$304</c:f>
              <c:numCache>
                <c:formatCode>General</c:formatCode>
                <c:ptCount val="304"/>
                <c:pt idx="0">
                  <c:v>1</c:v>
                </c:pt>
                <c:pt idx="1">
                  <c:v>0.99275362318840576</c:v>
                </c:pt>
                <c:pt idx="2">
                  <c:v>0.98550724637681153</c:v>
                </c:pt>
                <c:pt idx="3">
                  <c:v>0.97826086956521729</c:v>
                </c:pt>
                <c:pt idx="4">
                  <c:v>0.97101449275362306</c:v>
                </c:pt>
                <c:pt idx="5">
                  <c:v>0.96376811594202882</c:v>
                </c:pt>
                <c:pt idx="6">
                  <c:v>0.95652173913043459</c:v>
                </c:pt>
                <c:pt idx="7">
                  <c:v>0.94927536231884035</c:v>
                </c:pt>
                <c:pt idx="8">
                  <c:v>0.94202898550724612</c:v>
                </c:pt>
                <c:pt idx="9">
                  <c:v>0.93478260869565188</c:v>
                </c:pt>
                <c:pt idx="10">
                  <c:v>0.93478260869565188</c:v>
                </c:pt>
                <c:pt idx="11">
                  <c:v>0.93478260869565188</c:v>
                </c:pt>
                <c:pt idx="12">
                  <c:v>0.92753623188405765</c:v>
                </c:pt>
                <c:pt idx="13">
                  <c:v>0.92753623188405765</c:v>
                </c:pt>
                <c:pt idx="14">
                  <c:v>0.92028985507246341</c:v>
                </c:pt>
                <c:pt idx="15">
                  <c:v>0.91304347826086918</c:v>
                </c:pt>
                <c:pt idx="16">
                  <c:v>0.91304347826086918</c:v>
                </c:pt>
                <c:pt idx="17">
                  <c:v>0.90579710144927494</c:v>
                </c:pt>
                <c:pt idx="18">
                  <c:v>0.89855072463768071</c:v>
                </c:pt>
                <c:pt idx="19">
                  <c:v>0.89130434782608647</c:v>
                </c:pt>
                <c:pt idx="20">
                  <c:v>0.88405797101449224</c:v>
                </c:pt>
                <c:pt idx="21">
                  <c:v>0.876811594202898</c:v>
                </c:pt>
                <c:pt idx="22">
                  <c:v>0.86956521739130377</c:v>
                </c:pt>
                <c:pt idx="23">
                  <c:v>0.86231884057970953</c:v>
                </c:pt>
                <c:pt idx="24">
                  <c:v>0.8550724637681153</c:v>
                </c:pt>
                <c:pt idx="25">
                  <c:v>0.84782608695652106</c:v>
                </c:pt>
                <c:pt idx="26">
                  <c:v>0.84057971014492683</c:v>
                </c:pt>
                <c:pt idx="27">
                  <c:v>0.83333333333333259</c:v>
                </c:pt>
                <c:pt idx="28">
                  <c:v>0.82608695652173836</c:v>
                </c:pt>
                <c:pt idx="29">
                  <c:v>0.81884057971014412</c:v>
                </c:pt>
                <c:pt idx="30">
                  <c:v>0.81159420289854989</c:v>
                </c:pt>
                <c:pt idx="31">
                  <c:v>0.80434782608695565</c:v>
                </c:pt>
                <c:pt idx="32">
                  <c:v>0.79710144927536142</c:v>
                </c:pt>
                <c:pt idx="33">
                  <c:v>0.79710144927536142</c:v>
                </c:pt>
                <c:pt idx="34">
                  <c:v>0.79710144927536142</c:v>
                </c:pt>
                <c:pt idx="35">
                  <c:v>0.78985507246376718</c:v>
                </c:pt>
                <c:pt idx="36">
                  <c:v>0.78260869565217295</c:v>
                </c:pt>
                <c:pt idx="37">
                  <c:v>0.77536231884057871</c:v>
                </c:pt>
                <c:pt idx="38">
                  <c:v>0.76811594202898448</c:v>
                </c:pt>
                <c:pt idx="39">
                  <c:v>0.76086956521739024</c:v>
                </c:pt>
                <c:pt idx="40">
                  <c:v>0.75362318840579601</c:v>
                </c:pt>
                <c:pt idx="41">
                  <c:v>0.74637681159420177</c:v>
                </c:pt>
                <c:pt idx="42">
                  <c:v>0.73913043478260754</c:v>
                </c:pt>
                <c:pt idx="43">
                  <c:v>0.7318840579710133</c:v>
                </c:pt>
                <c:pt idx="44">
                  <c:v>0.72463768115941907</c:v>
                </c:pt>
                <c:pt idx="45">
                  <c:v>0.71739130434782483</c:v>
                </c:pt>
                <c:pt idx="46">
                  <c:v>0.71739130434782483</c:v>
                </c:pt>
                <c:pt idx="47">
                  <c:v>0.71739130434782483</c:v>
                </c:pt>
                <c:pt idx="48">
                  <c:v>0.71739130434782483</c:v>
                </c:pt>
                <c:pt idx="49">
                  <c:v>0.7101449275362306</c:v>
                </c:pt>
                <c:pt idx="50">
                  <c:v>0.70289855072463636</c:v>
                </c:pt>
                <c:pt idx="51">
                  <c:v>0.69565217391304213</c:v>
                </c:pt>
                <c:pt idx="52">
                  <c:v>0.68840579710144789</c:v>
                </c:pt>
                <c:pt idx="53">
                  <c:v>0.68115942028985366</c:v>
                </c:pt>
                <c:pt idx="54">
                  <c:v>0.67391304347825942</c:v>
                </c:pt>
                <c:pt idx="55">
                  <c:v>0.66666666666666519</c:v>
                </c:pt>
                <c:pt idx="56">
                  <c:v>0.65942028985507095</c:v>
                </c:pt>
                <c:pt idx="57">
                  <c:v>0.65942028985507095</c:v>
                </c:pt>
                <c:pt idx="58">
                  <c:v>0.65217391304347672</c:v>
                </c:pt>
                <c:pt idx="59">
                  <c:v>0.64492753623188248</c:v>
                </c:pt>
                <c:pt idx="60">
                  <c:v>0.63768115942028825</c:v>
                </c:pt>
                <c:pt idx="61">
                  <c:v>0.63768115942028825</c:v>
                </c:pt>
                <c:pt idx="62">
                  <c:v>0.63043478260869401</c:v>
                </c:pt>
                <c:pt idx="63">
                  <c:v>0.62318840579709978</c:v>
                </c:pt>
                <c:pt idx="64">
                  <c:v>0.61594202898550554</c:v>
                </c:pt>
                <c:pt idx="65">
                  <c:v>0.60869565217391131</c:v>
                </c:pt>
                <c:pt idx="66">
                  <c:v>0.60144927536231707</c:v>
                </c:pt>
                <c:pt idx="67">
                  <c:v>0.60144927536231707</c:v>
                </c:pt>
                <c:pt idx="68">
                  <c:v>0.59420289855072284</c:v>
                </c:pt>
                <c:pt idx="69">
                  <c:v>0.5869565217391286</c:v>
                </c:pt>
                <c:pt idx="70">
                  <c:v>0.5869565217391286</c:v>
                </c:pt>
                <c:pt idx="71">
                  <c:v>0.57971014492753437</c:v>
                </c:pt>
                <c:pt idx="72">
                  <c:v>0.57246376811594013</c:v>
                </c:pt>
                <c:pt idx="73">
                  <c:v>0.5652173913043459</c:v>
                </c:pt>
                <c:pt idx="74">
                  <c:v>0.55797101449275166</c:v>
                </c:pt>
                <c:pt idx="75">
                  <c:v>0.55072463768115743</c:v>
                </c:pt>
                <c:pt idx="76">
                  <c:v>0.55072463768115743</c:v>
                </c:pt>
                <c:pt idx="77">
                  <c:v>0.54347826086956319</c:v>
                </c:pt>
                <c:pt idx="78">
                  <c:v>0.53623188405796895</c:v>
                </c:pt>
                <c:pt idx="79">
                  <c:v>0.52898550724637472</c:v>
                </c:pt>
                <c:pt idx="80">
                  <c:v>0.52173913043478048</c:v>
                </c:pt>
                <c:pt idx="81">
                  <c:v>0.52173913043478048</c:v>
                </c:pt>
                <c:pt idx="82">
                  <c:v>0.51449275362318625</c:v>
                </c:pt>
                <c:pt idx="83">
                  <c:v>0.50724637681159201</c:v>
                </c:pt>
                <c:pt idx="84">
                  <c:v>0.50724637681159201</c:v>
                </c:pt>
                <c:pt idx="85">
                  <c:v>0.49999999999999784</c:v>
                </c:pt>
                <c:pt idx="86">
                  <c:v>0.49999999999999784</c:v>
                </c:pt>
                <c:pt idx="87">
                  <c:v>0.49999999999999784</c:v>
                </c:pt>
                <c:pt idx="88">
                  <c:v>0.49275362318840366</c:v>
                </c:pt>
                <c:pt idx="89">
                  <c:v>0.48550724637680948</c:v>
                </c:pt>
                <c:pt idx="90">
                  <c:v>0.4782608695652153</c:v>
                </c:pt>
                <c:pt idx="91">
                  <c:v>0.4782608695652153</c:v>
                </c:pt>
                <c:pt idx="92">
                  <c:v>0.4782608695652153</c:v>
                </c:pt>
                <c:pt idx="93">
                  <c:v>0.47101449275362112</c:v>
                </c:pt>
                <c:pt idx="94">
                  <c:v>0.47101449275362112</c:v>
                </c:pt>
                <c:pt idx="95">
                  <c:v>0.46376811594202694</c:v>
                </c:pt>
                <c:pt idx="96">
                  <c:v>0.45652173913043276</c:v>
                </c:pt>
                <c:pt idx="97">
                  <c:v>0.44927536231883858</c:v>
                </c:pt>
                <c:pt idx="98">
                  <c:v>0.44927536231883858</c:v>
                </c:pt>
                <c:pt idx="99">
                  <c:v>0.4420289855072444</c:v>
                </c:pt>
                <c:pt idx="100">
                  <c:v>0.4420289855072444</c:v>
                </c:pt>
                <c:pt idx="101">
                  <c:v>0.4420289855072444</c:v>
                </c:pt>
                <c:pt idx="102">
                  <c:v>0.4420289855072444</c:v>
                </c:pt>
                <c:pt idx="103">
                  <c:v>0.4420289855072444</c:v>
                </c:pt>
                <c:pt idx="104">
                  <c:v>0.43478260869565022</c:v>
                </c:pt>
                <c:pt idx="105">
                  <c:v>0.42753623188405604</c:v>
                </c:pt>
                <c:pt idx="106">
                  <c:v>0.42028985507246186</c:v>
                </c:pt>
                <c:pt idx="107">
                  <c:v>0.41304347826086768</c:v>
                </c:pt>
                <c:pt idx="108">
                  <c:v>0.4057971014492735</c:v>
                </c:pt>
                <c:pt idx="109">
                  <c:v>0.4057971014492735</c:v>
                </c:pt>
                <c:pt idx="110">
                  <c:v>0.39855072463767932</c:v>
                </c:pt>
                <c:pt idx="111">
                  <c:v>0.39855072463767932</c:v>
                </c:pt>
                <c:pt idx="112">
                  <c:v>0.39855072463767932</c:v>
                </c:pt>
                <c:pt idx="113">
                  <c:v>0.39855072463767932</c:v>
                </c:pt>
                <c:pt idx="114">
                  <c:v>0.39130434782608514</c:v>
                </c:pt>
                <c:pt idx="115">
                  <c:v>0.38405797101449096</c:v>
                </c:pt>
                <c:pt idx="116">
                  <c:v>0.37681159420289678</c:v>
                </c:pt>
                <c:pt idx="117">
                  <c:v>0.37681159420289678</c:v>
                </c:pt>
                <c:pt idx="118">
                  <c:v>0.3695652173913026</c:v>
                </c:pt>
                <c:pt idx="119">
                  <c:v>0.3695652173913026</c:v>
                </c:pt>
                <c:pt idx="120">
                  <c:v>0.3695652173913026</c:v>
                </c:pt>
                <c:pt idx="121">
                  <c:v>0.36231884057970842</c:v>
                </c:pt>
                <c:pt idx="122">
                  <c:v>0.35507246376811424</c:v>
                </c:pt>
                <c:pt idx="123">
                  <c:v>0.35507246376811424</c:v>
                </c:pt>
                <c:pt idx="124">
                  <c:v>0.34782608695652006</c:v>
                </c:pt>
                <c:pt idx="125">
                  <c:v>0.34782608695652006</c:v>
                </c:pt>
                <c:pt idx="126">
                  <c:v>0.34057971014492588</c:v>
                </c:pt>
                <c:pt idx="127">
                  <c:v>0.33333333333333171</c:v>
                </c:pt>
                <c:pt idx="128">
                  <c:v>0.32608695652173753</c:v>
                </c:pt>
                <c:pt idx="129">
                  <c:v>0.31884057971014335</c:v>
                </c:pt>
                <c:pt idx="130">
                  <c:v>0.31159420289854917</c:v>
                </c:pt>
                <c:pt idx="131">
                  <c:v>0.30434782608695499</c:v>
                </c:pt>
                <c:pt idx="132">
                  <c:v>0.30434782608695499</c:v>
                </c:pt>
                <c:pt idx="133">
                  <c:v>0.30434782608695499</c:v>
                </c:pt>
                <c:pt idx="134">
                  <c:v>0.29710144927536081</c:v>
                </c:pt>
                <c:pt idx="135">
                  <c:v>0.28985507246376663</c:v>
                </c:pt>
                <c:pt idx="136">
                  <c:v>0.28260869565217245</c:v>
                </c:pt>
                <c:pt idx="137">
                  <c:v>0.27536231884057827</c:v>
                </c:pt>
                <c:pt idx="138">
                  <c:v>0.27536231884057827</c:v>
                </c:pt>
                <c:pt idx="139">
                  <c:v>0.27536231884057827</c:v>
                </c:pt>
                <c:pt idx="140">
                  <c:v>0.27536231884057827</c:v>
                </c:pt>
                <c:pt idx="141">
                  <c:v>0.26811594202898409</c:v>
                </c:pt>
                <c:pt idx="142">
                  <c:v>0.26086956521738991</c:v>
                </c:pt>
                <c:pt idx="143">
                  <c:v>0.25362318840579573</c:v>
                </c:pt>
                <c:pt idx="144">
                  <c:v>0.25362318840579573</c:v>
                </c:pt>
                <c:pt idx="145">
                  <c:v>0.24637681159420152</c:v>
                </c:pt>
                <c:pt idx="146">
                  <c:v>0.23913043478260732</c:v>
                </c:pt>
                <c:pt idx="147">
                  <c:v>0.23188405797101311</c:v>
                </c:pt>
                <c:pt idx="148">
                  <c:v>0.2246376811594189</c:v>
                </c:pt>
                <c:pt idx="149">
                  <c:v>0.21739130434782469</c:v>
                </c:pt>
                <c:pt idx="150">
                  <c:v>0.21739130434782469</c:v>
                </c:pt>
                <c:pt idx="151">
                  <c:v>0.21739130434782469</c:v>
                </c:pt>
                <c:pt idx="152">
                  <c:v>0.21739130434782469</c:v>
                </c:pt>
                <c:pt idx="153">
                  <c:v>0.21014492753623049</c:v>
                </c:pt>
                <c:pt idx="154">
                  <c:v>0.21014492753623049</c:v>
                </c:pt>
                <c:pt idx="155">
                  <c:v>0.20289855072463628</c:v>
                </c:pt>
                <c:pt idx="156">
                  <c:v>0.20289855072463628</c:v>
                </c:pt>
                <c:pt idx="157">
                  <c:v>0.20289855072463628</c:v>
                </c:pt>
                <c:pt idx="158">
                  <c:v>0.20289855072463628</c:v>
                </c:pt>
                <c:pt idx="159">
                  <c:v>0.19565217391304207</c:v>
                </c:pt>
                <c:pt idx="160">
                  <c:v>0.19565217391304207</c:v>
                </c:pt>
                <c:pt idx="161">
                  <c:v>0.19565217391304207</c:v>
                </c:pt>
                <c:pt idx="162">
                  <c:v>0.18840579710144786</c:v>
                </c:pt>
                <c:pt idx="163">
                  <c:v>0.18115942028985366</c:v>
                </c:pt>
                <c:pt idx="164">
                  <c:v>0.18115942028985366</c:v>
                </c:pt>
                <c:pt idx="165">
                  <c:v>0.17391304347825945</c:v>
                </c:pt>
                <c:pt idx="166">
                  <c:v>0.16666666666666524</c:v>
                </c:pt>
                <c:pt idx="167">
                  <c:v>0.15942028985507103</c:v>
                </c:pt>
                <c:pt idx="168">
                  <c:v>0.15942028985507103</c:v>
                </c:pt>
                <c:pt idx="169">
                  <c:v>0.15942028985507103</c:v>
                </c:pt>
                <c:pt idx="170">
                  <c:v>0.15217391304347683</c:v>
                </c:pt>
                <c:pt idx="171">
                  <c:v>0.15217391304347683</c:v>
                </c:pt>
                <c:pt idx="172">
                  <c:v>0.15217391304347683</c:v>
                </c:pt>
                <c:pt idx="173">
                  <c:v>0.15217391304347683</c:v>
                </c:pt>
                <c:pt idx="174">
                  <c:v>0.15217391304347683</c:v>
                </c:pt>
                <c:pt idx="175">
                  <c:v>0.15217391304347683</c:v>
                </c:pt>
                <c:pt idx="176">
                  <c:v>0.14492753623188262</c:v>
                </c:pt>
                <c:pt idx="177">
                  <c:v>0.13768115942028841</c:v>
                </c:pt>
                <c:pt idx="178">
                  <c:v>0.13768115942028841</c:v>
                </c:pt>
                <c:pt idx="179">
                  <c:v>0.13768115942028841</c:v>
                </c:pt>
                <c:pt idx="180">
                  <c:v>0.13768115942028841</c:v>
                </c:pt>
                <c:pt idx="181">
                  <c:v>0.13768115942028841</c:v>
                </c:pt>
                <c:pt idx="182">
                  <c:v>0.13043478260869421</c:v>
                </c:pt>
                <c:pt idx="183">
                  <c:v>0.13043478260869421</c:v>
                </c:pt>
                <c:pt idx="184">
                  <c:v>0.1231884057971</c:v>
                </c:pt>
                <c:pt idx="185">
                  <c:v>0.11594202898550579</c:v>
                </c:pt>
                <c:pt idx="186">
                  <c:v>0.11594202898550579</c:v>
                </c:pt>
                <c:pt idx="187">
                  <c:v>0.11594202898550579</c:v>
                </c:pt>
                <c:pt idx="188">
                  <c:v>0.11594202898550579</c:v>
                </c:pt>
                <c:pt idx="189">
                  <c:v>0.11594202898550579</c:v>
                </c:pt>
                <c:pt idx="190">
                  <c:v>0.11594202898550579</c:v>
                </c:pt>
                <c:pt idx="191">
                  <c:v>0.11594202898550579</c:v>
                </c:pt>
                <c:pt idx="192">
                  <c:v>0.11594202898550579</c:v>
                </c:pt>
                <c:pt idx="193">
                  <c:v>0.11594202898550579</c:v>
                </c:pt>
                <c:pt idx="194">
                  <c:v>0.11594202898550579</c:v>
                </c:pt>
                <c:pt idx="195">
                  <c:v>0.11594202898550579</c:v>
                </c:pt>
                <c:pt idx="196">
                  <c:v>0.11594202898550579</c:v>
                </c:pt>
                <c:pt idx="197">
                  <c:v>0.11594202898550579</c:v>
                </c:pt>
                <c:pt idx="198">
                  <c:v>0.11594202898550579</c:v>
                </c:pt>
                <c:pt idx="199">
                  <c:v>0.11594202898550579</c:v>
                </c:pt>
                <c:pt idx="200">
                  <c:v>0.11594202898550579</c:v>
                </c:pt>
                <c:pt idx="201">
                  <c:v>0.11594202898550579</c:v>
                </c:pt>
                <c:pt idx="202">
                  <c:v>0.11594202898550579</c:v>
                </c:pt>
                <c:pt idx="203">
                  <c:v>0.11594202898550579</c:v>
                </c:pt>
                <c:pt idx="204">
                  <c:v>0.11594202898550579</c:v>
                </c:pt>
                <c:pt idx="205">
                  <c:v>0.10869565217391158</c:v>
                </c:pt>
                <c:pt idx="206">
                  <c:v>0.10869565217391158</c:v>
                </c:pt>
                <c:pt idx="207">
                  <c:v>0.10869565217391158</c:v>
                </c:pt>
                <c:pt idx="208">
                  <c:v>0.10144927536231738</c:v>
                </c:pt>
                <c:pt idx="209">
                  <c:v>0.10144927536231738</c:v>
                </c:pt>
                <c:pt idx="210">
                  <c:v>0.10144927536231738</c:v>
                </c:pt>
                <c:pt idx="211">
                  <c:v>0.10144927536231738</c:v>
                </c:pt>
                <c:pt idx="212">
                  <c:v>0.10144927536231738</c:v>
                </c:pt>
                <c:pt idx="213">
                  <c:v>9.4202898550723169E-2</c:v>
                </c:pt>
                <c:pt idx="214">
                  <c:v>8.6956521739128961E-2</c:v>
                </c:pt>
                <c:pt idx="215">
                  <c:v>8.6956521739128961E-2</c:v>
                </c:pt>
                <c:pt idx="216">
                  <c:v>7.9710144927534754E-2</c:v>
                </c:pt>
                <c:pt idx="217">
                  <c:v>7.9710144927534754E-2</c:v>
                </c:pt>
                <c:pt idx="218">
                  <c:v>7.2463768115940547E-2</c:v>
                </c:pt>
                <c:pt idx="219">
                  <c:v>6.5217391304346339E-2</c:v>
                </c:pt>
                <c:pt idx="220">
                  <c:v>6.5217391304346339E-2</c:v>
                </c:pt>
                <c:pt idx="221">
                  <c:v>6.5217391304346339E-2</c:v>
                </c:pt>
                <c:pt idx="222">
                  <c:v>6.5217391304346339E-2</c:v>
                </c:pt>
                <c:pt idx="223">
                  <c:v>5.7971014492752139E-2</c:v>
                </c:pt>
                <c:pt idx="224">
                  <c:v>5.0724637681157939E-2</c:v>
                </c:pt>
                <c:pt idx="225">
                  <c:v>5.0724637681157939E-2</c:v>
                </c:pt>
                <c:pt idx="226">
                  <c:v>5.0724637681157939E-2</c:v>
                </c:pt>
                <c:pt idx="227">
                  <c:v>4.3478260869563738E-2</c:v>
                </c:pt>
                <c:pt idx="228">
                  <c:v>4.3478260869563738E-2</c:v>
                </c:pt>
                <c:pt idx="229">
                  <c:v>4.3478260869563738E-2</c:v>
                </c:pt>
                <c:pt idx="230">
                  <c:v>4.3478260869563738E-2</c:v>
                </c:pt>
                <c:pt idx="231">
                  <c:v>3.6231884057969538E-2</c:v>
                </c:pt>
                <c:pt idx="232">
                  <c:v>2.8985507246375334E-2</c:v>
                </c:pt>
                <c:pt idx="233">
                  <c:v>2.173913043478113E-2</c:v>
                </c:pt>
                <c:pt idx="234">
                  <c:v>2.173913043478113E-2</c:v>
                </c:pt>
                <c:pt idx="235">
                  <c:v>2.173913043478113E-2</c:v>
                </c:pt>
                <c:pt idx="236">
                  <c:v>2.173913043478113E-2</c:v>
                </c:pt>
                <c:pt idx="237">
                  <c:v>2.173913043478113E-2</c:v>
                </c:pt>
                <c:pt idx="238">
                  <c:v>2.173913043478113E-2</c:v>
                </c:pt>
                <c:pt idx="239">
                  <c:v>2.173913043478113E-2</c:v>
                </c:pt>
                <c:pt idx="240">
                  <c:v>2.173913043478113E-2</c:v>
                </c:pt>
                <c:pt idx="241">
                  <c:v>2.173913043478113E-2</c:v>
                </c:pt>
                <c:pt idx="242">
                  <c:v>2.173913043478113E-2</c:v>
                </c:pt>
                <c:pt idx="243">
                  <c:v>2.173913043478113E-2</c:v>
                </c:pt>
                <c:pt idx="244">
                  <c:v>2.173913043478113E-2</c:v>
                </c:pt>
                <c:pt idx="245">
                  <c:v>2.173913043478113E-2</c:v>
                </c:pt>
                <c:pt idx="246">
                  <c:v>2.173913043478113E-2</c:v>
                </c:pt>
                <c:pt idx="247">
                  <c:v>2.173913043478113E-2</c:v>
                </c:pt>
                <c:pt idx="248">
                  <c:v>2.173913043478113E-2</c:v>
                </c:pt>
                <c:pt idx="249">
                  <c:v>2.173913043478113E-2</c:v>
                </c:pt>
                <c:pt idx="250">
                  <c:v>2.173913043478113E-2</c:v>
                </c:pt>
                <c:pt idx="251">
                  <c:v>2.173913043478113E-2</c:v>
                </c:pt>
                <c:pt idx="252">
                  <c:v>2.173913043478113E-2</c:v>
                </c:pt>
                <c:pt idx="253">
                  <c:v>2.173913043478113E-2</c:v>
                </c:pt>
                <c:pt idx="254">
                  <c:v>2.173913043478113E-2</c:v>
                </c:pt>
                <c:pt idx="255">
                  <c:v>2.173913043478113E-2</c:v>
                </c:pt>
                <c:pt idx="256">
                  <c:v>2.173913043478113E-2</c:v>
                </c:pt>
                <c:pt idx="257">
                  <c:v>2.173913043478113E-2</c:v>
                </c:pt>
                <c:pt idx="258">
                  <c:v>1.4492753623186926E-2</c:v>
                </c:pt>
                <c:pt idx="259">
                  <c:v>1.4492753623186926E-2</c:v>
                </c:pt>
                <c:pt idx="260">
                  <c:v>1.4492753623186926E-2</c:v>
                </c:pt>
                <c:pt idx="261">
                  <c:v>1.4492753623186926E-2</c:v>
                </c:pt>
                <c:pt idx="262">
                  <c:v>1.4492753623186926E-2</c:v>
                </c:pt>
                <c:pt idx="263">
                  <c:v>1.4492753623186926E-2</c:v>
                </c:pt>
                <c:pt idx="264">
                  <c:v>1.4492753623186926E-2</c:v>
                </c:pt>
                <c:pt idx="265">
                  <c:v>1.4492753623186926E-2</c:v>
                </c:pt>
                <c:pt idx="266">
                  <c:v>1.4492753623186926E-2</c:v>
                </c:pt>
                <c:pt idx="267">
                  <c:v>1.4492753623186926E-2</c:v>
                </c:pt>
                <c:pt idx="268">
                  <c:v>1.4492753623186926E-2</c:v>
                </c:pt>
                <c:pt idx="269">
                  <c:v>1.4492753623186926E-2</c:v>
                </c:pt>
                <c:pt idx="270">
                  <c:v>1.4492753623186926E-2</c:v>
                </c:pt>
                <c:pt idx="271">
                  <c:v>1.4492753623186926E-2</c:v>
                </c:pt>
                <c:pt idx="272">
                  <c:v>1.4492753623186926E-2</c:v>
                </c:pt>
                <c:pt idx="273">
                  <c:v>1.4492753623186926E-2</c:v>
                </c:pt>
                <c:pt idx="274">
                  <c:v>1.4492753623186926E-2</c:v>
                </c:pt>
                <c:pt idx="275">
                  <c:v>7.2463768115927233E-3</c:v>
                </c:pt>
                <c:pt idx="276">
                  <c:v>7.2463768115927233E-3</c:v>
                </c:pt>
                <c:pt idx="277">
                  <c:v>7.2463768115927233E-3</c:v>
                </c:pt>
                <c:pt idx="278">
                  <c:v>7.2463768115927233E-3</c:v>
                </c:pt>
                <c:pt idx="279">
                  <c:v>7.2463768115927233E-3</c:v>
                </c:pt>
                <c:pt idx="280">
                  <c:v>7.2463768115927233E-3</c:v>
                </c:pt>
                <c:pt idx="281">
                  <c:v>7.2463768115927233E-3</c:v>
                </c:pt>
                <c:pt idx="282">
                  <c:v>7.2463768115927233E-3</c:v>
                </c:pt>
                <c:pt idx="283">
                  <c:v>7.2463768115927233E-3</c:v>
                </c:pt>
                <c:pt idx="284">
                  <c:v>7.2463768115927233E-3</c:v>
                </c:pt>
                <c:pt idx="285">
                  <c:v>7.2463768115927233E-3</c:v>
                </c:pt>
                <c:pt idx="286">
                  <c:v>7.2463768115927233E-3</c:v>
                </c:pt>
                <c:pt idx="287">
                  <c:v>7.2463768115927233E-3</c:v>
                </c:pt>
                <c:pt idx="288">
                  <c:v>7.2463768115927233E-3</c:v>
                </c:pt>
                <c:pt idx="289">
                  <c:v>7.2463768115927233E-3</c:v>
                </c:pt>
                <c:pt idx="290">
                  <c:v>7.2463768115927233E-3</c:v>
                </c:pt>
                <c:pt idx="291">
                  <c:v>-1.4797191250082165E-15</c:v>
                </c:pt>
                <c:pt idx="292">
                  <c:v>-1.4797191250082165E-15</c:v>
                </c:pt>
                <c:pt idx="293">
                  <c:v>-1.4797191250082165E-15</c:v>
                </c:pt>
                <c:pt idx="294">
                  <c:v>-1.4797191250082165E-15</c:v>
                </c:pt>
                <c:pt idx="295">
                  <c:v>-1.4797191250082165E-15</c:v>
                </c:pt>
                <c:pt idx="296">
                  <c:v>-1.4797191250082165E-15</c:v>
                </c:pt>
                <c:pt idx="297">
                  <c:v>-1.4797191250082165E-15</c:v>
                </c:pt>
                <c:pt idx="298">
                  <c:v>-1.4797191250082165E-15</c:v>
                </c:pt>
                <c:pt idx="299">
                  <c:v>-1.4797191250082165E-15</c:v>
                </c:pt>
                <c:pt idx="300">
                  <c:v>-1.4797191250082165E-15</c:v>
                </c:pt>
                <c:pt idx="301">
                  <c:v>-1.4797191250082165E-15</c:v>
                </c:pt>
                <c:pt idx="302">
                  <c:v>-1.4797191250082165E-15</c:v>
                </c:pt>
                <c:pt idx="303">
                  <c:v>-1.4797191250082165E-15</c:v>
                </c:pt>
              </c:numCache>
            </c:numRef>
          </c:xVal>
          <c:yVal>
            <c:numRef>
              <c:f>Sheet5_HID_HID!$B$1:$B$304</c:f>
              <c:numCache>
                <c:formatCode>General</c:formatCode>
                <c:ptCount val="30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0.9939393939393939</c:v>
                </c:pt>
                <c:pt idx="11">
                  <c:v>0.9878787878787878</c:v>
                </c:pt>
                <c:pt idx="12">
                  <c:v>0.9878787878787878</c:v>
                </c:pt>
                <c:pt idx="13">
                  <c:v>0.9818181818181817</c:v>
                </c:pt>
                <c:pt idx="14">
                  <c:v>0.9818181818181817</c:v>
                </c:pt>
                <c:pt idx="15">
                  <c:v>0.9818181818181817</c:v>
                </c:pt>
                <c:pt idx="16">
                  <c:v>0.9757575757575756</c:v>
                </c:pt>
                <c:pt idx="17">
                  <c:v>0.9757575757575756</c:v>
                </c:pt>
                <c:pt idx="18">
                  <c:v>0.9757575757575756</c:v>
                </c:pt>
                <c:pt idx="19">
                  <c:v>0.9757575757575756</c:v>
                </c:pt>
                <c:pt idx="20">
                  <c:v>0.9757575757575756</c:v>
                </c:pt>
                <c:pt idx="21">
                  <c:v>0.9757575757575756</c:v>
                </c:pt>
                <c:pt idx="22">
                  <c:v>0.9757575757575756</c:v>
                </c:pt>
                <c:pt idx="23">
                  <c:v>0.9757575757575756</c:v>
                </c:pt>
                <c:pt idx="24">
                  <c:v>0.9757575757575756</c:v>
                </c:pt>
                <c:pt idx="25">
                  <c:v>0.9757575757575756</c:v>
                </c:pt>
                <c:pt idx="26">
                  <c:v>0.9757575757575756</c:v>
                </c:pt>
                <c:pt idx="27">
                  <c:v>0.9757575757575756</c:v>
                </c:pt>
                <c:pt idx="28">
                  <c:v>0.9757575757575756</c:v>
                </c:pt>
                <c:pt idx="29">
                  <c:v>0.9757575757575756</c:v>
                </c:pt>
                <c:pt idx="30">
                  <c:v>0.9757575757575756</c:v>
                </c:pt>
                <c:pt idx="31">
                  <c:v>0.9757575757575756</c:v>
                </c:pt>
                <c:pt idx="32">
                  <c:v>0.9757575757575756</c:v>
                </c:pt>
                <c:pt idx="33">
                  <c:v>0.9696969696969695</c:v>
                </c:pt>
                <c:pt idx="34">
                  <c:v>0.9636363636363634</c:v>
                </c:pt>
                <c:pt idx="35">
                  <c:v>0.9636363636363634</c:v>
                </c:pt>
                <c:pt idx="36">
                  <c:v>0.9636363636363634</c:v>
                </c:pt>
                <c:pt idx="37">
                  <c:v>0.9636363636363634</c:v>
                </c:pt>
                <c:pt idx="38">
                  <c:v>0.9636363636363634</c:v>
                </c:pt>
                <c:pt idx="39">
                  <c:v>0.9636363636363634</c:v>
                </c:pt>
                <c:pt idx="40">
                  <c:v>0.9636363636363634</c:v>
                </c:pt>
                <c:pt idx="41">
                  <c:v>0.9636363636363634</c:v>
                </c:pt>
                <c:pt idx="42">
                  <c:v>0.9636363636363634</c:v>
                </c:pt>
                <c:pt idx="43">
                  <c:v>0.9636363636363634</c:v>
                </c:pt>
                <c:pt idx="44">
                  <c:v>0.9636363636363634</c:v>
                </c:pt>
                <c:pt idx="45">
                  <c:v>0.9636363636363634</c:v>
                </c:pt>
                <c:pt idx="46">
                  <c:v>0.9575757575757573</c:v>
                </c:pt>
                <c:pt idx="47">
                  <c:v>0.9515151515151512</c:v>
                </c:pt>
                <c:pt idx="48">
                  <c:v>0.9454545454545451</c:v>
                </c:pt>
                <c:pt idx="49">
                  <c:v>0.9454545454545451</c:v>
                </c:pt>
                <c:pt idx="50">
                  <c:v>0.9454545454545451</c:v>
                </c:pt>
                <c:pt idx="51">
                  <c:v>0.9454545454545451</c:v>
                </c:pt>
                <c:pt idx="52">
                  <c:v>0.9454545454545451</c:v>
                </c:pt>
                <c:pt idx="53">
                  <c:v>0.9454545454545451</c:v>
                </c:pt>
                <c:pt idx="54">
                  <c:v>0.9454545454545451</c:v>
                </c:pt>
                <c:pt idx="55">
                  <c:v>0.9454545454545451</c:v>
                </c:pt>
                <c:pt idx="56">
                  <c:v>0.9454545454545451</c:v>
                </c:pt>
                <c:pt idx="57">
                  <c:v>0.939393939393939</c:v>
                </c:pt>
                <c:pt idx="58">
                  <c:v>0.939393939393939</c:v>
                </c:pt>
                <c:pt idx="59">
                  <c:v>0.939393939393939</c:v>
                </c:pt>
                <c:pt idx="60">
                  <c:v>0.939393939393939</c:v>
                </c:pt>
                <c:pt idx="61">
                  <c:v>0.9333333333333329</c:v>
                </c:pt>
                <c:pt idx="62">
                  <c:v>0.9333333333333329</c:v>
                </c:pt>
                <c:pt idx="63">
                  <c:v>0.9333333333333329</c:v>
                </c:pt>
                <c:pt idx="64">
                  <c:v>0.9333333333333329</c:v>
                </c:pt>
                <c:pt idx="65">
                  <c:v>0.9333333333333329</c:v>
                </c:pt>
                <c:pt idx="66">
                  <c:v>0.9333333333333329</c:v>
                </c:pt>
                <c:pt idx="67">
                  <c:v>0.9272727272727268</c:v>
                </c:pt>
                <c:pt idx="68">
                  <c:v>0.9272727272727268</c:v>
                </c:pt>
                <c:pt idx="69">
                  <c:v>0.9272727272727268</c:v>
                </c:pt>
                <c:pt idx="70">
                  <c:v>0.9212121212121207</c:v>
                </c:pt>
                <c:pt idx="71">
                  <c:v>0.9212121212121207</c:v>
                </c:pt>
                <c:pt idx="72">
                  <c:v>0.9212121212121207</c:v>
                </c:pt>
                <c:pt idx="73">
                  <c:v>0.9212121212121207</c:v>
                </c:pt>
                <c:pt idx="74">
                  <c:v>0.9212121212121207</c:v>
                </c:pt>
                <c:pt idx="75">
                  <c:v>0.9212121212121207</c:v>
                </c:pt>
                <c:pt idx="76">
                  <c:v>0.91515151515151461</c:v>
                </c:pt>
                <c:pt idx="77">
                  <c:v>0.91515151515151461</c:v>
                </c:pt>
                <c:pt idx="78">
                  <c:v>0.91515151515151461</c:v>
                </c:pt>
                <c:pt idx="79">
                  <c:v>0.91515151515151461</c:v>
                </c:pt>
                <c:pt idx="80">
                  <c:v>0.91515151515151461</c:v>
                </c:pt>
                <c:pt idx="81">
                  <c:v>0.90909090909090851</c:v>
                </c:pt>
                <c:pt idx="82">
                  <c:v>0.90909090909090851</c:v>
                </c:pt>
                <c:pt idx="83">
                  <c:v>0.90909090909090851</c:v>
                </c:pt>
                <c:pt idx="84">
                  <c:v>0.90303030303030241</c:v>
                </c:pt>
                <c:pt idx="85">
                  <c:v>0.90303030303030241</c:v>
                </c:pt>
                <c:pt idx="86">
                  <c:v>0.89696969696969631</c:v>
                </c:pt>
                <c:pt idx="87">
                  <c:v>0.89090909090909021</c:v>
                </c:pt>
                <c:pt idx="88">
                  <c:v>0.89090909090909021</c:v>
                </c:pt>
                <c:pt idx="89">
                  <c:v>0.89090909090909021</c:v>
                </c:pt>
                <c:pt idx="90">
                  <c:v>0.89090909090909021</c:v>
                </c:pt>
                <c:pt idx="91">
                  <c:v>0.88484848484848411</c:v>
                </c:pt>
                <c:pt idx="92">
                  <c:v>0.87878787878787801</c:v>
                </c:pt>
                <c:pt idx="93">
                  <c:v>0.87878787878787801</c:v>
                </c:pt>
                <c:pt idx="94">
                  <c:v>0.87272727272727191</c:v>
                </c:pt>
                <c:pt idx="95">
                  <c:v>0.87272727272727191</c:v>
                </c:pt>
                <c:pt idx="96">
                  <c:v>0.87272727272727191</c:v>
                </c:pt>
                <c:pt idx="97">
                  <c:v>0.87272727272727191</c:v>
                </c:pt>
                <c:pt idx="98">
                  <c:v>0.86666666666666581</c:v>
                </c:pt>
                <c:pt idx="99">
                  <c:v>0.86666666666666581</c:v>
                </c:pt>
                <c:pt idx="100">
                  <c:v>0.86060606060605971</c:v>
                </c:pt>
                <c:pt idx="101">
                  <c:v>0.85454545454545361</c:v>
                </c:pt>
                <c:pt idx="102">
                  <c:v>0.84848484848484751</c:v>
                </c:pt>
                <c:pt idx="103">
                  <c:v>0.84242424242424141</c:v>
                </c:pt>
                <c:pt idx="104">
                  <c:v>0.84242424242424141</c:v>
                </c:pt>
                <c:pt idx="105">
                  <c:v>0.84242424242424141</c:v>
                </c:pt>
                <c:pt idx="106">
                  <c:v>0.84242424242424141</c:v>
                </c:pt>
                <c:pt idx="107">
                  <c:v>0.84242424242424141</c:v>
                </c:pt>
                <c:pt idx="108">
                  <c:v>0.84242424242424141</c:v>
                </c:pt>
                <c:pt idx="109">
                  <c:v>0.83636363636363531</c:v>
                </c:pt>
                <c:pt idx="110">
                  <c:v>0.83636363636363531</c:v>
                </c:pt>
                <c:pt idx="111">
                  <c:v>0.83030303030302921</c:v>
                </c:pt>
                <c:pt idx="112">
                  <c:v>0.82424242424242311</c:v>
                </c:pt>
                <c:pt idx="113">
                  <c:v>0.81818181818181701</c:v>
                </c:pt>
                <c:pt idx="114">
                  <c:v>0.81818181818181701</c:v>
                </c:pt>
                <c:pt idx="115">
                  <c:v>0.81818181818181701</c:v>
                </c:pt>
                <c:pt idx="116">
                  <c:v>0.81818181818181701</c:v>
                </c:pt>
                <c:pt idx="117">
                  <c:v>0.81212121212121091</c:v>
                </c:pt>
                <c:pt idx="118">
                  <c:v>0.81212121212121091</c:v>
                </c:pt>
                <c:pt idx="119">
                  <c:v>0.80606060606060481</c:v>
                </c:pt>
                <c:pt idx="120">
                  <c:v>0.79999999999999871</c:v>
                </c:pt>
                <c:pt idx="121">
                  <c:v>0.79999999999999871</c:v>
                </c:pt>
                <c:pt idx="122">
                  <c:v>0.79999999999999871</c:v>
                </c:pt>
                <c:pt idx="123">
                  <c:v>0.79393939393939261</c:v>
                </c:pt>
                <c:pt idx="124">
                  <c:v>0.79393939393939261</c:v>
                </c:pt>
                <c:pt idx="125">
                  <c:v>0.78787878787878651</c:v>
                </c:pt>
                <c:pt idx="126">
                  <c:v>0.78787878787878651</c:v>
                </c:pt>
                <c:pt idx="127">
                  <c:v>0.78787878787878651</c:v>
                </c:pt>
                <c:pt idx="128">
                  <c:v>0.78787878787878651</c:v>
                </c:pt>
                <c:pt idx="129">
                  <c:v>0.78787878787878651</c:v>
                </c:pt>
                <c:pt idx="130">
                  <c:v>0.78787878787878651</c:v>
                </c:pt>
                <c:pt idx="131">
                  <c:v>0.78787878787878651</c:v>
                </c:pt>
                <c:pt idx="132">
                  <c:v>0.78181818181818041</c:v>
                </c:pt>
                <c:pt idx="133">
                  <c:v>0.77575757575757431</c:v>
                </c:pt>
                <c:pt idx="134">
                  <c:v>0.77575757575757431</c:v>
                </c:pt>
                <c:pt idx="135">
                  <c:v>0.77575757575757431</c:v>
                </c:pt>
                <c:pt idx="136">
                  <c:v>0.77575757575757431</c:v>
                </c:pt>
                <c:pt idx="137">
                  <c:v>0.77575757575757431</c:v>
                </c:pt>
                <c:pt idx="138">
                  <c:v>0.76969696969696821</c:v>
                </c:pt>
                <c:pt idx="139">
                  <c:v>0.76363636363636211</c:v>
                </c:pt>
                <c:pt idx="140">
                  <c:v>0.75757575757575601</c:v>
                </c:pt>
                <c:pt idx="141">
                  <c:v>0.75757575757575601</c:v>
                </c:pt>
                <c:pt idx="142">
                  <c:v>0.75757575757575601</c:v>
                </c:pt>
                <c:pt idx="143">
                  <c:v>0.75757575757575601</c:v>
                </c:pt>
                <c:pt idx="144">
                  <c:v>0.75151515151514992</c:v>
                </c:pt>
                <c:pt idx="145">
                  <c:v>0.75151515151514992</c:v>
                </c:pt>
                <c:pt idx="146">
                  <c:v>0.75151515151514992</c:v>
                </c:pt>
                <c:pt idx="147">
                  <c:v>0.75151515151514992</c:v>
                </c:pt>
                <c:pt idx="148">
                  <c:v>0.75151515151514992</c:v>
                </c:pt>
                <c:pt idx="149">
                  <c:v>0.75151515151514992</c:v>
                </c:pt>
                <c:pt idx="150">
                  <c:v>0.74545454545454382</c:v>
                </c:pt>
                <c:pt idx="151">
                  <c:v>0.73939393939393772</c:v>
                </c:pt>
                <c:pt idx="152">
                  <c:v>0.73333333333333162</c:v>
                </c:pt>
                <c:pt idx="153">
                  <c:v>0.73333333333333162</c:v>
                </c:pt>
                <c:pt idx="154">
                  <c:v>0.72727272727272552</c:v>
                </c:pt>
                <c:pt idx="155">
                  <c:v>0.72727272727272552</c:v>
                </c:pt>
                <c:pt idx="156">
                  <c:v>0.72121212121211942</c:v>
                </c:pt>
                <c:pt idx="157">
                  <c:v>0.71515151515151332</c:v>
                </c:pt>
                <c:pt idx="158">
                  <c:v>0.70909090909090722</c:v>
                </c:pt>
                <c:pt idx="159">
                  <c:v>0.70909090909090722</c:v>
                </c:pt>
                <c:pt idx="160">
                  <c:v>0.70303030303030112</c:v>
                </c:pt>
                <c:pt idx="161">
                  <c:v>0.69696969696969502</c:v>
                </c:pt>
                <c:pt idx="162">
                  <c:v>0.69696969696969502</c:v>
                </c:pt>
                <c:pt idx="163">
                  <c:v>0.69696969696969502</c:v>
                </c:pt>
                <c:pt idx="164">
                  <c:v>0.69090909090908892</c:v>
                </c:pt>
                <c:pt idx="165">
                  <c:v>0.69090909090908892</c:v>
                </c:pt>
                <c:pt idx="166">
                  <c:v>0.69090909090908892</c:v>
                </c:pt>
                <c:pt idx="167">
                  <c:v>0.69090909090908892</c:v>
                </c:pt>
                <c:pt idx="168">
                  <c:v>0.68484848484848282</c:v>
                </c:pt>
                <c:pt idx="169">
                  <c:v>0.67878787878787672</c:v>
                </c:pt>
                <c:pt idx="170">
                  <c:v>0.67878787878787672</c:v>
                </c:pt>
                <c:pt idx="171">
                  <c:v>0.67272727272727062</c:v>
                </c:pt>
                <c:pt idx="172">
                  <c:v>0.66666666666666452</c:v>
                </c:pt>
                <c:pt idx="173">
                  <c:v>0.66060606060605842</c:v>
                </c:pt>
                <c:pt idx="174">
                  <c:v>0.65454545454545232</c:v>
                </c:pt>
                <c:pt idx="175">
                  <c:v>0.64848484848484622</c:v>
                </c:pt>
                <c:pt idx="176">
                  <c:v>0.64848484848484622</c:v>
                </c:pt>
                <c:pt idx="177">
                  <c:v>0.64848484848484622</c:v>
                </c:pt>
                <c:pt idx="178">
                  <c:v>0.64242424242424012</c:v>
                </c:pt>
                <c:pt idx="179">
                  <c:v>0.63636363636363402</c:v>
                </c:pt>
                <c:pt idx="180">
                  <c:v>0.63030303030302792</c:v>
                </c:pt>
                <c:pt idx="181">
                  <c:v>0.62424242424242182</c:v>
                </c:pt>
                <c:pt idx="182">
                  <c:v>0.62424242424242182</c:v>
                </c:pt>
                <c:pt idx="183">
                  <c:v>0.61818181818181572</c:v>
                </c:pt>
                <c:pt idx="184">
                  <c:v>0.61818181818181572</c:v>
                </c:pt>
                <c:pt idx="185">
                  <c:v>0.61818181818181572</c:v>
                </c:pt>
                <c:pt idx="186">
                  <c:v>0.61212121212120962</c:v>
                </c:pt>
                <c:pt idx="187">
                  <c:v>0.60606060606060352</c:v>
                </c:pt>
                <c:pt idx="188">
                  <c:v>0.59999999999999742</c:v>
                </c:pt>
                <c:pt idx="189">
                  <c:v>0.59393939393939132</c:v>
                </c:pt>
                <c:pt idx="190">
                  <c:v>0.58787878787878523</c:v>
                </c:pt>
                <c:pt idx="191">
                  <c:v>0.58181818181817913</c:v>
                </c:pt>
                <c:pt idx="192">
                  <c:v>0.57575757575757303</c:v>
                </c:pt>
                <c:pt idx="193">
                  <c:v>0.56969696969696693</c:v>
                </c:pt>
                <c:pt idx="194">
                  <c:v>0.56363636363636083</c:v>
                </c:pt>
                <c:pt idx="195">
                  <c:v>0.55757575757575473</c:v>
                </c:pt>
                <c:pt idx="196">
                  <c:v>0.55151515151514863</c:v>
                </c:pt>
                <c:pt idx="197">
                  <c:v>0.54545454545454253</c:v>
                </c:pt>
                <c:pt idx="198">
                  <c:v>0.53939393939393643</c:v>
                </c:pt>
                <c:pt idx="199">
                  <c:v>0.53333333333333033</c:v>
                </c:pt>
                <c:pt idx="200">
                  <c:v>0.52727272727272423</c:v>
                </c:pt>
                <c:pt idx="201">
                  <c:v>0.52121212121211813</c:v>
                </c:pt>
                <c:pt idx="202">
                  <c:v>0.51515151515151203</c:v>
                </c:pt>
                <c:pt idx="203">
                  <c:v>0.50909090909090593</c:v>
                </c:pt>
                <c:pt idx="204">
                  <c:v>0.50303030303029983</c:v>
                </c:pt>
                <c:pt idx="205">
                  <c:v>0.50303030303029983</c:v>
                </c:pt>
                <c:pt idx="206">
                  <c:v>0.49696969696969379</c:v>
                </c:pt>
                <c:pt idx="207">
                  <c:v>0.49090909090908774</c:v>
                </c:pt>
                <c:pt idx="208">
                  <c:v>0.49090909090908774</c:v>
                </c:pt>
                <c:pt idx="209">
                  <c:v>0.4848484848484817</c:v>
                </c:pt>
                <c:pt idx="210">
                  <c:v>0.47878787878787565</c:v>
                </c:pt>
                <c:pt idx="211">
                  <c:v>0.47272727272726961</c:v>
                </c:pt>
                <c:pt idx="212">
                  <c:v>0.46666666666666357</c:v>
                </c:pt>
                <c:pt idx="213">
                  <c:v>0.46666666666666357</c:v>
                </c:pt>
                <c:pt idx="214">
                  <c:v>0.46666666666666357</c:v>
                </c:pt>
                <c:pt idx="215">
                  <c:v>0.46060606060605752</c:v>
                </c:pt>
                <c:pt idx="216">
                  <c:v>0.46060606060605752</c:v>
                </c:pt>
                <c:pt idx="217">
                  <c:v>0.45454545454545148</c:v>
                </c:pt>
                <c:pt idx="218">
                  <c:v>0.45454545454545148</c:v>
                </c:pt>
                <c:pt idx="219">
                  <c:v>0.45454545454545148</c:v>
                </c:pt>
                <c:pt idx="220">
                  <c:v>0.44848484848484543</c:v>
                </c:pt>
                <c:pt idx="221">
                  <c:v>0.44242424242423939</c:v>
                </c:pt>
                <c:pt idx="222">
                  <c:v>0.43636363636363334</c:v>
                </c:pt>
                <c:pt idx="223">
                  <c:v>0.43636363636363334</c:v>
                </c:pt>
                <c:pt idx="224">
                  <c:v>0.43636363636363334</c:v>
                </c:pt>
                <c:pt idx="225">
                  <c:v>0.4303030303030273</c:v>
                </c:pt>
                <c:pt idx="226">
                  <c:v>0.42424242424242126</c:v>
                </c:pt>
                <c:pt idx="227">
                  <c:v>0.42424242424242126</c:v>
                </c:pt>
                <c:pt idx="228">
                  <c:v>0.41818181818181521</c:v>
                </c:pt>
                <c:pt idx="229">
                  <c:v>0.41212121212120917</c:v>
                </c:pt>
                <c:pt idx="230">
                  <c:v>0.40606060606060312</c:v>
                </c:pt>
                <c:pt idx="231">
                  <c:v>0.40606060606060312</c:v>
                </c:pt>
                <c:pt idx="232">
                  <c:v>0.40606060606060312</c:v>
                </c:pt>
                <c:pt idx="233">
                  <c:v>0.40606060606060312</c:v>
                </c:pt>
                <c:pt idx="234">
                  <c:v>0.39999999999999708</c:v>
                </c:pt>
                <c:pt idx="235">
                  <c:v>0.39393939393939104</c:v>
                </c:pt>
                <c:pt idx="236">
                  <c:v>0.38787878787878499</c:v>
                </c:pt>
                <c:pt idx="237">
                  <c:v>0.38181818181817895</c:v>
                </c:pt>
                <c:pt idx="238">
                  <c:v>0.3757575757575729</c:v>
                </c:pt>
                <c:pt idx="239">
                  <c:v>0.36969696969696686</c:v>
                </c:pt>
                <c:pt idx="240">
                  <c:v>0.36363636363636082</c:v>
                </c:pt>
                <c:pt idx="241">
                  <c:v>0.35757575757575477</c:v>
                </c:pt>
                <c:pt idx="242">
                  <c:v>0.35151515151514873</c:v>
                </c:pt>
                <c:pt idx="243">
                  <c:v>0.34545454545454268</c:v>
                </c:pt>
                <c:pt idx="244">
                  <c:v>0.33939393939393664</c:v>
                </c:pt>
                <c:pt idx="245">
                  <c:v>0.33333333333333059</c:v>
                </c:pt>
                <c:pt idx="246">
                  <c:v>0.32727272727272455</c:v>
                </c:pt>
                <c:pt idx="247">
                  <c:v>0.32121212121211851</c:v>
                </c:pt>
                <c:pt idx="248">
                  <c:v>0.31515151515151246</c:v>
                </c:pt>
                <c:pt idx="249">
                  <c:v>0.30909090909090642</c:v>
                </c:pt>
                <c:pt idx="250">
                  <c:v>0.30303030303030037</c:v>
                </c:pt>
                <c:pt idx="251">
                  <c:v>0.29696969696969433</c:v>
                </c:pt>
                <c:pt idx="252">
                  <c:v>0.29090909090908829</c:v>
                </c:pt>
                <c:pt idx="253">
                  <c:v>0.28484848484848224</c:v>
                </c:pt>
                <c:pt idx="254">
                  <c:v>0.2787878787878762</c:v>
                </c:pt>
                <c:pt idx="255">
                  <c:v>0.27272727272727015</c:v>
                </c:pt>
                <c:pt idx="256">
                  <c:v>0.26666666666666411</c:v>
                </c:pt>
                <c:pt idx="257">
                  <c:v>0.26060606060605807</c:v>
                </c:pt>
                <c:pt idx="258">
                  <c:v>0.26060606060605807</c:v>
                </c:pt>
                <c:pt idx="259">
                  <c:v>0.25454545454545202</c:v>
                </c:pt>
                <c:pt idx="260">
                  <c:v>0.24848484848484595</c:v>
                </c:pt>
                <c:pt idx="261">
                  <c:v>0.24242424242423988</c:v>
                </c:pt>
                <c:pt idx="262">
                  <c:v>0.23636363636363381</c:v>
                </c:pt>
                <c:pt idx="263">
                  <c:v>0.23030303030302773</c:v>
                </c:pt>
                <c:pt idx="264">
                  <c:v>0.22424242424242166</c:v>
                </c:pt>
                <c:pt idx="265">
                  <c:v>0.21818181818181559</c:v>
                </c:pt>
                <c:pt idx="266">
                  <c:v>0.21212121212120952</c:v>
                </c:pt>
                <c:pt idx="267">
                  <c:v>0.20606060606060345</c:v>
                </c:pt>
                <c:pt idx="268">
                  <c:v>0.19999999999999737</c:v>
                </c:pt>
                <c:pt idx="269">
                  <c:v>0.1939393939393913</c:v>
                </c:pt>
                <c:pt idx="270">
                  <c:v>0.18787878787878523</c:v>
                </c:pt>
                <c:pt idx="271">
                  <c:v>0.18181818181817916</c:v>
                </c:pt>
                <c:pt idx="272">
                  <c:v>0.17575757575757309</c:v>
                </c:pt>
                <c:pt idx="273">
                  <c:v>0.16969696969696701</c:v>
                </c:pt>
                <c:pt idx="274">
                  <c:v>0.16363636363636094</c:v>
                </c:pt>
                <c:pt idx="275">
                  <c:v>0.16363636363636094</c:v>
                </c:pt>
                <c:pt idx="276">
                  <c:v>0.15757575757575487</c:v>
                </c:pt>
                <c:pt idx="277">
                  <c:v>0.1515151515151488</c:v>
                </c:pt>
                <c:pt idx="278">
                  <c:v>0.14545454545454273</c:v>
                </c:pt>
                <c:pt idx="279">
                  <c:v>0.13939393939393666</c:v>
                </c:pt>
                <c:pt idx="280">
                  <c:v>0.13333333333333058</c:v>
                </c:pt>
                <c:pt idx="281">
                  <c:v>0.12727272727272451</c:v>
                </c:pt>
                <c:pt idx="282">
                  <c:v>0.12121212121211845</c:v>
                </c:pt>
                <c:pt idx="283">
                  <c:v>0.1151515151515124</c:v>
                </c:pt>
                <c:pt idx="284">
                  <c:v>0.10909090909090634</c:v>
                </c:pt>
                <c:pt idx="285">
                  <c:v>0.10303030303030028</c:v>
                </c:pt>
                <c:pt idx="286">
                  <c:v>9.6969696969694222E-2</c:v>
                </c:pt>
                <c:pt idx="287">
                  <c:v>9.0909090909088164E-2</c:v>
                </c:pt>
                <c:pt idx="288">
                  <c:v>8.4848484848482106E-2</c:v>
                </c:pt>
                <c:pt idx="289">
                  <c:v>7.8787878787876048E-2</c:v>
                </c:pt>
                <c:pt idx="290">
                  <c:v>7.272727272726999E-2</c:v>
                </c:pt>
                <c:pt idx="291">
                  <c:v>7.272727272726999E-2</c:v>
                </c:pt>
                <c:pt idx="292">
                  <c:v>6.6666666666663932E-2</c:v>
                </c:pt>
                <c:pt idx="293">
                  <c:v>6.0606060606057874E-2</c:v>
                </c:pt>
                <c:pt idx="294">
                  <c:v>5.4545454545451816E-2</c:v>
                </c:pt>
                <c:pt idx="295">
                  <c:v>4.8484848484845758E-2</c:v>
                </c:pt>
                <c:pt idx="296">
                  <c:v>4.24242424242397E-2</c:v>
                </c:pt>
                <c:pt idx="297">
                  <c:v>3.6363636363633642E-2</c:v>
                </c:pt>
                <c:pt idx="298">
                  <c:v>3.030303030302758E-2</c:v>
                </c:pt>
                <c:pt idx="299">
                  <c:v>2.4242424242421519E-2</c:v>
                </c:pt>
                <c:pt idx="300">
                  <c:v>1.8181818181815457E-2</c:v>
                </c:pt>
                <c:pt idx="301">
                  <c:v>1.2121212121209396E-2</c:v>
                </c:pt>
                <c:pt idx="302">
                  <c:v>6.0606060606033354E-3</c:v>
                </c:pt>
                <c:pt idx="303">
                  <c:v>-2.7252505807595639E-15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86-400B-974A-5415B6C63479}"/>
            </c:ext>
          </c:extLst>
        </c:ser>
        <c:ser>
          <c:idx val="1"/>
          <c:order val="1"/>
          <c:spPr>
            <a:ln w="635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5E86-400B-974A-5415B6C63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4230479"/>
        <c:axId val="934249679"/>
      </c:scatterChart>
      <c:valAx>
        <c:axId val="934230479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1 - Specificity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934249679"/>
        <c:crosses val="autoZero"/>
        <c:crossBetween val="midCat"/>
      </c:valAx>
      <c:valAx>
        <c:axId val="934249679"/>
        <c:scaling>
          <c:orientation val="minMax"/>
          <c:max val="1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Sensitivity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934230479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age  Residual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'orginal data'!$A$2:$A$304</c:f>
              <c:numCache>
                <c:formatCode>General</c:formatCode>
                <c:ptCount val="303"/>
                <c:pt idx="0">
                  <c:v>63</c:v>
                </c:pt>
                <c:pt idx="1">
                  <c:v>37</c:v>
                </c:pt>
                <c:pt idx="2">
                  <c:v>41</c:v>
                </c:pt>
                <c:pt idx="3">
                  <c:v>56</c:v>
                </c:pt>
                <c:pt idx="4">
                  <c:v>57</c:v>
                </c:pt>
                <c:pt idx="5">
                  <c:v>57</c:v>
                </c:pt>
                <c:pt idx="6">
                  <c:v>56</c:v>
                </c:pt>
                <c:pt idx="7">
                  <c:v>44</c:v>
                </c:pt>
                <c:pt idx="8">
                  <c:v>52</c:v>
                </c:pt>
                <c:pt idx="9">
                  <c:v>57</c:v>
                </c:pt>
                <c:pt idx="10">
                  <c:v>54</c:v>
                </c:pt>
                <c:pt idx="11">
                  <c:v>48</c:v>
                </c:pt>
                <c:pt idx="12">
                  <c:v>49</c:v>
                </c:pt>
                <c:pt idx="13">
                  <c:v>64</c:v>
                </c:pt>
                <c:pt idx="14">
                  <c:v>58</c:v>
                </c:pt>
                <c:pt idx="15">
                  <c:v>50</c:v>
                </c:pt>
                <c:pt idx="16">
                  <c:v>58</c:v>
                </c:pt>
                <c:pt idx="17">
                  <c:v>66</c:v>
                </c:pt>
                <c:pt idx="18">
                  <c:v>43</c:v>
                </c:pt>
                <c:pt idx="19">
                  <c:v>69</c:v>
                </c:pt>
                <c:pt idx="20">
                  <c:v>59</c:v>
                </c:pt>
                <c:pt idx="21">
                  <c:v>44</c:v>
                </c:pt>
                <c:pt idx="22">
                  <c:v>42</c:v>
                </c:pt>
                <c:pt idx="23">
                  <c:v>61</c:v>
                </c:pt>
                <c:pt idx="24">
                  <c:v>40</c:v>
                </c:pt>
                <c:pt idx="25">
                  <c:v>71</c:v>
                </c:pt>
                <c:pt idx="26">
                  <c:v>59</c:v>
                </c:pt>
                <c:pt idx="27">
                  <c:v>51</c:v>
                </c:pt>
                <c:pt idx="28">
                  <c:v>65</c:v>
                </c:pt>
                <c:pt idx="29">
                  <c:v>53</c:v>
                </c:pt>
                <c:pt idx="30">
                  <c:v>41</c:v>
                </c:pt>
                <c:pt idx="31">
                  <c:v>65</c:v>
                </c:pt>
                <c:pt idx="32">
                  <c:v>44</c:v>
                </c:pt>
                <c:pt idx="33">
                  <c:v>54</c:v>
                </c:pt>
                <c:pt idx="34">
                  <c:v>51</c:v>
                </c:pt>
                <c:pt idx="35">
                  <c:v>46</c:v>
                </c:pt>
                <c:pt idx="36">
                  <c:v>54</c:v>
                </c:pt>
                <c:pt idx="37">
                  <c:v>54</c:v>
                </c:pt>
                <c:pt idx="38">
                  <c:v>65</c:v>
                </c:pt>
                <c:pt idx="39">
                  <c:v>65</c:v>
                </c:pt>
                <c:pt idx="40">
                  <c:v>51</c:v>
                </c:pt>
                <c:pt idx="41">
                  <c:v>48</c:v>
                </c:pt>
                <c:pt idx="42">
                  <c:v>45</c:v>
                </c:pt>
                <c:pt idx="43">
                  <c:v>53</c:v>
                </c:pt>
                <c:pt idx="44">
                  <c:v>39</c:v>
                </c:pt>
                <c:pt idx="45">
                  <c:v>52</c:v>
                </c:pt>
                <c:pt idx="46">
                  <c:v>44</c:v>
                </c:pt>
                <c:pt idx="47">
                  <c:v>47</c:v>
                </c:pt>
                <c:pt idx="48">
                  <c:v>53</c:v>
                </c:pt>
                <c:pt idx="49">
                  <c:v>53</c:v>
                </c:pt>
                <c:pt idx="50">
                  <c:v>51</c:v>
                </c:pt>
                <c:pt idx="51">
                  <c:v>66</c:v>
                </c:pt>
                <c:pt idx="52">
                  <c:v>62</c:v>
                </c:pt>
                <c:pt idx="53">
                  <c:v>44</c:v>
                </c:pt>
                <c:pt idx="54">
                  <c:v>63</c:v>
                </c:pt>
                <c:pt idx="55">
                  <c:v>52</c:v>
                </c:pt>
                <c:pt idx="56">
                  <c:v>48</c:v>
                </c:pt>
                <c:pt idx="57">
                  <c:v>45</c:v>
                </c:pt>
                <c:pt idx="58">
                  <c:v>34</c:v>
                </c:pt>
                <c:pt idx="59">
                  <c:v>57</c:v>
                </c:pt>
                <c:pt idx="60">
                  <c:v>71</c:v>
                </c:pt>
                <c:pt idx="61">
                  <c:v>54</c:v>
                </c:pt>
                <c:pt idx="62">
                  <c:v>52</c:v>
                </c:pt>
                <c:pt idx="63">
                  <c:v>41</c:v>
                </c:pt>
                <c:pt idx="64">
                  <c:v>58</c:v>
                </c:pt>
                <c:pt idx="65">
                  <c:v>35</c:v>
                </c:pt>
                <c:pt idx="66">
                  <c:v>51</c:v>
                </c:pt>
                <c:pt idx="67">
                  <c:v>45</c:v>
                </c:pt>
                <c:pt idx="68">
                  <c:v>44</c:v>
                </c:pt>
                <c:pt idx="69">
                  <c:v>62</c:v>
                </c:pt>
                <c:pt idx="70">
                  <c:v>54</c:v>
                </c:pt>
                <c:pt idx="71">
                  <c:v>51</c:v>
                </c:pt>
                <c:pt idx="72">
                  <c:v>29</c:v>
                </c:pt>
                <c:pt idx="73">
                  <c:v>51</c:v>
                </c:pt>
                <c:pt idx="74">
                  <c:v>43</c:v>
                </c:pt>
                <c:pt idx="75">
                  <c:v>55</c:v>
                </c:pt>
                <c:pt idx="76">
                  <c:v>51</c:v>
                </c:pt>
                <c:pt idx="77">
                  <c:v>59</c:v>
                </c:pt>
                <c:pt idx="78">
                  <c:v>52</c:v>
                </c:pt>
                <c:pt idx="79">
                  <c:v>58</c:v>
                </c:pt>
                <c:pt idx="80">
                  <c:v>41</c:v>
                </c:pt>
                <c:pt idx="81">
                  <c:v>45</c:v>
                </c:pt>
                <c:pt idx="82">
                  <c:v>60</c:v>
                </c:pt>
                <c:pt idx="83">
                  <c:v>52</c:v>
                </c:pt>
                <c:pt idx="84">
                  <c:v>42</c:v>
                </c:pt>
                <c:pt idx="85">
                  <c:v>67</c:v>
                </c:pt>
                <c:pt idx="86">
                  <c:v>68</c:v>
                </c:pt>
                <c:pt idx="87">
                  <c:v>46</c:v>
                </c:pt>
                <c:pt idx="88">
                  <c:v>54</c:v>
                </c:pt>
                <c:pt idx="89">
                  <c:v>58</c:v>
                </c:pt>
                <c:pt idx="90">
                  <c:v>48</c:v>
                </c:pt>
                <c:pt idx="91">
                  <c:v>57</c:v>
                </c:pt>
                <c:pt idx="92">
                  <c:v>52</c:v>
                </c:pt>
                <c:pt idx="93">
                  <c:v>54</c:v>
                </c:pt>
                <c:pt idx="94">
                  <c:v>45</c:v>
                </c:pt>
                <c:pt idx="95">
                  <c:v>53</c:v>
                </c:pt>
                <c:pt idx="96">
                  <c:v>62</c:v>
                </c:pt>
                <c:pt idx="97">
                  <c:v>52</c:v>
                </c:pt>
                <c:pt idx="98">
                  <c:v>43</c:v>
                </c:pt>
                <c:pt idx="99">
                  <c:v>53</c:v>
                </c:pt>
                <c:pt idx="100">
                  <c:v>42</c:v>
                </c:pt>
                <c:pt idx="101">
                  <c:v>59</c:v>
                </c:pt>
                <c:pt idx="102">
                  <c:v>63</c:v>
                </c:pt>
                <c:pt idx="103">
                  <c:v>42</c:v>
                </c:pt>
                <c:pt idx="104">
                  <c:v>50</c:v>
                </c:pt>
                <c:pt idx="105">
                  <c:v>68</c:v>
                </c:pt>
                <c:pt idx="106">
                  <c:v>69</c:v>
                </c:pt>
                <c:pt idx="107">
                  <c:v>45</c:v>
                </c:pt>
                <c:pt idx="108">
                  <c:v>50</c:v>
                </c:pt>
                <c:pt idx="109">
                  <c:v>50</c:v>
                </c:pt>
                <c:pt idx="110">
                  <c:v>64</c:v>
                </c:pt>
                <c:pt idx="111">
                  <c:v>57</c:v>
                </c:pt>
                <c:pt idx="112">
                  <c:v>64</c:v>
                </c:pt>
                <c:pt idx="113">
                  <c:v>43</c:v>
                </c:pt>
                <c:pt idx="114">
                  <c:v>55</c:v>
                </c:pt>
                <c:pt idx="115">
                  <c:v>37</c:v>
                </c:pt>
                <c:pt idx="116">
                  <c:v>41</c:v>
                </c:pt>
                <c:pt idx="117">
                  <c:v>56</c:v>
                </c:pt>
                <c:pt idx="118">
                  <c:v>46</c:v>
                </c:pt>
                <c:pt idx="119">
                  <c:v>46</c:v>
                </c:pt>
                <c:pt idx="120">
                  <c:v>64</c:v>
                </c:pt>
                <c:pt idx="121">
                  <c:v>59</c:v>
                </c:pt>
                <c:pt idx="122">
                  <c:v>41</c:v>
                </c:pt>
                <c:pt idx="123">
                  <c:v>54</c:v>
                </c:pt>
                <c:pt idx="124">
                  <c:v>39</c:v>
                </c:pt>
                <c:pt idx="125">
                  <c:v>34</c:v>
                </c:pt>
                <c:pt idx="126">
                  <c:v>47</c:v>
                </c:pt>
                <c:pt idx="127">
                  <c:v>67</c:v>
                </c:pt>
                <c:pt idx="128">
                  <c:v>52</c:v>
                </c:pt>
                <c:pt idx="129">
                  <c:v>74</c:v>
                </c:pt>
                <c:pt idx="130">
                  <c:v>54</c:v>
                </c:pt>
                <c:pt idx="131">
                  <c:v>49</c:v>
                </c:pt>
                <c:pt idx="132">
                  <c:v>42</c:v>
                </c:pt>
                <c:pt idx="133">
                  <c:v>41</c:v>
                </c:pt>
                <c:pt idx="134">
                  <c:v>41</c:v>
                </c:pt>
                <c:pt idx="135">
                  <c:v>49</c:v>
                </c:pt>
                <c:pt idx="136">
                  <c:v>60</c:v>
                </c:pt>
                <c:pt idx="137">
                  <c:v>62</c:v>
                </c:pt>
                <c:pt idx="138">
                  <c:v>57</c:v>
                </c:pt>
                <c:pt idx="139">
                  <c:v>64</c:v>
                </c:pt>
                <c:pt idx="140">
                  <c:v>51</c:v>
                </c:pt>
                <c:pt idx="141">
                  <c:v>43</c:v>
                </c:pt>
                <c:pt idx="142">
                  <c:v>42</c:v>
                </c:pt>
                <c:pt idx="143">
                  <c:v>67</c:v>
                </c:pt>
                <c:pt idx="144">
                  <c:v>76</c:v>
                </c:pt>
                <c:pt idx="145">
                  <c:v>70</c:v>
                </c:pt>
                <c:pt idx="146">
                  <c:v>44</c:v>
                </c:pt>
                <c:pt idx="147">
                  <c:v>60</c:v>
                </c:pt>
                <c:pt idx="148">
                  <c:v>44</c:v>
                </c:pt>
                <c:pt idx="149">
                  <c:v>42</c:v>
                </c:pt>
                <c:pt idx="150">
                  <c:v>66</c:v>
                </c:pt>
                <c:pt idx="151">
                  <c:v>71</c:v>
                </c:pt>
                <c:pt idx="152">
                  <c:v>64</c:v>
                </c:pt>
                <c:pt idx="153">
                  <c:v>66</c:v>
                </c:pt>
                <c:pt idx="154">
                  <c:v>39</c:v>
                </c:pt>
                <c:pt idx="155">
                  <c:v>58</c:v>
                </c:pt>
                <c:pt idx="156">
                  <c:v>47</c:v>
                </c:pt>
                <c:pt idx="157">
                  <c:v>35</c:v>
                </c:pt>
                <c:pt idx="158">
                  <c:v>58</c:v>
                </c:pt>
                <c:pt idx="159">
                  <c:v>56</c:v>
                </c:pt>
                <c:pt idx="160">
                  <c:v>56</c:v>
                </c:pt>
                <c:pt idx="161">
                  <c:v>55</c:v>
                </c:pt>
                <c:pt idx="162">
                  <c:v>41</c:v>
                </c:pt>
                <c:pt idx="163">
                  <c:v>38</c:v>
                </c:pt>
                <c:pt idx="164">
                  <c:v>38</c:v>
                </c:pt>
                <c:pt idx="165">
                  <c:v>67</c:v>
                </c:pt>
                <c:pt idx="166">
                  <c:v>67</c:v>
                </c:pt>
                <c:pt idx="167">
                  <c:v>62</c:v>
                </c:pt>
                <c:pt idx="168">
                  <c:v>63</c:v>
                </c:pt>
                <c:pt idx="169">
                  <c:v>53</c:v>
                </c:pt>
                <c:pt idx="170">
                  <c:v>56</c:v>
                </c:pt>
                <c:pt idx="171">
                  <c:v>48</c:v>
                </c:pt>
                <c:pt idx="172">
                  <c:v>58</c:v>
                </c:pt>
                <c:pt idx="173">
                  <c:v>58</c:v>
                </c:pt>
                <c:pt idx="174">
                  <c:v>60</c:v>
                </c:pt>
                <c:pt idx="175">
                  <c:v>40</c:v>
                </c:pt>
                <c:pt idx="176">
                  <c:v>60</c:v>
                </c:pt>
                <c:pt idx="177">
                  <c:v>64</c:v>
                </c:pt>
                <c:pt idx="178">
                  <c:v>43</c:v>
                </c:pt>
                <c:pt idx="179">
                  <c:v>57</c:v>
                </c:pt>
                <c:pt idx="180">
                  <c:v>55</c:v>
                </c:pt>
                <c:pt idx="181">
                  <c:v>65</c:v>
                </c:pt>
                <c:pt idx="182">
                  <c:v>61</c:v>
                </c:pt>
                <c:pt idx="183">
                  <c:v>58</c:v>
                </c:pt>
                <c:pt idx="184">
                  <c:v>50</c:v>
                </c:pt>
                <c:pt idx="185">
                  <c:v>44</c:v>
                </c:pt>
                <c:pt idx="186">
                  <c:v>60</c:v>
                </c:pt>
                <c:pt idx="187">
                  <c:v>54</c:v>
                </c:pt>
                <c:pt idx="188">
                  <c:v>50</c:v>
                </c:pt>
                <c:pt idx="189">
                  <c:v>41</c:v>
                </c:pt>
                <c:pt idx="190">
                  <c:v>51</c:v>
                </c:pt>
                <c:pt idx="191">
                  <c:v>58</c:v>
                </c:pt>
                <c:pt idx="192">
                  <c:v>54</c:v>
                </c:pt>
                <c:pt idx="193">
                  <c:v>60</c:v>
                </c:pt>
                <c:pt idx="194">
                  <c:v>60</c:v>
                </c:pt>
                <c:pt idx="195">
                  <c:v>59</c:v>
                </c:pt>
                <c:pt idx="196">
                  <c:v>46</c:v>
                </c:pt>
                <c:pt idx="197">
                  <c:v>67</c:v>
                </c:pt>
                <c:pt idx="198">
                  <c:v>62</c:v>
                </c:pt>
                <c:pt idx="199">
                  <c:v>65</c:v>
                </c:pt>
                <c:pt idx="200">
                  <c:v>44</c:v>
                </c:pt>
                <c:pt idx="201">
                  <c:v>60</c:v>
                </c:pt>
                <c:pt idx="202">
                  <c:v>58</c:v>
                </c:pt>
                <c:pt idx="203">
                  <c:v>68</c:v>
                </c:pt>
                <c:pt idx="204">
                  <c:v>62</c:v>
                </c:pt>
                <c:pt idx="205">
                  <c:v>52</c:v>
                </c:pt>
                <c:pt idx="206">
                  <c:v>59</c:v>
                </c:pt>
                <c:pt idx="207">
                  <c:v>60</c:v>
                </c:pt>
                <c:pt idx="208">
                  <c:v>49</c:v>
                </c:pt>
                <c:pt idx="209">
                  <c:v>59</c:v>
                </c:pt>
                <c:pt idx="210">
                  <c:v>57</c:v>
                </c:pt>
                <c:pt idx="211">
                  <c:v>61</c:v>
                </c:pt>
                <c:pt idx="212">
                  <c:v>39</c:v>
                </c:pt>
                <c:pt idx="213">
                  <c:v>61</c:v>
                </c:pt>
                <c:pt idx="214">
                  <c:v>56</c:v>
                </c:pt>
                <c:pt idx="215">
                  <c:v>43</c:v>
                </c:pt>
                <c:pt idx="216">
                  <c:v>62</c:v>
                </c:pt>
                <c:pt idx="217">
                  <c:v>63</c:v>
                </c:pt>
                <c:pt idx="218">
                  <c:v>65</c:v>
                </c:pt>
                <c:pt idx="219">
                  <c:v>48</c:v>
                </c:pt>
                <c:pt idx="220">
                  <c:v>63</c:v>
                </c:pt>
                <c:pt idx="221">
                  <c:v>55</c:v>
                </c:pt>
                <c:pt idx="222">
                  <c:v>65</c:v>
                </c:pt>
                <c:pt idx="223">
                  <c:v>56</c:v>
                </c:pt>
                <c:pt idx="224">
                  <c:v>54</c:v>
                </c:pt>
                <c:pt idx="225">
                  <c:v>70</c:v>
                </c:pt>
                <c:pt idx="226">
                  <c:v>62</c:v>
                </c:pt>
                <c:pt idx="227">
                  <c:v>35</c:v>
                </c:pt>
                <c:pt idx="228">
                  <c:v>59</c:v>
                </c:pt>
                <c:pt idx="229">
                  <c:v>64</c:v>
                </c:pt>
                <c:pt idx="230">
                  <c:v>47</c:v>
                </c:pt>
                <c:pt idx="231">
                  <c:v>57</c:v>
                </c:pt>
                <c:pt idx="232">
                  <c:v>55</c:v>
                </c:pt>
                <c:pt idx="233">
                  <c:v>64</c:v>
                </c:pt>
                <c:pt idx="234">
                  <c:v>70</c:v>
                </c:pt>
                <c:pt idx="235">
                  <c:v>51</c:v>
                </c:pt>
                <c:pt idx="236">
                  <c:v>58</c:v>
                </c:pt>
                <c:pt idx="237">
                  <c:v>60</c:v>
                </c:pt>
                <c:pt idx="238">
                  <c:v>77</c:v>
                </c:pt>
                <c:pt idx="239">
                  <c:v>35</c:v>
                </c:pt>
                <c:pt idx="240">
                  <c:v>70</c:v>
                </c:pt>
                <c:pt idx="241">
                  <c:v>59</c:v>
                </c:pt>
                <c:pt idx="242">
                  <c:v>64</c:v>
                </c:pt>
                <c:pt idx="243">
                  <c:v>57</c:v>
                </c:pt>
                <c:pt idx="244">
                  <c:v>56</c:v>
                </c:pt>
                <c:pt idx="245">
                  <c:v>48</c:v>
                </c:pt>
                <c:pt idx="246">
                  <c:v>56</c:v>
                </c:pt>
                <c:pt idx="247">
                  <c:v>66</c:v>
                </c:pt>
                <c:pt idx="248">
                  <c:v>54</c:v>
                </c:pt>
                <c:pt idx="249">
                  <c:v>69</c:v>
                </c:pt>
                <c:pt idx="250">
                  <c:v>51</c:v>
                </c:pt>
                <c:pt idx="251">
                  <c:v>43</c:v>
                </c:pt>
                <c:pt idx="252">
                  <c:v>62</c:v>
                </c:pt>
                <c:pt idx="253">
                  <c:v>67</c:v>
                </c:pt>
                <c:pt idx="254">
                  <c:v>59</c:v>
                </c:pt>
                <c:pt idx="255">
                  <c:v>45</c:v>
                </c:pt>
                <c:pt idx="256">
                  <c:v>58</c:v>
                </c:pt>
                <c:pt idx="257">
                  <c:v>50</c:v>
                </c:pt>
                <c:pt idx="258">
                  <c:v>62</c:v>
                </c:pt>
                <c:pt idx="259">
                  <c:v>38</c:v>
                </c:pt>
                <c:pt idx="260">
                  <c:v>66</c:v>
                </c:pt>
                <c:pt idx="261">
                  <c:v>52</c:v>
                </c:pt>
                <c:pt idx="262">
                  <c:v>53</c:v>
                </c:pt>
                <c:pt idx="263">
                  <c:v>63</c:v>
                </c:pt>
                <c:pt idx="264">
                  <c:v>54</c:v>
                </c:pt>
                <c:pt idx="265">
                  <c:v>66</c:v>
                </c:pt>
                <c:pt idx="266">
                  <c:v>55</c:v>
                </c:pt>
                <c:pt idx="267">
                  <c:v>49</c:v>
                </c:pt>
                <c:pt idx="268">
                  <c:v>54</c:v>
                </c:pt>
                <c:pt idx="269">
                  <c:v>56</c:v>
                </c:pt>
                <c:pt idx="270">
                  <c:v>46</c:v>
                </c:pt>
                <c:pt idx="271">
                  <c:v>61</c:v>
                </c:pt>
                <c:pt idx="272">
                  <c:v>67</c:v>
                </c:pt>
                <c:pt idx="273">
                  <c:v>58</c:v>
                </c:pt>
                <c:pt idx="274">
                  <c:v>47</c:v>
                </c:pt>
                <c:pt idx="275">
                  <c:v>52</c:v>
                </c:pt>
                <c:pt idx="276">
                  <c:v>58</c:v>
                </c:pt>
                <c:pt idx="277">
                  <c:v>57</c:v>
                </c:pt>
                <c:pt idx="278">
                  <c:v>58</c:v>
                </c:pt>
                <c:pt idx="279">
                  <c:v>61</c:v>
                </c:pt>
                <c:pt idx="280">
                  <c:v>42</c:v>
                </c:pt>
                <c:pt idx="281">
                  <c:v>52</c:v>
                </c:pt>
                <c:pt idx="282">
                  <c:v>59</c:v>
                </c:pt>
                <c:pt idx="283">
                  <c:v>40</c:v>
                </c:pt>
                <c:pt idx="284">
                  <c:v>61</c:v>
                </c:pt>
                <c:pt idx="285">
                  <c:v>46</c:v>
                </c:pt>
                <c:pt idx="286">
                  <c:v>59</c:v>
                </c:pt>
                <c:pt idx="287">
                  <c:v>57</c:v>
                </c:pt>
                <c:pt idx="288">
                  <c:v>57</c:v>
                </c:pt>
                <c:pt idx="289">
                  <c:v>55</c:v>
                </c:pt>
                <c:pt idx="290">
                  <c:v>61</c:v>
                </c:pt>
                <c:pt idx="291">
                  <c:v>58</c:v>
                </c:pt>
                <c:pt idx="292">
                  <c:v>58</c:v>
                </c:pt>
                <c:pt idx="293">
                  <c:v>67</c:v>
                </c:pt>
                <c:pt idx="294">
                  <c:v>44</c:v>
                </c:pt>
                <c:pt idx="295">
                  <c:v>63</c:v>
                </c:pt>
                <c:pt idx="296">
                  <c:v>63</c:v>
                </c:pt>
                <c:pt idx="297">
                  <c:v>59</c:v>
                </c:pt>
                <c:pt idx="298">
                  <c:v>57</c:v>
                </c:pt>
                <c:pt idx="299">
                  <c:v>45</c:v>
                </c:pt>
                <c:pt idx="300">
                  <c:v>68</c:v>
                </c:pt>
                <c:pt idx="301">
                  <c:v>57</c:v>
                </c:pt>
                <c:pt idx="302">
                  <c:v>57</c:v>
                </c:pt>
              </c:numCache>
            </c:numRef>
          </c:xVal>
          <c:yVal>
            <c:numRef>
              <c:f>regression!$C$25:$C$327</c:f>
              <c:numCache>
                <c:formatCode>General</c:formatCode>
                <c:ptCount val="303"/>
                <c:pt idx="0">
                  <c:v>-23.792272006054191</c:v>
                </c:pt>
                <c:pt idx="1">
                  <c:v>24.913201565694607</c:v>
                </c:pt>
                <c:pt idx="2">
                  <c:v>-25.96456359918983</c:v>
                </c:pt>
                <c:pt idx="3">
                  <c:v>-12.256182967506447</c:v>
                </c:pt>
                <c:pt idx="4">
                  <c:v>104.52437574127245</c:v>
                </c:pt>
                <c:pt idx="5">
                  <c:v>-57.475624258727549</c:v>
                </c:pt>
                <c:pt idx="6">
                  <c:v>45.743817032493553</c:v>
                </c:pt>
                <c:pt idx="7">
                  <c:v>29.377112527146835</c:v>
                </c:pt>
                <c:pt idx="8">
                  <c:v>-44.37841780262201</c:v>
                </c:pt>
                <c:pt idx="9">
                  <c:v>-81.475624258727549</c:v>
                </c:pt>
                <c:pt idx="10">
                  <c:v>-6.8173003850642431</c:v>
                </c:pt>
                <c:pt idx="11">
                  <c:v>36.499347362262426</c:v>
                </c:pt>
                <c:pt idx="12">
                  <c:v>26.279906071041296</c:v>
                </c:pt>
                <c:pt idx="13">
                  <c:v>-47.011713297275264</c:v>
                </c:pt>
                <c:pt idx="14">
                  <c:v>32.304934450051348</c:v>
                </c:pt>
                <c:pt idx="15">
                  <c:v>-21.939535220179778</c:v>
                </c:pt>
                <c:pt idx="16">
                  <c:v>89.304934450051348</c:v>
                </c:pt>
                <c:pt idx="17">
                  <c:v>-34.450595879717525</c:v>
                </c:pt>
                <c:pt idx="18">
                  <c:v>14.596553818367966</c:v>
                </c:pt>
                <c:pt idx="19">
                  <c:v>-25.10891975338086</c:v>
                </c:pt>
                <c:pt idx="20">
                  <c:v>-17.914506841169754</c:v>
                </c:pt>
                <c:pt idx="21">
                  <c:v>-0.62288747285316504</c:v>
                </c:pt>
                <c:pt idx="22">
                  <c:v>-5.1840048904109324</c:v>
                </c:pt>
                <c:pt idx="23">
                  <c:v>-11.353389423611986</c:v>
                </c:pt>
                <c:pt idx="24">
                  <c:v>-29.745122307968728</c:v>
                </c:pt>
                <c:pt idx="25">
                  <c:v>35.452197664176992</c:v>
                </c:pt>
                <c:pt idx="26">
                  <c:v>-39.914506841169754</c:v>
                </c:pt>
                <c:pt idx="27">
                  <c:v>-67.158976511400908</c:v>
                </c:pt>
                <c:pt idx="28">
                  <c:v>157.76884541150361</c:v>
                </c:pt>
                <c:pt idx="29">
                  <c:v>-47.597859093843113</c:v>
                </c:pt>
                <c:pt idx="30">
                  <c:v>-31.96456359918983</c:v>
                </c:pt>
                <c:pt idx="31">
                  <c:v>-82.231154588496395</c:v>
                </c:pt>
                <c:pt idx="32">
                  <c:v>-14.622887472853165</c:v>
                </c:pt>
                <c:pt idx="33">
                  <c:v>27.182699614935757</c:v>
                </c:pt>
                <c:pt idx="34">
                  <c:v>-29.158976511400908</c:v>
                </c:pt>
                <c:pt idx="35">
                  <c:v>-59.061770055295369</c:v>
                </c:pt>
                <c:pt idx="36">
                  <c:v>58.182699614935757</c:v>
                </c:pt>
                <c:pt idx="37">
                  <c:v>-13.817300385064243</c:v>
                </c:pt>
                <c:pt idx="38">
                  <c:v>9.7688454115036052</c:v>
                </c:pt>
                <c:pt idx="39">
                  <c:v>100.76884541150361</c:v>
                </c:pt>
                <c:pt idx="40">
                  <c:v>65.841023488599092</c:v>
                </c:pt>
                <c:pt idx="41">
                  <c:v>6.4993473622624265</c:v>
                </c:pt>
                <c:pt idx="42">
                  <c:v>-26.842328764074267</c:v>
                </c:pt>
                <c:pt idx="43">
                  <c:v>19.402140906156887</c:v>
                </c:pt>
                <c:pt idx="44">
                  <c:v>93.474318983252374</c:v>
                </c:pt>
                <c:pt idx="45">
                  <c:v>81.62158219737799</c:v>
                </c:pt>
                <c:pt idx="46">
                  <c:v>1.377112527146835</c:v>
                </c:pt>
                <c:pt idx="47">
                  <c:v>19.718788653483529</c:v>
                </c:pt>
                <c:pt idx="48">
                  <c:v>-28.597859093843113</c:v>
                </c:pt>
                <c:pt idx="49">
                  <c:v>-10.597859093843113</c:v>
                </c:pt>
                <c:pt idx="50">
                  <c:v>13.841023488599092</c:v>
                </c:pt>
                <c:pt idx="51">
                  <c:v>41.549404120282475</c:v>
                </c:pt>
                <c:pt idx="52">
                  <c:v>-24.57283071483306</c:v>
                </c:pt>
                <c:pt idx="53">
                  <c:v>-92.622887472853165</c:v>
                </c:pt>
                <c:pt idx="54">
                  <c:v>-4.7922720060541906</c:v>
                </c:pt>
                <c:pt idx="55">
                  <c:v>-42.37841780262201</c:v>
                </c:pt>
                <c:pt idx="56">
                  <c:v>-16.500652637737574</c:v>
                </c:pt>
                <c:pt idx="57">
                  <c:v>25.157671235925733</c:v>
                </c:pt>
                <c:pt idx="58">
                  <c:v>-39.428474560642087</c:v>
                </c:pt>
                <c:pt idx="59">
                  <c:v>53.524375741272451</c:v>
                </c:pt>
                <c:pt idx="60">
                  <c:v>-1.5478023358230075</c:v>
                </c:pt>
                <c:pt idx="61">
                  <c:v>63.182699614935757</c:v>
                </c:pt>
                <c:pt idx="62">
                  <c:v>-57.37841780262201</c:v>
                </c:pt>
                <c:pt idx="63">
                  <c:v>-26.96456359918983</c:v>
                </c:pt>
                <c:pt idx="64">
                  <c:v>-39.695065549948652</c:v>
                </c:pt>
                <c:pt idx="65">
                  <c:v>-39.647915851863189</c:v>
                </c:pt>
                <c:pt idx="66">
                  <c:v>-20.158976511400908</c:v>
                </c:pt>
                <c:pt idx="67">
                  <c:v>-0.84232876407426716</c:v>
                </c:pt>
                <c:pt idx="68">
                  <c:v>-13.622887472853165</c:v>
                </c:pt>
                <c:pt idx="69">
                  <c:v>-46.57283071483306</c:v>
                </c:pt>
                <c:pt idx="70">
                  <c:v>12.182699614935757</c:v>
                </c:pt>
                <c:pt idx="71">
                  <c:v>-15.158976511400908</c:v>
                </c:pt>
                <c:pt idx="72">
                  <c:v>-11.331268104536548</c:v>
                </c:pt>
                <c:pt idx="73">
                  <c:v>18.841023488599092</c:v>
                </c:pt>
                <c:pt idx="74">
                  <c:v>-19.403446181632034</c:v>
                </c:pt>
                <c:pt idx="75">
                  <c:v>2.9632583237146832</c:v>
                </c:pt>
                <c:pt idx="76">
                  <c:v>2.8410234885990917</c:v>
                </c:pt>
                <c:pt idx="77">
                  <c:v>-30.914506841169754</c:v>
                </c:pt>
                <c:pt idx="78">
                  <c:v>-38.37841780262201</c:v>
                </c:pt>
                <c:pt idx="79">
                  <c:v>-10.695065549948652</c:v>
                </c:pt>
                <c:pt idx="80">
                  <c:v>20.03543640081017</c:v>
                </c:pt>
                <c:pt idx="81">
                  <c:v>73.157671235925733</c:v>
                </c:pt>
                <c:pt idx="82">
                  <c:v>64.866051867609144</c:v>
                </c:pt>
                <c:pt idx="83">
                  <c:v>54.62158219737799</c:v>
                </c:pt>
                <c:pt idx="84">
                  <c:v>33.815995109589068</c:v>
                </c:pt>
                <c:pt idx="85">
                  <c:v>302.3299628290614</c:v>
                </c:pt>
                <c:pt idx="86">
                  <c:v>14.11052153784027</c:v>
                </c:pt>
                <c:pt idx="87">
                  <c:v>-39.061770055295369</c:v>
                </c:pt>
                <c:pt idx="88">
                  <c:v>-31.817300385064243</c:v>
                </c:pt>
                <c:pt idx="89">
                  <c:v>-2.6950655499486516</c:v>
                </c:pt>
                <c:pt idx="90">
                  <c:v>16.499347362262426</c:v>
                </c:pt>
                <c:pt idx="91">
                  <c:v>-42.475624258727549</c:v>
                </c:pt>
                <c:pt idx="92">
                  <c:v>-20.37841780262201</c:v>
                </c:pt>
                <c:pt idx="93">
                  <c:v>42.182699614935757</c:v>
                </c:pt>
                <c:pt idx="94">
                  <c:v>-74.842328764074267</c:v>
                </c:pt>
                <c:pt idx="95">
                  <c:v>-18.597859093843113</c:v>
                </c:pt>
                <c:pt idx="96">
                  <c:v>138.42716928516694</c:v>
                </c:pt>
                <c:pt idx="97">
                  <c:v>-10.37841780262201</c:v>
                </c:pt>
                <c:pt idx="98">
                  <c:v>82.596553818367966</c:v>
                </c:pt>
                <c:pt idx="99">
                  <c:v>1.4021409061568875</c:v>
                </c:pt>
                <c:pt idx="100">
                  <c:v>12.815995109589068</c:v>
                </c:pt>
                <c:pt idx="101">
                  <c:v>18.085493158830246</c:v>
                </c:pt>
                <c:pt idx="102">
                  <c:v>-61.792272006054191</c:v>
                </c:pt>
                <c:pt idx="103">
                  <c:v>8.8159951095890676</c:v>
                </c:pt>
                <c:pt idx="104">
                  <c:v>-44.939535220179778</c:v>
                </c:pt>
                <c:pt idx="105">
                  <c:v>-51.88947846215973</c:v>
                </c:pt>
                <c:pt idx="106">
                  <c:v>-30.10891975338086</c:v>
                </c:pt>
                <c:pt idx="107">
                  <c:v>1.1576712359257328</c:v>
                </c:pt>
                <c:pt idx="108">
                  <c:v>3.0604647798202222</c:v>
                </c:pt>
                <c:pt idx="109">
                  <c:v>13.060464779820222</c:v>
                </c:pt>
                <c:pt idx="110">
                  <c:v>66.988286702724736</c:v>
                </c:pt>
                <c:pt idx="111">
                  <c:v>-123.47562425872755</c:v>
                </c:pt>
                <c:pt idx="112">
                  <c:v>54.988286702724736</c:v>
                </c:pt>
                <c:pt idx="113">
                  <c:v>-21.403446181632034</c:v>
                </c:pt>
                <c:pt idx="114">
                  <c:v>14.963258323714683</c:v>
                </c:pt>
                <c:pt idx="115">
                  <c:v>-10.086798434305393</c:v>
                </c:pt>
                <c:pt idx="116">
                  <c:v>-15.96456359918983</c:v>
                </c:pt>
                <c:pt idx="117">
                  <c:v>-55.256182967506447</c:v>
                </c:pt>
                <c:pt idx="118">
                  <c:v>-32.061770055295369</c:v>
                </c:pt>
                <c:pt idx="119">
                  <c:v>6.9382299447046307</c:v>
                </c:pt>
                <c:pt idx="120">
                  <c:v>44.988286702724736</c:v>
                </c:pt>
                <c:pt idx="121">
                  <c:v>19.085493158830246</c:v>
                </c:pt>
                <c:pt idx="122">
                  <c:v>38.03543640081017</c:v>
                </c:pt>
                <c:pt idx="123">
                  <c:v>21.182699614935757</c:v>
                </c:pt>
                <c:pt idx="124">
                  <c:v>-28.525681016747626</c:v>
                </c:pt>
                <c:pt idx="125">
                  <c:v>-11.428474560642087</c:v>
                </c:pt>
                <c:pt idx="126">
                  <c:v>-33.281211346516471</c:v>
                </c:pt>
                <c:pt idx="127">
                  <c:v>15.329962829061401</c:v>
                </c:pt>
                <c:pt idx="128">
                  <c:v>-47.37841780262201</c:v>
                </c:pt>
                <c:pt idx="129">
                  <c:v>-1.2061262094863423</c:v>
                </c:pt>
                <c:pt idx="130">
                  <c:v>-44.817300385064243</c:v>
                </c:pt>
                <c:pt idx="131">
                  <c:v>31.279906071041296</c:v>
                </c:pt>
                <c:pt idx="132">
                  <c:v>63.815995109589068</c:v>
                </c:pt>
                <c:pt idx="133">
                  <c:v>5.0354364008101697</c:v>
                </c:pt>
                <c:pt idx="134">
                  <c:v>76.03543640081017</c:v>
                </c:pt>
                <c:pt idx="135">
                  <c:v>29.279906071041296</c:v>
                </c:pt>
                <c:pt idx="136">
                  <c:v>-75.133948132390856</c:v>
                </c:pt>
                <c:pt idx="137">
                  <c:v>-47.57283071483306</c:v>
                </c:pt>
                <c:pt idx="138">
                  <c:v>-48.475624258727549</c:v>
                </c:pt>
                <c:pt idx="139">
                  <c:v>4.9882867027247357</c:v>
                </c:pt>
                <c:pt idx="140">
                  <c:v>52.841023488599092</c:v>
                </c:pt>
                <c:pt idx="141">
                  <c:v>70.596553818367966</c:v>
                </c:pt>
                <c:pt idx="142">
                  <c:v>-22.184004890410932</c:v>
                </c:pt>
                <c:pt idx="143">
                  <c:v>-38.670037170938599</c:v>
                </c:pt>
                <c:pt idx="144">
                  <c:v>-75.645008791928603</c:v>
                </c:pt>
                <c:pt idx="145">
                  <c:v>-20.328361044601934</c:v>
                </c:pt>
                <c:pt idx="146">
                  <c:v>8.377112527146835</c:v>
                </c:pt>
                <c:pt idx="147">
                  <c:v>-13.133948132390856</c:v>
                </c:pt>
                <c:pt idx="148">
                  <c:v>-7.622887472853165</c:v>
                </c:pt>
                <c:pt idx="149">
                  <c:v>-51.184004890410932</c:v>
                </c:pt>
                <c:pt idx="150">
                  <c:v>-32.450595879717525</c:v>
                </c:pt>
                <c:pt idx="151">
                  <c:v>-117.54780233582301</c:v>
                </c:pt>
                <c:pt idx="152">
                  <c:v>-31.011713297275264</c:v>
                </c:pt>
                <c:pt idx="153">
                  <c:v>17.549404120282475</c:v>
                </c:pt>
                <c:pt idx="154">
                  <c:v>-7.525681016747626</c:v>
                </c:pt>
                <c:pt idx="155">
                  <c:v>-53.695065549948652</c:v>
                </c:pt>
                <c:pt idx="156">
                  <c:v>15.718788653483529</c:v>
                </c:pt>
                <c:pt idx="157">
                  <c:v>-30.647915851863189</c:v>
                </c:pt>
                <c:pt idx="158">
                  <c:v>-30.695065549948652</c:v>
                </c:pt>
                <c:pt idx="159">
                  <c:v>-27.256182967506447</c:v>
                </c:pt>
                <c:pt idx="160">
                  <c:v>-8.2561829675064473</c:v>
                </c:pt>
                <c:pt idx="161">
                  <c:v>94.963258323714683</c:v>
                </c:pt>
                <c:pt idx="162">
                  <c:v>-72.96456359918983</c:v>
                </c:pt>
                <c:pt idx="163">
                  <c:v>-51.306239725526495</c:v>
                </c:pt>
                <c:pt idx="164">
                  <c:v>-51.306239725526495</c:v>
                </c:pt>
                <c:pt idx="165">
                  <c:v>24.329962829061401</c:v>
                </c:pt>
                <c:pt idx="166">
                  <c:v>-32.670037170938599</c:v>
                </c:pt>
                <c:pt idx="167">
                  <c:v>12.42716928516694</c:v>
                </c:pt>
                <c:pt idx="168">
                  <c:v>-2.7922720060541906</c:v>
                </c:pt>
                <c:pt idx="169">
                  <c:v>-41.597859093843113</c:v>
                </c:pt>
                <c:pt idx="170">
                  <c:v>7.7438170324935527</c:v>
                </c:pt>
                <c:pt idx="171">
                  <c:v>-9.5006526377375735</c:v>
                </c:pt>
                <c:pt idx="172">
                  <c:v>33.304934450051348</c:v>
                </c:pt>
                <c:pt idx="173">
                  <c:v>-26.695065549948652</c:v>
                </c:pt>
                <c:pt idx="174">
                  <c:v>-47.133948132390856</c:v>
                </c:pt>
                <c:pt idx="175">
                  <c:v>-61.745122307968728</c:v>
                </c:pt>
                <c:pt idx="176">
                  <c:v>-23.133948132390856</c:v>
                </c:pt>
                <c:pt idx="177">
                  <c:v>76.988286702724736</c:v>
                </c:pt>
                <c:pt idx="178">
                  <c:v>-55.403446181632034</c:v>
                </c:pt>
                <c:pt idx="179">
                  <c:v>26.524375741272451</c:v>
                </c:pt>
                <c:pt idx="180">
                  <c:v>105.96325832371468</c:v>
                </c:pt>
                <c:pt idx="181">
                  <c:v>-34.231154588496395</c:v>
                </c:pt>
                <c:pt idx="182">
                  <c:v>75.646610576388014</c:v>
                </c:pt>
                <c:pt idx="183">
                  <c:v>-20.695065549948652</c:v>
                </c:pt>
                <c:pt idx="184">
                  <c:v>2.0604647798202222</c:v>
                </c:pt>
                <c:pt idx="185">
                  <c:v>56.377112527146835</c:v>
                </c:pt>
                <c:pt idx="186">
                  <c:v>-0.13394813239085579</c:v>
                </c:pt>
                <c:pt idx="187">
                  <c:v>20.182699614935757</c:v>
                </c:pt>
                <c:pt idx="188">
                  <c:v>-7.9395352201797778</c:v>
                </c:pt>
                <c:pt idx="189">
                  <c:v>-57.96456359918983</c:v>
                </c:pt>
                <c:pt idx="190">
                  <c:v>62.841023488599092</c:v>
                </c:pt>
                <c:pt idx="191">
                  <c:v>-34.695065549948652</c:v>
                </c:pt>
                <c:pt idx="192">
                  <c:v>-57.817300385064243</c:v>
                </c:pt>
                <c:pt idx="193">
                  <c:v>28.866051867609144</c:v>
                </c:pt>
                <c:pt idx="194">
                  <c:v>-68.133948132390856</c:v>
                </c:pt>
                <c:pt idx="195">
                  <c:v>74.085493158830246</c:v>
                </c:pt>
                <c:pt idx="196">
                  <c:v>-5.0617700552953693</c:v>
                </c:pt>
                <c:pt idx="197">
                  <c:v>-7.670037170938599</c:v>
                </c:pt>
                <c:pt idx="198">
                  <c:v>11.42716928516694</c:v>
                </c:pt>
                <c:pt idx="199">
                  <c:v>-11.231154588496395</c:v>
                </c:pt>
                <c:pt idx="200">
                  <c:v>-36.622887472853165</c:v>
                </c:pt>
                <c:pt idx="201">
                  <c:v>4.8660518676091442</c:v>
                </c:pt>
                <c:pt idx="202">
                  <c:v>19.304934450051348</c:v>
                </c:pt>
                <c:pt idx="203">
                  <c:v>11.11052153784027</c:v>
                </c:pt>
                <c:pt idx="204">
                  <c:v>-91.57283071483306</c:v>
                </c:pt>
                <c:pt idx="205">
                  <c:v>11.62158219737799</c:v>
                </c:pt>
                <c:pt idx="206">
                  <c:v>-12.914506841169754</c:v>
                </c:pt>
                <c:pt idx="207">
                  <c:v>4.8660518676091442</c:v>
                </c:pt>
                <c:pt idx="208">
                  <c:v>-51.720093928958704</c:v>
                </c:pt>
                <c:pt idx="209">
                  <c:v>-74.914506841169754</c:v>
                </c:pt>
                <c:pt idx="210">
                  <c:v>-20.475624258727549</c:v>
                </c:pt>
                <c:pt idx="211">
                  <c:v>5.6466105763880137</c:v>
                </c:pt>
                <c:pt idx="212">
                  <c:v>-8.525681016747626</c:v>
                </c:pt>
                <c:pt idx="213">
                  <c:v>52.646610576388014</c:v>
                </c:pt>
                <c:pt idx="214">
                  <c:v>0.74381703249355269</c:v>
                </c:pt>
                <c:pt idx="215">
                  <c:v>108.59655381836797</c:v>
                </c:pt>
                <c:pt idx="216">
                  <c:v>7.42716928516694</c:v>
                </c:pt>
                <c:pt idx="217">
                  <c:v>73.207727993945809</c:v>
                </c:pt>
                <c:pt idx="218">
                  <c:v>-5.2311545884963948</c:v>
                </c:pt>
                <c:pt idx="219">
                  <c:v>17.499347362262426</c:v>
                </c:pt>
                <c:pt idx="220">
                  <c:v>150.20772799394581</c:v>
                </c:pt>
                <c:pt idx="221">
                  <c:v>-30.036741676285317</c:v>
                </c:pt>
                <c:pt idx="222">
                  <c:v>22.768845411503605</c:v>
                </c:pt>
                <c:pt idx="223">
                  <c:v>39.743817032493553</c:v>
                </c:pt>
                <c:pt idx="224">
                  <c:v>-6.8173003850642431</c:v>
                </c:pt>
                <c:pt idx="225">
                  <c:v>-91.328361044601934</c:v>
                </c:pt>
                <c:pt idx="226">
                  <c:v>25.42716928516694</c:v>
                </c:pt>
                <c:pt idx="227">
                  <c:v>-24.647915851863189</c:v>
                </c:pt>
                <c:pt idx="228">
                  <c:v>36.085493158830246</c:v>
                </c:pt>
                <c:pt idx="229">
                  <c:v>50.988286702724736</c:v>
                </c:pt>
                <c:pt idx="230">
                  <c:v>5.7187886534835286</c:v>
                </c:pt>
                <c:pt idx="231">
                  <c:v>39.524375741272451</c:v>
                </c:pt>
                <c:pt idx="232">
                  <c:v>41.963258323714683</c:v>
                </c:pt>
                <c:pt idx="233">
                  <c:v>-12.011713297275264</c:v>
                </c:pt>
                <c:pt idx="234">
                  <c:v>56.671638955398066</c:v>
                </c:pt>
                <c:pt idx="235">
                  <c:v>56.841023488599092</c:v>
                </c:pt>
                <c:pt idx="236">
                  <c:v>49.304934450051348</c:v>
                </c:pt>
                <c:pt idx="237">
                  <c:v>39.866051867609144</c:v>
                </c:pt>
                <c:pt idx="238">
                  <c:v>30.135549916850323</c:v>
                </c:pt>
                <c:pt idx="239">
                  <c:v>59.352084148136811</c:v>
                </c:pt>
                <c:pt idx="240">
                  <c:v>3.6716389553980662</c:v>
                </c:pt>
                <c:pt idx="241">
                  <c:v>-2.9145068411697537</c:v>
                </c:pt>
                <c:pt idx="242">
                  <c:v>-46.011713297275264</c:v>
                </c:pt>
                <c:pt idx="243">
                  <c:v>24.524375741272451</c:v>
                </c:pt>
                <c:pt idx="244">
                  <c:v>-64.256182967506447</c:v>
                </c:pt>
                <c:pt idx="245">
                  <c:v>35.499347362262426</c:v>
                </c:pt>
                <c:pt idx="246">
                  <c:v>160.74381703249355</c:v>
                </c:pt>
                <c:pt idx="247">
                  <c:v>-14.450595879717525</c:v>
                </c:pt>
                <c:pt idx="248">
                  <c:v>37.182699614935757</c:v>
                </c:pt>
                <c:pt idx="249">
                  <c:v>-10.10891975338086</c:v>
                </c:pt>
                <c:pt idx="250">
                  <c:v>55.841023488599092</c:v>
                </c:pt>
                <c:pt idx="251">
                  <c:v>14.596553818367966</c:v>
                </c:pt>
                <c:pt idx="252">
                  <c:v>38.42716928516694</c:v>
                </c:pt>
                <c:pt idx="253">
                  <c:v>37.329962829061401</c:v>
                </c:pt>
                <c:pt idx="254">
                  <c:v>21.085493158830246</c:v>
                </c:pt>
                <c:pt idx="255">
                  <c:v>74.157671235925733</c:v>
                </c:pt>
                <c:pt idx="256">
                  <c:v>8.3049344500513484</c:v>
                </c:pt>
                <c:pt idx="257">
                  <c:v>-40.939535220179778</c:v>
                </c:pt>
                <c:pt idx="258">
                  <c:v>-11.57283071483306</c:v>
                </c:pt>
                <c:pt idx="259">
                  <c:v>4.6937602744735045</c:v>
                </c:pt>
                <c:pt idx="260">
                  <c:v>-32.450595879717525</c:v>
                </c:pt>
                <c:pt idx="261">
                  <c:v>-13.37841780262201</c:v>
                </c:pt>
                <c:pt idx="262">
                  <c:v>37.402140906156887</c:v>
                </c:pt>
                <c:pt idx="263">
                  <c:v>12.207727993945809</c:v>
                </c:pt>
                <c:pt idx="264">
                  <c:v>-39.817300385064243</c:v>
                </c:pt>
                <c:pt idx="265">
                  <c:v>-48.450595879717525</c:v>
                </c:pt>
                <c:pt idx="266">
                  <c:v>79.963258323714683</c:v>
                </c:pt>
                <c:pt idx="267">
                  <c:v>-90.720093928958704</c:v>
                </c:pt>
                <c:pt idx="268">
                  <c:v>40.182699614935757</c:v>
                </c:pt>
                <c:pt idx="269">
                  <c:v>34.743817032493553</c:v>
                </c:pt>
                <c:pt idx="270">
                  <c:v>12.938229944704631</c:v>
                </c:pt>
                <c:pt idx="271">
                  <c:v>-20.353389423611986</c:v>
                </c:pt>
                <c:pt idx="272">
                  <c:v>-24.670037170938599</c:v>
                </c:pt>
                <c:pt idx="273">
                  <c:v>-16.695065549948652</c:v>
                </c:pt>
                <c:pt idx="274">
                  <c:v>37.718788653483529</c:v>
                </c:pt>
                <c:pt idx="275">
                  <c:v>-31.37841780262201</c:v>
                </c:pt>
                <c:pt idx="276">
                  <c:v>-32.695065549948652</c:v>
                </c:pt>
                <c:pt idx="277">
                  <c:v>11.524375741272451</c:v>
                </c:pt>
                <c:pt idx="278">
                  <c:v>68.304934450051348</c:v>
                </c:pt>
                <c:pt idx="279">
                  <c:v>-88.353389423611986</c:v>
                </c:pt>
                <c:pt idx="280">
                  <c:v>83.815995109589068</c:v>
                </c:pt>
                <c:pt idx="281">
                  <c:v>-39.37841780262201</c:v>
                </c:pt>
                <c:pt idx="282">
                  <c:v>-33.914506841169754</c:v>
                </c:pt>
                <c:pt idx="283">
                  <c:v>-5.7451223079687281</c:v>
                </c:pt>
                <c:pt idx="284">
                  <c:v>-47.353389423611986</c:v>
                </c:pt>
                <c:pt idx="285">
                  <c:v>74.938229944704631</c:v>
                </c:pt>
                <c:pt idx="286">
                  <c:v>-47.914506841169754</c:v>
                </c:pt>
                <c:pt idx="287">
                  <c:v>-17.475624258727549</c:v>
                </c:pt>
                <c:pt idx="288">
                  <c:v>85.524375741272451</c:v>
                </c:pt>
                <c:pt idx="289">
                  <c:v>-42.036741676285317</c:v>
                </c:pt>
                <c:pt idx="290">
                  <c:v>-51.353389423611986</c:v>
                </c:pt>
                <c:pt idx="291">
                  <c:v>67.304934450051348</c:v>
                </c:pt>
                <c:pt idx="292">
                  <c:v>-25.695065549948652</c:v>
                </c:pt>
                <c:pt idx="293">
                  <c:v>-49.670037170938599</c:v>
                </c:pt>
                <c:pt idx="294">
                  <c:v>-64.622887472853165</c:v>
                </c:pt>
                <c:pt idx="295">
                  <c:v>-69.792272006054191</c:v>
                </c:pt>
                <c:pt idx="296">
                  <c:v>-59.792272006054191</c:v>
                </c:pt>
                <c:pt idx="297">
                  <c:v>-75.914506841169754</c:v>
                </c:pt>
                <c:pt idx="298">
                  <c:v>-8.4756242587275494</c:v>
                </c:pt>
                <c:pt idx="299">
                  <c:v>29.157671235925733</c:v>
                </c:pt>
                <c:pt idx="300">
                  <c:v>-69.88947846215973</c:v>
                </c:pt>
                <c:pt idx="301">
                  <c:v>-118.47562425872755</c:v>
                </c:pt>
                <c:pt idx="302">
                  <c:v>-13.475624258727549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691-42F1-AC6D-70566C3D85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1722943"/>
        <c:axId val="610709471"/>
      </c:scatterChart>
      <c:valAx>
        <c:axId val="66172294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age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0709471"/>
        <c:crosses val="autoZero"/>
        <c:crossBetween val="midCat"/>
      </c:valAx>
      <c:valAx>
        <c:axId val="61070947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Residuals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61722943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age Line Fit 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chol</c:v>
          </c:tx>
          <c:spPr>
            <a:ln w="19050">
              <a:noFill/>
            </a:ln>
          </c:spPr>
          <c:xVal>
            <c:numRef>
              <c:f>'orginal data'!$A$2:$A$304</c:f>
              <c:numCache>
                <c:formatCode>General</c:formatCode>
                <c:ptCount val="303"/>
                <c:pt idx="0">
                  <c:v>63</c:v>
                </c:pt>
                <c:pt idx="1">
                  <c:v>37</c:v>
                </c:pt>
                <c:pt idx="2">
                  <c:v>41</c:v>
                </c:pt>
                <c:pt idx="3">
                  <c:v>56</c:v>
                </c:pt>
                <c:pt idx="4">
                  <c:v>57</c:v>
                </c:pt>
                <c:pt idx="5">
                  <c:v>57</c:v>
                </c:pt>
                <c:pt idx="6">
                  <c:v>56</c:v>
                </c:pt>
                <c:pt idx="7">
                  <c:v>44</c:v>
                </c:pt>
                <c:pt idx="8">
                  <c:v>52</c:v>
                </c:pt>
                <c:pt idx="9">
                  <c:v>57</c:v>
                </c:pt>
                <c:pt idx="10">
                  <c:v>54</c:v>
                </c:pt>
                <c:pt idx="11">
                  <c:v>48</c:v>
                </c:pt>
                <c:pt idx="12">
                  <c:v>49</c:v>
                </c:pt>
                <c:pt idx="13">
                  <c:v>64</c:v>
                </c:pt>
                <c:pt idx="14">
                  <c:v>58</c:v>
                </c:pt>
                <c:pt idx="15">
                  <c:v>50</c:v>
                </c:pt>
                <c:pt idx="16">
                  <c:v>58</c:v>
                </c:pt>
                <c:pt idx="17">
                  <c:v>66</c:v>
                </c:pt>
                <c:pt idx="18">
                  <c:v>43</c:v>
                </c:pt>
                <c:pt idx="19">
                  <c:v>69</c:v>
                </c:pt>
                <c:pt idx="20">
                  <c:v>59</c:v>
                </c:pt>
                <c:pt idx="21">
                  <c:v>44</c:v>
                </c:pt>
                <c:pt idx="22">
                  <c:v>42</c:v>
                </c:pt>
                <c:pt idx="23">
                  <c:v>61</c:v>
                </c:pt>
                <c:pt idx="24">
                  <c:v>40</c:v>
                </c:pt>
                <c:pt idx="25">
                  <c:v>71</c:v>
                </c:pt>
                <c:pt idx="26">
                  <c:v>59</c:v>
                </c:pt>
                <c:pt idx="27">
                  <c:v>51</c:v>
                </c:pt>
                <c:pt idx="28">
                  <c:v>65</c:v>
                </c:pt>
                <c:pt idx="29">
                  <c:v>53</c:v>
                </c:pt>
                <c:pt idx="30">
                  <c:v>41</c:v>
                </c:pt>
                <c:pt idx="31">
                  <c:v>65</c:v>
                </c:pt>
                <c:pt idx="32">
                  <c:v>44</c:v>
                </c:pt>
                <c:pt idx="33">
                  <c:v>54</c:v>
                </c:pt>
                <c:pt idx="34">
                  <c:v>51</c:v>
                </c:pt>
                <c:pt idx="35">
                  <c:v>46</c:v>
                </c:pt>
                <c:pt idx="36">
                  <c:v>54</c:v>
                </c:pt>
                <c:pt idx="37">
                  <c:v>54</c:v>
                </c:pt>
                <c:pt idx="38">
                  <c:v>65</c:v>
                </c:pt>
                <c:pt idx="39">
                  <c:v>65</c:v>
                </c:pt>
                <c:pt idx="40">
                  <c:v>51</c:v>
                </c:pt>
                <c:pt idx="41">
                  <c:v>48</c:v>
                </c:pt>
                <c:pt idx="42">
                  <c:v>45</c:v>
                </c:pt>
                <c:pt idx="43">
                  <c:v>53</c:v>
                </c:pt>
                <c:pt idx="44">
                  <c:v>39</c:v>
                </c:pt>
                <c:pt idx="45">
                  <c:v>52</c:v>
                </c:pt>
                <c:pt idx="46">
                  <c:v>44</c:v>
                </c:pt>
                <c:pt idx="47">
                  <c:v>47</c:v>
                </c:pt>
                <c:pt idx="48">
                  <c:v>53</c:v>
                </c:pt>
                <c:pt idx="49">
                  <c:v>53</c:v>
                </c:pt>
                <c:pt idx="50">
                  <c:v>51</c:v>
                </c:pt>
                <c:pt idx="51">
                  <c:v>66</c:v>
                </c:pt>
                <c:pt idx="52">
                  <c:v>62</c:v>
                </c:pt>
                <c:pt idx="53">
                  <c:v>44</c:v>
                </c:pt>
                <c:pt idx="54">
                  <c:v>63</c:v>
                </c:pt>
                <c:pt idx="55">
                  <c:v>52</c:v>
                </c:pt>
                <c:pt idx="56">
                  <c:v>48</c:v>
                </c:pt>
                <c:pt idx="57">
                  <c:v>45</c:v>
                </c:pt>
                <c:pt idx="58">
                  <c:v>34</c:v>
                </c:pt>
                <c:pt idx="59">
                  <c:v>57</c:v>
                </c:pt>
                <c:pt idx="60">
                  <c:v>71</c:v>
                </c:pt>
                <c:pt idx="61">
                  <c:v>54</c:v>
                </c:pt>
                <c:pt idx="62">
                  <c:v>52</c:v>
                </c:pt>
                <c:pt idx="63">
                  <c:v>41</c:v>
                </c:pt>
                <c:pt idx="64">
                  <c:v>58</c:v>
                </c:pt>
                <c:pt idx="65">
                  <c:v>35</c:v>
                </c:pt>
                <c:pt idx="66">
                  <c:v>51</c:v>
                </c:pt>
                <c:pt idx="67">
                  <c:v>45</c:v>
                </c:pt>
                <c:pt idx="68">
                  <c:v>44</c:v>
                </c:pt>
                <c:pt idx="69">
                  <c:v>62</c:v>
                </c:pt>
                <c:pt idx="70">
                  <c:v>54</c:v>
                </c:pt>
                <c:pt idx="71">
                  <c:v>51</c:v>
                </c:pt>
                <c:pt idx="72">
                  <c:v>29</c:v>
                </c:pt>
                <c:pt idx="73">
                  <c:v>51</c:v>
                </c:pt>
                <c:pt idx="74">
                  <c:v>43</c:v>
                </c:pt>
                <c:pt idx="75">
                  <c:v>55</c:v>
                </c:pt>
                <c:pt idx="76">
                  <c:v>51</c:v>
                </c:pt>
                <c:pt idx="77">
                  <c:v>59</c:v>
                </c:pt>
                <c:pt idx="78">
                  <c:v>52</c:v>
                </c:pt>
                <c:pt idx="79">
                  <c:v>58</c:v>
                </c:pt>
                <c:pt idx="80">
                  <c:v>41</c:v>
                </c:pt>
                <c:pt idx="81">
                  <c:v>45</c:v>
                </c:pt>
                <c:pt idx="82">
                  <c:v>60</c:v>
                </c:pt>
                <c:pt idx="83">
                  <c:v>52</c:v>
                </c:pt>
                <c:pt idx="84">
                  <c:v>42</c:v>
                </c:pt>
                <c:pt idx="85">
                  <c:v>67</c:v>
                </c:pt>
                <c:pt idx="86">
                  <c:v>68</c:v>
                </c:pt>
                <c:pt idx="87">
                  <c:v>46</c:v>
                </c:pt>
                <c:pt idx="88">
                  <c:v>54</c:v>
                </c:pt>
                <c:pt idx="89">
                  <c:v>58</c:v>
                </c:pt>
                <c:pt idx="90">
                  <c:v>48</c:v>
                </c:pt>
                <c:pt idx="91">
                  <c:v>57</c:v>
                </c:pt>
                <c:pt idx="92">
                  <c:v>52</c:v>
                </c:pt>
                <c:pt idx="93">
                  <c:v>54</c:v>
                </c:pt>
                <c:pt idx="94">
                  <c:v>45</c:v>
                </c:pt>
                <c:pt idx="95">
                  <c:v>53</c:v>
                </c:pt>
                <c:pt idx="96">
                  <c:v>62</c:v>
                </c:pt>
                <c:pt idx="97">
                  <c:v>52</c:v>
                </c:pt>
                <c:pt idx="98">
                  <c:v>43</c:v>
                </c:pt>
                <c:pt idx="99">
                  <c:v>53</c:v>
                </c:pt>
                <c:pt idx="100">
                  <c:v>42</c:v>
                </c:pt>
                <c:pt idx="101">
                  <c:v>59</c:v>
                </c:pt>
                <c:pt idx="102">
                  <c:v>63</c:v>
                </c:pt>
                <c:pt idx="103">
                  <c:v>42</c:v>
                </c:pt>
                <c:pt idx="104">
                  <c:v>50</c:v>
                </c:pt>
                <c:pt idx="105">
                  <c:v>68</c:v>
                </c:pt>
                <c:pt idx="106">
                  <c:v>69</c:v>
                </c:pt>
                <c:pt idx="107">
                  <c:v>45</c:v>
                </c:pt>
                <c:pt idx="108">
                  <c:v>50</c:v>
                </c:pt>
                <c:pt idx="109">
                  <c:v>50</c:v>
                </c:pt>
                <c:pt idx="110">
                  <c:v>64</c:v>
                </c:pt>
                <c:pt idx="111">
                  <c:v>57</c:v>
                </c:pt>
                <c:pt idx="112">
                  <c:v>64</c:v>
                </c:pt>
                <c:pt idx="113">
                  <c:v>43</c:v>
                </c:pt>
                <c:pt idx="114">
                  <c:v>55</c:v>
                </c:pt>
                <c:pt idx="115">
                  <c:v>37</c:v>
                </c:pt>
                <c:pt idx="116">
                  <c:v>41</c:v>
                </c:pt>
                <c:pt idx="117">
                  <c:v>56</c:v>
                </c:pt>
                <c:pt idx="118">
                  <c:v>46</c:v>
                </c:pt>
                <c:pt idx="119">
                  <c:v>46</c:v>
                </c:pt>
                <c:pt idx="120">
                  <c:v>64</c:v>
                </c:pt>
                <c:pt idx="121">
                  <c:v>59</c:v>
                </c:pt>
                <c:pt idx="122">
                  <c:v>41</c:v>
                </c:pt>
                <c:pt idx="123">
                  <c:v>54</c:v>
                </c:pt>
                <c:pt idx="124">
                  <c:v>39</c:v>
                </c:pt>
                <c:pt idx="125">
                  <c:v>34</c:v>
                </c:pt>
                <c:pt idx="126">
                  <c:v>47</c:v>
                </c:pt>
                <c:pt idx="127">
                  <c:v>67</c:v>
                </c:pt>
                <c:pt idx="128">
                  <c:v>52</c:v>
                </c:pt>
                <c:pt idx="129">
                  <c:v>74</c:v>
                </c:pt>
                <c:pt idx="130">
                  <c:v>54</c:v>
                </c:pt>
                <c:pt idx="131">
                  <c:v>49</c:v>
                </c:pt>
                <c:pt idx="132">
                  <c:v>42</c:v>
                </c:pt>
                <c:pt idx="133">
                  <c:v>41</c:v>
                </c:pt>
                <c:pt idx="134">
                  <c:v>41</c:v>
                </c:pt>
                <c:pt idx="135">
                  <c:v>49</c:v>
                </c:pt>
                <c:pt idx="136">
                  <c:v>60</c:v>
                </c:pt>
                <c:pt idx="137">
                  <c:v>62</c:v>
                </c:pt>
                <c:pt idx="138">
                  <c:v>57</c:v>
                </c:pt>
                <c:pt idx="139">
                  <c:v>64</c:v>
                </c:pt>
                <c:pt idx="140">
                  <c:v>51</c:v>
                </c:pt>
                <c:pt idx="141">
                  <c:v>43</c:v>
                </c:pt>
                <c:pt idx="142">
                  <c:v>42</c:v>
                </c:pt>
                <c:pt idx="143">
                  <c:v>67</c:v>
                </c:pt>
                <c:pt idx="144">
                  <c:v>76</c:v>
                </c:pt>
                <c:pt idx="145">
                  <c:v>70</c:v>
                </c:pt>
                <c:pt idx="146">
                  <c:v>44</c:v>
                </c:pt>
                <c:pt idx="147">
                  <c:v>60</c:v>
                </c:pt>
                <c:pt idx="148">
                  <c:v>44</c:v>
                </c:pt>
                <c:pt idx="149">
                  <c:v>42</c:v>
                </c:pt>
                <c:pt idx="150">
                  <c:v>66</c:v>
                </c:pt>
                <c:pt idx="151">
                  <c:v>71</c:v>
                </c:pt>
                <c:pt idx="152">
                  <c:v>64</c:v>
                </c:pt>
                <c:pt idx="153">
                  <c:v>66</c:v>
                </c:pt>
                <c:pt idx="154">
                  <c:v>39</c:v>
                </c:pt>
                <c:pt idx="155">
                  <c:v>58</c:v>
                </c:pt>
                <c:pt idx="156">
                  <c:v>47</c:v>
                </c:pt>
                <c:pt idx="157">
                  <c:v>35</c:v>
                </c:pt>
                <c:pt idx="158">
                  <c:v>58</c:v>
                </c:pt>
                <c:pt idx="159">
                  <c:v>56</c:v>
                </c:pt>
                <c:pt idx="160">
                  <c:v>56</c:v>
                </c:pt>
                <c:pt idx="161">
                  <c:v>55</c:v>
                </c:pt>
                <c:pt idx="162">
                  <c:v>41</c:v>
                </c:pt>
                <c:pt idx="163">
                  <c:v>38</c:v>
                </c:pt>
                <c:pt idx="164">
                  <c:v>38</c:v>
                </c:pt>
                <c:pt idx="165">
                  <c:v>67</c:v>
                </c:pt>
                <c:pt idx="166">
                  <c:v>67</c:v>
                </c:pt>
                <c:pt idx="167">
                  <c:v>62</c:v>
                </c:pt>
                <c:pt idx="168">
                  <c:v>63</c:v>
                </c:pt>
                <c:pt idx="169">
                  <c:v>53</c:v>
                </c:pt>
                <c:pt idx="170">
                  <c:v>56</c:v>
                </c:pt>
                <c:pt idx="171">
                  <c:v>48</c:v>
                </c:pt>
                <c:pt idx="172">
                  <c:v>58</c:v>
                </c:pt>
                <c:pt idx="173">
                  <c:v>58</c:v>
                </c:pt>
                <c:pt idx="174">
                  <c:v>60</c:v>
                </c:pt>
                <c:pt idx="175">
                  <c:v>40</c:v>
                </c:pt>
                <c:pt idx="176">
                  <c:v>60</c:v>
                </c:pt>
                <c:pt idx="177">
                  <c:v>64</c:v>
                </c:pt>
                <c:pt idx="178">
                  <c:v>43</c:v>
                </c:pt>
                <c:pt idx="179">
                  <c:v>57</c:v>
                </c:pt>
                <c:pt idx="180">
                  <c:v>55</c:v>
                </c:pt>
                <c:pt idx="181">
                  <c:v>65</c:v>
                </c:pt>
                <c:pt idx="182">
                  <c:v>61</c:v>
                </c:pt>
                <c:pt idx="183">
                  <c:v>58</c:v>
                </c:pt>
                <c:pt idx="184">
                  <c:v>50</c:v>
                </c:pt>
                <c:pt idx="185">
                  <c:v>44</c:v>
                </c:pt>
                <c:pt idx="186">
                  <c:v>60</c:v>
                </c:pt>
                <c:pt idx="187">
                  <c:v>54</c:v>
                </c:pt>
                <c:pt idx="188">
                  <c:v>50</c:v>
                </c:pt>
                <c:pt idx="189">
                  <c:v>41</c:v>
                </c:pt>
                <c:pt idx="190">
                  <c:v>51</c:v>
                </c:pt>
                <c:pt idx="191">
                  <c:v>58</c:v>
                </c:pt>
                <c:pt idx="192">
                  <c:v>54</c:v>
                </c:pt>
                <c:pt idx="193">
                  <c:v>60</c:v>
                </c:pt>
                <c:pt idx="194">
                  <c:v>60</c:v>
                </c:pt>
                <c:pt idx="195">
                  <c:v>59</c:v>
                </c:pt>
                <c:pt idx="196">
                  <c:v>46</c:v>
                </c:pt>
                <c:pt idx="197">
                  <c:v>67</c:v>
                </c:pt>
                <c:pt idx="198">
                  <c:v>62</c:v>
                </c:pt>
                <c:pt idx="199">
                  <c:v>65</c:v>
                </c:pt>
                <c:pt idx="200">
                  <c:v>44</c:v>
                </c:pt>
                <c:pt idx="201">
                  <c:v>60</c:v>
                </c:pt>
                <c:pt idx="202">
                  <c:v>58</c:v>
                </c:pt>
                <c:pt idx="203">
                  <c:v>68</c:v>
                </c:pt>
                <c:pt idx="204">
                  <c:v>62</c:v>
                </c:pt>
                <c:pt idx="205">
                  <c:v>52</c:v>
                </c:pt>
                <c:pt idx="206">
                  <c:v>59</c:v>
                </c:pt>
                <c:pt idx="207">
                  <c:v>60</c:v>
                </c:pt>
                <c:pt idx="208">
                  <c:v>49</c:v>
                </c:pt>
                <c:pt idx="209">
                  <c:v>59</c:v>
                </c:pt>
                <c:pt idx="210">
                  <c:v>57</c:v>
                </c:pt>
                <c:pt idx="211">
                  <c:v>61</c:v>
                </c:pt>
                <c:pt idx="212">
                  <c:v>39</c:v>
                </c:pt>
                <c:pt idx="213">
                  <c:v>61</c:v>
                </c:pt>
                <c:pt idx="214">
                  <c:v>56</c:v>
                </c:pt>
                <c:pt idx="215">
                  <c:v>43</c:v>
                </c:pt>
                <c:pt idx="216">
                  <c:v>62</c:v>
                </c:pt>
                <c:pt idx="217">
                  <c:v>63</c:v>
                </c:pt>
                <c:pt idx="218">
                  <c:v>65</c:v>
                </c:pt>
                <c:pt idx="219">
                  <c:v>48</c:v>
                </c:pt>
                <c:pt idx="220">
                  <c:v>63</c:v>
                </c:pt>
                <c:pt idx="221">
                  <c:v>55</c:v>
                </c:pt>
                <c:pt idx="222">
                  <c:v>65</c:v>
                </c:pt>
                <c:pt idx="223">
                  <c:v>56</c:v>
                </c:pt>
                <c:pt idx="224">
                  <c:v>54</c:v>
                </c:pt>
                <c:pt idx="225">
                  <c:v>70</c:v>
                </c:pt>
                <c:pt idx="226">
                  <c:v>62</c:v>
                </c:pt>
                <c:pt idx="227">
                  <c:v>35</c:v>
                </c:pt>
                <c:pt idx="228">
                  <c:v>59</c:v>
                </c:pt>
                <c:pt idx="229">
                  <c:v>64</c:v>
                </c:pt>
                <c:pt idx="230">
                  <c:v>47</c:v>
                </c:pt>
                <c:pt idx="231">
                  <c:v>57</c:v>
                </c:pt>
                <c:pt idx="232">
                  <c:v>55</c:v>
                </c:pt>
                <c:pt idx="233">
                  <c:v>64</c:v>
                </c:pt>
                <c:pt idx="234">
                  <c:v>70</c:v>
                </c:pt>
                <c:pt idx="235">
                  <c:v>51</c:v>
                </c:pt>
                <c:pt idx="236">
                  <c:v>58</c:v>
                </c:pt>
                <c:pt idx="237">
                  <c:v>60</c:v>
                </c:pt>
                <c:pt idx="238">
                  <c:v>77</c:v>
                </c:pt>
                <c:pt idx="239">
                  <c:v>35</c:v>
                </c:pt>
                <c:pt idx="240">
                  <c:v>70</c:v>
                </c:pt>
                <c:pt idx="241">
                  <c:v>59</c:v>
                </c:pt>
                <c:pt idx="242">
                  <c:v>64</c:v>
                </c:pt>
                <c:pt idx="243">
                  <c:v>57</c:v>
                </c:pt>
                <c:pt idx="244">
                  <c:v>56</c:v>
                </c:pt>
                <c:pt idx="245">
                  <c:v>48</c:v>
                </c:pt>
                <c:pt idx="246">
                  <c:v>56</c:v>
                </c:pt>
                <c:pt idx="247">
                  <c:v>66</c:v>
                </c:pt>
                <c:pt idx="248">
                  <c:v>54</c:v>
                </c:pt>
                <c:pt idx="249">
                  <c:v>69</c:v>
                </c:pt>
                <c:pt idx="250">
                  <c:v>51</c:v>
                </c:pt>
                <c:pt idx="251">
                  <c:v>43</c:v>
                </c:pt>
                <c:pt idx="252">
                  <c:v>62</c:v>
                </c:pt>
                <c:pt idx="253">
                  <c:v>67</c:v>
                </c:pt>
                <c:pt idx="254">
                  <c:v>59</c:v>
                </c:pt>
                <c:pt idx="255">
                  <c:v>45</c:v>
                </c:pt>
                <c:pt idx="256">
                  <c:v>58</c:v>
                </c:pt>
                <c:pt idx="257">
                  <c:v>50</c:v>
                </c:pt>
                <c:pt idx="258">
                  <c:v>62</c:v>
                </c:pt>
                <c:pt idx="259">
                  <c:v>38</c:v>
                </c:pt>
                <c:pt idx="260">
                  <c:v>66</c:v>
                </c:pt>
                <c:pt idx="261">
                  <c:v>52</c:v>
                </c:pt>
                <c:pt idx="262">
                  <c:v>53</c:v>
                </c:pt>
                <c:pt idx="263">
                  <c:v>63</c:v>
                </c:pt>
                <c:pt idx="264">
                  <c:v>54</c:v>
                </c:pt>
                <c:pt idx="265">
                  <c:v>66</c:v>
                </c:pt>
                <c:pt idx="266">
                  <c:v>55</c:v>
                </c:pt>
                <c:pt idx="267">
                  <c:v>49</c:v>
                </c:pt>
                <c:pt idx="268">
                  <c:v>54</c:v>
                </c:pt>
                <c:pt idx="269">
                  <c:v>56</c:v>
                </c:pt>
                <c:pt idx="270">
                  <c:v>46</c:v>
                </c:pt>
                <c:pt idx="271">
                  <c:v>61</c:v>
                </c:pt>
                <c:pt idx="272">
                  <c:v>67</c:v>
                </c:pt>
                <c:pt idx="273">
                  <c:v>58</c:v>
                </c:pt>
                <c:pt idx="274">
                  <c:v>47</c:v>
                </c:pt>
                <c:pt idx="275">
                  <c:v>52</c:v>
                </c:pt>
                <c:pt idx="276">
                  <c:v>58</c:v>
                </c:pt>
                <c:pt idx="277">
                  <c:v>57</c:v>
                </c:pt>
                <c:pt idx="278">
                  <c:v>58</c:v>
                </c:pt>
                <c:pt idx="279">
                  <c:v>61</c:v>
                </c:pt>
                <c:pt idx="280">
                  <c:v>42</c:v>
                </c:pt>
                <c:pt idx="281">
                  <c:v>52</c:v>
                </c:pt>
                <c:pt idx="282">
                  <c:v>59</c:v>
                </c:pt>
                <c:pt idx="283">
                  <c:v>40</c:v>
                </c:pt>
                <c:pt idx="284">
                  <c:v>61</c:v>
                </c:pt>
                <c:pt idx="285">
                  <c:v>46</c:v>
                </c:pt>
                <c:pt idx="286">
                  <c:v>59</c:v>
                </c:pt>
                <c:pt idx="287">
                  <c:v>57</c:v>
                </c:pt>
                <c:pt idx="288">
                  <c:v>57</c:v>
                </c:pt>
                <c:pt idx="289">
                  <c:v>55</c:v>
                </c:pt>
                <c:pt idx="290">
                  <c:v>61</c:v>
                </c:pt>
                <c:pt idx="291">
                  <c:v>58</c:v>
                </c:pt>
                <c:pt idx="292">
                  <c:v>58</c:v>
                </c:pt>
                <c:pt idx="293">
                  <c:v>67</c:v>
                </c:pt>
                <c:pt idx="294">
                  <c:v>44</c:v>
                </c:pt>
                <c:pt idx="295">
                  <c:v>63</c:v>
                </c:pt>
                <c:pt idx="296">
                  <c:v>63</c:v>
                </c:pt>
                <c:pt idx="297">
                  <c:v>59</c:v>
                </c:pt>
                <c:pt idx="298">
                  <c:v>57</c:v>
                </c:pt>
                <c:pt idx="299">
                  <c:v>45</c:v>
                </c:pt>
                <c:pt idx="300">
                  <c:v>68</c:v>
                </c:pt>
                <c:pt idx="301">
                  <c:v>57</c:v>
                </c:pt>
                <c:pt idx="302">
                  <c:v>57</c:v>
                </c:pt>
              </c:numCache>
            </c:numRef>
          </c:xVal>
          <c:yVal>
            <c:numRef>
              <c:f>'orginal data'!$E$2:$E$304</c:f>
              <c:numCache>
                <c:formatCode>General</c:formatCode>
                <c:ptCount val="303"/>
                <c:pt idx="0">
                  <c:v>233</c:v>
                </c:pt>
                <c:pt idx="1">
                  <c:v>250</c:v>
                </c:pt>
                <c:pt idx="2">
                  <c:v>204</c:v>
                </c:pt>
                <c:pt idx="3">
                  <c:v>236</c:v>
                </c:pt>
                <c:pt idx="4">
                  <c:v>354</c:v>
                </c:pt>
                <c:pt idx="5">
                  <c:v>192</c:v>
                </c:pt>
                <c:pt idx="6">
                  <c:v>294</c:v>
                </c:pt>
                <c:pt idx="7">
                  <c:v>263</c:v>
                </c:pt>
                <c:pt idx="8">
                  <c:v>199</c:v>
                </c:pt>
                <c:pt idx="9">
                  <c:v>168</c:v>
                </c:pt>
                <c:pt idx="10">
                  <c:v>239</c:v>
                </c:pt>
                <c:pt idx="11">
                  <c:v>275</c:v>
                </c:pt>
                <c:pt idx="12">
                  <c:v>266</c:v>
                </c:pt>
                <c:pt idx="13">
                  <c:v>211</c:v>
                </c:pt>
                <c:pt idx="14">
                  <c:v>283</c:v>
                </c:pt>
                <c:pt idx="15">
                  <c:v>219</c:v>
                </c:pt>
                <c:pt idx="16">
                  <c:v>340</c:v>
                </c:pt>
                <c:pt idx="17">
                  <c:v>226</c:v>
                </c:pt>
                <c:pt idx="18">
                  <c:v>247</c:v>
                </c:pt>
                <c:pt idx="19">
                  <c:v>239</c:v>
                </c:pt>
                <c:pt idx="20">
                  <c:v>234</c:v>
                </c:pt>
                <c:pt idx="21">
                  <c:v>233</c:v>
                </c:pt>
                <c:pt idx="22">
                  <c:v>226</c:v>
                </c:pt>
                <c:pt idx="23">
                  <c:v>243</c:v>
                </c:pt>
                <c:pt idx="24">
                  <c:v>199</c:v>
                </c:pt>
                <c:pt idx="25">
                  <c:v>302</c:v>
                </c:pt>
                <c:pt idx="26">
                  <c:v>212</c:v>
                </c:pt>
                <c:pt idx="27">
                  <c:v>175</c:v>
                </c:pt>
                <c:pt idx="28">
                  <c:v>417</c:v>
                </c:pt>
                <c:pt idx="29">
                  <c:v>197</c:v>
                </c:pt>
                <c:pt idx="30">
                  <c:v>198</c:v>
                </c:pt>
                <c:pt idx="31">
                  <c:v>177</c:v>
                </c:pt>
                <c:pt idx="32">
                  <c:v>219</c:v>
                </c:pt>
                <c:pt idx="33">
                  <c:v>273</c:v>
                </c:pt>
                <c:pt idx="34">
                  <c:v>213</c:v>
                </c:pt>
                <c:pt idx="35">
                  <c:v>177</c:v>
                </c:pt>
                <c:pt idx="36">
                  <c:v>304</c:v>
                </c:pt>
                <c:pt idx="37">
                  <c:v>232</c:v>
                </c:pt>
                <c:pt idx="38">
                  <c:v>269</c:v>
                </c:pt>
                <c:pt idx="39">
                  <c:v>360</c:v>
                </c:pt>
                <c:pt idx="40">
                  <c:v>308</c:v>
                </c:pt>
                <c:pt idx="41">
                  <c:v>245</c:v>
                </c:pt>
                <c:pt idx="42">
                  <c:v>208</c:v>
                </c:pt>
                <c:pt idx="43">
                  <c:v>264</c:v>
                </c:pt>
                <c:pt idx="44">
                  <c:v>321</c:v>
                </c:pt>
                <c:pt idx="45">
                  <c:v>325</c:v>
                </c:pt>
                <c:pt idx="46">
                  <c:v>235</c:v>
                </c:pt>
                <c:pt idx="47">
                  <c:v>257</c:v>
                </c:pt>
                <c:pt idx="48">
                  <c:v>216</c:v>
                </c:pt>
                <c:pt idx="49">
                  <c:v>234</c:v>
                </c:pt>
                <c:pt idx="50">
                  <c:v>256</c:v>
                </c:pt>
                <c:pt idx="51">
                  <c:v>302</c:v>
                </c:pt>
                <c:pt idx="52">
                  <c:v>231</c:v>
                </c:pt>
                <c:pt idx="53">
                  <c:v>141</c:v>
                </c:pt>
                <c:pt idx="54">
                  <c:v>252</c:v>
                </c:pt>
                <c:pt idx="55">
                  <c:v>201</c:v>
                </c:pt>
                <c:pt idx="56">
                  <c:v>222</c:v>
                </c:pt>
                <c:pt idx="57">
                  <c:v>260</c:v>
                </c:pt>
                <c:pt idx="58">
                  <c:v>182</c:v>
                </c:pt>
                <c:pt idx="59">
                  <c:v>303</c:v>
                </c:pt>
                <c:pt idx="60">
                  <c:v>265</c:v>
                </c:pt>
                <c:pt idx="61">
                  <c:v>309</c:v>
                </c:pt>
                <c:pt idx="62">
                  <c:v>186</c:v>
                </c:pt>
                <c:pt idx="63">
                  <c:v>203</c:v>
                </c:pt>
                <c:pt idx="64">
                  <c:v>211</c:v>
                </c:pt>
                <c:pt idx="65">
                  <c:v>183</c:v>
                </c:pt>
                <c:pt idx="66">
                  <c:v>222</c:v>
                </c:pt>
                <c:pt idx="67">
                  <c:v>234</c:v>
                </c:pt>
                <c:pt idx="68">
                  <c:v>220</c:v>
                </c:pt>
                <c:pt idx="69">
                  <c:v>209</c:v>
                </c:pt>
                <c:pt idx="70">
                  <c:v>258</c:v>
                </c:pt>
                <c:pt idx="71">
                  <c:v>227</c:v>
                </c:pt>
                <c:pt idx="72">
                  <c:v>204</c:v>
                </c:pt>
                <c:pt idx="73">
                  <c:v>261</c:v>
                </c:pt>
                <c:pt idx="74">
                  <c:v>213</c:v>
                </c:pt>
                <c:pt idx="75">
                  <c:v>250</c:v>
                </c:pt>
                <c:pt idx="76">
                  <c:v>245</c:v>
                </c:pt>
                <c:pt idx="77">
                  <c:v>221</c:v>
                </c:pt>
                <c:pt idx="78">
                  <c:v>205</c:v>
                </c:pt>
                <c:pt idx="79">
                  <c:v>240</c:v>
                </c:pt>
                <c:pt idx="80">
                  <c:v>250</c:v>
                </c:pt>
                <c:pt idx="81">
                  <c:v>308</c:v>
                </c:pt>
                <c:pt idx="82">
                  <c:v>318</c:v>
                </c:pt>
                <c:pt idx="83">
                  <c:v>298</c:v>
                </c:pt>
                <c:pt idx="84">
                  <c:v>265</c:v>
                </c:pt>
                <c:pt idx="85">
                  <c:v>564</c:v>
                </c:pt>
                <c:pt idx="86">
                  <c:v>277</c:v>
                </c:pt>
                <c:pt idx="87">
                  <c:v>197</c:v>
                </c:pt>
                <c:pt idx="88">
                  <c:v>214</c:v>
                </c:pt>
                <c:pt idx="89">
                  <c:v>248</c:v>
                </c:pt>
                <c:pt idx="90">
                  <c:v>255</c:v>
                </c:pt>
                <c:pt idx="91">
                  <c:v>207</c:v>
                </c:pt>
                <c:pt idx="92">
                  <c:v>223</c:v>
                </c:pt>
                <c:pt idx="93">
                  <c:v>288</c:v>
                </c:pt>
                <c:pt idx="94">
                  <c:v>160</c:v>
                </c:pt>
                <c:pt idx="95">
                  <c:v>226</c:v>
                </c:pt>
                <c:pt idx="96">
                  <c:v>394</c:v>
                </c:pt>
                <c:pt idx="97">
                  <c:v>233</c:v>
                </c:pt>
                <c:pt idx="98">
                  <c:v>315</c:v>
                </c:pt>
                <c:pt idx="99">
                  <c:v>246</c:v>
                </c:pt>
                <c:pt idx="100">
                  <c:v>244</c:v>
                </c:pt>
                <c:pt idx="101">
                  <c:v>270</c:v>
                </c:pt>
                <c:pt idx="102">
                  <c:v>195</c:v>
                </c:pt>
                <c:pt idx="103">
                  <c:v>240</c:v>
                </c:pt>
                <c:pt idx="104">
                  <c:v>196</c:v>
                </c:pt>
                <c:pt idx="105">
                  <c:v>211</c:v>
                </c:pt>
                <c:pt idx="106">
                  <c:v>234</c:v>
                </c:pt>
                <c:pt idx="107">
                  <c:v>236</c:v>
                </c:pt>
                <c:pt idx="108">
                  <c:v>244</c:v>
                </c:pt>
                <c:pt idx="109">
                  <c:v>254</c:v>
                </c:pt>
                <c:pt idx="110">
                  <c:v>325</c:v>
                </c:pt>
                <c:pt idx="111">
                  <c:v>126</c:v>
                </c:pt>
                <c:pt idx="112">
                  <c:v>313</c:v>
                </c:pt>
                <c:pt idx="113">
                  <c:v>211</c:v>
                </c:pt>
                <c:pt idx="114">
                  <c:v>262</c:v>
                </c:pt>
                <c:pt idx="115">
                  <c:v>215</c:v>
                </c:pt>
                <c:pt idx="116">
                  <c:v>214</c:v>
                </c:pt>
                <c:pt idx="117">
                  <c:v>193</c:v>
                </c:pt>
                <c:pt idx="118">
                  <c:v>204</c:v>
                </c:pt>
                <c:pt idx="119">
                  <c:v>243</c:v>
                </c:pt>
                <c:pt idx="120">
                  <c:v>303</c:v>
                </c:pt>
                <c:pt idx="121">
                  <c:v>271</c:v>
                </c:pt>
                <c:pt idx="122">
                  <c:v>268</c:v>
                </c:pt>
                <c:pt idx="123">
                  <c:v>267</c:v>
                </c:pt>
                <c:pt idx="124">
                  <c:v>199</c:v>
                </c:pt>
                <c:pt idx="125">
                  <c:v>210</c:v>
                </c:pt>
                <c:pt idx="126">
                  <c:v>204</c:v>
                </c:pt>
                <c:pt idx="127">
                  <c:v>277</c:v>
                </c:pt>
                <c:pt idx="128">
                  <c:v>196</c:v>
                </c:pt>
                <c:pt idx="129">
                  <c:v>269</c:v>
                </c:pt>
                <c:pt idx="130">
                  <c:v>201</c:v>
                </c:pt>
                <c:pt idx="131">
                  <c:v>271</c:v>
                </c:pt>
                <c:pt idx="132">
                  <c:v>295</c:v>
                </c:pt>
                <c:pt idx="133">
                  <c:v>235</c:v>
                </c:pt>
                <c:pt idx="134">
                  <c:v>306</c:v>
                </c:pt>
                <c:pt idx="135">
                  <c:v>269</c:v>
                </c:pt>
                <c:pt idx="136">
                  <c:v>178</c:v>
                </c:pt>
                <c:pt idx="137">
                  <c:v>208</c:v>
                </c:pt>
                <c:pt idx="138">
                  <c:v>201</c:v>
                </c:pt>
                <c:pt idx="139">
                  <c:v>263</c:v>
                </c:pt>
                <c:pt idx="140">
                  <c:v>295</c:v>
                </c:pt>
                <c:pt idx="141">
                  <c:v>303</c:v>
                </c:pt>
                <c:pt idx="142">
                  <c:v>209</c:v>
                </c:pt>
                <c:pt idx="143">
                  <c:v>223</c:v>
                </c:pt>
                <c:pt idx="144">
                  <c:v>197</c:v>
                </c:pt>
                <c:pt idx="145">
                  <c:v>245</c:v>
                </c:pt>
                <c:pt idx="146">
                  <c:v>242</c:v>
                </c:pt>
                <c:pt idx="147">
                  <c:v>240</c:v>
                </c:pt>
                <c:pt idx="148">
                  <c:v>226</c:v>
                </c:pt>
                <c:pt idx="149">
                  <c:v>180</c:v>
                </c:pt>
                <c:pt idx="150">
                  <c:v>228</c:v>
                </c:pt>
                <c:pt idx="151">
                  <c:v>149</c:v>
                </c:pt>
                <c:pt idx="152">
                  <c:v>227</c:v>
                </c:pt>
                <c:pt idx="153">
                  <c:v>278</c:v>
                </c:pt>
                <c:pt idx="154">
                  <c:v>220</c:v>
                </c:pt>
                <c:pt idx="155">
                  <c:v>197</c:v>
                </c:pt>
                <c:pt idx="156">
                  <c:v>253</c:v>
                </c:pt>
                <c:pt idx="157">
                  <c:v>192</c:v>
                </c:pt>
                <c:pt idx="158">
                  <c:v>220</c:v>
                </c:pt>
                <c:pt idx="159">
                  <c:v>221</c:v>
                </c:pt>
                <c:pt idx="160">
                  <c:v>240</c:v>
                </c:pt>
                <c:pt idx="161">
                  <c:v>342</c:v>
                </c:pt>
                <c:pt idx="162">
                  <c:v>157</c:v>
                </c:pt>
                <c:pt idx="163">
                  <c:v>175</c:v>
                </c:pt>
                <c:pt idx="164">
                  <c:v>175</c:v>
                </c:pt>
                <c:pt idx="165">
                  <c:v>286</c:v>
                </c:pt>
                <c:pt idx="166">
                  <c:v>229</c:v>
                </c:pt>
                <c:pt idx="167">
                  <c:v>268</c:v>
                </c:pt>
                <c:pt idx="168">
                  <c:v>254</c:v>
                </c:pt>
                <c:pt idx="169">
                  <c:v>203</c:v>
                </c:pt>
                <c:pt idx="170">
                  <c:v>256</c:v>
                </c:pt>
                <c:pt idx="171">
                  <c:v>229</c:v>
                </c:pt>
                <c:pt idx="172">
                  <c:v>284</c:v>
                </c:pt>
                <c:pt idx="173">
                  <c:v>224</c:v>
                </c:pt>
                <c:pt idx="174">
                  <c:v>206</c:v>
                </c:pt>
                <c:pt idx="175">
                  <c:v>167</c:v>
                </c:pt>
                <c:pt idx="176">
                  <c:v>230</c:v>
                </c:pt>
                <c:pt idx="177">
                  <c:v>335</c:v>
                </c:pt>
                <c:pt idx="178">
                  <c:v>177</c:v>
                </c:pt>
                <c:pt idx="179">
                  <c:v>276</c:v>
                </c:pt>
                <c:pt idx="180">
                  <c:v>353</c:v>
                </c:pt>
                <c:pt idx="181">
                  <c:v>225</c:v>
                </c:pt>
                <c:pt idx="182">
                  <c:v>330</c:v>
                </c:pt>
                <c:pt idx="183">
                  <c:v>230</c:v>
                </c:pt>
                <c:pt idx="184">
                  <c:v>243</c:v>
                </c:pt>
                <c:pt idx="185">
                  <c:v>290</c:v>
                </c:pt>
                <c:pt idx="186">
                  <c:v>253</c:v>
                </c:pt>
                <c:pt idx="187">
                  <c:v>266</c:v>
                </c:pt>
                <c:pt idx="188">
                  <c:v>233</c:v>
                </c:pt>
                <c:pt idx="189">
                  <c:v>172</c:v>
                </c:pt>
                <c:pt idx="190">
                  <c:v>305</c:v>
                </c:pt>
                <c:pt idx="191">
                  <c:v>216</c:v>
                </c:pt>
                <c:pt idx="192">
                  <c:v>188</c:v>
                </c:pt>
                <c:pt idx="193">
                  <c:v>282</c:v>
                </c:pt>
                <c:pt idx="194">
                  <c:v>185</c:v>
                </c:pt>
                <c:pt idx="195">
                  <c:v>326</c:v>
                </c:pt>
                <c:pt idx="196">
                  <c:v>231</c:v>
                </c:pt>
                <c:pt idx="197">
                  <c:v>254</c:v>
                </c:pt>
                <c:pt idx="198">
                  <c:v>267</c:v>
                </c:pt>
                <c:pt idx="199">
                  <c:v>248</c:v>
                </c:pt>
                <c:pt idx="200">
                  <c:v>197</c:v>
                </c:pt>
                <c:pt idx="201">
                  <c:v>258</c:v>
                </c:pt>
                <c:pt idx="202">
                  <c:v>270</c:v>
                </c:pt>
                <c:pt idx="203">
                  <c:v>274</c:v>
                </c:pt>
                <c:pt idx="204">
                  <c:v>164</c:v>
                </c:pt>
                <c:pt idx="205">
                  <c:v>255</c:v>
                </c:pt>
                <c:pt idx="206">
                  <c:v>239</c:v>
                </c:pt>
                <c:pt idx="207">
                  <c:v>258</c:v>
                </c:pt>
                <c:pt idx="208">
                  <c:v>188</c:v>
                </c:pt>
                <c:pt idx="209">
                  <c:v>177</c:v>
                </c:pt>
                <c:pt idx="210">
                  <c:v>229</c:v>
                </c:pt>
                <c:pt idx="211">
                  <c:v>260</c:v>
                </c:pt>
                <c:pt idx="212">
                  <c:v>219</c:v>
                </c:pt>
                <c:pt idx="213">
                  <c:v>307</c:v>
                </c:pt>
                <c:pt idx="214">
                  <c:v>249</c:v>
                </c:pt>
                <c:pt idx="215">
                  <c:v>341</c:v>
                </c:pt>
                <c:pt idx="216">
                  <c:v>263</c:v>
                </c:pt>
                <c:pt idx="217">
                  <c:v>330</c:v>
                </c:pt>
                <c:pt idx="218">
                  <c:v>254</c:v>
                </c:pt>
                <c:pt idx="219">
                  <c:v>256</c:v>
                </c:pt>
                <c:pt idx="220">
                  <c:v>407</c:v>
                </c:pt>
                <c:pt idx="221">
                  <c:v>217</c:v>
                </c:pt>
                <c:pt idx="222">
                  <c:v>282</c:v>
                </c:pt>
                <c:pt idx="223">
                  <c:v>288</c:v>
                </c:pt>
                <c:pt idx="224">
                  <c:v>239</c:v>
                </c:pt>
                <c:pt idx="225">
                  <c:v>174</c:v>
                </c:pt>
                <c:pt idx="226">
                  <c:v>281</c:v>
                </c:pt>
                <c:pt idx="227">
                  <c:v>198</c:v>
                </c:pt>
                <c:pt idx="228">
                  <c:v>288</c:v>
                </c:pt>
                <c:pt idx="229">
                  <c:v>309</c:v>
                </c:pt>
                <c:pt idx="230">
                  <c:v>243</c:v>
                </c:pt>
                <c:pt idx="231">
                  <c:v>289</c:v>
                </c:pt>
                <c:pt idx="232">
                  <c:v>289</c:v>
                </c:pt>
                <c:pt idx="233">
                  <c:v>246</c:v>
                </c:pt>
                <c:pt idx="234">
                  <c:v>322</c:v>
                </c:pt>
                <c:pt idx="235">
                  <c:v>299</c:v>
                </c:pt>
                <c:pt idx="236">
                  <c:v>300</c:v>
                </c:pt>
                <c:pt idx="237">
                  <c:v>293</c:v>
                </c:pt>
                <c:pt idx="238">
                  <c:v>304</c:v>
                </c:pt>
                <c:pt idx="239">
                  <c:v>282</c:v>
                </c:pt>
                <c:pt idx="240">
                  <c:v>269</c:v>
                </c:pt>
                <c:pt idx="241">
                  <c:v>249</c:v>
                </c:pt>
                <c:pt idx="242">
                  <c:v>212</c:v>
                </c:pt>
                <c:pt idx="243">
                  <c:v>274</c:v>
                </c:pt>
                <c:pt idx="244">
                  <c:v>184</c:v>
                </c:pt>
                <c:pt idx="245">
                  <c:v>274</c:v>
                </c:pt>
                <c:pt idx="246">
                  <c:v>409</c:v>
                </c:pt>
                <c:pt idx="247">
                  <c:v>246</c:v>
                </c:pt>
                <c:pt idx="248">
                  <c:v>283</c:v>
                </c:pt>
                <c:pt idx="249">
                  <c:v>254</c:v>
                </c:pt>
                <c:pt idx="250">
                  <c:v>298</c:v>
                </c:pt>
                <c:pt idx="251">
                  <c:v>247</c:v>
                </c:pt>
                <c:pt idx="252">
                  <c:v>294</c:v>
                </c:pt>
                <c:pt idx="253">
                  <c:v>299</c:v>
                </c:pt>
                <c:pt idx="254">
                  <c:v>273</c:v>
                </c:pt>
                <c:pt idx="255">
                  <c:v>309</c:v>
                </c:pt>
                <c:pt idx="256">
                  <c:v>259</c:v>
                </c:pt>
                <c:pt idx="257">
                  <c:v>200</c:v>
                </c:pt>
                <c:pt idx="258">
                  <c:v>244</c:v>
                </c:pt>
                <c:pt idx="259">
                  <c:v>231</c:v>
                </c:pt>
                <c:pt idx="260">
                  <c:v>228</c:v>
                </c:pt>
                <c:pt idx="261">
                  <c:v>230</c:v>
                </c:pt>
                <c:pt idx="262">
                  <c:v>282</c:v>
                </c:pt>
                <c:pt idx="263">
                  <c:v>269</c:v>
                </c:pt>
                <c:pt idx="264">
                  <c:v>206</c:v>
                </c:pt>
                <c:pt idx="265">
                  <c:v>212</c:v>
                </c:pt>
                <c:pt idx="266">
                  <c:v>327</c:v>
                </c:pt>
                <c:pt idx="267">
                  <c:v>149</c:v>
                </c:pt>
                <c:pt idx="268">
                  <c:v>286</c:v>
                </c:pt>
                <c:pt idx="269">
                  <c:v>283</c:v>
                </c:pt>
                <c:pt idx="270">
                  <c:v>249</c:v>
                </c:pt>
                <c:pt idx="271">
                  <c:v>234</c:v>
                </c:pt>
                <c:pt idx="272">
                  <c:v>237</c:v>
                </c:pt>
                <c:pt idx="273">
                  <c:v>234</c:v>
                </c:pt>
                <c:pt idx="274">
                  <c:v>275</c:v>
                </c:pt>
                <c:pt idx="275">
                  <c:v>212</c:v>
                </c:pt>
                <c:pt idx="276">
                  <c:v>218</c:v>
                </c:pt>
                <c:pt idx="277">
                  <c:v>261</c:v>
                </c:pt>
                <c:pt idx="278">
                  <c:v>319</c:v>
                </c:pt>
                <c:pt idx="279">
                  <c:v>166</c:v>
                </c:pt>
                <c:pt idx="280">
                  <c:v>315</c:v>
                </c:pt>
                <c:pt idx="281">
                  <c:v>204</c:v>
                </c:pt>
                <c:pt idx="282">
                  <c:v>218</c:v>
                </c:pt>
                <c:pt idx="283">
                  <c:v>223</c:v>
                </c:pt>
                <c:pt idx="284">
                  <c:v>207</c:v>
                </c:pt>
                <c:pt idx="285">
                  <c:v>311</c:v>
                </c:pt>
                <c:pt idx="286">
                  <c:v>204</c:v>
                </c:pt>
                <c:pt idx="287">
                  <c:v>232</c:v>
                </c:pt>
                <c:pt idx="288">
                  <c:v>335</c:v>
                </c:pt>
                <c:pt idx="289">
                  <c:v>205</c:v>
                </c:pt>
                <c:pt idx="290">
                  <c:v>203</c:v>
                </c:pt>
                <c:pt idx="291">
                  <c:v>318</c:v>
                </c:pt>
                <c:pt idx="292">
                  <c:v>225</c:v>
                </c:pt>
                <c:pt idx="293">
                  <c:v>212</c:v>
                </c:pt>
                <c:pt idx="294">
                  <c:v>169</c:v>
                </c:pt>
                <c:pt idx="295">
                  <c:v>187</c:v>
                </c:pt>
                <c:pt idx="296">
                  <c:v>197</c:v>
                </c:pt>
                <c:pt idx="297">
                  <c:v>176</c:v>
                </c:pt>
                <c:pt idx="298">
                  <c:v>241</c:v>
                </c:pt>
                <c:pt idx="299">
                  <c:v>264</c:v>
                </c:pt>
                <c:pt idx="300">
                  <c:v>193</c:v>
                </c:pt>
                <c:pt idx="301">
                  <c:v>131</c:v>
                </c:pt>
                <c:pt idx="302">
                  <c:v>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A5F-4FD8-82B6-1EF5DDD7322E}"/>
            </c:ext>
          </c:extLst>
        </c:ser>
        <c:ser>
          <c:idx val="1"/>
          <c:order val="1"/>
          <c:tx>
            <c:v>Predicted chol</c:v>
          </c:tx>
          <c:spPr>
            <a:ln w="19050">
              <a:noFill/>
            </a:ln>
          </c:spPr>
          <c:xVal>
            <c:numRef>
              <c:f>'orginal data'!$A$2:$A$304</c:f>
              <c:numCache>
                <c:formatCode>General</c:formatCode>
                <c:ptCount val="303"/>
                <c:pt idx="0">
                  <c:v>63</c:v>
                </c:pt>
                <c:pt idx="1">
                  <c:v>37</c:v>
                </c:pt>
                <c:pt idx="2">
                  <c:v>41</c:v>
                </c:pt>
                <c:pt idx="3">
                  <c:v>56</c:v>
                </c:pt>
                <c:pt idx="4">
                  <c:v>57</c:v>
                </c:pt>
                <c:pt idx="5">
                  <c:v>57</c:v>
                </c:pt>
                <c:pt idx="6">
                  <c:v>56</c:v>
                </c:pt>
                <c:pt idx="7">
                  <c:v>44</c:v>
                </c:pt>
                <c:pt idx="8">
                  <c:v>52</c:v>
                </c:pt>
                <c:pt idx="9">
                  <c:v>57</c:v>
                </c:pt>
                <c:pt idx="10">
                  <c:v>54</c:v>
                </c:pt>
                <c:pt idx="11">
                  <c:v>48</c:v>
                </c:pt>
                <c:pt idx="12">
                  <c:v>49</c:v>
                </c:pt>
                <c:pt idx="13">
                  <c:v>64</c:v>
                </c:pt>
                <c:pt idx="14">
                  <c:v>58</c:v>
                </c:pt>
                <c:pt idx="15">
                  <c:v>50</c:v>
                </c:pt>
                <c:pt idx="16">
                  <c:v>58</c:v>
                </c:pt>
                <c:pt idx="17">
                  <c:v>66</c:v>
                </c:pt>
                <c:pt idx="18">
                  <c:v>43</c:v>
                </c:pt>
                <c:pt idx="19">
                  <c:v>69</c:v>
                </c:pt>
                <c:pt idx="20">
                  <c:v>59</c:v>
                </c:pt>
                <c:pt idx="21">
                  <c:v>44</c:v>
                </c:pt>
                <c:pt idx="22">
                  <c:v>42</c:v>
                </c:pt>
                <c:pt idx="23">
                  <c:v>61</c:v>
                </c:pt>
                <c:pt idx="24">
                  <c:v>40</c:v>
                </c:pt>
                <c:pt idx="25">
                  <c:v>71</c:v>
                </c:pt>
                <c:pt idx="26">
                  <c:v>59</c:v>
                </c:pt>
                <c:pt idx="27">
                  <c:v>51</c:v>
                </c:pt>
                <c:pt idx="28">
                  <c:v>65</c:v>
                </c:pt>
                <c:pt idx="29">
                  <c:v>53</c:v>
                </c:pt>
                <c:pt idx="30">
                  <c:v>41</c:v>
                </c:pt>
                <c:pt idx="31">
                  <c:v>65</c:v>
                </c:pt>
                <c:pt idx="32">
                  <c:v>44</c:v>
                </c:pt>
                <c:pt idx="33">
                  <c:v>54</c:v>
                </c:pt>
                <c:pt idx="34">
                  <c:v>51</c:v>
                </c:pt>
                <c:pt idx="35">
                  <c:v>46</c:v>
                </c:pt>
                <c:pt idx="36">
                  <c:v>54</c:v>
                </c:pt>
                <c:pt idx="37">
                  <c:v>54</c:v>
                </c:pt>
                <c:pt idx="38">
                  <c:v>65</c:v>
                </c:pt>
                <c:pt idx="39">
                  <c:v>65</c:v>
                </c:pt>
                <c:pt idx="40">
                  <c:v>51</c:v>
                </c:pt>
                <c:pt idx="41">
                  <c:v>48</c:v>
                </c:pt>
                <c:pt idx="42">
                  <c:v>45</c:v>
                </c:pt>
                <c:pt idx="43">
                  <c:v>53</c:v>
                </c:pt>
                <c:pt idx="44">
                  <c:v>39</c:v>
                </c:pt>
                <c:pt idx="45">
                  <c:v>52</c:v>
                </c:pt>
                <c:pt idx="46">
                  <c:v>44</c:v>
                </c:pt>
                <c:pt idx="47">
                  <c:v>47</c:v>
                </c:pt>
                <c:pt idx="48">
                  <c:v>53</c:v>
                </c:pt>
                <c:pt idx="49">
                  <c:v>53</c:v>
                </c:pt>
                <c:pt idx="50">
                  <c:v>51</c:v>
                </c:pt>
                <c:pt idx="51">
                  <c:v>66</c:v>
                </c:pt>
                <c:pt idx="52">
                  <c:v>62</c:v>
                </c:pt>
                <c:pt idx="53">
                  <c:v>44</c:v>
                </c:pt>
                <c:pt idx="54">
                  <c:v>63</c:v>
                </c:pt>
                <c:pt idx="55">
                  <c:v>52</c:v>
                </c:pt>
                <c:pt idx="56">
                  <c:v>48</c:v>
                </c:pt>
                <c:pt idx="57">
                  <c:v>45</c:v>
                </c:pt>
                <c:pt idx="58">
                  <c:v>34</c:v>
                </c:pt>
                <c:pt idx="59">
                  <c:v>57</c:v>
                </c:pt>
                <c:pt idx="60">
                  <c:v>71</c:v>
                </c:pt>
                <c:pt idx="61">
                  <c:v>54</c:v>
                </c:pt>
                <c:pt idx="62">
                  <c:v>52</c:v>
                </c:pt>
                <c:pt idx="63">
                  <c:v>41</c:v>
                </c:pt>
                <c:pt idx="64">
                  <c:v>58</c:v>
                </c:pt>
                <c:pt idx="65">
                  <c:v>35</c:v>
                </c:pt>
                <c:pt idx="66">
                  <c:v>51</c:v>
                </c:pt>
                <c:pt idx="67">
                  <c:v>45</c:v>
                </c:pt>
                <c:pt idx="68">
                  <c:v>44</c:v>
                </c:pt>
                <c:pt idx="69">
                  <c:v>62</c:v>
                </c:pt>
                <c:pt idx="70">
                  <c:v>54</c:v>
                </c:pt>
                <c:pt idx="71">
                  <c:v>51</c:v>
                </c:pt>
                <c:pt idx="72">
                  <c:v>29</c:v>
                </c:pt>
                <c:pt idx="73">
                  <c:v>51</c:v>
                </c:pt>
                <c:pt idx="74">
                  <c:v>43</c:v>
                </c:pt>
                <c:pt idx="75">
                  <c:v>55</c:v>
                </c:pt>
                <c:pt idx="76">
                  <c:v>51</c:v>
                </c:pt>
                <c:pt idx="77">
                  <c:v>59</c:v>
                </c:pt>
                <c:pt idx="78">
                  <c:v>52</c:v>
                </c:pt>
                <c:pt idx="79">
                  <c:v>58</c:v>
                </c:pt>
                <c:pt idx="80">
                  <c:v>41</c:v>
                </c:pt>
                <c:pt idx="81">
                  <c:v>45</c:v>
                </c:pt>
                <c:pt idx="82">
                  <c:v>60</c:v>
                </c:pt>
                <c:pt idx="83">
                  <c:v>52</c:v>
                </c:pt>
                <c:pt idx="84">
                  <c:v>42</c:v>
                </c:pt>
                <c:pt idx="85">
                  <c:v>67</c:v>
                </c:pt>
                <c:pt idx="86">
                  <c:v>68</c:v>
                </c:pt>
                <c:pt idx="87">
                  <c:v>46</c:v>
                </c:pt>
                <c:pt idx="88">
                  <c:v>54</c:v>
                </c:pt>
                <c:pt idx="89">
                  <c:v>58</c:v>
                </c:pt>
                <c:pt idx="90">
                  <c:v>48</c:v>
                </c:pt>
                <c:pt idx="91">
                  <c:v>57</c:v>
                </c:pt>
                <c:pt idx="92">
                  <c:v>52</c:v>
                </c:pt>
                <c:pt idx="93">
                  <c:v>54</c:v>
                </c:pt>
                <c:pt idx="94">
                  <c:v>45</c:v>
                </c:pt>
                <c:pt idx="95">
                  <c:v>53</c:v>
                </c:pt>
                <c:pt idx="96">
                  <c:v>62</c:v>
                </c:pt>
                <c:pt idx="97">
                  <c:v>52</c:v>
                </c:pt>
                <c:pt idx="98">
                  <c:v>43</c:v>
                </c:pt>
                <c:pt idx="99">
                  <c:v>53</c:v>
                </c:pt>
                <c:pt idx="100">
                  <c:v>42</c:v>
                </c:pt>
                <c:pt idx="101">
                  <c:v>59</c:v>
                </c:pt>
                <c:pt idx="102">
                  <c:v>63</c:v>
                </c:pt>
                <c:pt idx="103">
                  <c:v>42</c:v>
                </c:pt>
                <c:pt idx="104">
                  <c:v>50</c:v>
                </c:pt>
                <c:pt idx="105">
                  <c:v>68</c:v>
                </c:pt>
                <c:pt idx="106">
                  <c:v>69</c:v>
                </c:pt>
                <c:pt idx="107">
                  <c:v>45</c:v>
                </c:pt>
                <c:pt idx="108">
                  <c:v>50</c:v>
                </c:pt>
                <c:pt idx="109">
                  <c:v>50</c:v>
                </c:pt>
                <c:pt idx="110">
                  <c:v>64</c:v>
                </c:pt>
                <c:pt idx="111">
                  <c:v>57</c:v>
                </c:pt>
                <c:pt idx="112">
                  <c:v>64</c:v>
                </c:pt>
                <c:pt idx="113">
                  <c:v>43</c:v>
                </c:pt>
                <c:pt idx="114">
                  <c:v>55</c:v>
                </c:pt>
                <c:pt idx="115">
                  <c:v>37</c:v>
                </c:pt>
                <c:pt idx="116">
                  <c:v>41</c:v>
                </c:pt>
                <c:pt idx="117">
                  <c:v>56</c:v>
                </c:pt>
                <c:pt idx="118">
                  <c:v>46</c:v>
                </c:pt>
                <c:pt idx="119">
                  <c:v>46</c:v>
                </c:pt>
                <c:pt idx="120">
                  <c:v>64</c:v>
                </c:pt>
                <c:pt idx="121">
                  <c:v>59</c:v>
                </c:pt>
                <c:pt idx="122">
                  <c:v>41</c:v>
                </c:pt>
                <c:pt idx="123">
                  <c:v>54</c:v>
                </c:pt>
                <c:pt idx="124">
                  <c:v>39</c:v>
                </c:pt>
                <c:pt idx="125">
                  <c:v>34</c:v>
                </c:pt>
                <c:pt idx="126">
                  <c:v>47</c:v>
                </c:pt>
                <c:pt idx="127">
                  <c:v>67</c:v>
                </c:pt>
                <c:pt idx="128">
                  <c:v>52</c:v>
                </c:pt>
                <c:pt idx="129">
                  <c:v>74</c:v>
                </c:pt>
                <c:pt idx="130">
                  <c:v>54</c:v>
                </c:pt>
                <c:pt idx="131">
                  <c:v>49</c:v>
                </c:pt>
                <c:pt idx="132">
                  <c:v>42</c:v>
                </c:pt>
                <c:pt idx="133">
                  <c:v>41</c:v>
                </c:pt>
                <c:pt idx="134">
                  <c:v>41</c:v>
                </c:pt>
                <c:pt idx="135">
                  <c:v>49</c:v>
                </c:pt>
                <c:pt idx="136">
                  <c:v>60</c:v>
                </c:pt>
                <c:pt idx="137">
                  <c:v>62</c:v>
                </c:pt>
                <c:pt idx="138">
                  <c:v>57</c:v>
                </c:pt>
                <c:pt idx="139">
                  <c:v>64</c:v>
                </c:pt>
                <c:pt idx="140">
                  <c:v>51</c:v>
                </c:pt>
                <c:pt idx="141">
                  <c:v>43</c:v>
                </c:pt>
                <c:pt idx="142">
                  <c:v>42</c:v>
                </c:pt>
                <c:pt idx="143">
                  <c:v>67</c:v>
                </c:pt>
                <c:pt idx="144">
                  <c:v>76</c:v>
                </c:pt>
                <c:pt idx="145">
                  <c:v>70</c:v>
                </c:pt>
                <c:pt idx="146">
                  <c:v>44</c:v>
                </c:pt>
                <c:pt idx="147">
                  <c:v>60</c:v>
                </c:pt>
                <c:pt idx="148">
                  <c:v>44</c:v>
                </c:pt>
                <c:pt idx="149">
                  <c:v>42</c:v>
                </c:pt>
                <c:pt idx="150">
                  <c:v>66</c:v>
                </c:pt>
                <c:pt idx="151">
                  <c:v>71</c:v>
                </c:pt>
                <c:pt idx="152">
                  <c:v>64</c:v>
                </c:pt>
                <c:pt idx="153">
                  <c:v>66</c:v>
                </c:pt>
                <c:pt idx="154">
                  <c:v>39</c:v>
                </c:pt>
                <c:pt idx="155">
                  <c:v>58</c:v>
                </c:pt>
                <c:pt idx="156">
                  <c:v>47</c:v>
                </c:pt>
                <c:pt idx="157">
                  <c:v>35</c:v>
                </c:pt>
                <c:pt idx="158">
                  <c:v>58</c:v>
                </c:pt>
                <c:pt idx="159">
                  <c:v>56</c:v>
                </c:pt>
                <c:pt idx="160">
                  <c:v>56</c:v>
                </c:pt>
                <c:pt idx="161">
                  <c:v>55</c:v>
                </c:pt>
                <c:pt idx="162">
                  <c:v>41</c:v>
                </c:pt>
                <c:pt idx="163">
                  <c:v>38</c:v>
                </c:pt>
                <c:pt idx="164">
                  <c:v>38</c:v>
                </c:pt>
                <c:pt idx="165">
                  <c:v>67</c:v>
                </c:pt>
                <c:pt idx="166">
                  <c:v>67</c:v>
                </c:pt>
                <c:pt idx="167">
                  <c:v>62</c:v>
                </c:pt>
                <c:pt idx="168">
                  <c:v>63</c:v>
                </c:pt>
                <c:pt idx="169">
                  <c:v>53</c:v>
                </c:pt>
                <c:pt idx="170">
                  <c:v>56</c:v>
                </c:pt>
                <c:pt idx="171">
                  <c:v>48</c:v>
                </c:pt>
                <c:pt idx="172">
                  <c:v>58</c:v>
                </c:pt>
                <c:pt idx="173">
                  <c:v>58</c:v>
                </c:pt>
                <c:pt idx="174">
                  <c:v>60</c:v>
                </c:pt>
                <c:pt idx="175">
                  <c:v>40</c:v>
                </c:pt>
                <c:pt idx="176">
                  <c:v>60</c:v>
                </c:pt>
                <c:pt idx="177">
                  <c:v>64</c:v>
                </c:pt>
                <c:pt idx="178">
                  <c:v>43</c:v>
                </c:pt>
                <c:pt idx="179">
                  <c:v>57</c:v>
                </c:pt>
                <c:pt idx="180">
                  <c:v>55</c:v>
                </c:pt>
                <c:pt idx="181">
                  <c:v>65</c:v>
                </c:pt>
                <c:pt idx="182">
                  <c:v>61</c:v>
                </c:pt>
                <c:pt idx="183">
                  <c:v>58</c:v>
                </c:pt>
                <c:pt idx="184">
                  <c:v>50</c:v>
                </c:pt>
                <c:pt idx="185">
                  <c:v>44</c:v>
                </c:pt>
                <c:pt idx="186">
                  <c:v>60</c:v>
                </c:pt>
                <c:pt idx="187">
                  <c:v>54</c:v>
                </c:pt>
                <c:pt idx="188">
                  <c:v>50</c:v>
                </c:pt>
                <c:pt idx="189">
                  <c:v>41</c:v>
                </c:pt>
                <c:pt idx="190">
                  <c:v>51</c:v>
                </c:pt>
                <c:pt idx="191">
                  <c:v>58</c:v>
                </c:pt>
                <c:pt idx="192">
                  <c:v>54</c:v>
                </c:pt>
                <c:pt idx="193">
                  <c:v>60</c:v>
                </c:pt>
                <c:pt idx="194">
                  <c:v>60</c:v>
                </c:pt>
                <c:pt idx="195">
                  <c:v>59</c:v>
                </c:pt>
                <c:pt idx="196">
                  <c:v>46</c:v>
                </c:pt>
                <c:pt idx="197">
                  <c:v>67</c:v>
                </c:pt>
                <c:pt idx="198">
                  <c:v>62</c:v>
                </c:pt>
                <c:pt idx="199">
                  <c:v>65</c:v>
                </c:pt>
                <c:pt idx="200">
                  <c:v>44</c:v>
                </c:pt>
                <c:pt idx="201">
                  <c:v>60</c:v>
                </c:pt>
                <c:pt idx="202">
                  <c:v>58</c:v>
                </c:pt>
                <c:pt idx="203">
                  <c:v>68</c:v>
                </c:pt>
                <c:pt idx="204">
                  <c:v>62</c:v>
                </c:pt>
                <c:pt idx="205">
                  <c:v>52</c:v>
                </c:pt>
                <c:pt idx="206">
                  <c:v>59</c:v>
                </c:pt>
                <c:pt idx="207">
                  <c:v>60</c:v>
                </c:pt>
                <c:pt idx="208">
                  <c:v>49</c:v>
                </c:pt>
                <c:pt idx="209">
                  <c:v>59</c:v>
                </c:pt>
                <c:pt idx="210">
                  <c:v>57</c:v>
                </c:pt>
                <c:pt idx="211">
                  <c:v>61</c:v>
                </c:pt>
                <c:pt idx="212">
                  <c:v>39</c:v>
                </c:pt>
                <c:pt idx="213">
                  <c:v>61</c:v>
                </c:pt>
                <c:pt idx="214">
                  <c:v>56</c:v>
                </c:pt>
                <c:pt idx="215">
                  <c:v>43</c:v>
                </c:pt>
                <c:pt idx="216">
                  <c:v>62</c:v>
                </c:pt>
                <c:pt idx="217">
                  <c:v>63</c:v>
                </c:pt>
                <c:pt idx="218">
                  <c:v>65</c:v>
                </c:pt>
                <c:pt idx="219">
                  <c:v>48</c:v>
                </c:pt>
                <c:pt idx="220">
                  <c:v>63</c:v>
                </c:pt>
                <c:pt idx="221">
                  <c:v>55</c:v>
                </c:pt>
                <c:pt idx="222">
                  <c:v>65</c:v>
                </c:pt>
                <c:pt idx="223">
                  <c:v>56</c:v>
                </c:pt>
                <c:pt idx="224">
                  <c:v>54</c:v>
                </c:pt>
                <c:pt idx="225">
                  <c:v>70</c:v>
                </c:pt>
                <c:pt idx="226">
                  <c:v>62</c:v>
                </c:pt>
                <c:pt idx="227">
                  <c:v>35</c:v>
                </c:pt>
                <c:pt idx="228">
                  <c:v>59</c:v>
                </c:pt>
                <c:pt idx="229">
                  <c:v>64</c:v>
                </c:pt>
                <c:pt idx="230">
                  <c:v>47</c:v>
                </c:pt>
                <c:pt idx="231">
                  <c:v>57</c:v>
                </c:pt>
                <c:pt idx="232">
                  <c:v>55</c:v>
                </c:pt>
                <c:pt idx="233">
                  <c:v>64</c:v>
                </c:pt>
                <c:pt idx="234">
                  <c:v>70</c:v>
                </c:pt>
                <c:pt idx="235">
                  <c:v>51</c:v>
                </c:pt>
                <c:pt idx="236">
                  <c:v>58</c:v>
                </c:pt>
                <c:pt idx="237">
                  <c:v>60</c:v>
                </c:pt>
                <c:pt idx="238">
                  <c:v>77</c:v>
                </c:pt>
                <c:pt idx="239">
                  <c:v>35</c:v>
                </c:pt>
                <c:pt idx="240">
                  <c:v>70</c:v>
                </c:pt>
                <c:pt idx="241">
                  <c:v>59</c:v>
                </c:pt>
                <c:pt idx="242">
                  <c:v>64</c:v>
                </c:pt>
                <c:pt idx="243">
                  <c:v>57</c:v>
                </c:pt>
                <c:pt idx="244">
                  <c:v>56</c:v>
                </c:pt>
                <c:pt idx="245">
                  <c:v>48</c:v>
                </c:pt>
                <c:pt idx="246">
                  <c:v>56</c:v>
                </c:pt>
                <c:pt idx="247">
                  <c:v>66</c:v>
                </c:pt>
                <c:pt idx="248">
                  <c:v>54</c:v>
                </c:pt>
                <c:pt idx="249">
                  <c:v>69</c:v>
                </c:pt>
                <c:pt idx="250">
                  <c:v>51</c:v>
                </c:pt>
                <c:pt idx="251">
                  <c:v>43</c:v>
                </c:pt>
                <c:pt idx="252">
                  <c:v>62</c:v>
                </c:pt>
                <c:pt idx="253">
                  <c:v>67</c:v>
                </c:pt>
                <c:pt idx="254">
                  <c:v>59</c:v>
                </c:pt>
                <c:pt idx="255">
                  <c:v>45</c:v>
                </c:pt>
                <c:pt idx="256">
                  <c:v>58</c:v>
                </c:pt>
                <c:pt idx="257">
                  <c:v>50</c:v>
                </c:pt>
                <c:pt idx="258">
                  <c:v>62</c:v>
                </c:pt>
                <c:pt idx="259">
                  <c:v>38</c:v>
                </c:pt>
                <c:pt idx="260">
                  <c:v>66</c:v>
                </c:pt>
                <c:pt idx="261">
                  <c:v>52</c:v>
                </c:pt>
                <c:pt idx="262">
                  <c:v>53</c:v>
                </c:pt>
                <c:pt idx="263">
                  <c:v>63</c:v>
                </c:pt>
                <c:pt idx="264">
                  <c:v>54</c:v>
                </c:pt>
                <c:pt idx="265">
                  <c:v>66</c:v>
                </c:pt>
                <c:pt idx="266">
                  <c:v>55</c:v>
                </c:pt>
                <c:pt idx="267">
                  <c:v>49</c:v>
                </c:pt>
                <c:pt idx="268">
                  <c:v>54</c:v>
                </c:pt>
                <c:pt idx="269">
                  <c:v>56</c:v>
                </c:pt>
                <c:pt idx="270">
                  <c:v>46</c:v>
                </c:pt>
                <c:pt idx="271">
                  <c:v>61</c:v>
                </c:pt>
                <c:pt idx="272">
                  <c:v>67</c:v>
                </c:pt>
                <c:pt idx="273">
                  <c:v>58</c:v>
                </c:pt>
                <c:pt idx="274">
                  <c:v>47</c:v>
                </c:pt>
                <c:pt idx="275">
                  <c:v>52</c:v>
                </c:pt>
                <c:pt idx="276">
                  <c:v>58</c:v>
                </c:pt>
                <c:pt idx="277">
                  <c:v>57</c:v>
                </c:pt>
                <c:pt idx="278">
                  <c:v>58</c:v>
                </c:pt>
                <c:pt idx="279">
                  <c:v>61</c:v>
                </c:pt>
                <c:pt idx="280">
                  <c:v>42</c:v>
                </c:pt>
                <c:pt idx="281">
                  <c:v>52</c:v>
                </c:pt>
                <c:pt idx="282">
                  <c:v>59</c:v>
                </c:pt>
                <c:pt idx="283">
                  <c:v>40</c:v>
                </c:pt>
                <c:pt idx="284">
                  <c:v>61</c:v>
                </c:pt>
                <c:pt idx="285">
                  <c:v>46</c:v>
                </c:pt>
                <c:pt idx="286">
                  <c:v>59</c:v>
                </c:pt>
                <c:pt idx="287">
                  <c:v>57</c:v>
                </c:pt>
                <c:pt idx="288">
                  <c:v>57</c:v>
                </c:pt>
                <c:pt idx="289">
                  <c:v>55</c:v>
                </c:pt>
                <c:pt idx="290">
                  <c:v>61</c:v>
                </c:pt>
                <c:pt idx="291">
                  <c:v>58</c:v>
                </c:pt>
                <c:pt idx="292">
                  <c:v>58</c:v>
                </c:pt>
                <c:pt idx="293">
                  <c:v>67</c:v>
                </c:pt>
                <c:pt idx="294">
                  <c:v>44</c:v>
                </c:pt>
                <c:pt idx="295">
                  <c:v>63</c:v>
                </c:pt>
                <c:pt idx="296">
                  <c:v>63</c:v>
                </c:pt>
                <c:pt idx="297">
                  <c:v>59</c:v>
                </c:pt>
                <c:pt idx="298">
                  <c:v>57</c:v>
                </c:pt>
                <c:pt idx="299">
                  <c:v>45</c:v>
                </c:pt>
                <c:pt idx="300">
                  <c:v>68</c:v>
                </c:pt>
                <c:pt idx="301">
                  <c:v>57</c:v>
                </c:pt>
                <c:pt idx="302">
                  <c:v>57</c:v>
                </c:pt>
              </c:numCache>
            </c:numRef>
          </c:xVal>
          <c:yVal>
            <c:numRef>
              <c:f>regression!$B$25:$B$327</c:f>
              <c:numCache>
                <c:formatCode>General</c:formatCode>
                <c:ptCount val="303"/>
                <c:pt idx="0">
                  <c:v>256.79227200605419</c:v>
                </c:pt>
                <c:pt idx="1">
                  <c:v>225.08679843430539</c:v>
                </c:pt>
                <c:pt idx="2">
                  <c:v>229.96456359918983</c:v>
                </c:pt>
                <c:pt idx="3">
                  <c:v>248.25618296750645</c:v>
                </c:pt>
                <c:pt idx="4">
                  <c:v>249.47562425872755</c:v>
                </c:pt>
                <c:pt idx="5">
                  <c:v>249.47562425872755</c:v>
                </c:pt>
                <c:pt idx="6">
                  <c:v>248.25618296750645</c:v>
                </c:pt>
                <c:pt idx="7">
                  <c:v>233.62288747285317</c:v>
                </c:pt>
                <c:pt idx="8">
                  <c:v>243.37841780262201</c:v>
                </c:pt>
                <c:pt idx="9">
                  <c:v>249.47562425872755</c:v>
                </c:pt>
                <c:pt idx="10">
                  <c:v>245.81730038506424</c:v>
                </c:pt>
                <c:pt idx="11">
                  <c:v>238.50065263773757</c:v>
                </c:pt>
                <c:pt idx="12">
                  <c:v>239.7200939289587</c:v>
                </c:pt>
                <c:pt idx="13">
                  <c:v>258.01171329727526</c:v>
                </c:pt>
                <c:pt idx="14">
                  <c:v>250.69506554994865</c:v>
                </c:pt>
                <c:pt idx="15">
                  <c:v>240.93953522017978</c:v>
                </c:pt>
                <c:pt idx="16">
                  <c:v>250.69506554994865</c:v>
                </c:pt>
                <c:pt idx="17">
                  <c:v>260.45059587971753</c:v>
                </c:pt>
                <c:pt idx="18">
                  <c:v>232.40344618163203</c:v>
                </c:pt>
                <c:pt idx="19">
                  <c:v>264.10891975338086</c:v>
                </c:pt>
                <c:pt idx="20">
                  <c:v>251.91450684116975</c:v>
                </c:pt>
                <c:pt idx="21">
                  <c:v>233.62288747285317</c:v>
                </c:pt>
                <c:pt idx="22">
                  <c:v>231.18400489041093</c:v>
                </c:pt>
                <c:pt idx="23">
                  <c:v>254.35338942361199</c:v>
                </c:pt>
                <c:pt idx="24">
                  <c:v>228.74512230796873</c:v>
                </c:pt>
                <c:pt idx="25">
                  <c:v>266.54780233582301</c:v>
                </c:pt>
                <c:pt idx="26">
                  <c:v>251.91450684116975</c:v>
                </c:pt>
                <c:pt idx="27">
                  <c:v>242.15897651140091</c:v>
                </c:pt>
                <c:pt idx="28">
                  <c:v>259.23115458849639</c:v>
                </c:pt>
                <c:pt idx="29">
                  <c:v>244.59785909384311</c:v>
                </c:pt>
                <c:pt idx="30">
                  <c:v>229.96456359918983</c:v>
                </c:pt>
                <c:pt idx="31">
                  <c:v>259.23115458849639</c:v>
                </c:pt>
                <c:pt idx="32">
                  <c:v>233.62288747285317</c:v>
                </c:pt>
                <c:pt idx="33">
                  <c:v>245.81730038506424</c:v>
                </c:pt>
                <c:pt idx="34">
                  <c:v>242.15897651140091</c:v>
                </c:pt>
                <c:pt idx="35">
                  <c:v>236.06177005529537</c:v>
                </c:pt>
                <c:pt idx="36">
                  <c:v>245.81730038506424</c:v>
                </c:pt>
                <c:pt idx="37">
                  <c:v>245.81730038506424</c:v>
                </c:pt>
                <c:pt idx="38">
                  <c:v>259.23115458849639</c:v>
                </c:pt>
                <c:pt idx="39">
                  <c:v>259.23115458849639</c:v>
                </c:pt>
                <c:pt idx="40">
                  <c:v>242.15897651140091</c:v>
                </c:pt>
                <c:pt idx="41">
                  <c:v>238.50065263773757</c:v>
                </c:pt>
                <c:pt idx="42">
                  <c:v>234.84232876407427</c:v>
                </c:pt>
                <c:pt idx="43">
                  <c:v>244.59785909384311</c:v>
                </c:pt>
                <c:pt idx="44">
                  <c:v>227.52568101674763</c:v>
                </c:pt>
                <c:pt idx="45">
                  <c:v>243.37841780262201</c:v>
                </c:pt>
                <c:pt idx="46">
                  <c:v>233.62288747285317</c:v>
                </c:pt>
                <c:pt idx="47">
                  <c:v>237.28121134651647</c:v>
                </c:pt>
                <c:pt idx="48">
                  <c:v>244.59785909384311</c:v>
                </c:pt>
                <c:pt idx="49">
                  <c:v>244.59785909384311</c:v>
                </c:pt>
                <c:pt idx="50">
                  <c:v>242.15897651140091</c:v>
                </c:pt>
                <c:pt idx="51">
                  <c:v>260.45059587971753</c:v>
                </c:pt>
                <c:pt idx="52">
                  <c:v>255.57283071483306</c:v>
                </c:pt>
                <c:pt idx="53">
                  <c:v>233.62288747285317</c:v>
                </c:pt>
                <c:pt idx="54">
                  <c:v>256.79227200605419</c:v>
                </c:pt>
                <c:pt idx="55">
                  <c:v>243.37841780262201</c:v>
                </c:pt>
                <c:pt idx="56">
                  <c:v>238.50065263773757</c:v>
                </c:pt>
                <c:pt idx="57">
                  <c:v>234.84232876407427</c:v>
                </c:pt>
                <c:pt idx="58">
                  <c:v>221.42847456064209</c:v>
                </c:pt>
                <c:pt idx="59">
                  <c:v>249.47562425872755</c:v>
                </c:pt>
                <c:pt idx="60">
                  <c:v>266.54780233582301</c:v>
                </c:pt>
                <c:pt idx="61">
                  <c:v>245.81730038506424</c:v>
                </c:pt>
                <c:pt idx="62">
                  <c:v>243.37841780262201</c:v>
                </c:pt>
                <c:pt idx="63">
                  <c:v>229.96456359918983</c:v>
                </c:pt>
                <c:pt idx="64">
                  <c:v>250.69506554994865</c:v>
                </c:pt>
                <c:pt idx="65">
                  <c:v>222.64791585186319</c:v>
                </c:pt>
                <c:pt idx="66">
                  <c:v>242.15897651140091</c:v>
                </c:pt>
                <c:pt idx="67">
                  <c:v>234.84232876407427</c:v>
                </c:pt>
                <c:pt idx="68">
                  <c:v>233.62288747285317</c:v>
                </c:pt>
                <c:pt idx="69">
                  <c:v>255.57283071483306</c:v>
                </c:pt>
                <c:pt idx="70">
                  <c:v>245.81730038506424</c:v>
                </c:pt>
                <c:pt idx="71">
                  <c:v>242.15897651140091</c:v>
                </c:pt>
                <c:pt idx="72">
                  <c:v>215.33126810453655</c:v>
                </c:pt>
                <c:pt idx="73">
                  <c:v>242.15897651140091</c:v>
                </c:pt>
                <c:pt idx="74">
                  <c:v>232.40344618163203</c:v>
                </c:pt>
                <c:pt idx="75">
                  <c:v>247.03674167628532</c:v>
                </c:pt>
                <c:pt idx="76">
                  <c:v>242.15897651140091</c:v>
                </c:pt>
                <c:pt idx="77">
                  <c:v>251.91450684116975</c:v>
                </c:pt>
                <c:pt idx="78">
                  <c:v>243.37841780262201</c:v>
                </c:pt>
                <c:pt idx="79">
                  <c:v>250.69506554994865</c:v>
                </c:pt>
                <c:pt idx="80">
                  <c:v>229.96456359918983</c:v>
                </c:pt>
                <c:pt idx="81">
                  <c:v>234.84232876407427</c:v>
                </c:pt>
                <c:pt idx="82">
                  <c:v>253.13394813239086</c:v>
                </c:pt>
                <c:pt idx="83">
                  <c:v>243.37841780262201</c:v>
                </c:pt>
                <c:pt idx="84">
                  <c:v>231.18400489041093</c:v>
                </c:pt>
                <c:pt idx="85">
                  <c:v>261.6700371709386</c:v>
                </c:pt>
                <c:pt idx="86">
                  <c:v>262.88947846215973</c:v>
                </c:pt>
                <c:pt idx="87">
                  <c:v>236.06177005529537</c:v>
                </c:pt>
                <c:pt idx="88">
                  <c:v>245.81730038506424</c:v>
                </c:pt>
                <c:pt idx="89">
                  <c:v>250.69506554994865</c:v>
                </c:pt>
                <c:pt idx="90">
                  <c:v>238.50065263773757</c:v>
                </c:pt>
                <c:pt idx="91">
                  <c:v>249.47562425872755</c:v>
                </c:pt>
                <c:pt idx="92">
                  <c:v>243.37841780262201</c:v>
                </c:pt>
                <c:pt idx="93">
                  <c:v>245.81730038506424</c:v>
                </c:pt>
                <c:pt idx="94">
                  <c:v>234.84232876407427</c:v>
                </c:pt>
                <c:pt idx="95">
                  <c:v>244.59785909384311</c:v>
                </c:pt>
                <c:pt idx="96">
                  <c:v>255.57283071483306</c:v>
                </c:pt>
                <c:pt idx="97">
                  <c:v>243.37841780262201</c:v>
                </c:pt>
                <c:pt idx="98">
                  <c:v>232.40344618163203</c:v>
                </c:pt>
                <c:pt idx="99">
                  <c:v>244.59785909384311</c:v>
                </c:pt>
                <c:pt idx="100">
                  <c:v>231.18400489041093</c:v>
                </c:pt>
                <c:pt idx="101">
                  <c:v>251.91450684116975</c:v>
                </c:pt>
                <c:pt idx="102">
                  <c:v>256.79227200605419</c:v>
                </c:pt>
                <c:pt idx="103">
                  <c:v>231.18400489041093</c:v>
                </c:pt>
                <c:pt idx="104">
                  <c:v>240.93953522017978</c:v>
                </c:pt>
                <c:pt idx="105">
                  <c:v>262.88947846215973</c:v>
                </c:pt>
                <c:pt idx="106">
                  <c:v>264.10891975338086</c:v>
                </c:pt>
                <c:pt idx="107">
                  <c:v>234.84232876407427</c:v>
                </c:pt>
                <c:pt idx="108">
                  <c:v>240.93953522017978</c:v>
                </c:pt>
                <c:pt idx="109">
                  <c:v>240.93953522017978</c:v>
                </c:pt>
                <c:pt idx="110">
                  <c:v>258.01171329727526</c:v>
                </c:pt>
                <c:pt idx="111">
                  <c:v>249.47562425872755</c:v>
                </c:pt>
                <c:pt idx="112">
                  <c:v>258.01171329727526</c:v>
                </c:pt>
                <c:pt idx="113">
                  <c:v>232.40344618163203</c:v>
                </c:pt>
                <c:pt idx="114">
                  <c:v>247.03674167628532</c:v>
                </c:pt>
                <c:pt idx="115">
                  <c:v>225.08679843430539</c:v>
                </c:pt>
                <c:pt idx="116">
                  <c:v>229.96456359918983</c:v>
                </c:pt>
                <c:pt idx="117">
                  <c:v>248.25618296750645</c:v>
                </c:pt>
                <c:pt idx="118">
                  <c:v>236.06177005529537</c:v>
                </c:pt>
                <c:pt idx="119">
                  <c:v>236.06177005529537</c:v>
                </c:pt>
                <c:pt idx="120">
                  <c:v>258.01171329727526</c:v>
                </c:pt>
                <c:pt idx="121">
                  <c:v>251.91450684116975</c:v>
                </c:pt>
                <c:pt idx="122">
                  <c:v>229.96456359918983</c:v>
                </c:pt>
                <c:pt idx="123">
                  <c:v>245.81730038506424</c:v>
                </c:pt>
                <c:pt idx="124">
                  <c:v>227.52568101674763</c:v>
                </c:pt>
                <c:pt idx="125">
                  <c:v>221.42847456064209</c:v>
                </c:pt>
                <c:pt idx="126">
                  <c:v>237.28121134651647</c:v>
                </c:pt>
                <c:pt idx="127">
                  <c:v>261.6700371709386</c:v>
                </c:pt>
                <c:pt idx="128">
                  <c:v>243.37841780262201</c:v>
                </c:pt>
                <c:pt idx="129">
                  <c:v>270.20612620948634</c:v>
                </c:pt>
                <c:pt idx="130">
                  <c:v>245.81730038506424</c:v>
                </c:pt>
                <c:pt idx="131">
                  <c:v>239.7200939289587</c:v>
                </c:pt>
                <c:pt idx="132">
                  <c:v>231.18400489041093</c:v>
                </c:pt>
                <c:pt idx="133">
                  <c:v>229.96456359918983</c:v>
                </c:pt>
                <c:pt idx="134">
                  <c:v>229.96456359918983</c:v>
                </c:pt>
                <c:pt idx="135">
                  <c:v>239.7200939289587</c:v>
                </c:pt>
                <c:pt idx="136">
                  <c:v>253.13394813239086</c:v>
                </c:pt>
                <c:pt idx="137">
                  <c:v>255.57283071483306</c:v>
                </c:pt>
                <c:pt idx="138">
                  <c:v>249.47562425872755</c:v>
                </c:pt>
                <c:pt idx="139">
                  <c:v>258.01171329727526</c:v>
                </c:pt>
                <c:pt idx="140">
                  <c:v>242.15897651140091</c:v>
                </c:pt>
                <c:pt idx="141">
                  <c:v>232.40344618163203</c:v>
                </c:pt>
                <c:pt idx="142">
                  <c:v>231.18400489041093</c:v>
                </c:pt>
                <c:pt idx="143">
                  <c:v>261.6700371709386</c:v>
                </c:pt>
                <c:pt idx="144">
                  <c:v>272.6450087919286</c:v>
                </c:pt>
                <c:pt idx="145">
                  <c:v>265.32836104460193</c:v>
                </c:pt>
                <c:pt idx="146">
                  <c:v>233.62288747285317</c:v>
                </c:pt>
                <c:pt idx="147">
                  <c:v>253.13394813239086</c:v>
                </c:pt>
                <c:pt idx="148">
                  <c:v>233.62288747285317</c:v>
                </c:pt>
                <c:pt idx="149">
                  <c:v>231.18400489041093</c:v>
                </c:pt>
                <c:pt idx="150">
                  <c:v>260.45059587971753</c:v>
                </c:pt>
                <c:pt idx="151">
                  <c:v>266.54780233582301</c:v>
                </c:pt>
                <c:pt idx="152">
                  <c:v>258.01171329727526</c:v>
                </c:pt>
                <c:pt idx="153">
                  <c:v>260.45059587971753</c:v>
                </c:pt>
                <c:pt idx="154">
                  <c:v>227.52568101674763</c:v>
                </c:pt>
                <c:pt idx="155">
                  <c:v>250.69506554994865</c:v>
                </c:pt>
                <c:pt idx="156">
                  <c:v>237.28121134651647</c:v>
                </c:pt>
                <c:pt idx="157">
                  <c:v>222.64791585186319</c:v>
                </c:pt>
                <c:pt idx="158">
                  <c:v>250.69506554994865</c:v>
                </c:pt>
                <c:pt idx="159">
                  <c:v>248.25618296750645</c:v>
                </c:pt>
                <c:pt idx="160">
                  <c:v>248.25618296750645</c:v>
                </c:pt>
                <c:pt idx="161">
                  <c:v>247.03674167628532</c:v>
                </c:pt>
                <c:pt idx="162">
                  <c:v>229.96456359918983</c:v>
                </c:pt>
                <c:pt idx="163">
                  <c:v>226.3062397255265</c:v>
                </c:pt>
                <c:pt idx="164">
                  <c:v>226.3062397255265</c:v>
                </c:pt>
                <c:pt idx="165">
                  <c:v>261.6700371709386</c:v>
                </c:pt>
                <c:pt idx="166">
                  <c:v>261.6700371709386</c:v>
                </c:pt>
                <c:pt idx="167">
                  <c:v>255.57283071483306</c:v>
                </c:pt>
                <c:pt idx="168">
                  <c:v>256.79227200605419</c:v>
                </c:pt>
                <c:pt idx="169">
                  <c:v>244.59785909384311</c:v>
                </c:pt>
                <c:pt idx="170">
                  <c:v>248.25618296750645</c:v>
                </c:pt>
                <c:pt idx="171">
                  <c:v>238.50065263773757</c:v>
                </c:pt>
                <c:pt idx="172">
                  <c:v>250.69506554994865</c:v>
                </c:pt>
                <c:pt idx="173">
                  <c:v>250.69506554994865</c:v>
                </c:pt>
                <c:pt idx="174">
                  <c:v>253.13394813239086</c:v>
                </c:pt>
                <c:pt idx="175">
                  <c:v>228.74512230796873</c:v>
                </c:pt>
                <c:pt idx="176">
                  <c:v>253.13394813239086</c:v>
                </c:pt>
                <c:pt idx="177">
                  <c:v>258.01171329727526</c:v>
                </c:pt>
                <c:pt idx="178">
                  <c:v>232.40344618163203</c:v>
                </c:pt>
                <c:pt idx="179">
                  <c:v>249.47562425872755</c:v>
                </c:pt>
                <c:pt idx="180">
                  <c:v>247.03674167628532</c:v>
                </c:pt>
                <c:pt idx="181">
                  <c:v>259.23115458849639</c:v>
                </c:pt>
                <c:pt idx="182">
                  <c:v>254.35338942361199</c:v>
                </c:pt>
                <c:pt idx="183">
                  <c:v>250.69506554994865</c:v>
                </c:pt>
                <c:pt idx="184">
                  <c:v>240.93953522017978</c:v>
                </c:pt>
                <c:pt idx="185">
                  <c:v>233.62288747285317</c:v>
                </c:pt>
                <c:pt idx="186">
                  <c:v>253.13394813239086</c:v>
                </c:pt>
                <c:pt idx="187">
                  <c:v>245.81730038506424</c:v>
                </c:pt>
                <c:pt idx="188">
                  <c:v>240.93953522017978</c:v>
                </c:pt>
                <c:pt idx="189">
                  <c:v>229.96456359918983</c:v>
                </c:pt>
                <c:pt idx="190">
                  <c:v>242.15897651140091</c:v>
                </c:pt>
                <c:pt idx="191">
                  <c:v>250.69506554994865</c:v>
                </c:pt>
                <c:pt idx="192">
                  <c:v>245.81730038506424</c:v>
                </c:pt>
                <c:pt idx="193">
                  <c:v>253.13394813239086</c:v>
                </c:pt>
                <c:pt idx="194">
                  <c:v>253.13394813239086</c:v>
                </c:pt>
                <c:pt idx="195">
                  <c:v>251.91450684116975</c:v>
                </c:pt>
                <c:pt idx="196">
                  <c:v>236.06177005529537</c:v>
                </c:pt>
                <c:pt idx="197">
                  <c:v>261.6700371709386</c:v>
                </c:pt>
                <c:pt idx="198">
                  <c:v>255.57283071483306</c:v>
                </c:pt>
                <c:pt idx="199">
                  <c:v>259.23115458849639</c:v>
                </c:pt>
                <c:pt idx="200">
                  <c:v>233.62288747285317</c:v>
                </c:pt>
                <c:pt idx="201">
                  <c:v>253.13394813239086</c:v>
                </c:pt>
                <c:pt idx="202">
                  <c:v>250.69506554994865</c:v>
                </c:pt>
                <c:pt idx="203">
                  <c:v>262.88947846215973</c:v>
                </c:pt>
                <c:pt idx="204">
                  <c:v>255.57283071483306</c:v>
                </c:pt>
                <c:pt idx="205">
                  <c:v>243.37841780262201</c:v>
                </c:pt>
                <c:pt idx="206">
                  <c:v>251.91450684116975</c:v>
                </c:pt>
                <c:pt idx="207">
                  <c:v>253.13394813239086</c:v>
                </c:pt>
                <c:pt idx="208">
                  <c:v>239.7200939289587</c:v>
                </c:pt>
                <c:pt idx="209">
                  <c:v>251.91450684116975</c:v>
                </c:pt>
                <c:pt idx="210">
                  <c:v>249.47562425872755</c:v>
                </c:pt>
                <c:pt idx="211">
                  <c:v>254.35338942361199</c:v>
                </c:pt>
                <c:pt idx="212">
                  <c:v>227.52568101674763</c:v>
                </c:pt>
                <c:pt idx="213">
                  <c:v>254.35338942361199</c:v>
                </c:pt>
                <c:pt idx="214">
                  <c:v>248.25618296750645</c:v>
                </c:pt>
                <c:pt idx="215">
                  <c:v>232.40344618163203</c:v>
                </c:pt>
                <c:pt idx="216">
                  <c:v>255.57283071483306</c:v>
                </c:pt>
                <c:pt idx="217">
                  <c:v>256.79227200605419</c:v>
                </c:pt>
                <c:pt idx="218">
                  <c:v>259.23115458849639</c:v>
                </c:pt>
                <c:pt idx="219">
                  <c:v>238.50065263773757</c:v>
                </c:pt>
                <c:pt idx="220">
                  <c:v>256.79227200605419</c:v>
                </c:pt>
                <c:pt idx="221">
                  <c:v>247.03674167628532</c:v>
                </c:pt>
                <c:pt idx="222">
                  <c:v>259.23115458849639</c:v>
                </c:pt>
                <c:pt idx="223">
                  <c:v>248.25618296750645</c:v>
                </c:pt>
                <c:pt idx="224">
                  <c:v>245.81730038506424</c:v>
                </c:pt>
                <c:pt idx="225">
                  <c:v>265.32836104460193</c:v>
                </c:pt>
                <c:pt idx="226">
                  <c:v>255.57283071483306</c:v>
                </c:pt>
                <c:pt idx="227">
                  <c:v>222.64791585186319</c:v>
                </c:pt>
                <c:pt idx="228">
                  <c:v>251.91450684116975</c:v>
                </c:pt>
                <c:pt idx="229">
                  <c:v>258.01171329727526</c:v>
                </c:pt>
                <c:pt idx="230">
                  <c:v>237.28121134651647</c:v>
                </c:pt>
                <c:pt idx="231">
                  <c:v>249.47562425872755</c:v>
                </c:pt>
                <c:pt idx="232">
                  <c:v>247.03674167628532</c:v>
                </c:pt>
                <c:pt idx="233">
                  <c:v>258.01171329727526</c:v>
                </c:pt>
                <c:pt idx="234">
                  <c:v>265.32836104460193</c:v>
                </c:pt>
                <c:pt idx="235">
                  <c:v>242.15897651140091</c:v>
                </c:pt>
                <c:pt idx="236">
                  <c:v>250.69506554994865</c:v>
                </c:pt>
                <c:pt idx="237">
                  <c:v>253.13394813239086</c:v>
                </c:pt>
                <c:pt idx="238">
                  <c:v>273.86445008314968</c:v>
                </c:pt>
                <c:pt idx="239">
                  <c:v>222.64791585186319</c:v>
                </c:pt>
                <c:pt idx="240">
                  <c:v>265.32836104460193</c:v>
                </c:pt>
                <c:pt idx="241">
                  <c:v>251.91450684116975</c:v>
                </c:pt>
                <c:pt idx="242">
                  <c:v>258.01171329727526</c:v>
                </c:pt>
                <c:pt idx="243">
                  <c:v>249.47562425872755</c:v>
                </c:pt>
                <c:pt idx="244">
                  <c:v>248.25618296750645</c:v>
                </c:pt>
                <c:pt idx="245">
                  <c:v>238.50065263773757</c:v>
                </c:pt>
                <c:pt idx="246">
                  <c:v>248.25618296750645</c:v>
                </c:pt>
                <c:pt idx="247">
                  <c:v>260.45059587971753</c:v>
                </c:pt>
                <c:pt idx="248">
                  <c:v>245.81730038506424</c:v>
                </c:pt>
                <c:pt idx="249">
                  <c:v>264.10891975338086</c:v>
                </c:pt>
                <c:pt idx="250">
                  <c:v>242.15897651140091</c:v>
                </c:pt>
                <c:pt idx="251">
                  <c:v>232.40344618163203</c:v>
                </c:pt>
                <c:pt idx="252">
                  <c:v>255.57283071483306</c:v>
                </c:pt>
                <c:pt idx="253">
                  <c:v>261.6700371709386</c:v>
                </c:pt>
                <c:pt idx="254">
                  <c:v>251.91450684116975</c:v>
                </c:pt>
                <c:pt idx="255">
                  <c:v>234.84232876407427</c:v>
                </c:pt>
                <c:pt idx="256">
                  <c:v>250.69506554994865</c:v>
                </c:pt>
                <c:pt idx="257">
                  <c:v>240.93953522017978</c:v>
                </c:pt>
                <c:pt idx="258">
                  <c:v>255.57283071483306</c:v>
                </c:pt>
                <c:pt idx="259">
                  <c:v>226.3062397255265</c:v>
                </c:pt>
                <c:pt idx="260">
                  <c:v>260.45059587971753</c:v>
                </c:pt>
                <c:pt idx="261">
                  <c:v>243.37841780262201</c:v>
                </c:pt>
                <c:pt idx="262">
                  <c:v>244.59785909384311</c:v>
                </c:pt>
                <c:pt idx="263">
                  <c:v>256.79227200605419</c:v>
                </c:pt>
                <c:pt idx="264">
                  <c:v>245.81730038506424</c:v>
                </c:pt>
                <c:pt idx="265">
                  <c:v>260.45059587971753</c:v>
                </c:pt>
                <c:pt idx="266">
                  <c:v>247.03674167628532</c:v>
                </c:pt>
                <c:pt idx="267">
                  <c:v>239.7200939289587</c:v>
                </c:pt>
                <c:pt idx="268">
                  <c:v>245.81730038506424</c:v>
                </c:pt>
                <c:pt idx="269">
                  <c:v>248.25618296750645</c:v>
                </c:pt>
                <c:pt idx="270">
                  <c:v>236.06177005529537</c:v>
                </c:pt>
                <c:pt idx="271">
                  <c:v>254.35338942361199</c:v>
                </c:pt>
                <c:pt idx="272">
                  <c:v>261.6700371709386</c:v>
                </c:pt>
                <c:pt idx="273">
                  <c:v>250.69506554994865</c:v>
                </c:pt>
                <c:pt idx="274">
                  <c:v>237.28121134651647</c:v>
                </c:pt>
                <c:pt idx="275">
                  <c:v>243.37841780262201</c:v>
                </c:pt>
                <c:pt idx="276">
                  <c:v>250.69506554994865</c:v>
                </c:pt>
                <c:pt idx="277">
                  <c:v>249.47562425872755</c:v>
                </c:pt>
                <c:pt idx="278">
                  <c:v>250.69506554994865</c:v>
                </c:pt>
                <c:pt idx="279">
                  <c:v>254.35338942361199</c:v>
                </c:pt>
                <c:pt idx="280">
                  <c:v>231.18400489041093</c:v>
                </c:pt>
                <c:pt idx="281">
                  <c:v>243.37841780262201</c:v>
                </c:pt>
                <c:pt idx="282">
                  <c:v>251.91450684116975</c:v>
                </c:pt>
                <c:pt idx="283">
                  <c:v>228.74512230796873</c:v>
                </c:pt>
                <c:pt idx="284">
                  <c:v>254.35338942361199</c:v>
                </c:pt>
                <c:pt idx="285">
                  <c:v>236.06177005529537</c:v>
                </c:pt>
                <c:pt idx="286">
                  <c:v>251.91450684116975</c:v>
                </c:pt>
                <c:pt idx="287">
                  <c:v>249.47562425872755</c:v>
                </c:pt>
                <c:pt idx="288">
                  <c:v>249.47562425872755</c:v>
                </c:pt>
                <c:pt idx="289">
                  <c:v>247.03674167628532</c:v>
                </c:pt>
                <c:pt idx="290">
                  <c:v>254.35338942361199</c:v>
                </c:pt>
                <c:pt idx="291">
                  <c:v>250.69506554994865</c:v>
                </c:pt>
                <c:pt idx="292">
                  <c:v>250.69506554994865</c:v>
                </c:pt>
                <c:pt idx="293">
                  <c:v>261.6700371709386</c:v>
                </c:pt>
                <c:pt idx="294">
                  <c:v>233.62288747285317</c:v>
                </c:pt>
                <c:pt idx="295">
                  <c:v>256.79227200605419</c:v>
                </c:pt>
                <c:pt idx="296">
                  <c:v>256.79227200605419</c:v>
                </c:pt>
                <c:pt idx="297">
                  <c:v>251.91450684116975</c:v>
                </c:pt>
                <c:pt idx="298">
                  <c:v>249.47562425872755</c:v>
                </c:pt>
                <c:pt idx="299">
                  <c:v>234.84232876407427</c:v>
                </c:pt>
                <c:pt idx="300">
                  <c:v>262.88947846215973</c:v>
                </c:pt>
                <c:pt idx="301">
                  <c:v>249.47562425872755</c:v>
                </c:pt>
                <c:pt idx="302">
                  <c:v>249.47562425872755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A5F-4FD8-82B6-1EF5DDD73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7627119"/>
        <c:axId val="607627599"/>
      </c:scatterChart>
      <c:valAx>
        <c:axId val="60762711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age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7627599"/>
        <c:crosses val="autoZero"/>
        <c:crossBetween val="midCat"/>
      </c:valAx>
      <c:valAx>
        <c:axId val="607627599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chol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7627119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Normal Probability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regression!$F$25:$F$327</c:f>
              <c:numCache>
                <c:formatCode>General</c:formatCode>
                <c:ptCount val="303"/>
                <c:pt idx="0">
                  <c:v>0.16501650165016502</c:v>
                </c:pt>
                <c:pt idx="1">
                  <c:v>0.49504950495049505</c:v>
                </c:pt>
                <c:pt idx="2">
                  <c:v>0.82508250825082508</c:v>
                </c:pt>
                <c:pt idx="3">
                  <c:v>1.1551155115511551</c:v>
                </c:pt>
                <c:pt idx="4">
                  <c:v>1.4851485148514851</c:v>
                </c:pt>
                <c:pt idx="5">
                  <c:v>1.8151815181518152</c:v>
                </c:pt>
                <c:pt idx="6">
                  <c:v>2.1452145214521452</c:v>
                </c:pt>
                <c:pt idx="7">
                  <c:v>2.4752475247524752</c:v>
                </c:pt>
                <c:pt idx="8">
                  <c:v>2.8052805280528053</c:v>
                </c:pt>
                <c:pt idx="9">
                  <c:v>3.1353135313531353</c:v>
                </c:pt>
                <c:pt idx="10">
                  <c:v>3.4653465346534653</c:v>
                </c:pt>
                <c:pt idx="11">
                  <c:v>3.7953795379537953</c:v>
                </c:pt>
                <c:pt idx="12">
                  <c:v>4.1254125412541249</c:v>
                </c:pt>
                <c:pt idx="13">
                  <c:v>4.4554455445544559</c:v>
                </c:pt>
                <c:pt idx="14">
                  <c:v>4.785478547854785</c:v>
                </c:pt>
                <c:pt idx="15">
                  <c:v>5.1155115511551159</c:v>
                </c:pt>
                <c:pt idx="16">
                  <c:v>5.4455445544554451</c:v>
                </c:pt>
                <c:pt idx="17">
                  <c:v>5.775577557755776</c:v>
                </c:pt>
                <c:pt idx="18">
                  <c:v>6.1056105610561051</c:v>
                </c:pt>
                <c:pt idx="19">
                  <c:v>6.435643564356436</c:v>
                </c:pt>
                <c:pt idx="20">
                  <c:v>6.7656765676567652</c:v>
                </c:pt>
                <c:pt idx="21">
                  <c:v>7.0957095709570961</c:v>
                </c:pt>
                <c:pt idx="22">
                  <c:v>7.4257425742574252</c:v>
                </c:pt>
                <c:pt idx="23">
                  <c:v>7.7557755775577562</c:v>
                </c:pt>
                <c:pt idx="24">
                  <c:v>8.0858085808580853</c:v>
                </c:pt>
                <c:pt idx="25">
                  <c:v>8.4158415841584144</c:v>
                </c:pt>
                <c:pt idx="26">
                  <c:v>8.7458745874587454</c:v>
                </c:pt>
                <c:pt idx="27">
                  <c:v>9.0759075907590763</c:v>
                </c:pt>
                <c:pt idx="28">
                  <c:v>9.4059405940594054</c:v>
                </c:pt>
                <c:pt idx="29">
                  <c:v>9.7359735973597346</c:v>
                </c:pt>
                <c:pt idx="30">
                  <c:v>10.066006600660065</c:v>
                </c:pt>
                <c:pt idx="31">
                  <c:v>10.396039603960396</c:v>
                </c:pt>
                <c:pt idx="32">
                  <c:v>10.726072607260726</c:v>
                </c:pt>
                <c:pt idx="33">
                  <c:v>11.056105610561055</c:v>
                </c:pt>
                <c:pt idx="34">
                  <c:v>11.386138613861386</c:v>
                </c:pt>
                <c:pt idx="35">
                  <c:v>11.716171617161717</c:v>
                </c:pt>
                <c:pt idx="36">
                  <c:v>12.046204620462046</c:v>
                </c:pt>
                <c:pt idx="37">
                  <c:v>12.376237623762375</c:v>
                </c:pt>
                <c:pt idx="38">
                  <c:v>12.706270627062706</c:v>
                </c:pt>
                <c:pt idx="39">
                  <c:v>13.036303630363037</c:v>
                </c:pt>
                <c:pt idx="40">
                  <c:v>13.366336633663366</c:v>
                </c:pt>
                <c:pt idx="41">
                  <c:v>13.696369636963695</c:v>
                </c:pt>
                <c:pt idx="42">
                  <c:v>14.026402640264026</c:v>
                </c:pt>
                <c:pt idx="43">
                  <c:v>14.356435643564357</c:v>
                </c:pt>
                <c:pt idx="44">
                  <c:v>14.686468646864686</c:v>
                </c:pt>
                <c:pt idx="45">
                  <c:v>15.016501650165015</c:v>
                </c:pt>
                <c:pt idx="46">
                  <c:v>15.346534653465346</c:v>
                </c:pt>
                <c:pt idx="47">
                  <c:v>15.676567656765677</c:v>
                </c:pt>
                <c:pt idx="48">
                  <c:v>16.006600660066006</c:v>
                </c:pt>
                <c:pt idx="49">
                  <c:v>16.336633663366335</c:v>
                </c:pt>
                <c:pt idx="50">
                  <c:v>16.666666666666664</c:v>
                </c:pt>
                <c:pt idx="51">
                  <c:v>16.996699669966997</c:v>
                </c:pt>
                <c:pt idx="52">
                  <c:v>17.326732673267326</c:v>
                </c:pt>
                <c:pt idx="53">
                  <c:v>17.656765676567655</c:v>
                </c:pt>
                <c:pt idx="54">
                  <c:v>17.986798679867988</c:v>
                </c:pt>
                <c:pt idx="55">
                  <c:v>18.316831683168317</c:v>
                </c:pt>
                <c:pt idx="56">
                  <c:v>18.646864686468646</c:v>
                </c:pt>
                <c:pt idx="57">
                  <c:v>18.976897689768975</c:v>
                </c:pt>
                <c:pt idx="58">
                  <c:v>19.306930693069305</c:v>
                </c:pt>
                <c:pt idx="59">
                  <c:v>19.636963696369637</c:v>
                </c:pt>
                <c:pt idx="60">
                  <c:v>19.966996699669966</c:v>
                </c:pt>
                <c:pt idx="61">
                  <c:v>20.297029702970296</c:v>
                </c:pt>
                <c:pt idx="62">
                  <c:v>20.627062706270628</c:v>
                </c:pt>
                <c:pt idx="63">
                  <c:v>20.957095709570957</c:v>
                </c:pt>
                <c:pt idx="64">
                  <c:v>21.287128712871286</c:v>
                </c:pt>
                <c:pt idx="65">
                  <c:v>21.617161716171616</c:v>
                </c:pt>
                <c:pt idx="66">
                  <c:v>21.947194719471945</c:v>
                </c:pt>
                <c:pt idx="67">
                  <c:v>22.277227722772277</c:v>
                </c:pt>
                <c:pt idx="68">
                  <c:v>22.607260726072607</c:v>
                </c:pt>
                <c:pt idx="69">
                  <c:v>22.937293729372936</c:v>
                </c:pt>
                <c:pt idx="70">
                  <c:v>23.267326732673268</c:v>
                </c:pt>
                <c:pt idx="71">
                  <c:v>23.597359735973598</c:v>
                </c:pt>
                <c:pt idx="72">
                  <c:v>23.927392739273927</c:v>
                </c:pt>
                <c:pt idx="73">
                  <c:v>24.257425742574256</c:v>
                </c:pt>
                <c:pt idx="74">
                  <c:v>24.587458745874585</c:v>
                </c:pt>
                <c:pt idx="75">
                  <c:v>24.917491749174918</c:v>
                </c:pt>
                <c:pt idx="76">
                  <c:v>25.247524752475247</c:v>
                </c:pt>
                <c:pt idx="77">
                  <c:v>25.577557755775576</c:v>
                </c:pt>
                <c:pt idx="78">
                  <c:v>25.907590759075909</c:v>
                </c:pt>
                <c:pt idx="79">
                  <c:v>26.237623762376238</c:v>
                </c:pt>
                <c:pt idx="80">
                  <c:v>26.567656765676567</c:v>
                </c:pt>
                <c:pt idx="81">
                  <c:v>26.897689768976896</c:v>
                </c:pt>
                <c:pt idx="82">
                  <c:v>27.227722772277225</c:v>
                </c:pt>
                <c:pt idx="83">
                  <c:v>27.557755775577558</c:v>
                </c:pt>
                <c:pt idx="84">
                  <c:v>27.887788778877887</c:v>
                </c:pt>
                <c:pt idx="85">
                  <c:v>28.217821782178216</c:v>
                </c:pt>
                <c:pt idx="86">
                  <c:v>28.547854785478549</c:v>
                </c:pt>
                <c:pt idx="87">
                  <c:v>28.877887788778878</c:v>
                </c:pt>
                <c:pt idx="88">
                  <c:v>29.207920792079207</c:v>
                </c:pt>
                <c:pt idx="89">
                  <c:v>29.537953795379536</c:v>
                </c:pt>
                <c:pt idx="90">
                  <c:v>29.867986798679866</c:v>
                </c:pt>
                <c:pt idx="91">
                  <c:v>30.198019801980198</c:v>
                </c:pt>
                <c:pt idx="92">
                  <c:v>30.528052805280527</c:v>
                </c:pt>
                <c:pt idx="93">
                  <c:v>30.858085808580856</c:v>
                </c:pt>
                <c:pt idx="94">
                  <c:v>31.188118811881189</c:v>
                </c:pt>
                <c:pt idx="95">
                  <c:v>31.518151815181518</c:v>
                </c:pt>
                <c:pt idx="96">
                  <c:v>31.848184818481847</c:v>
                </c:pt>
                <c:pt idx="97">
                  <c:v>32.178217821782177</c:v>
                </c:pt>
                <c:pt idx="98">
                  <c:v>32.508250825082506</c:v>
                </c:pt>
                <c:pt idx="99">
                  <c:v>32.838283828382835</c:v>
                </c:pt>
                <c:pt idx="100">
                  <c:v>33.168316831683164</c:v>
                </c:pt>
                <c:pt idx="101">
                  <c:v>33.4983498349835</c:v>
                </c:pt>
                <c:pt idx="102">
                  <c:v>33.828382838283829</c:v>
                </c:pt>
                <c:pt idx="103">
                  <c:v>34.158415841584159</c:v>
                </c:pt>
                <c:pt idx="104">
                  <c:v>34.488448844884488</c:v>
                </c:pt>
                <c:pt idx="105">
                  <c:v>34.818481848184817</c:v>
                </c:pt>
                <c:pt idx="106">
                  <c:v>35.148514851485146</c:v>
                </c:pt>
                <c:pt idx="107">
                  <c:v>35.478547854785475</c:v>
                </c:pt>
                <c:pt idx="108">
                  <c:v>35.808580858085811</c:v>
                </c:pt>
                <c:pt idx="109">
                  <c:v>36.138613861386141</c:v>
                </c:pt>
                <c:pt idx="110">
                  <c:v>36.46864686468647</c:v>
                </c:pt>
                <c:pt idx="111">
                  <c:v>36.798679867986799</c:v>
                </c:pt>
                <c:pt idx="112">
                  <c:v>37.128712871287128</c:v>
                </c:pt>
                <c:pt idx="113">
                  <c:v>37.458745874587457</c:v>
                </c:pt>
                <c:pt idx="114">
                  <c:v>37.788778877887786</c:v>
                </c:pt>
                <c:pt idx="115">
                  <c:v>38.118811881188115</c:v>
                </c:pt>
                <c:pt idx="116">
                  <c:v>38.448844884488445</c:v>
                </c:pt>
                <c:pt idx="117">
                  <c:v>38.778877887788781</c:v>
                </c:pt>
                <c:pt idx="118">
                  <c:v>39.10891089108911</c:v>
                </c:pt>
                <c:pt idx="119">
                  <c:v>39.438943894389439</c:v>
                </c:pt>
                <c:pt idx="120">
                  <c:v>39.768976897689768</c:v>
                </c:pt>
                <c:pt idx="121">
                  <c:v>40.099009900990097</c:v>
                </c:pt>
                <c:pt idx="122">
                  <c:v>40.429042904290426</c:v>
                </c:pt>
                <c:pt idx="123">
                  <c:v>40.759075907590756</c:v>
                </c:pt>
                <c:pt idx="124">
                  <c:v>41.089108910891092</c:v>
                </c:pt>
                <c:pt idx="125">
                  <c:v>41.419141914191421</c:v>
                </c:pt>
                <c:pt idx="126">
                  <c:v>41.74917491749175</c:v>
                </c:pt>
                <c:pt idx="127">
                  <c:v>42.079207920792079</c:v>
                </c:pt>
                <c:pt idx="128">
                  <c:v>42.409240924092408</c:v>
                </c:pt>
                <c:pt idx="129">
                  <c:v>42.739273927392738</c:v>
                </c:pt>
                <c:pt idx="130">
                  <c:v>43.069306930693067</c:v>
                </c:pt>
                <c:pt idx="131">
                  <c:v>43.399339933993396</c:v>
                </c:pt>
                <c:pt idx="132">
                  <c:v>43.729372937293725</c:v>
                </c:pt>
                <c:pt idx="133">
                  <c:v>44.059405940594061</c:v>
                </c:pt>
                <c:pt idx="134">
                  <c:v>44.38943894389439</c:v>
                </c:pt>
                <c:pt idx="135">
                  <c:v>44.71947194719472</c:v>
                </c:pt>
                <c:pt idx="136">
                  <c:v>45.049504950495049</c:v>
                </c:pt>
                <c:pt idx="137">
                  <c:v>45.379537953795378</c:v>
                </c:pt>
                <c:pt idx="138">
                  <c:v>45.709570957095707</c:v>
                </c:pt>
                <c:pt idx="139">
                  <c:v>46.039603960396036</c:v>
                </c:pt>
                <c:pt idx="140">
                  <c:v>46.369636963696372</c:v>
                </c:pt>
                <c:pt idx="141">
                  <c:v>46.699669966996701</c:v>
                </c:pt>
                <c:pt idx="142">
                  <c:v>47.029702970297031</c:v>
                </c:pt>
                <c:pt idx="143">
                  <c:v>47.35973597359736</c:v>
                </c:pt>
                <c:pt idx="144">
                  <c:v>47.689768976897689</c:v>
                </c:pt>
                <c:pt idx="145">
                  <c:v>48.019801980198018</c:v>
                </c:pt>
                <c:pt idx="146">
                  <c:v>48.349834983498347</c:v>
                </c:pt>
                <c:pt idx="147">
                  <c:v>48.679867986798676</c:v>
                </c:pt>
                <c:pt idx="148">
                  <c:v>49.009900990099005</c:v>
                </c:pt>
                <c:pt idx="149">
                  <c:v>49.339933993399342</c:v>
                </c:pt>
                <c:pt idx="150">
                  <c:v>49.669966996699671</c:v>
                </c:pt>
                <c:pt idx="151">
                  <c:v>50</c:v>
                </c:pt>
                <c:pt idx="152">
                  <c:v>50.330033003300329</c:v>
                </c:pt>
                <c:pt idx="153">
                  <c:v>50.660066006600658</c:v>
                </c:pt>
                <c:pt idx="154">
                  <c:v>50.990099009900987</c:v>
                </c:pt>
                <c:pt idx="155">
                  <c:v>51.320132013201317</c:v>
                </c:pt>
                <c:pt idx="156">
                  <c:v>51.650165016501653</c:v>
                </c:pt>
                <c:pt idx="157">
                  <c:v>51.980198019801982</c:v>
                </c:pt>
                <c:pt idx="158">
                  <c:v>52.310231023102311</c:v>
                </c:pt>
                <c:pt idx="159">
                  <c:v>52.64026402640264</c:v>
                </c:pt>
                <c:pt idx="160">
                  <c:v>52.970297029702969</c:v>
                </c:pt>
                <c:pt idx="161">
                  <c:v>53.300330033003299</c:v>
                </c:pt>
                <c:pt idx="162">
                  <c:v>53.630363036303628</c:v>
                </c:pt>
                <c:pt idx="163">
                  <c:v>53.960396039603957</c:v>
                </c:pt>
                <c:pt idx="164">
                  <c:v>54.290429042904286</c:v>
                </c:pt>
                <c:pt idx="165">
                  <c:v>54.620462046204622</c:v>
                </c:pt>
                <c:pt idx="166">
                  <c:v>54.950495049504951</c:v>
                </c:pt>
                <c:pt idx="167">
                  <c:v>55.28052805280528</c:v>
                </c:pt>
                <c:pt idx="168">
                  <c:v>55.61056105610561</c:v>
                </c:pt>
                <c:pt idx="169">
                  <c:v>55.940594059405939</c:v>
                </c:pt>
                <c:pt idx="170">
                  <c:v>56.270627062706268</c:v>
                </c:pt>
                <c:pt idx="171">
                  <c:v>56.600660066006597</c:v>
                </c:pt>
                <c:pt idx="172">
                  <c:v>56.930693069306933</c:v>
                </c:pt>
                <c:pt idx="173">
                  <c:v>57.260726072607262</c:v>
                </c:pt>
                <c:pt idx="174">
                  <c:v>57.590759075907592</c:v>
                </c:pt>
                <c:pt idx="175">
                  <c:v>57.920792079207921</c:v>
                </c:pt>
                <c:pt idx="176">
                  <c:v>58.25082508250825</c:v>
                </c:pt>
                <c:pt idx="177">
                  <c:v>58.580858085808579</c:v>
                </c:pt>
                <c:pt idx="178">
                  <c:v>58.910891089108908</c:v>
                </c:pt>
                <c:pt idx="179">
                  <c:v>59.240924092409237</c:v>
                </c:pt>
                <c:pt idx="180">
                  <c:v>59.570957095709566</c:v>
                </c:pt>
                <c:pt idx="181">
                  <c:v>59.900990099009903</c:v>
                </c:pt>
                <c:pt idx="182">
                  <c:v>60.231023102310232</c:v>
                </c:pt>
                <c:pt idx="183">
                  <c:v>60.561056105610561</c:v>
                </c:pt>
                <c:pt idx="184">
                  <c:v>60.89108910891089</c:v>
                </c:pt>
                <c:pt idx="185">
                  <c:v>61.221122112211219</c:v>
                </c:pt>
                <c:pt idx="186">
                  <c:v>61.551155115511548</c:v>
                </c:pt>
                <c:pt idx="187">
                  <c:v>61.881188118811878</c:v>
                </c:pt>
                <c:pt idx="188">
                  <c:v>62.211221122112214</c:v>
                </c:pt>
                <c:pt idx="189">
                  <c:v>62.541254125412543</c:v>
                </c:pt>
                <c:pt idx="190">
                  <c:v>62.871287128712872</c:v>
                </c:pt>
                <c:pt idx="191">
                  <c:v>63.201320132013201</c:v>
                </c:pt>
                <c:pt idx="192">
                  <c:v>63.53135313531353</c:v>
                </c:pt>
                <c:pt idx="193">
                  <c:v>63.861386138613859</c:v>
                </c:pt>
                <c:pt idx="194">
                  <c:v>64.191419141914196</c:v>
                </c:pt>
                <c:pt idx="195">
                  <c:v>64.521452145214525</c:v>
                </c:pt>
                <c:pt idx="196">
                  <c:v>64.851485148514854</c:v>
                </c:pt>
                <c:pt idx="197">
                  <c:v>65.181518151815183</c:v>
                </c:pt>
                <c:pt idx="198">
                  <c:v>65.511551155115512</c:v>
                </c:pt>
                <c:pt idx="199">
                  <c:v>65.841584158415841</c:v>
                </c:pt>
                <c:pt idx="200">
                  <c:v>66.171617161716171</c:v>
                </c:pt>
                <c:pt idx="201">
                  <c:v>66.501650165016514</c:v>
                </c:pt>
                <c:pt idx="202">
                  <c:v>66.831683168316843</c:v>
                </c:pt>
                <c:pt idx="203">
                  <c:v>67.161716171617172</c:v>
                </c:pt>
                <c:pt idx="204">
                  <c:v>67.491749174917501</c:v>
                </c:pt>
                <c:pt idx="205">
                  <c:v>67.821782178217831</c:v>
                </c:pt>
                <c:pt idx="206">
                  <c:v>68.15181518151816</c:v>
                </c:pt>
                <c:pt idx="207">
                  <c:v>68.481848184818489</c:v>
                </c:pt>
                <c:pt idx="208">
                  <c:v>68.811881188118818</c:v>
                </c:pt>
                <c:pt idx="209">
                  <c:v>69.141914191419147</c:v>
                </c:pt>
                <c:pt idx="210">
                  <c:v>69.471947194719476</c:v>
                </c:pt>
                <c:pt idx="211">
                  <c:v>69.801980198019805</c:v>
                </c:pt>
                <c:pt idx="212">
                  <c:v>70.132013201320134</c:v>
                </c:pt>
                <c:pt idx="213">
                  <c:v>70.462046204620464</c:v>
                </c:pt>
                <c:pt idx="214">
                  <c:v>70.792079207920793</c:v>
                </c:pt>
                <c:pt idx="215">
                  <c:v>71.122112211221122</c:v>
                </c:pt>
                <c:pt idx="216">
                  <c:v>71.452145214521465</c:v>
                </c:pt>
                <c:pt idx="217">
                  <c:v>71.782178217821794</c:v>
                </c:pt>
                <c:pt idx="218">
                  <c:v>72.112211221122124</c:v>
                </c:pt>
                <c:pt idx="219">
                  <c:v>72.442244224422453</c:v>
                </c:pt>
                <c:pt idx="220">
                  <c:v>72.772277227722782</c:v>
                </c:pt>
                <c:pt idx="221">
                  <c:v>73.102310231023111</c:v>
                </c:pt>
                <c:pt idx="222">
                  <c:v>73.43234323432344</c:v>
                </c:pt>
                <c:pt idx="223">
                  <c:v>73.762376237623769</c:v>
                </c:pt>
                <c:pt idx="224">
                  <c:v>74.092409240924098</c:v>
                </c:pt>
                <c:pt idx="225">
                  <c:v>74.422442244224428</c:v>
                </c:pt>
                <c:pt idx="226">
                  <c:v>74.752475247524757</c:v>
                </c:pt>
                <c:pt idx="227">
                  <c:v>75.082508250825086</c:v>
                </c:pt>
                <c:pt idx="228">
                  <c:v>75.412541254125415</c:v>
                </c:pt>
                <c:pt idx="229">
                  <c:v>75.742574257425744</c:v>
                </c:pt>
                <c:pt idx="230">
                  <c:v>76.072607260726073</c:v>
                </c:pt>
                <c:pt idx="231">
                  <c:v>76.402640264026402</c:v>
                </c:pt>
                <c:pt idx="232">
                  <c:v>76.732673267326732</c:v>
                </c:pt>
                <c:pt idx="233">
                  <c:v>77.062706270627075</c:v>
                </c:pt>
                <c:pt idx="234">
                  <c:v>77.392739273927404</c:v>
                </c:pt>
                <c:pt idx="235">
                  <c:v>77.722772277227733</c:v>
                </c:pt>
                <c:pt idx="236">
                  <c:v>78.052805280528062</c:v>
                </c:pt>
                <c:pt idx="237">
                  <c:v>78.382838283828391</c:v>
                </c:pt>
                <c:pt idx="238">
                  <c:v>78.712871287128721</c:v>
                </c:pt>
                <c:pt idx="239">
                  <c:v>79.04290429042905</c:v>
                </c:pt>
                <c:pt idx="240">
                  <c:v>79.372937293729379</c:v>
                </c:pt>
                <c:pt idx="241">
                  <c:v>79.702970297029708</c:v>
                </c:pt>
                <c:pt idx="242">
                  <c:v>80.033003300330037</c:v>
                </c:pt>
                <c:pt idx="243">
                  <c:v>80.363036303630366</c:v>
                </c:pt>
                <c:pt idx="244">
                  <c:v>80.693069306930695</c:v>
                </c:pt>
                <c:pt idx="245">
                  <c:v>81.023102310231025</c:v>
                </c:pt>
                <c:pt idx="246">
                  <c:v>81.353135313531354</c:v>
                </c:pt>
                <c:pt idx="247">
                  <c:v>81.683168316831683</c:v>
                </c:pt>
                <c:pt idx="248">
                  <c:v>82.013201320132026</c:v>
                </c:pt>
                <c:pt idx="249">
                  <c:v>82.343234323432355</c:v>
                </c:pt>
                <c:pt idx="250">
                  <c:v>82.673267326732685</c:v>
                </c:pt>
                <c:pt idx="251">
                  <c:v>83.003300330033014</c:v>
                </c:pt>
                <c:pt idx="252">
                  <c:v>83.333333333333343</c:v>
                </c:pt>
                <c:pt idx="253">
                  <c:v>83.663366336633672</c:v>
                </c:pt>
                <c:pt idx="254">
                  <c:v>83.993399339934001</c:v>
                </c:pt>
                <c:pt idx="255">
                  <c:v>84.32343234323433</c:v>
                </c:pt>
                <c:pt idx="256">
                  <c:v>84.653465346534659</c:v>
                </c:pt>
                <c:pt idx="257">
                  <c:v>84.983498349834989</c:v>
                </c:pt>
                <c:pt idx="258">
                  <c:v>85.313531353135318</c:v>
                </c:pt>
                <c:pt idx="259">
                  <c:v>85.643564356435647</c:v>
                </c:pt>
                <c:pt idx="260">
                  <c:v>85.973597359735976</c:v>
                </c:pt>
                <c:pt idx="261">
                  <c:v>86.303630363036305</c:v>
                </c:pt>
                <c:pt idx="262">
                  <c:v>86.633663366336634</c:v>
                </c:pt>
                <c:pt idx="263">
                  <c:v>86.963696369636963</c:v>
                </c:pt>
                <c:pt idx="264">
                  <c:v>87.293729372937293</c:v>
                </c:pt>
                <c:pt idx="265">
                  <c:v>87.623762376237636</c:v>
                </c:pt>
                <c:pt idx="266">
                  <c:v>87.953795379537965</c:v>
                </c:pt>
                <c:pt idx="267">
                  <c:v>88.283828382838294</c:v>
                </c:pt>
                <c:pt idx="268">
                  <c:v>88.613861386138623</c:v>
                </c:pt>
                <c:pt idx="269">
                  <c:v>88.943894389438952</c:v>
                </c:pt>
                <c:pt idx="270">
                  <c:v>89.273927392739282</c:v>
                </c:pt>
                <c:pt idx="271">
                  <c:v>89.603960396039611</c:v>
                </c:pt>
                <c:pt idx="272">
                  <c:v>89.93399339933994</c:v>
                </c:pt>
                <c:pt idx="273">
                  <c:v>90.264026402640269</c:v>
                </c:pt>
                <c:pt idx="274">
                  <c:v>90.594059405940598</c:v>
                </c:pt>
                <c:pt idx="275">
                  <c:v>90.924092409240927</c:v>
                </c:pt>
                <c:pt idx="276">
                  <c:v>91.254125412541256</c:v>
                </c:pt>
                <c:pt idx="277">
                  <c:v>91.584158415841586</c:v>
                </c:pt>
                <c:pt idx="278">
                  <c:v>91.914191419141915</c:v>
                </c:pt>
                <c:pt idx="279">
                  <c:v>92.244224422442244</c:v>
                </c:pt>
                <c:pt idx="280">
                  <c:v>92.574257425742587</c:v>
                </c:pt>
                <c:pt idx="281">
                  <c:v>92.904290429042916</c:v>
                </c:pt>
                <c:pt idx="282">
                  <c:v>93.234323432343245</c:v>
                </c:pt>
                <c:pt idx="283">
                  <c:v>93.564356435643575</c:v>
                </c:pt>
                <c:pt idx="284">
                  <c:v>93.894389438943904</c:v>
                </c:pt>
                <c:pt idx="285">
                  <c:v>94.224422442244233</c:v>
                </c:pt>
                <c:pt idx="286">
                  <c:v>94.554455445544562</c:v>
                </c:pt>
                <c:pt idx="287">
                  <c:v>94.884488448844891</c:v>
                </c:pt>
                <c:pt idx="288">
                  <c:v>95.21452145214522</c:v>
                </c:pt>
                <c:pt idx="289">
                  <c:v>95.544554455445549</c:v>
                </c:pt>
                <c:pt idx="290">
                  <c:v>95.874587458745879</c:v>
                </c:pt>
                <c:pt idx="291">
                  <c:v>96.204620462046208</c:v>
                </c:pt>
                <c:pt idx="292">
                  <c:v>96.534653465346537</c:v>
                </c:pt>
                <c:pt idx="293">
                  <c:v>96.864686468646866</c:v>
                </c:pt>
                <c:pt idx="294">
                  <c:v>97.194719471947195</c:v>
                </c:pt>
                <c:pt idx="295">
                  <c:v>97.524752475247524</c:v>
                </c:pt>
                <c:pt idx="296">
                  <c:v>97.854785478547853</c:v>
                </c:pt>
                <c:pt idx="297">
                  <c:v>98.184818481848197</c:v>
                </c:pt>
                <c:pt idx="298">
                  <c:v>98.514851485148526</c:v>
                </c:pt>
                <c:pt idx="299">
                  <c:v>98.844884488448855</c:v>
                </c:pt>
                <c:pt idx="300">
                  <c:v>99.174917491749184</c:v>
                </c:pt>
                <c:pt idx="301">
                  <c:v>99.504950495049513</c:v>
                </c:pt>
                <c:pt idx="302">
                  <c:v>99.834983498349843</c:v>
                </c:pt>
              </c:numCache>
            </c:numRef>
          </c:xVal>
          <c:yVal>
            <c:numRef>
              <c:f>regression!$G$25:$G$327</c:f>
              <c:numCache>
                <c:formatCode>General</c:formatCode>
                <c:ptCount val="303"/>
                <c:pt idx="0">
                  <c:v>126</c:v>
                </c:pt>
                <c:pt idx="1">
                  <c:v>131</c:v>
                </c:pt>
                <c:pt idx="2">
                  <c:v>141</c:v>
                </c:pt>
                <c:pt idx="3">
                  <c:v>149</c:v>
                </c:pt>
                <c:pt idx="4">
                  <c:v>149</c:v>
                </c:pt>
                <c:pt idx="5">
                  <c:v>157</c:v>
                </c:pt>
                <c:pt idx="6">
                  <c:v>160</c:v>
                </c:pt>
                <c:pt idx="7">
                  <c:v>164</c:v>
                </c:pt>
                <c:pt idx="8">
                  <c:v>166</c:v>
                </c:pt>
                <c:pt idx="9">
                  <c:v>167</c:v>
                </c:pt>
                <c:pt idx="10">
                  <c:v>168</c:v>
                </c:pt>
                <c:pt idx="11">
                  <c:v>169</c:v>
                </c:pt>
                <c:pt idx="12">
                  <c:v>172</c:v>
                </c:pt>
                <c:pt idx="13">
                  <c:v>174</c:v>
                </c:pt>
                <c:pt idx="14">
                  <c:v>175</c:v>
                </c:pt>
                <c:pt idx="15">
                  <c:v>175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177</c:v>
                </c:pt>
                <c:pt idx="20">
                  <c:v>177</c:v>
                </c:pt>
                <c:pt idx="21">
                  <c:v>177</c:v>
                </c:pt>
                <c:pt idx="22">
                  <c:v>178</c:v>
                </c:pt>
                <c:pt idx="23">
                  <c:v>180</c:v>
                </c:pt>
                <c:pt idx="24">
                  <c:v>182</c:v>
                </c:pt>
                <c:pt idx="25">
                  <c:v>183</c:v>
                </c:pt>
                <c:pt idx="26">
                  <c:v>184</c:v>
                </c:pt>
                <c:pt idx="27">
                  <c:v>185</c:v>
                </c:pt>
                <c:pt idx="28">
                  <c:v>186</c:v>
                </c:pt>
                <c:pt idx="29">
                  <c:v>187</c:v>
                </c:pt>
                <c:pt idx="30">
                  <c:v>188</c:v>
                </c:pt>
                <c:pt idx="31">
                  <c:v>188</c:v>
                </c:pt>
                <c:pt idx="32">
                  <c:v>192</c:v>
                </c:pt>
                <c:pt idx="33">
                  <c:v>192</c:v>
                </c:pt>
                <c:pt idx="34">
                  <c:v>193</c:v>
                </c:pt>
                <c:pt idx="35">
                  <c:v>193</c:v>
                </c:pt>
                <c:pt idx="36">
                  <c:v>195</c:v>
                </c:pt>
                <c:pt idx="37">
                  <c:v>196</c:v>
                </c:pt>
                <c:pt idx="38">
                  <c:v>196</c:v>
                </c:pt>
                <c:pt idx="39">
                  <c:v>197</c:v>
                </c:pt>
                <c:pt idx="40">
                  <c:v>197</c:v>
                </c:pt>
                <c:pt idx="41">
                  <c:v>197</c:v>
                </c:pt>
                <c:pt idx="42">
                  <c:v>197</c:v>
                </c:pt>
                <c:pt idx="43">
                  <c:v>197</c:v>
                </c:pt>
                <c:pt idx="44">
                  <c:v>197</c:v>
                </c:pt>
                <c:pt idx="45">
                  <c:v>198</c:v>
                </c:pt>
                <c:pt idx="46">
                  <c:v>198</c:v>
                </c:pt>
                <c:pt idx="47">
                  <c:v>199</c:v>
                </c:pt>
                <c:pt idx="48">
                  <c:v>199</c:v>
                </c:pt>
                <c:pt idx="49">
                  <c:v>199</c:v>
                </c:pt>
                <c:pt idx="50">
                  <c:v>200</c:v>
                </c:pt>
                <c:pt idx="51">
                  <c:v>201</c:v>
                </c:pt>
                <c:pt idx="52">
                  <c:v>201</c:v>
                </c:pt>
                <c:pt idx="53">
                  <c:v>201</c:v>
                </c:pt>
                <c:pt idx="54">
                  <c:v>203</c:v>
                </c:pt>
                <c:pt idx="55">
                  <c:v>203</c:v>
                </c:pt>
                <c:pt idx="56">
                  <c:v>203</c:v>
                </c:pt>
                <c:pt idx="57">
                  <c:v>204</c:v>
                </c:pt>
                <c:pt idx="58">
                  <c:v>204</c:v>
                </c:pt>
                <c:pt idx="59">
                  <c:v>204</c:v>
                </c:pt>
                <c:pt idx="60">
                  <c:v>204</c:v>
                </c:pt>
                <c:pt idx="61">
                  <c:v>204</c:v>
                </c:pt>
                <c:pt idx="62">
                  <c:v>204</c:v>
                </c:pt>
                <c:pt idx="63">
                  <c:v>205</c:v>
                </c:pt>
                <c:pt idx="64">
                  <c:v>205</c:v>
                </c:pt>
                <c:pt idx="65">
                  <c:v>206</c:v>
                </c:pt>
                <c:pt idx="66">
                  <c:v>206</c:v>
                </c:pt>
                <c:pt idx="67">
                  <c:v>207</c:v>
                </c:pt>
                <c:pt idx="68">
                  <c:v>207</c:v>
                </c:pt>
                <c:pt idx="69">
                  <c:v>208</c:v>
                </c:pt>
                <c:pt idx="70">
                  <c:v>208</c:v>
                </c:pt>
                <c:pt idx="71">
                  <c:v>209</c:v>
                </c:pt>
                <c:pt idx="72">
                  <c:v>209</c:v>
                </c:pt>
                <c:pt idx="73">
                  <c:v>210</c:v>
                </c:pt>
                <c:pt idx="74">
                  <c:v>211</c:v>
                </c:pt>
                <c:pt idx="75">
                  <c:v>211</c:v>
                </c:pt>
                <c:pt idx="76">
                  <c:v>211</c:v>
                </c:pt>
                <c:pt idx="77">
                  <c:v>211</c:v>
                </c:pt>
                <c:pt idx="78">
                  <c:v>212</c:v>
                </c:pt>
                <c:pt idx="79">
                  <c:v>212</c:v>
                </c:pt>
                <c:pt idx="80">
                  <c:v>212</c:v>
                </c:pt>
                <c:pt idx="81">
                  <c:v>212</c:v>
                </c:pt>
                <c:pt idx="82">
                  <c:v>212</c:v>
                </c:pt>
                <c:pt idx="83">
                  <c:v>213</c:v>
                </c:pt>
                <c:pt idx="84">
                  <c:v>213</c:v>
                </c:pt>
                <c:pt idx="85">
                  <c:v>214</c:v>
                </c:pt>
                <c:pt idx="86">
                  <c:v>214</c:v>
                </c:pt>
                <c:pt idx="87">
                  <c:v>215</c:v>
                </c:pt>
                <c:pt idx="88">
                  <c:v>216</c:v>
                </c:pt>
                <c:pt idx="89">
                  <c:v>216</c:v>
                </c:pt>
                <c:pt idx="90">
                  <c:v>217</c:v>
                </c:pt>
                <c:pt idx="91">
                  <c:v>218</c:v>
                </c:pt>
                <c:pt idx="92">
                  <c:v>218</c:v>
                </c:pt>
                <c:pt idx="93">
                  <c:v>219</c:v>
                </c:pt>
                <c:pt idx="94">
                  <c:v>219</c:v>
                </c:pt>
                <c:pt idx="95">
                  <c:v>219</c:v>
                </c:pt>
                <c:pt idx="96">
                  <c:v>220</c:v>
                </c:pt>
                <c:pt idx="97">
                  <c:v>220</c:v>
                </c:pt>
                <c:pt idx="98">
                  <c:v>220</c:v>
                </c:pt>
                <c:pt idx="99">
                  <c:v>221</c:v>
                </c:pt>
                <c:pt idx="100">
                  <c:v>221</c:v>
                </c:pt>
                <c:pt idx="101">
                  <c:v>222</c:v>
                </c:pt>
                <c:pt idx="102">
                  <c:v>222</c:v>
                </c:pt>
                <c:pt idx="103">
                  <c:v>223</c:v>
                </c:pt>
                <c:pt idx="104">
                  <c:v>223</c:v>
                </c:pt>
                <c:pt idx="105">
                  <c:v>223</c:v>
                </c:pt>
                <c:pt idx="106">
                  <c:v>224</c:v>
                </c:pt>
                <c:pt idx="107">
                  <c:v>225</c:v>
                </c:pt>
                <c:pt idx="108">
                  <c:v>225</c:v>
                </c:pt>
                <c:pt idx="109">
                  <c:v>226</c:v>
                </c:pt>
                <c:pt idx="110">
                  <c:v>226</c:v>
                </c:pt>
                <c:pt idx="111">
                  <c:v>226</c:v>
                </c:pt>
                <c:pt idx="112">
                  <c:v>226</c:v>
                </c:pt>
                <c:pt idx="113">
                  <c:v>227</c:v>
                </c:pt>
                <c:pt idx="114">
                  <c:v>227</c:v>
                </c:pt>
                <c:pt idx="115">
                  <c:v>228</c:v>
                </c:pt>
                <c:pt idx="116">
                  <c:v>228</c:v>
                </c:pt>
                <c:pt idx="117">
                  <c:v>229</c:v>
                </c:pt>
                <c:pt idx="118">
                  <c:v>229</c:v>
                </c:pt>
                <c:pt idx="119">
                  <c:v>229</c:v>
                </c:pt>
                <c:pt idx="120">
                  <c:v>230</c:v>
                </c:pt>
                <c:pt idx="121">
                  <c:v>230</c:v>
                </c:pt>
                <c:pt idx="122">
                  <c:v>230</c:v>
                </c:pt>
                <c:pt idx="123">
                  <c:v>231</c:v>
                </c:pt>
                <c:pt idx="124">
                  <c:v>231</c:v>
                </c:pt>
                <c:pt idx="125">
                  <c:v>231</c:v>
                </c:pt>
                <c:pt idx="126">
                  <c:v>232</c:v>
                </c:pt>
                <c:pt idx="127">
                  <c:v>232</c:v>
                </c:pt>
                <c:pt idx="128">
                  <c:v>233</c:v>
                </c:pt>
                <c:pt idx="129">
                  <c:v>233</c:v>
                </c:pt>
                <c:pt idx="130">
                  <c:v>233</c:v>
                </c:pt>
                <c:pt idx="131">
                  <c:v>233</c:v>
                </c:pt>
                <c:pt idx="132">
                  <c:v>234</c:v>
                </c:pt>
                <c:pt idx="133">
                  <c:v>234</c:v>
                </c:pt>
                <c:pt idx="134">
                  <c:v>234</c:v>
                </c:pt>
                <c:pt idx="135">
                  <c:v>234</c:v>
                </c:pt>
                <c:pt idx="136">
                  <c:v>234</c:v>
                </c:pt>
                <c:pt idx="137">
                  <c:v>234</c:v>
                </c:pt>
                <c:pt idx="138">
                  <c:v>235</c:v>
                </c:pt>
                <c:pt idx="139">
                  <c:v>235</c:v>
                </c:pt>
                <c:pt idx="140">
                  <c:v>236</c:v>
                </c:pt>
                <c:pt idx="141">
                  <c:v>236</c:v>
                </c:pt>
                <c:pt idx="142">
                  <c:v>236</c:v>
                </c:pt>
                <c:pt idx="143">
                  <c:v>237</c:v>
                </c:pt>
                <c:pt idx="144">
                  <c:v>239</c:v>
                </c:pt>
                <c:pt idx="145">
                  <c:v>239</c:v>
                </c:pt>
                <c:pt idx="146">
                  <c:v>239</c:v>
                </c:pt>
                <c:pt idx="147">
                  <c:v>239</c:v>
                </c:pt>
                <c:pt idx="148">
                  <c:v>240</c:v>
                </c:pt>
                <c:pt idx="149">
                  <c:v>240</c:v>
                </c:pt>
                <c:pt idx="150">
                  <c:v>240</c:v>
                </c:pt>
                <c:pt idx="151">
                  <c:v>240</c:v>
                </c:pt>
                <c:pt idx="152">
                  <c:v>241</c:v>
                </c:pt>
                <c:pt idx="153">
                  <c:v>242</c:v>
                </c:pt>
                <c:pt idx="154">
                  <c:v>243</c:v>
                </c:pt>
                <c:pt idx="155">
                  <c:v>243</c:v>
                </c:pt>
                <c:pt idx="156">
                  <c:v>243</c:v>
                </c:pt>
                <c:pt idx="157">
                  <c:v>243</c:v>
                </c:pt>
                <c:pt idx="158">
                  <c:v>244</c:v>
                </c:pt>
                <c:pt idx="159">
                  <c:v>244</c:v>
                </c:pt>
                <c:pt idx="160">
                  <c:v>244</c:v>
                </c:pt>
                <c:pt idx="161">
                  <c:v>245</c:v>
                </c:pt>
                <c:pt idx="162">
                  <c:v>245</c:v>
                </c:pt>
                <c:pt idx="163">
                  <c:v>245</c:v>
                </c:pt>
                <c:pt idx="164">
                  <c:v>246</c:v>
                </c:pt>
                <c:pt idx="165">
                  <c:v>246</c:v>
                </c:pt>
                <c:pt idx="166">
                  <c:v>246</c:v>
                </c:pt>
                <c:pt idx="167">
                  <c:v>247</c:v>
                </c:pt>
                <c:pt idx="168">
                  <c:v>247</c:v>
                </c:pt>
                <c:pt idx="169">
                  <c:v>248</c:v>
                </c:pt>
                <c:pt idx="170">
                  <c:v>248</c:v>
                </c:pt>
                <c:pt idx="171">
                  <c:v>249</c:v>
                </c:pt>
                <c:pt idx="172">
                  <c:v>249</c:v>
                </c:pt>
                <c:pt idx="173">
                  <c:v>249</c:v>
                </c:pt>
                <c:pt idx="174">
                  <c:v>250</c:v>
                </c:pt>
                <c:pt idx="175">
                  <c:v>250</c:v>
                </c:pt>
                <c:pt idx="176">
                  <c:v>250</c:v>
                </c:pt>
                <c:pt idx="177">
                  <c:v>252</c:v>
                </c:pt>
                <c:pt idx="178">
                  <c:v>253</c:v>
                </c:pt>
                <c:pt idx="179">
                  <c:v>253</c:v>
                </c:pt>
                <c:pt idx="180">
                  <c:v>254</c:v>
                </c:pt>
                <c:pt idx="181">
                  <c:v>254</c:v>
                </c:pt>
                <c:pt idx="182">
                  <c:v>254</c:v>
                </c:pt>
                <c:pt idx="183">
                  <c:v>254</c:v>
                </c:pt>
                <c:pt idx="184">
                  <c:v>254</c:v>
                </c:pt>
                <c:pt idx="185">
                  <c:v>255</c:v>
                </c:pt>
                <c:pt idx="186">
                  <c:v>255</c:v>
                </c:pt>
                <c:pt idx="187">
                  <c:v>256</c:v>
                </c:pt>
                <c:pt idx="188">
                  <c:v>256</c:v>
                </c:pt>
                <c:pt idx="189">
                  <c:v>256</c:v>
                </c:pt>
                <c:pt idx="190">
                  <c:v>257</c:v>
                </c:pt>
                <c:pt idx="191">
                  <c:v>258</c:v>
                </c:pt>
                <c:pt idx="192">
                  <c:v>258</c:v>
                </c:pt>
                <c:pt idx="193">
                  <c:v>258</c:v>
                </c:pt>
                <c:pt idx="194">
                  <c:v>259</c:v>
                </c:pt>
                <c:pt idx="195">
                  <c:v>260</c:v>
                </c:pt>
                <c:pt idx="196">
                  <c:v>260</c:v>
                </c:pt>
                <c:pt idx="197">
                  <c:v>261</c:v>
                </c:pt>
                <c:pt idx="198">
                  <c:v>261</c:v>
                </c:pt>
                <c:pt idx="199">
                  <c:v>262</c:v>
                </c:pt>
                <c:pt idx="200">
                  <c:v>263</c:v>
                </c:pt>
                <c:pt idx="201">
                  <c:v>263</c:v>
                </c:pt>
                <c:pt idx="202">
                  <c:v>263</c:v>
                </c:pt>
                <c:pt idx="203">
                  <c:v>264</c:v>
                </c:pt>
                <c:pt idx="204">
                  <c:v>264</c:v>
                </c:pt>
                <c:pt idx="205">
                  <c:v>265</c:v>
                </c:pt>
                <c:pt idx="206">
                  <c:v>265</c:v>
                </c:pt>
                <c:pt idx="207">
                  <c:v>266</c:v>
                </c:pt>
                <c:pt idx="208">
                  <c:v>266</c:v>
                </c:pt>
                <c:pt idx="209">
                  <c:v>267</c:v>
                </c:pt>
                <c:pt idx="210">
                  <c:v>267</c:v>
                </c:pt>
                <c:pt idx="211">
                  <c:v>268</c:v>
                </c:pt>
                <c:pt idx="212">
                  <c:v>268</c:v>
                </c:pt>
                <c:pt idx="213">
                  <c:v>269</c:v>
                </c:pt>
                <c:pt idx="214">
                  <c:v>269</c:v>
                </c:pt>
                <c:pt idx="215">
                  <c:v>269</c:v>
                </c:pt>
                <c:pt idx="216">
                  <c:v>269</c:v>
                </c:pt>
                <c:pt idx="217">
                  <c:v>269</c:v>
                </c:pt>
                <c:pt idx="218">
                  <c:v>270</c:v>
                </c:pt>
                <c:pt idx="219">
                  <c:v>270</c:v>
                </c:pt>
                <c:pt idx="220">
                  <c:v>271</c:v>
                </c:pt>
                <c:pt idx="221">
                  <c:v>271</c:v>
                </c:pt>
                <c:pt idx="222">
                  <c:v>273</c:v>
                </c:pt>
                <c:pt idx="223">
                  <c:v>273</c:v>
                </c:pt>
                <c:pt idx="224">
                  <c:v>274</c:v>
                </c:pt>
                <c:pt idx="225">
                  <c:v>274</c:v>
                </c:pt>
                <c:pt idx="226">
                  <c:v>274</c:v>
                </c:pt>
                <c:pt idx="227">
                  <c:v>275</c:v>
                </c:pt>
                <c:pt idx="228">
                  <c:v>275</c:v>
                </c:pt>
                <c:pt idx="229">
                  <c:v>276</c:v>
                </c:pt>
                <c:pt idx="230">
                  <c:v>277</c:v>
                </c:pt>
                <c:pt idx="231">
                  <c:v>277</c:v>
                </c:pt>
                <c:pt idx="232">
                  <c:v>278</c:v>
                </c:pt>
                <c:pt idx="233">
                  <c:v>281</c:v>
                </c:pt>
                <c:pt idx="234">
                  <c:v>282</c:v>
                </c:pt>
                <c:pt idx="235">
                  <c:v>282</c:v>
                </c:pt>
                <c:pt idx="236">
                  <c:v>282</c:v>
                </c:pt>
                <c:pt idx="237">
                  <c:v>282</c:v>
                </c:pt>
                <c:pt idx="238">
                  <c:v>283</c:v>
                </c:pt>
                <c:pt idx="239">
                  <c:v>283</c:v>
                </c:pt>
                <c:pt idx="240">
                  <c:v>283</c:v>
                </c:pt>
                <c:pt idx="241">
                  <c:v>284</c:v>
                </c:pt>
                <c:pt idx="242">
                  <c:v>286</c:v>
                </c:pt>
                <c:pt idx="243">
                  <c:v>286</c:v>
                </c:pt>
                <c:pt idx="244">
                  <c:v>288</c:v>
                </c:pt>
                <c:pt idx="245">
                  <c:v>288</c:v>
                </c:pt>
                <c:pt idx="246">
                  <c:v>288</c:v>
                </c:pt>
                <c:pt idx="247">
                  <c:v>289</c:v>
                </c:pt>
                <c:pt idx="248">
                  <c:v>289</c:v>
                </c:pt>
                <c:pt idx="249">
                  <c:v>290</c:v>
                </c:pt>
                <c:pt idx="250">
                  <c:v>293</c:v>
                </c:pt>
                <c:pt idx="251">
                  <c:v>294</c:v>
                </c:pt>
                <c:pt idx="252">
                  <c:v>294</c:v>
                </c:pt>
                <c:pt idx="253">
                  <c:v>295</c:v>
                </c:pt>
                <c:pt idx="254">
                  <c:v>295</c:v>
                </c:pt>
                <c:pt idx="255">
                  <c:v>298</c:v>
                </c:pt>
                <c:pt idx="256">
                  <c:v>298</c:v>
                </c:pt>
                <c:pt idx="257">
                  <c:v>299</c:v>
                </c:pt>
                <c:pt idx="258">
                  <c:v>299</c:v>
                </c:pt>
                <c:pt idx="259">
                  <c:v>300</c:v>
                </c:pt>
                <c:pt idx="260">
                  <c:v>302</c:v>
                </c:pt>
                <c:pt idx="261">
                  <c:v>302</c:v>
                </c:pt>
                <c:pt idx="262">
                  <c:v>303</c:v>
                </c:pt>
                <c:pt idx="263">
                  <c:v>303</c:v>
                </c:pt>
                <c:pt idx="264">
                  <c:v>303</c:v>
                </c:pt>
                <c:pt idx="265">
                  <c:v>304</c:v>
                </c:pt>
                <c:pt idx="266">
                  <c:v>304</c:v>
                </c:pt>
                <c:pt idx="267">
                  <c:v>305</c:v>
                </c:pt>
                <c:pt idx="268">
                  <c:v>306</c:v>
                </c:pt>
                <c:pt idx="269">
                  <c:v>307</c:v>
                </c:pt>
                <c:pt idx="270">
                  <c:v>308</c:v>
                </c:pt>
                <c:pt idx="271">
                  <c:v>308</c:v>
                </c:pt>
                <c:pt idx="272">
                  <c:v>309</c:v>
                </c:pt>
                <c:pt idx="273">
                  <c:v>309</c:v>
                </c:pt>
                <c:pt idx="274">
                  <c:v>309</c:v>
                </c:pt>
                <c:pt idx="275">
                  <c:v>311</c:v>
                </c:pt>
                <c:pt idx="276">
                  <c:v>313</c:v>
                </c:pt>
                <c:pt idx="277">
                  <c:v>315</c:v>
                </c:pt>
                <c:pt idx="278">
                  <c:v>315</c:v>
                </c:pt>
                <c:pt idx="279">
                  <c:v>318</c:v>
                </c:pt>
                <c:pt idx="280">
                  <c:v>318</c:v>
                </c:pt>
                <c:pt idx="281">
                  <c:v>319</c:v>
                </c:pt>
                <c:pt idx="282">
                  <c:v>321</c:v>
                </c:pt>
                <c:pt idx="283">
                  <c:v>322</c:v>
                </c:pt>
                <c:pt idx="284">
                  <c:v>325</c:v>
                </c:pt>
                <c:pt idx="285">
                  <c:v>325</c:v>
                </c:pt>
                <c:pt idx="286">
                  <c:v>326</c:v>
                </c:pt>
                <c:pt idx="287">
                  <c:v>327</c:v>
                </c:pt>
                <c:pt idx="288">
                  <c:v>330</c:v>
                </c:pt>
                <c:pt idx="289">
                  <c:v>330</c:v>
                </c:pt>
                <c:pt idx="290">
                  <c:v>335</c:v>
                </c:pt>
                <c:pt idx="291">
                  <c:v>335</c:v>
                </c:pt>
                <c:pt idx="292">
                  <c:v>340</c:v>
                </c:pt>
                <c:pt idx="293">
                  <c:v>341</c:v>
                </c:pt>
                <c:pt idx="294">
                  <c:v>342</c:v>
                </c:pt>
                <c:pt idx="295">
                  <c:v>353</c:v>
                </c:pt>
                <c:pt idx="296">
                  <c:v>354</c:v>
                </c:pt>
                <c:pt idx="297">
                  <c:v>360</c:v>
                </c:pt>
                <c:pt idx="298">
                  <c:v>394</c:v>
                </c:pt>
                <c:pt idx="299">
                  <c:v>407</c:v>
                </c:pt>
                <c:pt idx="300">
                  <c:v>409</c:v>
                </c:pt>
                <c:pt idx="301">
                  <c:v>417</c:v>
                </c:pt>
                <c:pt idx="302">
                  <c:v>564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2B7-4C93-A1F5-8A5E80F94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7629039"/>
        <c:axId val="607629519"/>
      </c:scatterChart>
      <c:valAx>
        <c:axId val="60762903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Sample Percentile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7629519"/>
        <c:crosses val="autoZero"/>
        <c:crossBetween val="midCat"/>
      </c:valAx>
      <c:valAx>
        <c:axId val="607629519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chol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7629039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age  Residual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regression!$V$2:$V$304</c:f>
              <c:numCache>
                <c:formatCode>General</c:formatCode>
                <c:ptCount val="303"/>
                <c:pt idx="0">
                  <c:v>63</c:v>
                </c:pt>
                <c:pt idx="1">
                  <c:v>37</c:v>
                </c:pt>
                <c:pt idx="2">
                  <c:v>41</c:v>
                </c:pt>
                <c:pt idx="3">
                  <c:v>56</c:v>
                </c:pt>
                <c:pt idx="4">
                  <c:v>57</c:v>
                </c:pt>
                <c:pt idx="5">
                  <c:v>57</c:v>
                </c:pt>
                <c:pt idx="6">
                  <c:v>56</c:v>
                </c:pt>
                <c:pt idx="7">
                  <c:v>44</c:v>
                </c:pt>
                <c:pt idx="8">
                  <c:v>52</c:v>
                </c:pt>
                <c:pt idx="9">
                  <c:v>57</c:v>
                </c:pt>
                <c:pt idx="10">
                  <c:v>54</c:v>
                </c:pt>
                <c:pt idx="11">
                  <c:v>48</c:v>
                </c:pt>
                <c:pt idx="12">
                  <c:v>49</c:v>
                </c:pt>
                <c:pt idx="13">
                  <c:v>64</c:v>
                </c:pt>
                <c:pt idx="14">
                  <c:v>58</c:v>
                </c:pt>
                <c:pt idx="15">
                  <c:v>50</c:v>
                </c:pt>
                <c:pt idx="16">
                  <c:v>58</c:v>
                </c:pt>
                <c:pt idx="17">
                  <c:v>66</c:v>
                </c:pt>
                <c:pt idx="18">
                  <c:v>43</c:v>
                </c:pt>
                <c:pt idx="19">
                  <c:v>69</c:v>
                </c:pt>
                <c:pt idx="20">
                  <c:v>59</c:v>
                </c:pt>
                <c:pt idx="21">
                  <c:v>44</c:v>
                </c:pt>
                <c:pt idx="22">
                  <c:v>42</c:v>
                </c:pt>
                <c:pt idx="23">
                  <c:v>61</c:v>
                </c:pt>
                <c:pt idx="24">
                  <c:v>40</c:v>
                </c:pt>
                <c:pt idx="25">
                  <c:v>71</c:v>
                </c:pt>
                <c:pt idx="26">
                  <c:v>59</c:v>
                </c:pt>
                <c:pt idx="27">
                  <c:v>51</c:v>
                </c:pt>
                <c:pt idx="28">
                  <c:v>65</c:v>
                </c:pt>
                <c:pt idx="29">
                  <c:v>53</c:v>
                </c:pt>
                <c:pt idx="30">
                  <c:v>41</c:v>
                </c:pt>
                <c:pt idx="31">
                  <c:v>65</c:v>
                </c:pt>
                <c:pt idx="32">
                  <c:v>44</c:v>
                </c:pt>
                <c:pt idx="33">
                  <c:v>54</c:v>
                </c:pt>
                <c:pt idx="34">
                  <c:v>51</c:v>
                </c:pt>
                <c:pt idx="35">
                  <c:v>46</c:v>
                </c:pt>
                <c:pt idx="36">
                  <c:v>54</c:v>
                </c:pt>
                <c:pt idx="37">
                  <c:v>54</c:v>
                </c:pt>
                <c:pt idx="38">
                  <c:v>65</c:v>
                </c:pt>
                <c:pt idx="39">
                  <c:v>65</c:v>
                </c:pt>
                <c:pt idx="40">
                  <c:v>51</c:v>
                </c:pt>
                <c:pt idx="41">
                  <c:v>48</c:v>
                </c:pt>
                <c:pt idx="42">
                  <c:v>45</c:v>
                </c:pt>
                <c:pt idx="43">
                  <c:v>53</c:v>
                </c:pt>
                <c:pt idx="44">
                  <c:v>39</c:v>
                </c:pt>
                <c:pt idx="45">
                  <c:v>52</c:v>
                </c:pt>
                <c:pt idx="46">
                  <c:v>44</c:v>
                </c:pt>
                <c:pt idx="47">
                  <c:v>47</c:v>
                </c:pt>
                <c:pt idx="48">
                  <c:v>53</c:v>
                </c:pt>
                <c:pt idx="49">
                  <c:v>53</c:v>
                </c:pt>
                <c:pt idx="50">
                  <c:v>51</c:v>
                </c:pt>
                <c:pt idx="51">
                  <c:v>66</c:v>
                </c:pt>
                <c:pt idx="52">
                  <c:v>62</c:v>
                </c:pt>
                <c:pt idx="53">
                  <c:v>44</c:v>
                </c:pt>
                <c:pt idx="54">
                  <c:v>63</c:v>
                </c:pt>
                <c:pt idx="55">
                  <c:v>52</c:v>
                </c:pt>
                <c:pt idx="56">
                  <c:v>48</c:v>
                </c:pt>
                <c:pt idx="57">
                  <c:v>45</c:v>
                </c:pt>
                <c:pt idx="58">
                  <c:v>34</c:v>
                </c:pt>
                <c:pt idx="59">
                  <c:v>57</c:v>
                </c:pt>
                <c:pt idx="60">
                  <c:v>71</c:v>
                </c:pt>
                <c:pt idx="61">
                  <c:v>54</c:v>
                </c:pt>
                <c:pt idx="62">
                  <c:v>52</c:v>
                </c:pt>
                <c:pt idx="63">
                  <c:v>41</c:v>
                </c:pt>
                <c:pt idx="64">
                  <c:v>58</c:v>
                </c:pt>
                <c:pt idx="65">
                  <c:v>35</c:v>
                </c:pt>
                <c:pt idx="66">
                  <c:v>51</c:v>
                </c:pt>
                <c:pt idx="67">
                  <c:v>45</c:v>
                </c:pt>
                <c:pt idx="68">
                  <c:v>44</c:v>
                </c:pt>
                <c:pt idx="69">
                  <c:v>62</c:v>
                </c:pt>
                <c:pt idx="70">
                  <c:v>54</c:v>
                </c:pt>
                <c:pt idx="71">
                  <c:v>51</c:v>
                </c:pt>
                <c:pt idx="72">
                  <c:v>29</c:v>
                </c:pt>
                <c:pt idx="73">
                  <c:v>51</c:v>
                </c:pt>
                <c:pt idx="74">
                  <c:v>43</c:v>
                </c:pt>
                <c:pt idx="75">
                  <c:v>55</c:v>
                </c:pt>
                <c:pt idx="76">
                  <c:v>51</c:v>
                </c:pt>
                <c:pt idx="77">
                  <c:v>59</c:v>
                </c:pt>
                <c:pt idx="78">
                  <c:v>52</c:v>
                </c:pt>
                <c:pt idx="79">
                  <c:v>58</c:v>
                </c:pt>
                <c:pt idx="80">
                  <c:v>41</c:v>
                </c:pt>
                <c:pt idx="81">
                  <c:v>45</c:v>
                </c:pt>
                <c:pt idx="82">
                  <c:v>60</c:v>
                </c:pt>
                <c:pt idx="83">
                  <c:v>52</c:v>
                </c:pt>
                <c:pt idx="84">
                  <c:v>42</c:v>
                </c:pt>
                <c:pt idx="85">
                  <c:v>67</c:v>
                </c:pt>
                <c:pt idx="86">
                  <c:v>68</c:v>
                </c:pt>
                <c:pt idx="87">
                  <c:v>46</c:v>
                </c:pt>
                <c:pt idx="88">
                  <c:v>54</c:v>
                </c:pt>
                <c:pt idx="89">
                  <c:v>58</c:v>
                </c:pt>
                <c:pt idx="90">
                  <c:v>48</c:v>
                </c:pt>
                <c:pt idx="91">
                  <c:v>57</c:v>
                </c:pt>
                <c:pt idx="92">
                  <c:v>52</c:v>
                </c:pt>
                <c:pt idx="93">
                  <c:v>54</c:v>
                </c:pt>
                <c:pt idx="94">
                  <c:v>45</c:v>
                </c:pt>
                <c:pt idx="95">
                  <c:v>53</c:v>
                </c:pt>
                <c:pt idx="96">
                  <c:v>62</c:v>
                </c:pt>
                <c:pt idx="97">
                  <c:v>52</c:v>
                </c:pt>
                <c:pt idx="98">
                  <c:v>43</c:v>
                </c:pt>
                <c:pt idx="99">
                  <c:v>53</c:v>
                </c:pt>
                <c:pt idx="100">
                  <c:v>42</c:v>
                </c:pt>
                <c:pt idx="101">
                  <c:v>59</c:v>
                </c:pt>
                <c:pt idx="102">
                  <c:v>63</c:v>
                </c:pt>
                <c:pt idx="103">
                  <c:v>42</c:v>
                </c:pt>
                <c:pt idx="104">
                  <c:v>50</c:v>
                </c:pt>
                <c:pt idx="105">
                  <c:v>68</c:v>
                </c:pt>
                <c:pt idx="106">
                  <c:v>69</c:v>
                </c:pt>
                <c:pt idx="107">
                  <c:v>45</c:v>
                </c:pt>
                <c:pt idx="108">
                  <c:v>50</c:v>
                </c:pt>
                <c:pt idx="109">
                  <c:v>50</c:v>
                </c:pt>
                <c:pt idx="110">
                  <c:v>64</c:v>
                </c:pt>
                <c:pt idx="111">
                  <c:v>57</c:v>
                </c:pt>
                <c:pt idx="112">
                  <c:v>64</c:v>
                </c:pt>
                <c:pt idx="113">
                  <c:v>43</c:v>
                </c:pt>
                <c:pt idx="114">
                  <c:v>55</c:v>
                </c:pt>
                <c:pt idx="115">
                  <c:v>37</c:v>
                </c:pt>
                <c:pt idx="116">
                  <c:v>41</c:v>
                </c:pt>
                <c:pt idx="117">
                  <c:v>56</c:v>
                </c:pt>
                <c:pt idx="118">
                  <c:v>46</c:v>
                </c:pt>
                <c:pt idx="119">
                  <c:v>46</c:v>
                </c:pt>
                <c:pt idx="120">
                  <c:v>64</c:v>
                </c:pt>
                <c:pt idx="121">
                  <c:v>59</c:v>
                </c:pt>
                <c:pt idx="122">
                  <c:v>41</c:v>
                </c:pt>
                <c:pt idx="123">
                  <c:v>54</c:v>
                </c:pt>
                <c:pt idx="124">
                  <c:v>39</c:v>
                </c:pt>
                <c:pt idx="125">
                  <c:v>34</c:v>
                </c:pt>
                <c:pt idx="126">
                  <c:v>47</c:v>
                </c:pt>
                <c:pt idx="127">
                  <c:v>67</c:v>
                </c:pt>
                <c:pt idx="128">
                  <c:v>52</c:v>
                </c:pt>
                <c:pt idx="129">
                  <c:v>74</c:v>
                </c:pt>
                <c:pt idx="130">
                  <c:v>54</c:v>
                </c:pt>
                <c:pt idx="131">
                  <c:v>49</c:v>
                </c:pt>
                <c:pt idx="132">
                  <c:v>42</c:v>
                </c:pt>
                <c:pt idx="133">
                  <c:v>41</c:v>
                </c:pt>
                <c:pt idx="134">
                  <c:v>41</c:v>
                </c:pt>
                <c:pt idx="135">
                  <c:v>49</c:v>
                </c:pt>
                <c:pt idx="136">
                  <c:v>60</c:v>
                </c:pt>
                <c:pt idx="137">
                  <c:v>62</c:v>
                </c:pt>
                <c:pt idx="138">
                  <c:v>57</c:v>
                </c:pt>
                <c:pt idx="139">
                  <c:v>64</c:v>
                </c:pt>
                <c:pt idx="140">
                  <c:v>51</c:v>
                </c:pt>
                <c:pt idx="141">
                  <c:v>43</c:v>
                </c:pt>
                <c:pt idx="142">
                  <c:v>42</c:v>
                </c:pt>
                <c:pt idx="143">
                  <c:v>67</c:v>
                </c:pt>
                <c:pt idx="144">
                  <c:v>76</c:v>
                </c:pt>
                <c:pt idx="145">
                  <c:v>70</c:v>
                </c:pt>
                <c:pt idx="146">
                  <c:v>44</c:v>
                </c:pt>
                <c:pt idx="147">
                  <c:v>60</c:v>
                </c:pt>
                <c:pt idx="148">
                  <c:v>44</c:v>
                </c:pt>
                <c:pt idx="149">
                  <c:v>42</c:v>
                </c:pt>
                <c:pt idx="150">
                  <c:v>66</c:v>
                </c:pt>
                <c:pt idx="151">
                  <c:v>71</c:v>
                </c:pt>
                <c:pt idx="152">
                  <c:v>64</c:v>
                </c:pt>
                <c:pt idx="153">
                  <c:v>66</c:v>
                </c:pt>
                <c:pt idx="154">
                  <c:v>39</c:v>
                </c:pt>
                <c:pt idx="155">
                  <c:v>58</c:v>
                </c:pt>
                <c:pt idx="156">
                  <c:v>47</c:v>
                </c:pt>
                <c:pt idx="157">
                  <c:v>35</c:v>
                </c:pt>
                <c:pt idx="158">
                  <c:v>58</c:v>
                </c:pt>
                <c:pt idx="159">
                  <c:v>56</c:v>
                </c:pt>
                <c:pt idx="160">
                  <c:v>56</c:v>
                </c:pt>
                <c:pt idx="161">
                  <c:v>55</c:v>
                </c:pt>
                <c:pt idx="162">
                  <c:v>41</c:v>
                </c:pt>
                <c:pt idx="163">
                  <c:v>38</c:v>
                </c:pt>
                <c:pt idx="164">
                  <c:v>38</c:v>
                </c:pt>
                <c:pt idx="165">
                  <c:v>67</c:v>
                </c:pt>
                <c:pt idx="166">
                  <c:v>67</c:v>
                </c:pt>
                <c:pt idx="167">
                  <c:v>62</c:v>
                </c:pt>
                <c:pt idx="168">
                  <c:v>63</c:v>
                </c:pt>
                <c:pt idx="169">
                  <c:v>53</c:v>
                </c:pt>
                <c:pt idx="170">
                  <c:v>56</c:v>
                </c:pt>
                <c:pt idx="171">
                  <c:v>48</c:v>
                </c:pt>
                <c:pt idx="172">
                  <c:v>58</c:v>
                </c:pt>
                <c:pt idx="173">
                  <c:v>58</c:v>
                </c:pt>
                <c:pt idx="174">
                  <c:v>60</c:v>
                </c:pt>
                <c:pt idx="175">
                  <c:v>40</c:v>
                </c:pt>
                <c:pt idx="176">
                  <c:v>60</c:v>
                </c:pt>
                <c:pt idx="177">
                  <c:v>64</c:v>
                </c:pt>
                <c:pt idx="178">
                  <c:v>43</c:v>
                </c:pt>
                <c:pt idx="179">
                  <c:v>57</c:v>
                </c:pt>
                <c:pt idx="180">
                  <c:v>55</c:v>
                </c:pt>
                <c:pt idx="181">
                  <c:v>65</c:v>
                </c:pt>
                <c:pt idx="182">
                  <c:v>61</c:v>
                </c:pt>
                <c:pt idx="183">
                  <c:v>58</c:v>
                </c:pt>
                <c:pt idx="184">
                  <c:v>50</c:v>
                </c:pt>
                <c:pt idx="185">
                  <c:v>44</c:v>
                </c:pt>
                <c:pt idx="186">
                  <c:v>60</c:v>
                </c:pt>
                <c:pt idx="187">
                  <c:v>54</c:v>
                </c:pt>
                <c:pt idx="188">
                  <c:v>50</c:v>
                </c:pt>
                <c:pt idx="189">
                  <c:v>41</c:v>
                </c:pt>
                <c:pt idx="190">
                  <c:v>51</c:v>
                </c:pt>
                <c:pt idx="191">
                  <c:v>58</c:v>
                </c:pt>
                <c:pt idx="192">
                  <c:v>54</c:v>
                </c:pt>
                <c:pt idx="193">
                  <c:v>60</c:v>
                </c:pt>
                <c:pt idx="194">
                  <c:v>60</c:v>
                </c:pt>
                <c:pt idx="195">
                  <c:v>59</c:v>
                </c:pt>
                <c:pt idx="196">
                  <c:v>46</c:v>
                </c:pt>
                <c:pt idx="197">
                  <c:v>67</c:v>
                </c:pt>
                <c:pt idx="198">
                  <c:v>62</c:v>
                </c:pt>
                <c:pt idx="199">
                  <c:v>65</c:v>
                </c:pt>
                <c:pt idx="200">
                  <c:v>44</c:v>
                </c:pt>
                <c:pt idx="201">
                  <c:v>60</c:v>
                </c:pt>
                <c:pt idx="202">
                  <c:v>58</c:v>
                </c:pt>
                <c:pt idx="203">
                  <c:v>68</c:v>
                </c:pt>
                <c:pt idx="204">
                  <c:v>62</c:v>
                </c:pt>
                <c:pt idx="205">
                  <c:v>52</c:v>
                </c:pt>
                <c:pt idx="206">
                  <c:v>59</c:v>
                </c:pt>
                <c:pt idx="207">
                  <c:v>60</c:v>
                </c:pt>
                <c:pt idx="208">
                  <c:v>49</c:v>
                </c:pt>
                <c:pt idx="209">
                  <c:v>59</c:v>
                </c:pt>
                <c:pt idx="210">
                  <c:v>57</c:v>
                </c:pt>
                <c:pt idx="211">
                  <c:v>61</c:v>
                </c:pt>
                <c:pt idx="212">
                  <c:v>39</c:v>
                </c:pt>
                <c:pt idx="213">
                  <c:v>61</c:v>
                </c:pt>
                <c:pt idx="214">
                  <c:v>56</c:v>
                </c:pt>
                <c:pt idx="215">
                  <c:v>43</c:v>
                </c:pt>
                <c:pt idx="216">
                  <c:v>62</c:v>
                </c:pt>
                <c:pt idx="217">
                  <c:v>63</c:v>
                </c:pt>
                <c:pt idx="218">
                  <c:v>65</c:v>
                </c:pt>
                <c:pt idx="219">
                  <c:v>48</c:v>
                </c:pt>
                <c:pt idx="220">
                  <c:v>63</c:v>
                </c:pt>
                <c:pt idx="221">
                  <c:v>55</c:v>
                </c:pt>
                <c:pt idx="222">
                  <c:v>65</c:v>
                </c:pt>
                <c:pt idx="223">
                  <c:v>56</c:v>
                </c:pt>
                <c:pt idx="224">
                  <c:v>54</c:v>
                </c:pt>
                <c:pt idx="225">
                  <c:v>70</c:v>
                </c:pt>
                <c:pt idx="226">
                  <c:v>62</c:v>
                </c:pt>
                <c:pt idx="227">
                  <c:v>35</c:v>
                </c:pt>
                <c:pt idx="228">
                  <c:v>59</c:v>
                </c:pt>
                <c:pt idx="229">
                  <c:v>64</c:v>
                </c:pt>
                <c:pt idx="230">
                  <c:v>47</c:v>
                </c:pt>
                <c:pt idx="231">
                  <c:v>57</c:v>
                </c:pt>
                <c:pt idx="232">
                  <c:v>55</c:v>
                </c:pt>
                <c:pt idx="233">
                  <c:v>64</c:v>
                </c:pt>
                <c:pt idx="234">
                  <c:v>70</c:v>
                </c:pt>
                <c:pt idx="235">
                  <c:v>51</c:v>
                </c:pt>
                <c:pt idx="236">
                  <c:v>58</c:v>
                </c:pt>
                <c:pt idx="237">
                  <c:v>60</c:v>
                </c:pt>
                <c:pt idx="238">
                  <c:v>77</c:v>
                </c:pt>
                <c:pt idx="239">
                  <c:v>35</c:v>
                </c:pt>
                <c:pt idx="240">
                  <c:v>70</c:v>
                </c:pt>
                <c:pt idx="241">
                  <c:v>59</c:v>
                </c:pt>
                <c:pt idx="242">
                  <c:v>64</c:v>
                </c:pt>
                <c:pt idx="243">
                  <c:v>57</c:v>
                </c:pt>
                <c:pt idx="244">
                  <c:v>56</c:v>
                </c:pt>
                <c:pt idx="245">
                  <c:v>48</c:v>
                </c:pt>
                <c:pt idx="246">
                  <c:v>56</c:v>
                </c:pt>
                <c:pt idx="247">
                  <c:v>66</c:v>
                </c:pt>
                <c:pt idx="248">
                  <c:v>54</c:v>
                </c:pt>
                <c:pt idx="249">
                  <c:v>69</c:v>
                </c:pt>
                <c:pt idx="250">
                  <c:v>51</c:v>
                </c:pt>
                <c:pt idx="251">
                  <c:v>43</c:v>
                </c:pt>
                <c:pt idx="252">
                  <c:v>62</c:v>
                </c:pt>
                <c:pt idx="253">
                  <c:v>67</c:v>
                </c:pt>
                <c:pt idx="254">
                  <c:v>59</c:v>
                </c:pt>
                <c:pt idx="255">
                  <c:v>45</c:v>
                </c:pt>
                <c:pt idx="256">
                  <c:v>58</c:v>
                </c:pt>
                <c:pt idx="257">
                  <c:v>50</c:v>
                </c:pt>
                <c:pt idx="258">
                  <c:v>62</c:v>
                </c:pt>
                <c:pt idx="259">
                  <c:v>38</c:v>
                </c:pt>
                <c:pt idx="260">
                  <c:v>66</c:v>
                </c:pt>
                <c:pt idx="261">
                  <c:v>52</c:v>
                </c:pt>
                <c:pt idx="262">
                  <c:v>53</c:v>
                </c:pt>
                <c:pt idx="263">
                  <c:v>63</c:v>
                </c:pt>
                <c:pt idx="264">
                  <c:v>54</c:v>
                </c:pt>
                <c:pt idx="265">
                  <c:v>66</c:v>
                </c:pt>
                <c:pt idx="266">
                  <c:v>55</c:v>
                </c:pt>
                <c:pt idx="267">
                  <c:v>49</c:v>
                </c:pt>
                <c:pt idx="268">
                  <c:v>54</c:v>
                </c:pt>
                <c:pt idx="269">
                  <c:v>56</c:v>
                </c:pt>
                <c:pt idx="270">
                  <c:v>46</c:v>
                </c:pt>
                <c:pt idx="271">
                  <c:v>61</c:v>
                </c:pt>
                <c:pt idx="272">
                  <c:v>67</c:v>
                </c:pt>
                <c:pt idx="273">
                  <c:v>58</c:v>
                </c:pt>
                <c:pt idx="274">
                  <c:v>47</c:v>
                </c:pt>
                <c:pt idx="275">
                  <c:v>52</c:v>
                </c:pt>
                <c:pt idx="276">
                  <c:v>58</c:v>
                </c:pt>
                <c:pt idx="277">
                  <c:v>57</c:v>
                </c:pt>
                <c:pt idx="278">
                  <c:v>58</c:v>
                </c:pt>
                <c:pt idx="279">
                  <c:v>61</c:v>
                </c:pt>
                <c:pt idx="280">
                  <c:v>42</c:v>
                </c:pt>
                <c:pt idx="281">
                  <c:v>52</c:v>
                </c:pt>
                <c:pt idx="282">
                  <c:v>59</c:v>
                </c:pt>
                <c:pt idx="283">
                  <c:v>40</c:v>
                </c:pt>
                <c:pt idx="284">
                  <c:v>61</c:v>
                </c:pt>
                <c:pt idx="285">
                  <c:v>46</c:v>
                </c:pt>
                <c:pt idx="286">
                  <c:v>59</c:v>
                </c:pt>
                <c:pt idx="287">
                  <c:v>57</c:v>
                </c:pt>
                <c:pt idx="288">
                  <c:v>57</c:v>
                </c:pt>
                <c:pt idx="289">
                  <c:v>55</c:v>
                </c:pt>
                <c:pt idx="290">
                  <c:v>61</c:v>
                </c:pt>
                <c:pt idx="291">
                  <c:v>58</c:v>
                </c:pt>
                <c:pt idx="292">
                  <c:v>58</c:v>
                </c:pt>
                <c:pt idx="293">
                  <c:v>67</c:v>
                </c:pt>
                <c:pt idx="294">
                  <c:v>44</c:v>
                </c:pt>
                <c:pt idx="295">
                  <c:v>63</c:v>
                </c:pt>
                <c:pt idx="296">
                  <c:v>63</c:v>
                </c:pt>
                <c:pt idx="297">
                  <c:v>59</c:v>
                </c:pt>
                <c:pt idx="298">
                  <c:v>57</c:v>
                </c:pt>
                <c:pt idx="299">
                  <c:v>45</c:v>
                </c:pt>
                <c:pt idx="300">
                  <c:v>68</c:v>
                </c:pt>
                <c:pt idx="301">
                  <c:v>57</c:v>
                </c:pt>
                <c:pt idx="302">
                  <c:v>57</c:v>
                </c:pt>
              </c:numCache>
            </c:numRef>
          </c:xVal>
          <c:yVal>
            <c:numRef>
              <c:f>regression!$AB$27:$AB$329</c:f>
              <c:numCache>
                <c:formatCode>General</c:formatCode>
                <c:ptCount val="303"/>
                <c:pt idx="0">
                  <c:v>-25.566492095944682</c:v>
                </c:pt>
                <c:pt idx="1">
                  <c:v>23.337269400144834</c:v>
                </c:pt>
                <c:pt idx="2">
                  <c:v>-27.101403602823666</c:v>
                </c:pt>
                <c:pt idx="3">
                  <c:v>-9.7115027127591418</c:v>
                </c:pt>
                <c:pt idx="4">
                  <c:v>107.17882903649874</c:v>
                </c:pt>
                <c:pt idx="5">
                  <c:v>-58.891020265893815</c:v>
                </c:pt>
                <c:pt idx="6">
                  <c:v>44.218647984848303</c:v>
                </c:pt>
                <c:pt idx="7">
                  <c:v>30.604516296146272</c:v>
                </c:pt>
                <c:pt idx="8">
                  <c:v>-52.854437896011348</c:v>
                </c:pt>
                <c:pt idx="9">
                  <c:v>-84.925944917090106</c:v>
                </c:pt>
                <c:pt idx="10">
                  <c:v>-8.5620155136674612</c:v>
                </c:pt>
                <c:pt idx="11">
                  <c:v>36.130918641981509</c:v>
                </c:pt>
                <c:pt idx="12">
                  <c:v>26.021250391239391</c:v>
                </c:pt>
                <c:pt idx="13">
                  <c:v>-41.553924067499793</c:v>
                </c:pt>
                <c:pt idx="14">
                  <c:v>28.964386832167776</c:v>
                </c:pt>
                <c:pt idx="15">
                  <c:v>-20.053493208306435</c:v>
                </c:pt>
                <c:pt idx="16">
                  <c:v>92.069160785756623</c:v>
                </c:pt>
                <c:pt idx="17">
                  <c:v>-36.912959173769138</c:v>
                </c:pt>
                <c:pt idx="18">
                  <c:v>9.6094105932995433</c:v>
                </c:pt>
                <c:pt idx="19">
                  <c:v>-25.207039274799229</c:v>
                </c:pt>
                <c:pt idx="20">
                  <c:v>-18.092894441779919</c:v>
                </c:pt>
                <c:pt idx="21">
                  <c:v>-1.4304083550500195</c:v>
                </c:pt>
                <c:pt idx="22">
                  <c:v>-8.2459965047620472</c:v>
                </c:pt>
                <c:pt idx="23">
                  <c:v>-14.364617920058549</c:v>
                </c:pt>
                <c:pt idx="24">
                  <c:v>-33.026660003277783</c:v>
                </c:pt>
                <c:pt idx="25">
                  <c:v>31.503774921323952</c:v>
                </c:pt>
                <c:pt idx="26">
                  <c:v>-43.145281418574342</c:v>
                </c:pt>
                <c:pt idx="27">
                  <c:v>-63.128236807852261</c:v>
                </c:pt>
                <c:pt idx="28">
                  <c:v>157.23163372816924</c:v>
                </c:pt>
                <c:pt idx="29">
                  <c:v>-47.41742261172908</c:v>
                </c:pt>
                <c:pt idx="30">
                  <c:v>-28.014091974832951</c:v>
                </c:pt>
                <c:pt idx="31">
                  <c:v>-78.698516969438202</c:v>
                </c:pt>
                <c:pt idx="32">
                  <c:v>-15.43040835505002</c:v>
                </c:pt>
                <c:pt idx="33">
                  <c:v>28.490371463126962</c:v>
                </c:pt>
                <c:pt idx="34">
                  <c:v>-28.180623784646684</c:v>
                </c:pt>
                <c:pt idx="35">
                  <c:v>-62.091654437969794</c:v>
                </c:pt>
                <c:pt idx="36">
                  <c:v>57.45544681193067</c:v>
                </c:pt>
                <c:pt idx="37">
                  <c:v>-17.596940164863753</c:v>
                </c:pt>
                <c:pt idx="38">
                  <c:v>6.1792467513748193</c:v>
                </c:pt>
                <c:pt idx="39">
                  <c:v>96.161784425776659</c:v>
                </c:pt>
                <c:pt idx="40">
                  <c:v>63.766989238558892</c:v>
                </c:pt>
                <c:pt idx="41">
                  <c:v>6.1309186419815092</c:v>
                </c:pt>
                <c:pt idx="42">
                  <c:v>-22.249272512681785</c:v>
                </c:pt>
                <c:pt idx="43">
                  <c:v>19.58257738827092</c:v>
                </c:pt>
                <c:pt idx="44">
                  <c:v>90.083008247464335</c:v>
                </c:pt>
                <c:pt idx="45">
                  <c:v>83.72717029020933</c:v>
                </c:pt>
                <c:pt idx="46">
                  <c:v>-1.4653330062462828</c:v>
                </c:pt>
                <c:pt idx="47">
                  <c:v>17.612647171766611</c:v>
                </c:pt>
                <c:pt idx="48">
                  <c:v>-28.010437681489805</c:v>
                </c:pt>
                <c:pt idx="49">
                  <c:v>-12.045362332686096</c:v>
                </c:pt>
                <c:pt idx="50">
                  <c:v>13.801913889755156</c:v>
                </c:pt>
                <c:pt idx="51">
                  <c:v>45.191814779819708</c:v>
                </c:pt>
                <c:pt idx="52">
                  <c:v>-23.404436868408141</c:v>
                </c:pt>
                <c:pt idx="53">
                  <c:v>-88.953574122418189</c:v>
                </c:pt>
                <c:pt idx="54">
                  <c:v>-4.5315674447483616</c:v>
                </c:pt>
                <c:pt idx="55">
                  <c:v>-43.121724221465456</c:v>
                </c:pt>
                <c:pt idx="56">
                  <c:v>-15.241141637061446</c:v>
                </c:pt>
                <c:pt idx="57">
                  <c:v>27.512310371002286</c:v>
                </c:pt>
                <c:pt idx="58">
                  <c:v>-38.891816266193274</c:v>
                </c:pt>
                <c:pt idx="59">
                  <c:v>54.550889315541724</c:v>
                </c:pt>
                <c:pt idx="60">
                  <c:v>4.6783981773053824</c:v>
                </c:pt>
                <c:pt idx="61">
                  <c:v>67.949743370160633</c:v>
                </c:pt>
                <c:pt idx="62">
                  <c:v>-54.865844779551423</c:v>
                </c:pt>
                <c:pt idx="63">
                  <c:v>-29.118865928421798</c:v>
                </c:pt>
                <c:pt idx="64">
                  <c:v>-41.000688516635933</c:v>
                </c:pt>
                <c:pt idx="65">
                  <c:v>-43.071333819327947</c:v>
                </c:pt>
                <c:pt idx="66">
                  <c:v>-14.093312156655998</c:v>
                </c:pt>
                <c:pt idx="67">
                  <c:v>-1.5400766057921373</c:v>
                </c:pt>
                <c:pt idx="68">
                  <c:v>-12.395483703853728</c:v>
                </c:pt>
                <c:pt idx="69">
                  <c:v>-44.183482077690371</c:v>
                </c:pt>
                <c:pt idx="70">
                  <c:v>14.507833788725094</c:v>
                </c:pt>
                <c:pt idx="71">
                  <c:v>-7.8723573659382282</c:v>
                </c:pt>
                <c:pt idx="72">
                  <c:v>-13.785384593918224</c:v>
                </c:pt>
                <c:pt idx="73">
                  <c:v>16.766989238558892</c:v>
                </c:pt>
                <c:pt idx="74">
                  <c:v>-18.692800383350857</c:v>
                </c:pt>
                <c:pt idx="75">
                  <c:v>2.3457785611885527</c:v>
                </c:pt>
                <c:pt idx="76">
                  <c:v>3.8193762153533157</c:v>
                </c:pt>
                <c:pt idx="77">
                  <c:v>-32.11035676737805</c:v>
                </c:pt>
                <c:pt idx="78">
                  <c:v>-37.900769430747687</c:v>
                </c:pt>
                <c:pt idx="79">
                  <c:v>-4.8784522374489541</c:v>
                </c:pt>
                <c:pt idx="80">
                  <c:v>22.561460769329642</c:v>
                </c:pt>
                <c:pt idx="81">
                  <c:v>72.866908324447138</c:v>
                </c:pt>
                <c:pt idx="82">
                  <c:v>71.512688656425695</c:v>
                </c:pt>
                <c:pt idx="83">
                  <c:v>50.215411406381236</c:v>
                </c:pt>
                <c:pt idx="84">
                  <c:v>38.486717169783816</c:v>
                </c:pt>
                <c:pt idx="85">
                  <c:v>307.09960885467569</c:v>
                </c:pt>
                <c:pt idx="86">
                  <c:v>18.379463208574691</c:v>
                </c:pt>
                <c:pt idx="87">
                  <c:v>-33.748463368065018</c:v>
                </c:pt>
                <c:pt idx="88">
                  <c:v>-27.457241560078614</c:v>
                </c:pt>
                <c:pt idx="89">
                  <c:v>4.1390100881491776</c:v>
                </c:pt>
                <c:pt idx="90">
                  <c:v>17.351873432699279</c:v>
                </c:pt>
                <c:pt idx="91">
                  <c:v>-42.263080544936798</c:v>
                </c:pt>
                <c:pt idx="92">
                  <c:v>-21.935694081943979</c:v>
                </c:pt>
                <c:pt idx="93">
                  <c:v>42.065924207289555</c:v>
                </c:pt>
                <c:pt idx="94">
                  <c:v>-71.877212233638829</c:v>
                </c:pt>
                <c:pt idx="95">
                  <c:v>-20.859332193164619</c:v>
                </c:pt>
                <c:pt idx="96">
                  <c:v>137.5606384803956</c:v>
                </c:pt>
                <c:pt idx="97">
                  <c:v>-5.8309201283551317</c:v>
                </c:pt>
                <c:pt idx="98">
                  <c:v>81.679259895692098</c:v>
                </c:pt>
                <c:pt idx="99">
                  <c:v>1.58257738827092</c:v>
                </c:pt>
                <c:pt idx="100">
                  <c:v>8.1260637742809081</c:v>
                </c:pt>
                <c:pt idx="101">
                  <c:v>9.1569295580760581</c:v>
                </c:pt>
                <c:pt idx="102">
                  <c:v>-62.549029770346522</c:v>
                </c:pt>
                <c:pt idx="103">
                  <c:v>9.8238527976305079</c:v>
                </c:pt>
                <c:pt idx="104">
                  <c:v>-44.884925394383089</c:v>
                </c:pt>
                <c:pt idx="105">
                  <c:v>-48.027521721664527</c:v>
                </c:pt>
                <c:pt idx="106">
                  <c:v>-34.276888577191812</c:v>
                </c:pt>
                <c:pt idx="107">
                  <c:v>-1.1680163267491537</c:v>
                </c:pt>
                <c:pt idx="108">
                  <c:v>4.9465067916935652</c:v>
                </c:pt>
                <c:pt idx="109">
                  <c:v>16.981431442889857</c:v>
                </c:pt>
                <c:pt idx="110">
                  <c:v>58.201603374126194</c:v>
                </c:pt>
                <c:pt idx="111">
                  <c:v>-126.92594491709011</c:v>
                </c:pt>
                <c:pt idx="112">
                  <c:v>54.34130197891136</c:v>
                </c:pt>
                <c:pt idx="113">
                  <c:v>-18.250890801915318</c:v>
                </c:pt>
                <c:pt idx="114">
                  <c:v>15.363240886786684</c:v>
                </c:pt>
                <c:pt idx="115">
                  <c:v>-9.6278059486588745</c:v>
                </c:pt>
                <c:pt idx="116">
                  <c:v>-17.101403602823666</c:v>
                </c:pt>
                <c:pt idx="117">
                  <c:v>-52.711502712759142</c:v>
                </c:pt>
                <c:pt idx="118">
                  <c:v>-27.56243322854354</c:v>
                </c:pt>
                <c:pt idx="119">
                  <c:v>4.7223154225087285</c:v>
                </c:pt>
                <c:pt idx="120">
                  <c:v>46.376226630107624</c:v>
                </c:pt>
                <c:pt idx="121">
                  <c:v>18.296628162861197</c:v>
                </c:pt>
                <c:pt idx="122">
                  <c:v>40.561460769329642</c:v>
                </c:pt>
                <c:pt idx="123">
                  <c:v>25.949743370160633</c:v>
                </c:pt>
                <c:pt idx="124">
                  <c:v>-22.556338357032786</c:v>
                </c:pt>
                <c:pt idx="125">
                  <c:v>-10.891816266193274</c:v>
                </c:pt>
                <c:pt idx="126">
                  <c:v>-30.096548735123065</c:v>
                </c:pt>
                <c:pt idx="127">
                  <c:v>12.570387645249468</c:v>
                </c:pt>
                <c:pt idx="128">
                  <c:v>-48.528709151704732</c:v>
                </c:pt>
                <c:pt idx="129">
                  <c:v>3.3144687738827656</c:v>
                </c:pt>
                <c:pt idx="130">
                  <c:v>-50.631864816060045</c:v>
                </c:pt>
                <c:pt idx="131">
                  <c:v>30.207280530760897</c:v>
                </c:pt>
                <c:pt idx="132">
                  <c:v>64.823852797630508</c:v>
                </c:pt>
                <c:pt idx="133">
                  <c:v>7.9684456995689175</c:v>
                </c:pt>
                <c:pt idx="134">
                  <c:v>75.712566257654856</c:v>
                </c:pt>
                <c:pt idx="135">
                  <c:v>29.021250391239391</c:v>
                </c:pt>
                <c:pt idx="136">
                  <c:v>-72.150175715727613</c:v>
                </c:pt>
                <c:pt idx="137">
                  <c:v>-45.997451938168865</c:v>
                </c:pt>
                <c:pt idx="138">
                  <c:v>-43.786246312304968</c:v>
                </c:pt>
                <c:pt idx="139">
                  <c:v>6.7832115603468992</c:v>
                </c:pt>
                <c:pt idx="140">
                  <c:v>54.836838540951447</c:v>
                </c:pt>
                <c:pt idx="141">
                  <c:v>72.731646872486522</c:v>
                </c:pt>
                <c:pt idx="142">
                  <c:v>-21.176147202369492</c:v>
                </c:pt>
                <c:pt idx="143">
                  <c:v>-32.068958959247652</c:v>
                </c:pt>
                <c:pt idx="144">
                  <c:v>-74.974717029994054</c:v>
                </c:pt>
                <c:pt idx="145">
                  <c:v>-23.572586967455379</c:v>
                </c:pt>
                <c:pt idx="146">
                  <c:v>10.011501226385519</c:v>
                </c:pt>
                <c:pt idx="147">
                  <c:v>-16.254949669316431</c:v>
                </c:pt>
                <c:pt idx="148">
                  <c:v>-6.3954837038537278</c:v>
                </c:pt>
                <c:pt idx="149">
                  <c:v>-52.211071853565784</c:v>
                </c:pt>
                <c:pt idx="150">
                  <c:v>-36.947883824965459</c:v>
                </c:pt>
                <c:pt idx="151">
                  <c:v>-111.72858675293389</c:v>
                </c:pt>
                <c:pt idx="152">
                  <c:v>-37.763471974677486</c:v>
                </c:pt>
                <c:pt idx="153">
                  <c:v>15.901010686709355</c:v>
                </c:pt>
                <c:pt idx="154">
                  <c:v>-10.510006822296418</c:v>
                </c:pt>
                <c:pt idx="155">
                  <c:v>-52.965763865439669</c:v>
                </c:pt>
                <c:pt idx="156">
                  <c:v>15.240586892723627</c:v>
                </c:pt>
                <c:pt idx="157">
                  <c:v>-30.815454377413886</c:v>
                </c:pt>
                <c:pt idx="158">
                  <c:v>-28.948301539841509</c:v>
                </c:pt>
                <c:pt idx="159">
                  <c:v>-26.746427363955434</c:v>
                </c:pt>
                <c:pt idx="160">
                  <c:v>-5.7115027127591418</c:v>
                </c:pt>
                <c:pt idx="161">
                  <c:v>94.956255956547437</c:v>
                </c:pt>
                <c:pt idx="162">
                  <c:v>-72.066478951627374</c:v>
                </c:pt>
                <c:pt idx="163">
                  <c:v>-54.4003385715543</c:v>
                </c:pt>
                <c:pt idx="164">
                  <c:v>-54.4003385715543</c:v>
                </c:pt>
                <c:pt idx="165">
                  <c:v>19.942447924292424</c:v>
                </c:pt>
                <c:pt idx="166">
                  <c:v>-28.91785347092241</c:v>
                </c:pt>
                <c:pt idx="167">
                  <c:v>11.560638480395596</c:v>
                </c:pt>
                <c:pt idx="168">
                  <c:v>-1.5141051191502584</c:v>
                </c:pt>
                <c:pt idx="169">
                  <c:v>-43.452347262925343</c:v>
                </c:pt>
                <c:pt idx="170">
                  <c:v>8.2535726360445665</c:v>
                </c:pt>
                <c:pt idx="171">
                  <c:v>-5.7992320556259074</c:v>
                </c:pt>
                <c:pt idx="172">
                  <c:v>36.069160785756623</c:v>
                </c:pt>
                <c:pt idx="173">
                  <c:v>-26.372748795678916</c:v>
                </c:pt>
                <c:pt idx="174">
                  <c:v>-46.185100366923905</c:v>
                </c:pt>
                <c:pt idx="175">
                  <c:v>-58.921886049688936</c:v>
                </c:pt>
                <c:pt idx="176">
                  <c:v>-19.539698320368728</c:v>
                </c:pt>
                <c:pt idx="177">
                  <c:v>76.34130197891136</c:v>
                </c:pt>
                <c:pt idx="178">
                  <c:v>-54.28581545311161</c:v>
                </c:pt>
                <c:pt idx="179">
                  <c:v>23.074055082909894</c:v>
                </c:pt>
                <c:pt idx="180">
                  <c:v>105.95625595654744</c:v>
                </c:pt>
                <c:pt idx="181">
                  <c:v>-36.803290923027021</c:v>
                </c:pt>
                <c:pt idx="182">
                  <c:v>76.705231382333977</c:v>
                </c:pt>
                <c:pt idx="183">
                  <c:v>-16.302899493286361</c:v>
                </c:pt>
                <c:pt idx="184">
                  <c:v>-2.1582671618952816</c:v>
                </c:pt>
                <c:pt idx="185">
                  <c:v>59.232456017103289</c:v>
                </c:pt>
                <c:pt idx="186">
                  <c:v>0.81489963307609514</c:v>
                </c:pt>
                <c:pt idx="187">
                  <c:v>21.693863928246572</c:v>
                </c:pt>
                <c:pt idx="188">
                  <c:v>-10.12334251069899</c:v>
                </c:pt>
                <c:pt idx="189">
                  <c:v>-55.031554300431083</c:v>
                </c:pt>
                <c:pt idx="190">
                  <c:v>62.801913889755156</c:v>
                </c:pt>
                <c:pt idx="191">
                  <c:v>-33.558778935200394</c:v>
                </c:pt>
                <c:pt idx="192">
                  <c:v>-55.492166211274906</c:v>
                </c:pt>
                <c:pt idx="193">
                  <c:v>26.762512656281672</c:v>
                </c:pt>
                <c:pt idx="194">
                  <c:v>-69.220025018120168</c:v>
                </c:pt>
                <c:pt idx="195">
                  <c:v>66.784869279033103</c:v>
                </c:pt>
                <c:pt idx="196">
                  <c:v>-9.7195941589268102</c:v>
                </c:pt>
                <c:pt idx="197">
                  <c:v>-4.9353157965205696</c:v>
                </c:pt>
                <c:pt idx="198">
                  <c:v>14.630487782788151</c:v>
                </c:pt>
                <c:pt idx="199">
                  <c:v>-5.6635923182419106</c:v>
                </c:pt>
                <c:pt idx="200">
                  <c:v>-33.360559052657436</c:v>
                </c:pt>
                <c:pt idx="201">
                  <c:v>6.8323619586742552</c:v>
                </c:pt>
                <c:pt idx="202">
                  <c:v>15.964386832167776</c:v>
                </c:pt>
                <c:pt idx="203">
                  <c:v>2.7629303711577222</c:v>
                </c:pt>
                <c:pt idx="204">
                  <c:v>-96.509210821996987</c:v>
                </c:pt>
                <c:pt idx="205">
                  <c:v>12.099230569252313</c:v>
                </c:pt>
                <c:pt idx="206">
                  <c:v>-8.0055828137892036</c:v>
                </c:pt>
                <c:pt idx="207">
                  <c:v>1.7450503306835685</c:v>
                </c:pt>
                <c:pt idx="208">
                  <c:v>-49.943824957564317</c:v>
                </c:pt>
                <c:pt idx="209">
                  <c:v>-76.11035676737805</c:v>
                </c:pt>
                <c:pt idx="210">
                  <c:v>-19.449110684458276</c:v>
                </c:pt>
                <c:pt idx="211">
                  <c:v>8.740156033530269</c:v>
                </c:pt>
                <c:pt idx="212">
                  <c:v>-7.4401575199038632</c:v>
                </c:pt>
                <c:pt idx="213">
                  <c:v>50.652844405539554</c:v>
                </c:pt>
                <c:pt idx="214">
                  <c:v>2.2710349616427266</c:v>
                </c:pt>
                <c:pt idx="215">
                  <c:v>107.27227496545285</c:v>
                </c:pt>
                <c:pt idx="216">
                  <c:v>8.5955631315918595</c:v>
                </c:pt>
                <c:pt idx="217">
                  <c:v>74.485894880849742</c:v>
                </c:pt>
                <c:pt idx="218">
                  <c:v>-4.7509039462325973</c:v>
                </c:pt>
                <c:pt idx="219">
                  <c:v>17.130918641981509</c:v>
                </c:pt>
                <c:pt idx="220">
                  <c:v>147.41604557845722</c:v>
                </c:pt>
                <c:pt idx="221">
                  <c:v>-31.671683764409579</c:v>
                </c:pt>
                <c:pt idx="222">
                  <c:v>22.638618658408518</c:v>
                </c:pt>
                <c:pt idx="223">
                  <c:v>26.00910007767061</c:v>
                </c:pt>
                <c:pt idx="224">
                  <c:v>-2.4572415600786144</c:v>
                </c:pt>
                <c:pt idx="225">
                  <c:v>-92.334169851139507</c:v>
                </c:pt>
                <c:pt idx="226">
                  <c:v>28.630487782788151</c:v>
                </c:pt>
                <c:pt idx="227">
                  <c:v>-24.408469447174639</c:v>
                </c:pt>
                <c:pt idx="228">
                  <c:v>28.784869279033103</c:v>
                </c:pt>
                <c:pt idx="229">
                  <c:v>53.393688955705784</c:v>
                </c:pt>
                <c:pt idx="230">
                  <c:v>9.7174211253554574</c:v>
                </c:pt>
                <c:pt idx="231">
                  <c:v>33.02166810611547</c:v>
                </c:pt>
                <c:pt idx="232">
                  <c:v>36.258466933197838</c:v>
                </c:pt>
                <c:pt idx="233">
                  <c:v>-8.5888487186960845</c:v>
                </c:pt>
                <c:pt idx="234">
                  <c:v>58.718217125654917</c:v>
                </c:pt>
                <c:pt idx="235">
                  <c:v>54.766989238558892</c:v>
                </c:pt>
                <c:pt idx="236">
                  <c:v>51.051698460158491</c:v>
                </c:pt>
                <c:pt idx="237">
                  <c:v>38.779974981879832</c:v>
                </c:pt>
                <c:pt idx="238">
                  <c:v>33.968001696058252</c:v>
                </c:pt>
                <c:pt idx="239">
                  <c:v>58.370575762107592</c:v>
                </c:pt>
                <c:pt idx="240">
                  <c:v>-0.38655682793392998</c:v>
                </c:pt>
                <c:pt idx="241">
                  <c:v>-11.029100581445391</c:v>
                </c:pt>
                <c:pt idx="242">
                  <c:v>-47.6761603466868</c:v>
                </c:pt>
                <c:pt idx="243">
                  <c:v>20.667070152670647</c:v>
                </c:pt>
                <c:pt idx="244">
                  <c:v>-64.15341229419468</c:v>
                </c:pt>
                <c:pt idx="245">
                  <c:v>36.351873432699279</c:v>
                </c:pt>
                <c:pt idx="246">
                  <c:v>160.43960277556607</c:v>
                </c:pt>
                <c:pt idx="247">
                  <c:v>-18.947883824965459</c:v>
                </c:pt>
                <c:pt idx="248">
                  <c:v>24.856376300111833</c:v>
                </c:pt>
                <c:pt idx="249">
                  <c:v>-10.207039274799229</c:v>
                </c:pt>
                <c:pt idx="250">
                  <c:v>53.766989238558892</c:v>
                </c:pt>
                <c:pt idx="251">
                  <c:v>13.272274965452851</c:v>
                </c:pt>
                <c:pt idx="252">
                  <c:v>37.967623410634872</c:v>
                </c:pt>
                <c:pt idx="253">
                  <c:v>45.151995831470117</c:v>
                </c:pt>
                <c:pt idx="254">
                  <c:v>15.819793930229366</c:v>
                </c:pt>
                <c:pt idx="255">
                  <c:v>71.018013812772324</c:v>
                </c:pt>
                <c:pt idx="256">
                  <c:v>9.4412210647996062</c:v>
                </c:pt>
                <c:pt idx="257">
                  <c:v>-43.937312371177512</c:v>
                </c:pt>
                <c:pt idx="258">
                  <c:v>-14.474286170800667</c:v>
                </c:pt>
                <c:pt idx="259">
                  <c:v>5.2625258005990077</c:v>
                </c:pt>
                <c:pt idx="260">
                  <c:v>-40.610748197118767</c:v>
                </c:pt>
                <c:pt idx="261">
                  <c:v>-9.6448899888336541</c:v>
                </c:pt>
                <c:pt idx="262">
                  <c:v>39.007024644108327</c:v>
                </c:pt>
                <c:pt idx="263">
                  <c:v>17.962729113481572</c:v>
                </c:pt>
                <c:pt idx="264">
                  <c:v>-35.457241560078614</c:v>
                </c:pt>
                <c:pt idx="265">
                  <c:v>-43.180245499223304</c:v>
                </c:pt>
                <c:pt idx="266">
                  <c:v>70.188617630805311</c:v>
                </c:pt>
                <c:pt idx="267">
                  <c:v>-88.53684002732507</c:v>
                </c:pt>
                <c:pt idx="268">
                  <c:v>42.100848858485847</c:v>
                </c:pt>
                <c:pt idx="269">
                  <c:v>35.253572636044566</c:v>
                </c:pt>
                <c:pt idx="270">
                  <c:v>14.385179794662037</c:v>
                </c:pt>
                <c:pt idx="271">
                  <c:v>-20.108738478144517</c:v>
                </c:pt>
                <c:pt idx="272">
                  <c:v>-20.91785347092241</c:v>
                </c:pt>
                <c:pt idx="273">
                  <c:v>-9.8609899118508224</c:v>
                </c:pt>
                <c:pt idx="274">
                  <c:v>41.31043619511621</c:v>
                </c:pt>
                <c:pt idx="275">
                  <c:v>-30.290292035388802</c:v>
                </c:pt>
                <c:pt idx="276">
                  <c:v>-35.221643307353702</c:v>
                </c:pt>
                <c:pt idx="277">
                  <c:v>13.364859176020218</c:v>
                </c:pt>
                <c:pt idx="278">
                  <c:v>67.813281343842561</c:v>
                </c:pt>
                <c:pt idx="279">
                  <c:v>-88.922708338623039</c:v>
                </c:pt>
                <c:pt idx="280">
                  <c:v>81.567973355716447</c:v>
                </c:pt>
                <c:pt idx="281">
                  <c:v>-38.900769430747687</c:v>
                </c:pt>
                <c:pt idx="282">
                  <c:v>-32.261462255703265</c:v>
                </c:pt>
                <c:pt idx="283">
                  <c:v>-11.468569584713322</c:v>
                </c:pt>
                <c:pt idx="284">
                  <c:v>-48.329693268862286</c:v>
                </c:pt>
                <c:pt idx="285">
                  <c:v>72.315330492269482</c:v>
                </c:pt>
                <c:pt idx="286">
                  <c:v>-47.889401976660281</c:v>
                </c:pt>
                <c:pt idx="287">
                  <c:v>-21.739914777568629</c:v>
                </c:pt>
                <c:pt idx="288">
                  <c:v>90.213753687695032</c:v>
                </c:pt>
                <c:pt idx="289">
                  <c:v>-41.22977418297404</c:v>
                </c:pt>
                <c:pt idx="290">
                  <c:v>-53.957632989819331</c:v>
                </c:pt>
                <c:pt idx="291">
                  <c:v>71.290115576474392</c:v>
                </c:pt>
                <c:pt idx="292">
                  <c:v>-33.105462470224779</c:v>
                </c:pt>
                <c:pt idx="293">
                  <c:v>-52.429612354750532</c:v>
                </c:pt>
                <c:pt idx="294">
                  <c:v>-63.395483703853728</c:v>
                </c:pt>
                <c:pt idx="295">
                  <c:v>-70.549029770346522</c:v>
                </c:pt>
                <c:pt idx="296">
                  <c:v>-57.293150328432489</c:v>
                </c:pt>
                <c:pt idx="297">
                  <c:v>-81.994175930249128</c:v>
                </c:pt>
                <c:pt idx="298">
                  <c:v>-9.8910202658938147</c:v>
                </c:pt>
                <c:pt idx="299">
                  <c:v>32.529772696600446</c:v>
                </c:pt>
                <c:pt idx="300">
                  <c:v>-70.911340884535605</c:v>
                </c:pt>
                <c:pt idx="301">
                  <c:v>-117.85609561469755</c:v>
                </c:pt>
                <c:pt idx="302">
                  <c:v>-12.856095614697551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17-4C27-9B74-0DF753544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0154560"/>
        <c:axId val="890143520"/>
      </c:scatterChart>
      <c:valAx>
        <c:axId val="8901545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age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90143520"/>
        <c:crosses val="autoZero"/>
        <c:crossBetween val="midCat"/>
      </c:valAx>
      <c:valAx>
        <c:axId val="89014352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Residuals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90154560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trtbps  Residual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regression!$W$2:$W$304</c:f>
              <c:numCache>
                <c:formatCode>General</c:formatCode>
                <c:ptCount val="303"/>
                <c:pt idx="0">
                  <c:v>145</c:v>
                </c:pt>
                <c:pt idx="1">
                  <c:v>130</c:v>
                </c:pt>
                <c:pt idx="2">
                  <c:v>130</c:v>
                </c:pt>
                <c:pt idx="3">
                  <c:v>120</c:v>
                </c:pt>
                <c:pt idx="4">
                  <c:v>120</c:v>
                </c:pt>
                <c:pt idx="5">
                  <c:v>140</c:v>
                </c:pt>
                <c:pt idx="6">
                  <c:v>140</c:v>
                </c:pt>
                <c:pt idx="7">
                  <c:v>120</c:v>
                </c:pt>
                <c:pt idx="8">
                  <c:v>172</c:v>
                </c:pt>
                <c:pt idx="9">
                  <c:v>150</c:v>
                </c:pt>
                <c:pt idx="10">
                  <c:v>140</c:v>
                </c:pt>
                <c:pt idx="11">
                  <c:v>130</c:v>
                </c:pt>
                <c:pt idx="12">
                  <c:v>130</c:v>
                </c:pt>
                <c:pt idx="13">
                  <c:v>110</c:v>
                </c:pt>
                <c:pt idx="14">
                  <c:v>150</c:v>
                </c:pt>
                <c:pt idx="15">
                  <c:v>120</c:v>
                </c:pt>
                <c:pt idx="16">
                  <c:v>120</c:v>
                </c:pt>
                <c:pt idx="17">
                  <c:v>150</c:v>
                </c:pt>
                <c:pt idx="18">
                  <c:v>150</c:v>
                </c:pt>
                <c:pt idx="19">
                  <c:v>140</c:v>
                </c:pt>
                <c:pt idx="20">
                  <c:v>135</c:v>
                </c:pt>
                <c:pt idx="21">
                  <c:v>130</c:v>
                </c:pt>
                <c:pt idx="22">
                  <c:v>140</c:v>
                </c:pt>
                <c:pt idx="23">
                  <c:v>150</c:v>
                </c:pt>
                <c:pt idx="24">
                  <c:v>140</c:v>
                </c:pt>
                <c:pt idx="25">
                  <c:v>160</c:v>
                </c:pt>
                <c:pt idx="26">
                  <c:v>150</c:v>
                </c:pt>
                <c:pt idx="27">
                  <c:v>110</c:v>
                </c:pt>
                <c:pt idx="28">
                  <c:v>140</c:v>
                </c:pt>
                <c:pt idx="29">
                  <c:v>130</c:v>
                </c:pt>
                <c:pt idx="30">
                  <c:v>105</c:v>
                </c:pt>
                <c:pt idx="31">
                  <c:v>120</c:v>
                </c:pt>
                <c:pt idx="32">
                  <c:v>130</c:v>
                </c:pt>
                <c:pt idx="33">
                  <c:v>125</c:v>
                </c:pt>
                <c:pt idx="34">
                  <c:v>125</c:v>
                </c:pt>
                <c:pt idx="35">
                  <c:v>142</c:v>
                </c:pt>
                <c:pt idx="36">
                  <c:v>135</c:v>
                </c:pt>
                <c:pt idx="37">
                  <c:v>150</c:v>
                </c:pt>
                <c:pt idx="38">
                  <c:v>155</c:v>
                </c:pt>
                <c:pt idx="39">
                  <c:v>160</c:v>
                </c:pt>
                <c:pt idx="40">
                  <c:v>140</c:v>
                </c:pt>
                <c:pt idx="41">
                  <c:v>130</c:v>
                </c:pt>
                <c:pt idx="42">
                  <c:v>104</c:v>
                </c:pt>
                <c:pt idx="43">
                  <c:v>130</c:v>
                </c:pt>
                <c:pt idx="44">
                  <c:v>140</c:v>
                </c:pt>
                <c:pt idx="45">
                  <c:v>120</c:v>
                </c:pt>
                <c:pt idx="46">
                  <c:v>140</c:v>
                </c:pt>
                <c:pt idx="47">
                  <c:v>138</c:v>
                </c:pt>
                <c:pt idx="48">
                  <c:v>128</c:v>
                </c:pt>
                <c:pt idx="49">
                  <c:v>138</c:v>
                </c:pt>
                <c:pt idx="50">
                  <c:v>130</c:v>
                </c:pt>
                <c:pt idx="51">
                  <c:v>120</c:v>
                </c:pt>
                <c:pt idx="52">
                  <c:v>130</c:v>
                </c:pt>
                <c:pt idx="53">
                  <c:v>108</c:v>
                </c:pt>
                <c:pt idx="54">
                  <c:v>135</c:v>
                </c:pt>
                <c:pt idx="55">
                  <c:v>134</c:v>
                </c:pt>
                <c:pt idx="56">
                  <c:v>122</c:v>
                </c:pt>
                <c:pt idx="57">
                  <c:v>115</c:v>
                </c:pt>
                <c:pt idx="58">
                  <c:v>118</c:v>
                </c:pt>
                <c:pt idx="59">
                  <c:v>128</c:v>
                </c:pt>
                <c:pt idx="60">
                  <c:v>110</c:v>
                </c:pt>
                <c:pt idx="61">
                  <c:v>108</c:v>
                </c:pt>
                <c:pt idx="62">
                  <c:v>118</c:v>
                </c:pt>
                <c:pt idx="63">
                  <c:v>135</c:v>
                </c:pt>
                <c:pt idx="64">
                  <c:v>140</c:v>
                </c:pt>
                <c:pt idx="65">
                  <c:v>138</c:v>
                </c:pt>
                <c:pt idx="66">
                  <c:v>100</c:v>
                </c:pt>
                <c:pt idx="67">
                  <c:v>130</c:v>
                </c:pt>
                <c:pt idx="68">
                  <c:v>120</c:v>
                </c:pt>
                <c:pt idx="69">
                  <c:v>124</c:v>
                </c:pt>
                <c:pt idx="70">
                  <c:v>120</c:v>
                </c:pt>
                <c:pt idx="71">
                  <c:v>94</c:v>
                </c:pt>
                <c:pt idx="72">
                  <c:v>130</c:v>
                </c:pt>
                <c:pt idx="73">
                  <c:v>140</c:v>
                </c:pt>
                <c:pt idx="74">
                  <c:v>122</c:v>
                </c:pt>
                <c:pt idx="75">
                  <c:v>135</c:v>
                </c:pt>
                <c:pt idx="76">
                  <c:v>125</c:v>
                </c:pt>
                <c:pt idx="77">
                  <c:v>140</c:v>
                </c:pt>
                <c:pt idx="78">
                  <c:v>128</c:v>
                </c:pt>
                <c:pt idx="79">
                  <c:v>105</c:v>
                </c:pt>
                <c:pt idx="80">
                  <c:v>112</c:v>
                </c:pt>
                <c:pt idx="81">
                  <c:v>128</c:v>
                </c:pt>
                <c:pt idx="82">
                  <c:v>102</c:v>
                </c:pt>
                <c:pt idx="83">
                  <c:v>152</c:v>
                </c:pt>
                <c:pt idx="84">
                  <c:v>102</c:v>
                </c:pt>
                <c:pt idx="85">
                  <c:v>115</c:v>
                </c:pt>
                <c:pt idx="86">
                  <c:v>118</c:v>
                </c:pt>
                <c:pt idx="87">
                  <c:v>101</c:v>
                </c:pt>
                <c:pt idx="88">
                  <c:v>110</c:v>
                </c:pt>
                <c:pt idx="89">
                  <c:v>100</c:v>
                </c:pt>
                <c:pt idx="90">
                  <c:v>124</c:v>
                </c:pt>
                <c:pt idx="91">
                  <c:v>132</c:v>
                </c:pt>
                <c:pt idx="92">
                  <c:v>138</c:v>
                </c:pt>
                <c:pt idx="93">
                  <c:v>132</c:v>
                </c:pt>
                <c:pt idx="94">
                  <c:v>112</c:v>
                </c:pt>
                <c:pt idx="95">
                  <c:v>142</c:v>
                </c:pt>
                <c:pt idx="96">
                  <c:v>140</c:v>
                </c:pt>
                <c:pt idx="97">
                  <c:v>108</c:v>
                </c:pt>
                <c:pt idx="98">
                  <c:v>130</c:v>
                </c:pt>
                <c:pt idx="99">
                  <c:v>130</c:v>
                </c:pt>
                <c:pt idx="100">
                  <c:v>148</c:v>
                </c:pt>
                <c:pt idx="101">
                  <c:v>178</c:v>
                </c:pt>
                <c:pt idx="102">
                  <c:v>140</c:v>
                </c:pt>
                <c:pt idx="103">
                  <c:v>120</c:v>
                </c:pt>
                <c:pt idx="104">
                  <c:v>129</c:v>
                </c:pt>
                <c:pt idx="105">
                  <c:v>120</c:v>
                </c:pt>
                <c:pt idx="106">
                  <c:v>160</c:v>
                </c:pt>
                <c:pt idx="107">
                  <c:v>138</c:v>
                </c:pt>
                <c:pt idx="108">
                  <c:v>120</c:v>
                </c:pt>
                <c:pt idx="109">
                  <c:v>110</c:v>
                </c:pt>
                <c:pt idx="110">
                  <c:v>180</c:v>
                </c:pt>
                <c:pt idx="111">
                  <c:v>150</c:v>
                </c:pt>
                <c:pt idx="112">
                  <c:v>140</c:v>
                </c:pt>
                <c:pt idx="113">
                  <c:v>110</c:v>
                </c:pt>
                <c:pt idx="114">
                  <c:v>130</c:v>
                </c:pt>
                <c:pt idx="115">
                  <c:v>120</c:v>
                </c:pt>
                <c:pt idx="116">
                  <c:v>130</c:v>
                </c:pt>
                <c:pt idx="117">
                  <c:v>120</c:v>
                </c:pt>
                <c:pt idx="118">
                  <c:v>105</c:v>
                </c:pt>
                <c:pt idx="119">
                  <c:v>138</c:v>
                </c:pt>
                <c:pt idx="120">
                  <c:v>130</c:v>
                </c:pt>
                <c:pt idx="121">
                  <c:v>138</c:v>
                </c:pt>
                <c:pt idx="122">
                  <c:v>112</c:v>
                </c:pt>
                <c:pt idx="123">
                  <c:v>108</c:v>
                </c:pt>
                <c:pt idx="124">
                  <c:v>94</c:v>
                </c:pt>
                <c:pt idx="125">
                  <c:v>118</c:v>
                </c:pt>
                <c:pt idx="126">
                  <c:v>112</c:v>
                </c:pt>
                <c:pt idx="127">
                  <c:v>152</c:v>
                </c:pt>
                <c:pt idx="128">
                  <c:v>136</c:v>
                </c:pt>
                <c:pt idx="129">
                  <c:v>120</c:v>
                </c:pt>
                <c:pt idx="130">
                  <c:v>160</c:v>
                </c:pt>
                <c:pt idx="131">
                  <c:v>134</c:v>
                </c:pt>
                <c:pt idx="132">
                  <c:v>120</c:v>
                </c:pt>
                <c:pt idx="133">
                  <c:v>110</c:v>
                </c:pt>
                <c:pt idx="134">
                  <c:v>126</c:v>
                </c:pt>
                <c:pt idx="135">
                  <c:v>130</c:v>
                </c:pt>
                <c:pt idx="136">
                  <c:v>120</c:v>
                </c:pt>
                <c:pt idx="137">
                  <c:v>128</c:v>
                </c:pt>
                <c:pt idx="138">
                  <c:v>110</c:v>
                </c:pt>
                <c:pt idx="139">
                  <c:v>128</c:v>
                </c:pt>
                <c:pt idx="140">
                  <c:v>120</c:v>
                </c:pt>
                <c:pt idx="141">
                  <c:v>115</c:v>
                </c:pt>
                <c:pt idx="142">
                  <c:v>120</c:v>
                </c:pt>
                <c:pt idx="143">
                  <c:v>106</c:v>
                </c:pt>
                <c:pt idx="144">
                  <c:v>140</c:v>
                </c:pt>
                <c:pt idx="145">
                  <c:v>156</c:v>
                </c:pt>
                <c:pt idx="146">
                  <c:v>118</c:v>
                </c:pt>
                <c:pt idx="147">
                  <c:v>150</c:v>
                </c:pt>
                <c:pt idx="148">
                  <c:v>120</c:v>
                </c:pt>
                <c:pt idx="149">
                  <c:v>130</c:v>
                </c:pt>
                <c:pt idx="150">
                  <c:v>160</c:v>
                </c:pt>
                <c:pt idx="151">
                  <c:v>112</c:v>
                </c:pt>
                <c:pt idx="152">
                  <c:v>170</c:v>
                </c:pt>
                <c:pt idx="153">
                  <c:v>146</c:v>
                </c:pt>
                <c:pt idx="154">
                  <c:v>138</c:v>
                </c:pt>
                <c:pt idx="155">
                  <c:v>130</c:v>
                </c:pt>
                <c:pt idx="156">
                  <c:v>130</c:v>
                </c:pt>
                <c:pt idx="157">
                  <c:v>122</c:v>
                </c:pt>
                <c:pt idx="158">
                  <c:v>125</c:v>
                </c:pt>
                <c:pt idx="159">
                  <c:v>130</c:v>
                </c:pt>
                <c:pt idx="160">
                  <c:v>120</c:v>
                </c:pt>
                <c:pt idx="161">
                  <c:v>132</c:v>
                </c:pt>
                <c:pt idx="162">
                  <c:v>120</c:v>
                </c:pt>
                <c:pt idx="163">
                  <c:v>138</c:v>
                </c:pt>
                <c:pt idx="164">
                  <c:v>138</c:v>
                </c:pt>
                <c:pt idx="165">
                  <c:v>160</c:v>
                </c:pt>
                <c:pt idx="166">
                  <c:v>120</c:v>
                </c:pt>
                <c:pt idx="167">
                  <c:v>140</c:v>
                </c:pt>
                <c:pt idx="168">
                  <c:v>130</c:v>
                </c:pt>
                <c:pt idx="169">
                  <c:v>140</c:v>
                </c:pt>
                <c:pt idx="170">
                  <c:v>130</c:v>
                </c:pt>
                <c:pt idx="171">
                  <c:v>110</c:v>
                </c:pt>
                <c:pt idx="172">
                  <c:v>120</c:v>
                </c:pt>
                <c:pt idx="173">
                  <c:v>132</c:v>
                </c:pt>
                <c:pt idx="174">
                  <c:v>130</c:v>
                </c:pt>
                <c:pt idx="175">
                  <c:v>110</c:v>
                </c:pt>
                <c:pt idx="176">
                  <c:v>117</c:v>
                </c:pt>
                <c:pt idx="177">
                  <c:v>140</c:v>
                </c:pt>
                <c:pt idx="178">
                  <c:v>120</c:v>
                </c:pt>
                <c:pt idx="179">
                  <c:v>150</c:v>
                </c:pt>
                <c:pt idx="180">
                  <c:v>132</c:v>
                </c:pt>
                <c:pt idx="181">
                  <c:v>150</c:v>
                </c:pt>
                <c:pt idx="182">
                  <c:v>130</c:v>
                </c:pt>
                <c:pt idx="183">
                  <c:v>112</c:v>
                </c:pt>
                <c:pt idx="184">
                  <c:v>150</c:v>
                </c:pt>
                <c:pt idx="185">
                  <c:v>112</c:v>
                </c:pt>
                <c:pt idx="186">
                  <c:v>130</c:v>
                </c:pt>
                <c:pt idx="187">
                  <c:v>124</c:v>
                </c:pt>
                <c:pt idx="188">
                  <c:v>140</c:v>
                </c:pt>
                <c:pt idx="189">
                  <c:v>110</c:v>
                </c:pt>
                <c:pt idx="190">
                  <c:v>130</c:v>
                </c:pt>
                <c:pt idx="191">
                  <c:v>128</c:v>
                </c:pt>
                <c:pt idx="192">
                  <c:v>120</c:v>
                </c:pt>
                <c:pt idx="193">
                  <c:v>145</c:v>
                </c:pt>
                <c:pt idx="194">
                  <c:v>140</c:v>
                </c:pt>
                <c:pt idx="195">
                  <c:v>170</c:v>
                </c:pt>
                <c:pt idx="196">
                  <c:v>150</c:v>
                </c:pt>
                <c:pt idx="197">
                  <c:v>125</c:v>
                </c:pt>
                <c:pt idx="198">
                  <c:v>120</c:v>
                </c:pt>
                <c:pt idx="199">
                  <c:v>110</c:v>
                </c:pt>
                <c:pt idx="200">
                  <c:v>110</c:v>
                </c:pt>
                <c:pt idx="201">
                  <c:v>125</c:v>
                </c:pt>
                <c:pt idx="202">
                  <c:v>150</c:v>
                </c:pt>
                <c:pt idx="203">
                  <c:v>180</c:v>
                </c:pt>
                <c:pt idx="204">
                  <c:v>160</c:v>
                </c:pt>
                <c:pt idx="205">
                  <c:v>128</c:v>
                </c:pt>
                <c:pt idx="206">
                  <c:v>110</c:v>
                </c:pt>
                <c:pt idx="207">
                  <c:v>150</c:v>
                </c:pt>
                <c:pt idx="208">
                  <c:v>120</c:v>
                </c:pt>
                <c:pt idx="209">
                  <c:v>140</c:v>
                </c:pt>
                <c:pt idx="210">
                  <c:v>128</c:v>
                </c:pt>
                <c:pt idx="211">
                  <c:v>120</c:v>
                </c:pt>
                <c:pt idx="212">
                  <c:v>118</c:v>
                </c:pt>
                <c:pt idx="213">
                  <c:v>145</c:v>
                </c:pt>
                <c:pt idx="214">
                  <c:v>125</c:v>
                </c:pt>
                <c:pt idx="215">
                  <c:v>132</c:v>
                </c:pt>
                <c:pt idx="216">
                  <c:v>130</c:v>
                </c:pt>
                <c:pt idx="217">
                  <c:v>130</c:v>
                </c:pt>
                <c:pt idx="218">
                  <c:v>135</c:v>
                </c:pt>
                <c:pt idx="219">
                  <c:v>130</c:v>
                </c:pt>
                <c:pt idx="220">
                  <c:v>150</c:v>
                </c:pt>
                <c:pt idx="221">
                  <c:v>140</c:v>
                </c:pt>
                <c:pt idx="222">
                  <c:v>138</c:v>
                </c:pt>
                <c:pt idx="223">
                  <c:v>200</c:v>
                </c:pt>
                <c:pt idx="224">
                  <c:v>110</c:v>
                </c:pt>
                <c:pt idx="225">
                  <c:v>145</c:v>
                </c:pt>
                <c:pt idx="226">
                  <c:v>120</c:v>
                </c:pt>
                <c:pt idx="227">
                  <c:v>120</c:v>
                </c:pt>
                <c:pt idx="228">
                  <c:v>170</c:v>
                </c:pt>
                <c:pt idx="229">
                  <c:v>125</c:v>
                </c:pt>
                <c:pt idx="230">
                  <c:v>108</c:v>
                </c:pt>
                <c:pt idx="231">
                  <c:v>165</c:v>
                </c:pt>
                <c:pt idx="232">
                  <c:v>160</c:v>
                </c:pt>
                <c:pt idx="233">
                  <c:v>120</c:v>
                </c:pt>
                <c:pt idx="234">
                  <c:v>130</c:v>
                </c:pt>
                <c:pt idx="235">
                  <c:v>140</c:v>
                </c:pt>
                <c:pt idx="236">
                  <c:v>125</c:v>
                </c:pt>
                <c:pt idx="237">
                  <c:v>140</c:v>
                </c:pt>
                <c:pt idx="238">
                  <c:v>125</c:v>
                </c:pt>
                <c:pt idx="239">
                  <c:v>126</c:v>
                </c:pt>
                <c:pt idx="240">
                  <c:v>160</c:v>
                </c:pt>
                <c:pt idx="241">
                  <c:v>174</c:v>
                </c:pt>
                <c:pt idx="242">
                  <c:v>145</c:v>
                </c:pt>
                <c:pt idx="243">
                  <c:v>152</c:v>
                </c:pt>
                <c:pt idx="244">
                  <c:v>132</c:v>
                </c:pt>
                <c:pt idx="245">
                  <c:v>124</c:v>
                </c:pt>
                <c:pt idx="246">
                  <c:v>134</c:v>
                </c:pt>
                <c:pt idx="247">
                  <c:v>160</c:v>
                </c:pt>
                <c:pt idx="248">
                  <c:v>192</c:v>
                </c:pt>
                <c:pt idx="249">
                  <c:v>140</c:v>
                </c:pt>
                <c:pt idx="250">
                  <c:v>140</c:v>
                </c:pt>
                <c:pt idx="251">
                  <c:v>132</c:v>
                </c:pt>
                <c:pt idx="252">
                  <c:v>138</c:v>
                </c:pt>
                <c:pt idx="253">
                  <c:v>100</c:v>
                </c:pt>
                <c:pt idx="254">
                  <c:v>160</c:v>
                </c:pt>
                <c:pt idx="255">
                  <c:v>142</c:v>
                </c:pt>
                <c:pt idx="256">
                  <c:v>128</c:v>
                </c:pt>
                <c:pt idx="257">
                  <c:v>144</c:v>
                </c:pt>
                <c:pt idx="258">
                  <c:v>150</c:v>
                </c:pt>
                <c:pt idx="259">
                  <c:v>120</c:v>
                </c:pt>
                <c:pt idx="260">
                  <c:v>178</c:v>
                </c:pt>
                <c:pt idx="261">
                  <c:v>112</c:v>
                </c:pt>
                <c:pt idx="262">
                  <c:v>123</c:v>
                </c:pt>
                <c:pt idx="263">
                  <c:v>108</c:v>
                </c:pt>
                <c:pt idx="264">
                  <c:v>110</c:v>
                </c:pt>
                <c:pt idx="265">
                  <c:v>112</c:v>
                </c:pt>
                <c:pt idx="266">
                  <c:v>180</c:v>
                </c:pt>
                <c:pt idx="267">
                  <c:v>118</c:v>
                </c:pt>
                <c:pt idx="268">
                  <c:v>122</c:v>
                </c:pt>
                <c:pt idx="269">
                  <c:v>130</c:v>
                </c:pt>
                <c:pt idx="270">
                  <c:v>120</c:v>
                </c:pt>
                <c:pt idx="271">
                  <c:v>134</c:v>
                </c:pt>
                <c:pt idx="272">
                  <c:v>120</c:v>
                </c:pt>
                <c:pt idx="273">
                  <c:v>100</c:v>
                </c:pt>
                <c:pt idx="274">
                  <c:v>110</c:v>
                </c:pt>
                <c:pt idx="275">
                  <c:v>125</c:v>
                </c:pt>
                <c:pt idx="276">
                  <c:v>146</c:v>
                </c:pt>
                <c:pt idx="277">
                  <c:v>124</c:v>
                </c:pt>
                <c:pt idx="278">
                  <c:v>136</c:v>
                </c:pt>
                <c:pt idx="279">
                  <c:v>138</c:v>
                </c:pt>
                <c:pt idx="280">
                  <c:v>136</c:v>
                </c:pt>
                <c:pt idx="281">
                  <c:v>128</c:v>
                </c:pt>
                <c:pt idx="282">
                  <c:v>126</c:v>
                </c:pt>
                <c:pt idx="283">
                  <c:v>152</c:v>
                </c:pt>
                <c:pt idx="284">
                  <c:v>140</c:v>
                </c:pt>
                <c:pt idx="285">
                  <c:v>140</c:v>
                </c:pt>
                <c:pt idx="286">
                  <c:v>134</c:v>
                </c:pt>
                <c:pt idx="287">
                  <c:v>154</c:v>
                </c:pt>
                <c:pt idx="288">
                  <c:v>110</c:v>
                </c:pt>
                <c:pt idx="289">
                  <c:v>128</c:v>
                </c:pt>
                <c:pt idx="290">
                  <c:v>148</c:v>
                </c:pt>
                <c:pt idx="291">
                  <c:v>114</c:v>
                </c:pt>
                <c:pt idx="292">
                  <c:v>170</c:v>
                </c:pt>
                <c:pt idx="293">
                  <c:v>152</c:v>
                </c:pt>
                <c:pt idx="294">
                  <c:v>120</c:v>
                </c:pt>
                <c:pt idx="295">
                  <c:v>140</c:v>
                </c:pt>
                <c:pt idx="296">
                  <c:v>124</c:v>
                </c:pt>
                <c:pt idx="297">
                  <c:v>164</c:v>
                </c:pt>
                <c:pt idx="298">
                  <c:v>140</c:v>
                </c:pt>
                <c:pt idx="299">
                  <c:v>110</c:v>
                </c:pt>
                <c:pt idx="300">
                  <c:v>144</c:v>
                </c:pt>
                <c:pt idx="301">
                  <c:v>130</c:v>
                </c:pt>
                <c:pt idx="302">
                  <c:v>130</c:v>
                </c:pt>
              </c:numCache>
            </c:numRef>
          </c:xVal>
          <c:yVal>
            <c:numRef>
              <c:f>regression!$AB$27:$AB$329</c:f>
              <c:numCache>
                <c:formatCode>General</c:formatCode>
                <c:ptCount val="303"/>
                <c:pt idx="0">
                  <c:v>-25.566492095944682</c:v>
                </c:pt>
                <c:pt idx="1">
                  <c:v>23.337269400144834</c:v>
                </c:pt>
                <c:pt idx="2">
                  <c:v>-27.101403602823666</c:v>
                </c:pt>
                <c:pt idx="3">
                  <c:v>-9.7115027127591418</c:v>
                </c:pt>
                <c:pt idx="4">
                  <c:v>107.17882903649874</c:v>
                </c:pt>
                <c:pt idx="5">
                  <c:v>-58.891020265893815</c:v>
                </c:pt>
                <c:pt idx="6">
                  <c:v>44.218647984848303</c:v>
                </c:pt>
                <c:pt idx="7">
                  <c:v>30.604516296146272</c:v>
                </c:pt>
                <c:pt idx="8">
                  <c:v>-52.854437896011348</c:v>
                </c:pt>
                <c:pt idx="9">
                  <c:v>-84.925944917090106</c:v>
                </c:pt>
                <c:pt idx="10">
                  <c:v>-8.5620155136674612</c:v>
                </c:pt>
                <c:pt idx="11">
                  <c:v>36.130918641981509</c:v>
                </c:pt>
                <c:pt idx="12">
                  <c:v>26.021250391239391</c:v>
                </c:pt>
                <c:pt idx="13">
                  <c:v>-41.553924067499793</c:v>
                </c:pt>
                <c:pt idx="14">
                  <c:v>28.964386832167776</c:v>
                </c:pt>
                <c:pt idx="15">
                  <c:v>-20.053493208306435</c:v>
                </c:pt>
                <c:pt idx="16">
                  <c:v>92.069160785756623</c:v>
                </c:pt>
                <c:pt idx="17">
                  <c:v>-36.912959173769138</c:v>
                </c:pt>
                <c:pt idx="18">
                  <c:v>9.6094105932995433</c:v>
                </c:pt>
                <c:pt idx="19">
                  <c:v>-25.207039274799229</c:v>
                </c:pt>
                <c:pt idx="20">
                  <c:v>-18.092894441779919</c:v>
                </c:pt>
                <c:pt idx="21">
                  <c:v>-1.4304083550500195</c:v>
                </c:pt>
                <c:pt idx="22">
                  <c:v>-8.2459965047620472</c:v>
                </c:pt>
                <c:pt idx="23">
                  <c:v>-14.364617920058549</c:v>
                </c:pt>
                <c:pt idx="24">
                  <c:v>-33.026660003277783</c:v>
                </c:pt>
                <c:pt idx="25">
                  <c:v>31.503774921323952</c:v>
                </c:pt>
                <c:pt idx="26">
                  <c:v>-43.145281418574342</c:v>
                </c:pt>
                <c:pt idx="27">
                  <c:v>-63.128236807852261</c:v>
                </c:pt>
                <c:pt idx="28">
                  <c:v>157.23163372816924</c:v>
                </c:pt>
                <c:pt idx="29">
                  <c:v>-47.41742261172908</c:v>
                </c:pt>
                <c:pt idx="30">
                  <c:v>-28.014091974832951</c:v>
                </c:pt>
                <c:pt idx="31">
                  <c:v>-78.698516969438202</c:v>
                </c:pt>
                <c:pt idx="32">
                  <c:v>-15.43040835505002</c:v>
                </c:pt>
                <c:pt idx="33">
                  <c:v>28.490371463126962</c:v>
                </c:pt>
                <c:pt idx="34">
                  <c:v>-28.180623784646684</c:v>
                </c:pt>
                <c:pt idx="35">
                  <c:v>-62.091654437969794</c:v>
                </c:pt>
                <c:pt idx="36">
                  <c:v>57.45544681193067</c:v>
                </c:pt>
                <c:pt idx="37">
                  <c:v>-17.596940164863753</c:v>
                </c:pt>
                <c:pt idx="38">
                  <c:v>6.1792467513748193</c:v>
                </c:pt>
                <c:pt idx="39">
                  <c:v>96.161784425776659</c:v>
                </c:pt>
                <c:pt idx="40">
                  <c:v>63.766989238558892</c:v>
                </c:pt>
                <c:pt idx="41">
                  <c:v>6.1309186419815092</c:v>
                </c:pt>
                <c:pt idx="42">
                  <c:v>-22.249272512681785</c:v>
                </c:pt>
                <c:pt idx="43">
                  <c:v>19.58257738827092</c:v>
                </c:pt>
                <c:pt idx="44">
                  <c:v>90.083008247464335</c:v>
                </c:pt>
                <c:pt idx="45">
                  <c:v>83.72717029020933</c:v>
                </c:pt>
                <c:pt idx="46">
                  <c:v>-1.4653330062462828</c:v>
                </c:pt>
                <c:pt idx="47">
                  <c:v>17.612647171766611</c:v>
                </c:pt>
                <c:pt idx="48">
                  <c:v>-28.010437681489805</c:v>
                </c:pt>
                <c:pt idx="49">
                  <c:v>-12.045362332686096</c:v>
                </c:pt>
                <c:pt idx="50">
                  <c:v>13.801913889755156</c:v>
                </c:pt>
                <c:pt idx="51">
                  <c:v>45.191814779819708</c:v>
                </c:pt>
                <c:pt idx="52">
                  <c:v>-23.404436868408141</c:v>
                </c:pt>
                <c:pt idx="53">
                  <c:v>-88.953574122418189</c:v>
                </c:pt>
                <c:pt idx="54">
                  <c:v>-4.5315674447483616</c:v>
                </c:pt>
                <c:pt idx="55">
                  <c:v>-43.121724221465456</c:v>
                </c:pt>
                <c:pt idx="56">
                  <c:v>-15.241141637061446</c:v>
                </c:pt>
                <c:pt idx="57">
                  <c:v>27.512310371002286</c:v>
                </c:pt>
                <c:pt idx="58">
                  <c:v>-38.891816266193274</c:v>
                </c:pt>
                <c:pt idx="59">
                  <c:v>54.550889315541724</c:v>
                </c:pt>
                <c:pt idx="60">
                  <c:v>4.6783981773053824</c:v>
                </c:pt>
                <c:pt idx="61">
                  <c:v>67.949743370160633</c:v>
                </c:pt>
                <c:pt idx="62">
                  <c:v>-54.865844779551423</c:v>
                </c:pt>
                <c:pt idx="63">
                  <c:v>-29.118865928421798</c:v>
                </c:pt>
                <c:pt idx="64">
                  <c:v>-41.000688516635933</c:v>
                </c:pt>
                <c:pt idx="65">
                  <c:v>-43.071333819327947</c:v>
                </c:pt>
                <c:pt idx="66">
                  <c:v>-14.093312156655998</c:v>
                </c:pt>
                <c:pt idx="67">
                  <c:v>-1.5400766057921373</c:v>
                </c:pt>
                <c:pt idx="68">
                  <c:v>-12.395483703853728</c:v>
                </c:pt>
                <c:pt idx="69">
                  <c:v>-44.183482077690371</c:v>
                </c:pt>
                <c:pt idx="70">
                  <c:v>14.507833788725094</c:v>
                </c:pt>
                <c:pt idx="71">
                  <c:v>-7.8723573659382282</c:v>
                </c:pt>
                <c:pt idx="72">
                  <c:v>-13.785384593918224</c:v>
                </c:pt>
                <c:pt idx="73">
                  <c:v>16.766989238558892</c:v>
                </c:pt>
                <c:pt idx="74">
                  <c:v>-18.692800383350857</c:v>
                </c:pt>
                <c:pt idx="75">
                  <c:v>2.3457785611885527</c:v>
                </c:pt>
                <c:pt idx="76">
                  <c:v>3.8193762153533157</c:v>
                </c:pt>
                <c:pt idx="77">
                  <c:v>-32.11035676737805</c:v>
                </c:pt>
                <c:pt idx="78">
                  <c:v>-37.900769430747687</c:v>
                </c:pt>
                <c:pt idx="79">
                  <c:v>-4.8784522374489541</c:v>
                </c:pt>
                <c:pt idx="80">
                  <c:v>22.561460769329642</c:v>
                </c:pt>
                <c:pt idx="81">
                  <c:v>72.866908324447138</c:v>
                </c:pt>
                <c:pt idx="82">
                  <c:v>71.512688656425695</c:v>
                </c:pt>
                <c:pt idx="83">
                  <c:v>50.215411406381236</c:v>
                </c:pt>
                <c:pt idx="84">
                  <c:v>38.486717169783816</c:v>
                </c:pt>
                <c:pt idx="85">
                  <c:v>307.09960885467569</c:v>
                </c:pt>
                <c:pt idx="86">
                  <c:v>18.379463208574691</c:v>
                </c:pt>
                <c:pt idx="87">
                  <c:v>-33.748463368065018</c:v>
                </c:pt>
                <c:pt idx="88">
                  <c:v>-27.457241560078614</c:v>
                </c:pt>
                <c:pt idx="89">
                  <c:v>4.1390100881491776</c:v>
                </c:pt>
                <c:pt idx="90">
                  <c:v>17.351873432699279</c:v>
                </c:pt>
                <c:pt idx="91">
                  <c:v>-42.263080544936798</c:v>
                </c:pt>
                <c:pt idx="92">
                  <c:v>-21.935694081943979</c:v>
                </c:pt>
                <c:pt idx="93">
                  <c:v>42.065924207289555</c:v>
                </c:pt>
                <c:pt idx="94">
                  <c:v>-71.877212233638829</c:v>
                </c:pt>
                <c:pt idx="95">
                  <c:v>-20.859332193164619</c:v>
                </c:pt>
                <c:pt idx="96">
                  <c:v>137.5606384803956</c:v>
                </c:pt>
                <c:pt idx="97">
                  <c:v>-5.8309201283551317</c:v>
                </c:pt>
                <c:pt idx="98">
                  <c:v>81.679259895692098</c:v>
                </c:pt>
                <c:pt idx="99">
                  <c:v>1.58257738827092</c:v>
                </c:pt>
                <c:pt idx="100">
                  <c:v>8.1260637742809081</c:v>
                </c:pt>
                <c:pt idx="101">
                  <c:v>9.1569295580760581</c:v>
                </c:pt>
                <c:pt idx="102">
                  <c:v>-62.549029770346522</c:v>
                </c:pt>
                <c:pt idx="103">
                  <c:v>9.8238527976305079</c:v>
                </c:pt>
                <c:pt idx="104">
                  <c:v>-44.884925394383089</c:v>
                </c:pt>
                <c:pt idx="105">
                  <c:v>-48.027521721664527</c:v>
                </c:pt>
                <c:pt idx="106">
                  <c:v>-34.276888577191812</c:v>
                </c:pt>
                <c:pt idx="107">
                  <c:v>-1.1680163267491537</c:v>
                </c:pt>
                <c:pt idx="108">
                  <c:v>4.9465067916935652</c:v>
                </c:pt>
                <c:pt idx="109">
                  <c:v>16.981431442889857</c:v>
                </c:pt>
                <c:pt idx="110">
                  <c:v>58.201603374126194</c:v>
                </c:pt>
                <c:pt idx="111">
                  <c:v>-126.92594491709011</c:v>
                </c:pt>
                <c:pt idx="112">
                  <c:v>54.34130197891136</c:v>
                </c:pt>
                <c:pt idx="113">
                  <c:v>-18.250890801915318</c:v>
                </c:pt>
                <c:pt idx="114">
                  <c:v>15.363240886786684</c:v>
                </c:pt>
                <c:pt idx="115">
                  <c:v>-9.6278059486588745</c:v>
                </c:pt>
                <c:pt idx="116">
                  <c:v>-17.101403602823666</c:v>
                </c:pt>
                <c:pt idx="117">
                  <c:v>-52.711502712759142</c:v>
                </c:pt>
                <c:pt idx="118">
                  <c:v>-27.56243322854354</c:v>
                </c:pt>
                <c:pt idx="119">
                  <c:v>4.7223154225087285</c:v>
                </c:pt>
                <c:pt idx="120">
                  <c:v>46.376226630107624</c:v>
                </c:pt>
                <c:pt idx="121">
                  <c:v>18.296628162861197</c:v>
                </c:pt>
                <c:pt idx="122">
                  <c:v>40.561460769329642</c:v>
                </c:pt>
                <c:pt idx="123">
                  <c:v>25.949743370160633</c:v>
                </c:pt>
                <c:pt idx="124">
                  <c:v>-22.556338357032786</c:v>
                </c:pt>
                <c:pt idx="125">
                  <c:v>-10.891816266193274</c:v>
                </c:pt>
                <c:pt idx="126">
                  <c:v>-30.096548735123065</c:v>
                </c:pt>
                <c:pt idx="127">
                  <c:v>12.570387645249468</c:v>
                </c:pt>
                <c:pt idx="128">
                  <c:v>-48.528709151704732</c:v>
                </c:pt>
                <c:pt idx="129">
                  <c:v>3.3144687738827656</c:v>
                </c:pt>
                <c:pt idx="130">
                  <c:v>-50.631864816060045</c:v>
                </c:pt>
                <c:pt idx="131">
                  <c:v>30.207280530760897</c:v>
                </c:pt>
                <c:pt idx="132">
                  <c:v>64.823852797630508</c:v>
                </c:pt>
                <c:pt idx="133">
                  <c:v>7.9684456995689175</c:v>
                </c:pt>
                <c:pt idx="134">
                  <c:v>75.712566257654856</c:v>
                </c:pt>
                <c:pt idx="135">
                  <c:v>29.021250391239391</c:v>
                </c:pt>
                <c:pt idx="136">
                  <c:v>-72.150175715727613</c:v>
                </c:pt>
                <c:pt idx="137">
                  <c:v>-45.997451938168865</c:v>
                </c:pt>
                <c:pt idx="138">
                  <c:v>-43.786246312304968</c:v>
                </c:pt>
                <c:pt idx="139">
                  <c:v>6.7832115603468992</c:v>
                </c:pt>
                <c:pt idx="140">
                  <c:v>54.836838540951447</c:v>
                </c:pt>
                <c:pt idx="141">
                  <c:v>72.731646872486522</c:v>
                </c:pt>
                <c:pt idx="142">
                  <c:v>-21.176147202369492</c:v>
                </c:pt>
                <c:pt idx="143">
                  <c:v>-32.068958959247652</c:v>
                </c:pt>
                <c:pt idx="144">
                  <c:v>-74.974717029994054</c:v>
                </c:pt>
                <c:pt idx="145">
                  <c:v>-23.572586967455379</c:v>
                </c:pt>
                <c:pt idx="146">
                  <c:v>10.011501226385519</c:v>
                </c:pt>
                <c:pt idx="147">
                  <c:v>-16.254949669316431</c:v>
                </c:pt>
                <c:pt idx="148">
                  <c:v>-6.3954837038537278</c:v>
                </c:pt>
                <c:pt idx="149">
                  <c:v>-52.211071853565784</c:v>
                </c:pt>
                <c:pt idx="150">
                  <c:v>-36.947883824965459</c:v>
                </c:pt>
                <c:pt idx="151">
                  <c:v>-111.72858675293389</c:v>
                </c:pt>
                <c:pt idx="152">
                  <c:v>-37.763471974677486</c:v>
                </c:pt>
                <c:pt idx="153">
                  <c:v>15.901010686709355</c:v>
                </c:pt>
                <c:pt idx="154">
                  <c:v>-10.510006822296418</c:v>
                </c:pt>
                <c:pt idx="155">
                  <c:v>-52.965763865439669</c:v>
                </c:pt>
                <c:pt idx="156">
                  <c:v>15.240586892723627</c:v>
                </c:pt>
                <c:pt idx="157">
                  <c:v>-30.815454377413886</c:v>
                </c:pt>
                <c:pt idx="158">
                  <c:v>-28.948301539841509</c:v>
                </c:pt>
                <c:pt idx="159">
                  <c:v>-26.746427363955434</c:v>
                </c:pt>
                <c:pt idx="160">
                  <c:v>-5.7115027127591418</c:v>
                </c:pt>
                <c:pt idx="161">
                  <c:v>94.956255956547437</c:v>
                </c:pt>
                <c:pt idx="162">
                  <c:v>-72.066478951627374</c:v>
                </c:pt>
                <c:pt idx="163">
                  <c:v>-54.4003385715543</c:v>
                </c:pt>
                <c:pt idx="164">
                  <c:v>-54.4003385715543</c:v>
                </c:pt>
                <c:pt idx="165">
                  <c:v>19.942447924292424</c:v>
                </c:pt>
                <c:pt idx="166">
                  <c:v>-28.91785347092241</c:v>
                </c:pt>
                <c:pt idx="167">
                  <c:v>11.560638480395596</c:v>
                </c:pt>
                <c:pt idx="168">
                  <c:v>-1.5141051191502584</c:v>
                </c:pt>
                <c:pt idx="169">
                  <c:v>-43.452347262925343</c:v>
                </c:pt>
                <c:pt idx="170">
                  <c:v>8.2535726360445665</c:v>
                </c:pt>
                <c:pt idx="171">
                  <c:v>-5.7992320556259074</c:v>
                </c:pt>
                <c:pt idx="172">
                  <c:v>36.069160785756623</c:v>
                </c:pt>
                <c:pt idx="173">
                  <c:v>-26.372748795678916</c:v>
                </c:pt>
                <c:pt idx="174">
                  <c:v>-46.185100366923905</c:v>
                </c:pt>
                <c:pt idx="175">
                  <c:v>-58.921886049688936</c:v>
                </c:pt>
                <c:pt idx="176">
                  <c:v>-19.539698320368728</c:v>
                </c:pt>
                <c:pt idx="177">
                  <c:v>76.34130197891136</c:v>
                </c:pt>
                <c:pt idx="178">
                  <c:v>-54.28581545311161</c:v>
                </c:pt>
                <c:pt idx="179">
                  <c:v>23.074055082909894</c:v>
                </c:pt>
                <c:pt idx="180">
                  <c:v>105.95625595654744</c:v>
                </c:pt>
                <c:pt idx="181">
                  <c:v>-36.803290923027021</c:v>
                </c:pt>
                <c:pt idx="182">
                  <c:v>76.705231382333977</c:v>
                </c:pt>
                <c:pt idx="183">
                  <c:v>-16.302899493286361</c:v>
                </c:pt>
                <c:pt idx="184">
                  <c:v>-2.1582671618952816</c:v>
                </c:pt>
                <c:pt idx="185">
                  <c:v>59.232456017103289</c:v>
                </c:pt>
                <c:pt idx="186">
                  <c:v>0.81489963307609514</c:v>
                </c:pt>
                <c:pt idx="187">
                  <c:v>21.693863928246572</c:v>
                </c:pt>
                <c:pt idx="188">
                  <c:v>-10.12334251069899</c:v>
                </c:pt>
                <c:pt idx="189">
                  <c:v>-55.031554300431083</c:v>
                </c:pt>
                <c:pt idx="190">
                  <c:v>62.801913889755156</c:v>
                </c:pt>
                <c:pt idx="191">
                  <c:v>-33.558778935200394</c:v>
                </c:pt>
                <c:pt idx="192">
                  <c:v>-55.492166211274906</c:v>
                </c:pt>
                <c:pt idx="193">
                  <c:v>26.762512656281672</c:v>
                </c:pt>
                <c:pt idx="194">
                  <c:v>-69.220025018120168</c:v>
                </c:pt>
                <c:pt idx="195">
                  <c:v>66.784869279033103</c:v>
                </c:pt>
                <c:pt idx="196">
                  <c:v>-9.7195941589268102</c:v>
                </c:pt>
                <c:pt idx="197">
                  <c:v>-4.9353157965205696</c:v>
                </c:pt>
                <c:pt idx="198">
                  <c:v>14.630487782788151</c:v>
                </c:pt>
                <c:pt idx="199">
                  <c:v>-5.6635923182419106</c:v>
                </c:pt>
                <c:pt idx="200">
                  <c:v>-33.360559052657436</c:v>
                </c:pt>
                <c:pt idx="201">
                  <c:v>6.8323619586742552</c:v>
                </c:pt>
                <c:pt idx="202">
                  <c:v>15.964386832167776</c:v>
                </c:pt>
                <c:pt idx="203">
                  <c:v>2.7629303711577222</c:v>
                </c:pt>
                <c:pt idx="204">
                  <c:v>-96.509210821996987</c:v>
                </c:pt>
                <c:pt idx="205">
                  <c:v>12.099230569252313</c:v>
                </c:pt>
                <c:pt idx="206">
                  <c:v>-8.0055828137892036</c:v>
                </c:pt>
                <c:pt idx="207">
                  <c:v>1.7450503306835685</c:v>
                </c:pt>
                <c:pt idx="208">
                  <c:v>-49.943824957564317</c:v>
                </c:pt>
                <c:pt idx="209">
                  <c:v>-76.11035676737805</c:v>
                </c:pt>
                <c:pt idx="210">
                  <c:v>-19.449110684458276</c:v>
                </c:pt>
                <c:pt idx="211">
                  <c:v>8.740156033530269</c:v>
                </c:pt>
                <c:pt idx="212">
                  <c:v>-7.4401575199038632</c:v>
                </c:pt>
                <c:pt idx="213">
                  <c:v>50.652844405539554</c:v>
                </c:pt>
                <c:pt idx="214">
                  <c:v>2.2710349616427266</c:v>
                </c:pt>
                <c:pt idx="215">
                  <c:v>107.27227496545285</c:v>
                </c:pt>
                <c:pt idx="216">
                  <c:v>8.5955631315918595</c:v>
                </c:pt>
                <c:pt idx="217">
                  <c:v>74.485894880849742</c:v>
                </c:pt>
                <c:pt idx="218">
                  <c:v>-4.7509039462325973</c:v>
                </c:pt>
                <c:pt idx="219">
                  <c:v>17.130918641981509</c:v>
                </c:pt>
                <c:pt idx="220">
                  <c:v>147.41604557845722</c:v>
                </c:pt>
                <c:pt idx="221">
                  <c:v>-31.671683764409579</c:v>
                </c:pt>
                <c:pt idx="222">
                  <c:v>22.638618658408518</c:v>
                </c:pt>
                <c:pt idx="223">
                  <c:v>26.00910007767061</c:v>
                </c:pt>
                <c:pt idx="224">
                  <c:v>-2.4572415600786144</c:v>
                </c:pt>
                <c:pt idx="225">
                  <c:v>-92.334169851139507</c:v>
                </c:pt>
                <c:pt idx="226">
                  <c:v>28.630487782788151</c:v>
                </c:pt>
                <c:pt idx="227">
                  <c:v>-24.408469447174639</c:v>
                </c:pt>
                <c:pt idx="228">
                  <c:v>28.784869279033103</c:v>
                </c:pt>
                <c:pt idx="229">
                  <c:v>53.393688955705784</c:v>
                </c:pt>
                <c:pt idx="230">
                  <c:v>9.7174211253554574</c:v>
                </c:pt>
                <c:pt idx="231">
                  <c:v>33.02166810611547</c:v>
                </c:pt>
                <c:pt idx="232">
                  <c:v>36.258466933197838</c:v>
                </c:pt>
                <c:pt idx="233">
                  <c:v>-8.5888487186960845</c:v>
                </c:pt>
                <c:pt idx="234">
                  <c:v>58.718217125654917</c:v>
                </c:pt>
                <c:pt idx="235">
                  <c:v>54.766989238558892</c:v>
                </c:pt>
                <c:pt idx="236">
                  <c:v>51.051698460158491</c:v>
                </c:pt>
                <c:pt idx="237">
                  <c:v>38.779974981879832</c:v>
                </c:pt>
                <c:pt idx="238">
                  <c:v>33.968001696058252</c:v>
                </c:pt>
                <c:pt idx="239">
                  <c:v>58.370575762107592</c:v>
                </c:pt>
                <c:pt idx="240">
                  <c:v>-0.38655682793392998</c:v>
                </c:pt>
                <c:pt idx="241">
                  <c:v>-11.029100581445391</c:v>
                </c:pt>
                <c:pt idx="242">
                  <c:v>-47.6761603466868</c:v>
                </c:pt>
                <c:pt idx="243">
                  <c:v>20.667070152670647</c:v>
                </c:pt>
                <c:pt idx="244">
                  <c:v>-64.15341229419468</c:v>
                </c:pt>
                <c:pt idx="245">
                  <c:v>36.351873432699279</c:v>
                </c:pt>
                <c:pt idx="246">
                  <c:v>160.43960277556607</c:v>
                </c:pt>
                <c:pt idx="247">
                  <c:v>-18.947883824965459</c:v>
                </c:pt>
                <c:pt idx="248">
                  <c:v>24.856376300111833</c:v>
                </c:pt>
                <c:pt idx="249">
                  <c:v>-10.207039274799229</c:v>
                </c:pt>
                <c:pt idx="250">
                  <c:v>53.766989238558892</c:v>
                </c:pt>
                <c:pt idx="251">
                  <c:v>13.272274965452851</c:v>
                </c:pt>
                <c:pt idx="252">
                  <c:v>37.967623410634872</c:v>
                </c:pt>
                <c:pt idx="253">
                  <c:v>45.151995831470117</c:v>
                </c:pt>
                <c:pt idx="254">
                  <c:v>15.819793930229366</c:v>
                </c:pt>
                <c:pt idx="255">
                  <c:v>71.018013812772324</c:v>
                </c:pt>
                <c:pt idx="256">
                  <c:v>9.4412210647996062</c:v>
                </c:pt>
                <c:pt idx="257">
                  <c:v>-43.937312371177512</c:v>
                </c:pt>
                <c:pt idx="258">
                  <c:v>-14.474286170800667</c:v>
                </c:pt>
                <c:pt idx="259">
                  <c:v>5.2625258005990077</c:v>
                </c:pt>
                <c:pt idx="260">
                  <c:v>-40.610748197118767</c:v>
                </c:pt>
                <c:pt idx="261">
                  <c:v>-9.6448899888336541</c:v>
                </c:pt>
                <c:pt idx="262">
                  <c:v>39.007024644108327</c:v>
                </c:pt>
                <c:pt idx="263">
                  <c:v>17.962729113481572</c:v>
                </c:pt>
                <c:pt idx="264">
                  <c:v>-35.457241560078614</c:v>
                </c:pt>
                <c:pt idx="265">
                  <c:v>-43.180245499223304</c:v>
                </c:pt>
                <c:pt idx="266">
                  <c:v>70.188617630805311</c:v>
                </c:pt>
                <c:pt idx="267">
                  <c:v>-88.53684002732507</c:v>
                </c:pt>
                <c:pt idx="268">
                  <c:v>42.100848858485847</c:v>
                </c:pt>
                <c:pt idx="269">
                  <c:v>35.253572636044566</c:v>
                </c:pt>
                <c:pt idx="270">
                  <c:v>14.385179794662037</c:v>
                </c:pt>
                <c:pt idx="271">
                  <c:v>-20.108738478144517</c:v>
                </c:pt>
                <c:pt idx="272">
                  <c:v>-20.91785347092241</c:v>
                </c:pt>
                <c:pt idx="273">
                  <c:v>-9.8609899118508224</c:v>
                </c:pt>
                <c:pt idx="274">
                  <c:v>41.31043619511621</c:v>
                </c:pt>
                <c:pt idx="275">
                  <c:v>-30.290292035388802</c:v>
                </c:pt>
                <c:pt idx="276">
                  <c:v>-35.221643307353702</c:v>
                </c:pt>
                <c:pt idx="277">
                  <c:v>13.364859176020218</c:v>
                </c:pt>
                <c:pt idx="278">
                  <c:v>67.813281343842561</c:v>
                </c:pt>
                <c:pt idx="279">
                  <c:v>-88.922708338623039</c:v>
                </c:pt>
                <c:pt idx="280">
                  <c:v>81.567973355716447</c:v>
                </c:pt>
                <c:pt idx="281">
                  <c:v>-38.900769430747687</c:v>
                </c:pt>
                <c:pt idx="282">
                  <c:v>-32.261462255703265</c:v>
                </c:pt>
                <c:pt idx="283">
                  <c:v>-11.468569584713322</c:v>
                </c:pt>
                <c:pt idx="284">
                  <c:v>-48.329693268862286</c:v>
                </c:pt>
                <c:pt idx="285">
                  <c:v>72.315330492269482</c:v>
                </c:pt>
                <c:pt idx="286">
                  <c:v>-47.889401976660281</c:v>
                </c:pt>
                <c:pt idx="287">
                  <c:v>-21.739914777568629</c:v>
                </c:pt>
                <c:pt idx="288">
                  <c:v>90.213753687695032</c:v>
                </c:pt>
                <c:pt idx="289">
                  <c:v>-41.22977418297404</c:v>
                </c:pt>
                <c:pt idx="290">
                  <c:v>-53.957632989819331</c:v>
                </c:pt>
                <c:pt idx="291">
                  <c:v>71.290115576474392</c:v>
                </c:pt>
                <c:pt idx="292">
                  <c:v>-33.105462470224779</c:v>
                </c:pt>
                <c:pt idx="293">
                  <c:v>-52.429612354750532</c:v>
                </c:pt>
                <c:pt idx="294">
                  <c:v>-63.395483703853728</c:v>
                </c:pt>
                <c:pt idx="295">
                  <c:v>-70.549029770346522</c:v>
                </c:pt>
                <c:pt idx="296">
                  <c:v>-57.293150328432489</c:v>
                </c:pt>
                <c:pt idx="297">
                  <c:v>-81.994175930249128</c:v>
                </c:pt>
                <c:pt idx="298">
                  <c:v>-9.8910202658938147</c:v>
                </c:pt>
                <c:pt idx="299">
                  <c:v>32.529772696600446</c:v>
                </c:pt>
                <c:pt idx="300">
                  <c:v>-70.911340884535605</c:v>
                </c:pt>
                <c:pt idx="301">
                  <c:v>-117.85609561469755</c:v>
                </c:pt>
                <c:pt idx="302">
                  <c:v>-12.856095614697551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6E-4072-A961-DAA5F3172F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0152640"/>
        <c:axId val="890146880"/>
      </c:scatterChart>
      <c:valAx>
        <c:axId val="890152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trtbps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90146880"/>
        <c:crosses val="autoZero"/>
        <c:crossBetween val="midCat"/>
      </c:valAx>
      <c:valAx>
        <c:axId val="89014688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Residuals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90152640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age Line Fit 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chol</c:v>
          </c:tx>
          <c:spPr>
            <a:ln w="19050">
              <a:noFill/>
            </a:ln>
          </c:spPr>
          <c:xVal>
            <c:numRef>
              <c:f>regression!$V$2:$V$304</c:f>
              <c:numCache>
                <c:formatCode>General</c:formatCode>
                <c:ptCount val="303"/>
                <c:pt idx="0">
                  <c:v>63</c:v>
                </c:pt>
                <c:pt idx="1">
                  <c:v>37</c:v>
                </c:pt>
                <c:pt idx="2">
                  <c:v>41</c:v>
                </c:pt>
                <c:pt idx="3">
                  <c:v>56</c:v>
                </c:pt>
                <c:pt idx="4">
                  <c:v>57</c:v>
                </c:pt>
                <c:pt idx="5">
                  <c:v>57</c:v>
                </c:pt>
                <c:pt idx="6">
                  <c:v>56</c:v>
                </c:pt>
                <c:pt idx="7">
                  <c:v>44</c:v>
                </c:pt>
                <c:pt idx="8">
                  <c:v>52</c:v>
                </c:pt>
                <c:pt idx="9">
                  <c:v>57</c:v>
                </c:pt>
                <c:pt idx="10">
                  <c:v>54</c:v>
                </c:pt>
                <c:pt idx="11">
                  <c:v>48</c:v>
                </c:pt>
                <c:pt idx="12">
                  <c:v>49</c:v>
                </c:pt>
                <c:pt idx="13">
                  <c:v>64</c:v>
                </c:pt>
                <c:pt idx="14">
                  <c:v>58</c:v>
                </c:pt>
                <c:pt idx="15">
                  <c:v>50</c:v>
                </c:pt>
                <c:pt idx="16">
                  <c:v>58</c:v>
                </c:pt>
                <c:pt idx="17">
                  <c:v>66</c:v>
                </c:pt>
                <c:pt idx="18">
                  <c:v>43</c:v>
                </c:pt>
                <c:pt idx="19">
                  <c:v>69</c:v>
                </c:pt>
                <c:pt idx="20">
                  <c:v>59</c:v>
                </c:pt>
                <c:pt idx="21">
                  <c:v>44</c:v>
                </c:pt>
                <c:pt idx="22">
                  <c:v>42</c:v>
                </c:pt>
                <c:pt idx="23">
                  <c:v>61</c:v>
                </c:pt>
                <c:pt idx="24">
                  <c:v>40</c:v>
                </c:pt>
                <c:pt idx="25">
                  <c:v>71</c:v>
                </c:pt>
                <c:pt idx="26">
                  <c:v>59</c:v>
                </c:pt>
                <c:pt idx="27">
                  <c:v>51</c:v>
                </c:pt>
                <c:pt idx="28">
                  <c:v>65</c:v>
                </c:pt>
                <c:pt idx="29">
                  <c:v>53</c:v>
                </c:pt>
                <c:pt idx="30">
                  <c:v>41</c:v>
                </c:pt>
                <c:pt idx="31">
                  <c:v>65</c:v>
                </c:pt>
                <c:pt idx="32">
                  <c:v>44</c:v>
                </c:pt>
                <c:pt idx="33">
                  <c:v>54</c:v>
                </c:pt>
                <c:pt idx="34">
                  <c:v>51</c:v>
                </c:pt>
                <c:pt idx="35">
                  <c:v>46</c:v>
                </c:pt>
                <c:pt idx="36">
                  <c:v>54</c:v>
                </c:pt>
                <c:pt idx="37">
                  <c:v>54</c:v>
                </c:pt>
                <c:pt idx="38">
                  <c:v>65</c:v>
                </c:pt>
                <c:pt idx="39">
                  <c:v>65</c:v>
                </c:pt>
                <c:pt idx="40">
                  <c:v>51</c:v>
                </c:pt>
                <c:pt idx="41">
                  <c:v>48</c:v>
                </c:pt>
                <c:pt idx="42">
                  <c:v>45</c:v>
                </c:pt>
                <c:pt idx="43">
                  <c:v>53</c:v>
                </c:pt>
                <c:pt idx="44">
                  <c:v>39</c:v>
                </c:pt>
                <c:pt idx="45">
                  <c:v>52</c:v>
                </c:pt>
                <c:pt idx="46">
                  <c:v>44</c:v>
                </c:pt>
                <c:pt idx="47">
                  <c:v>47</c:v>
                </c:pt>
                <c:pt idx="48">
                  <c:v>53</c:v>
                </c:pt>
                <c:pt idx="49">
                  <c:v>53</c:v>
                </c:pt>
                <c:pt idx="50">
                  <c:v>51</c:v>
                </c:pt>
                <c:pt idx="51">
                  <c:v>66</c:v>
                </c:pt>
                <c:pt idx="52">
                  <c:v>62</c:v>
                </c:pt>
                <c:pt idx="53">
                  <c:v>44</c:v>
                </c:pt>
                <c:pt idx="54">
                  <c:v>63</c:v>
                </c:pt>
                <c:pt idx="55">
                  <c:v>52</c:v>
                </c:pt>
                <c:pt idx="56">
                  <c:v>48</c:v>
                </c:pt>
                <c:pt idx="57">
                  <c:v>45</c:v>
                </c:pt>
                <c:pt idx="58">
                  <c:v>34</c:v>
                </c:pt>
                <c:pt idx="59">
                  <c:v>57</c:v>
                </c:pt>
                <c:pt idx="60">
                  <c:v>71</c:v>
                </c:pt>
                <c:pt idx="61">
                  <c:v>54</c:v>
                </c:pt>
                <c:pt idx="62">
                  <c:v>52</c:v>
                </c:pt>
                <c:pt idx="63">
                  <c:v>41</c:v>
                </c:pt>
                <c:pt idx="64">
                  <c:v>58</c:v>
                </c:pt>
                <c:pt idx="65">
                  <c:v>35</c:v>
                </c:pt>
                <c:pt idx="66">
                  <c:v>51</c:v>
                </c:pt>
                <c:pt idx="67">
                  <c:v>45</c:v>
                </c:pt>
                <c:pt idx="68">
                  <c:v>44</c:v>
                </c:pt>
                <c:pt idx="69">
                  <c:v>62</c:v>
                </c:pt>
                <c:pt idx="70">
                  <c:v>54</c:v>
                </c:pt>
                <c:pt idx="71">
                  <c:v>51</c:v>
                </c:pt>
                <c:pt idx="72">
                  <c:v>29</c:v>
                </c:pt>
                <c:pt idx="73">
                  <c:v>51</c:v>
                </c:pt>
                <c:pt idx="74">
                  <c:v>43</c:v>
                </c:pt>
                <c:pt idx="75">
                  <c:v>55</c:v>
                </c:pt>
                <c:pt idx="76">
                  <c:v>51</c:v>
                </c:pt>
                <c:pt idx="77">
                  <c:v>59</c:v>
                </c:pt>
                <c:pt idx="78">
                  <c:v>52</c:v>
                </c:pt>
                <c:pt idx="79">
                  <c:v>58</c:v>
                </c:pt>
                <c:pt idx="80">
                  <c:v>41</c:v>
                </c:pt>
                <c:pt idx="81">
                  <c:v>45</c:v>
                </c:pt>
                <c:pt idx="82">
                  <c:v>60</c:v>
                </c:pt>
                <c:pt idx="83">
                  <c:v>52</c:v>
                </c:pt>
                <c:pt idx="84">
                  <c:v>42</c:v>
                </c:pt>
                <c:pt idx="85">
                  <c:v>67</c:v>
                </c:pt>
                <c:pt idx="86">
                  <c:v>68</c:v>
                </c:pt>
                <c:pt idx="87">
                  <c:v>46</c:v>
                </c:pt>
                <c:pt idx="88">
                  <c:v>54</c:v>
                </c:pt>
                <c:pt idx="89">
                  <c:v>58</c:v>
                </c:pt>
                <c:pt idx="90">
                  <c:v>48</c:v>
                </c:pt>
                <c:pt idx="91">
                  <c:v>57</c:v>
                </c:pt>
                <c:pt idx="92">
                  <c:v>52</c:v>
                </c:pt>
                <c:pt idx="93">
                  <c:v>54</c:v>
                </c:pt>
                <c:pt idx="94">
                  <c:v>45</c:v>
                </c:pt>
                <c:pt idx="95">
                  <c:v>53</c:v>
                </c:pt>
                <c:pt idx="96">
                  <c:v>62</c:v>
                </c:pt>
                <c:pt idx="97">
                  <c:v>52</c:v>
                </c:pt>
                <c:pt idx="98">
                  <c:v>43</c:v>
                </c:pt>
                <c:pt idx="99">
                  <c:v>53</c:v>
                </c:pt>
                <c:pt idx="100">
                  <c:v>42</c:v>
                </c:pt>
                <c:pt idx="101">
                  <c:v>59</c:v>
                </c:pt>
                <c:pt idx="102">
                  <c:v>63</c:v>
                </c:pt>
                <c:pt idx="103">
                  <c:v>42</c:v>
                </c:pt>
                <c:pt idx="104">
                  <c:v>50</c:v>
                </c:pt>
                <c:pt idx="105">
                  <c:v>68</c:v>
                </c:pt>
                <c:pt idx="106">
                  <c:v>69</c:v>
                </c:pt>
                <c:pt idx="107">
                  <c:v>45</c:v>
                </c:pt>
                <c:pt idx="108">
                  <c:v>50</c:v>
                </c:pt>
                <c:pt idx="109">
                  <c:v>50</c:v>
                </c:pt>
                <c:pt idx="110">
                  <c:v>64</c:v>
                </c:pt>
                <c:pt idx="111">
                  <c:v>57</c:v>
                </c:pt>
                <c:pt idx="112">
                  <c:v>64</c:v>
                </c:pt>
                <c:pt idx="113">
                  <c:v>43</c:v>
                </c:pt>
                <c:pt idx="114">
                  <c:v>55</c:v>
                </c:pt>
                <c:pt idx="115">
                  <c:v>37</c:v>
                </c:pt>
                <c:pt idx="116">
                  <c:v>41</c:v>
                </c:pt>
                <c:pt idx="117">
                  <c:v>56</c:v>
                </c:pt>
                <c:pt idx="118">
                  <c:v>46</c:v>
                </c:pt>
                <c:pt idx="119">
                  <c:v>46</c:v>
                </c:pt>
                <c:pt idx="120">
                  <c:v>64</c:v>
                </c:pt>
                <c:pt idx="121">
                  <c:v>59</c:v>
                </c:pt>
                <c:pt idx="122">
                  <c:v>41</c:v>
                </c:pt>
                <c:pt idx="123">
                  <c:v>54</c:v>
                </c:pt>
                <c:pt idx="124">
                  <c:v>39</c:v>
                </c:pt>
                <c:pt idx="125">
                  <c:v>34</c:v>
                </c:pt>
                <c:pt idx="126">
                  <c:v>47</c:v>
                </c:pt>
                <c:pt idx="127">
                  <c:v>67</c:v>
                </c:pt>
                <c:pt idx="128">
                  <c:v>52</c:v>
                </c:pt>
                <c:pt idx="129">
                  <c:v>74</c:v>
                </c:pt>
                <c:pt idx="130">
                  <c:v>54</c:v>
                </c:pt>
                <c:pt idx="131">
                  <c:v>49</c:v>
                </c:pt>
                <c:pt idx="132">
                  <c:v>42</c:v>
                </c:pt>
                <c:pt idx="133">
                  <c:v>41</c:v>
                </c:pt>
                <c:pt idx="134">
                  <c:v>41</c:v>
                </c:pt>
                <c:pt idx="135">
                  <c:v>49</c:v>
                </c:pt>
                <c:pt idx="136">
                  <c:v>60</c:v>
                </c:pt>
                <c:pt idx="137">
                  <c:v>62</c:v>
                </c:pt>
                <c:pt idx="138">
                  <c:v>57</c:v>
                </c:pt>
                <c:pt idx="139">
                  <c:v>64</c:v>
                </c:pt>
                <c:pt idx="140">
                  <c:v>51</c:v>
                </c:pt>
                <c:pt idx="141">
                  <c:v>43</c:v>
                </c:pt>
                <c:pt idx="142">
                  <c:v>42</c:v>
                </c:pt>
                <c:pt idx="143">
                  <c:v>67</c:v>
                </c:pt>
                <c:pt idx="144">
                  <c:v>76</c:v>
                </c:pt>
                <c:pt idx="145">
                  <c:v>70</c:v>
                </c:pt>
                <c:pt idx="146">
                  <c:v>44</c:v>
                </c:pt>
                <c:pt idx="147">
                  <c:v>60</c:v>
                </c:pt>
                <c:pt idx="148">
                  <c:v>44</c:v>
                </c:pt>
                <c:pt idx="149">
                  <c:v>42</c:v>
                </c:pt>
                <c:pt idx="150">
                  <c:v>66</c:v>
                </c:pt>
                <c:pt idx="151">
                  <c:v>71</c:v>
                </c:pt>
                <c:pt idx="152">
                  <c:v>64</c:v>
                </c:pt>
                <c:pt idx="153">
                  <c:v>66</c:v>
                </c:pt>
                <c:pt idx="154">
                  <c:v>39</c:v>
                </c:pt>
                <c:pt idx="155">
                  <c:v>58</c:v>
                </c:pt>
                <c:pt idx="156">
                  <c:v>47</c:v>
                </c:pt>
                <c:pt idx="157">
                  <c:v>35</c:v>
                </c:pt>
                <c:pt idx="158">
                  <c:v>58</c:v>
                </c:pt>
                <c:pt idx="159">
                  <c:v>56</c:v>
                </c:pt>
                <c:pt idx="160">
                  <c:v>56</c:v>
                </c:pt>
                <c:pt idx="161">
                  <c:v>55</c:v>
                </c:pt>
                <c:pt idx="162">
                  <c:v>41</c:v>
                </c:pt>
                <c:pt idx="163">
                  <c:v>38</c:v>
                </c:pt>
                <c:pt idx="164">
                  <c:v>38</c:v>
                </c:pt>
                <c:pt idx="165">
                  <c:v>67</c:v>
                </c:pt>
                <c:pt idx="166">
                  <c:v>67</c:v>
                </c:pt>
                <c:pt idx="167">
                  <c:v>62</c:v>
                </c:pt>
                <c:pt idx="168">
                  <c:v>63</c:v>
                </c:pt>
                <c:pt idx="169">
                  <c:v>53</c:v>
                </c:pt>
                <c:pt idx="170">
                  <c:v>56</c:v>
                </c:pt>
                <c:pt idx="171">
                  <c:v>48</c:v>
                </c:pt>
                <c:pt idx="172">
                  <c:v>58</c:v>
                </c:pt>
                <c:pt idx="173">
                  <c:v>58</c:v>
                </c:pt>
                <c:pt idx="174">
                  <c:v>60</c:v>
                </c:pt>
                <c:pt idx="175">
                  <c:v>40</c:v>
                </c:pt>
                <c:pt idx="176">
                  <c:v>60</c:v>
                </c:pt>
                <c:pt idx="177">
                  <c:v>64</c:v>
                </c:pt>
                <c:pt idx="178">
                  <c:v>43</c:v>
                </c:pt>
                <c:pt idx="179">
                  <c:v>57</c:v>
                </c:pt>
                <c:pt idx="180">
                  <c:v>55</c:v>
                </c:pt>
                <c:pt idx="181">
                  <c:v>65</c:v>
                </c:pt>
                <c:pt idx="182">
                  <c:v>61</c:v>
                </c:pt>
                <c:pt idx="183">
                  <c:v>58</c:v>
                </c:pt>
                <c:pt idx="184">
                  <c:v>50</c:v>
                </c:pt>
                <c:pt idx="185">
                  <c:v>44</c:v>
                </c:pt>
                <c:pt idx="186">
                  <c:v>60</c:v>
                </c:pt>
                <c:pt idx="187">
                  <c:v>54</c:v>
                </c:pt>
                <c:pt idx="188">
                  <c:v>50</c:v>
                </c:pt>
                <c:pt idx="189">
                  <c:v>41</c:v>
                </c:pt>
                <c:pt idx="190">
                  <c:v>51</c:v>
                </c:pt>
                <c:pt idx="191">
                  <c:v>58</c:v>
                </c:pt>
                <c:pt idx="192">
                  <c:v>54</c:v>
                </c:pt>
                <c:pt idx="193">
                  <c:v>60</c:v>
                </c:pt>
                <c:pt idx="194">
                  <c:v>60</c:v>
                </c:pt>
                <c:pt idx="195">
                  <c:v>59</c:v>
                </c:pt>
                <c:pt idx="196">
                  <c:v>46</c:v>
                </c:pt>
                <c:pt idx="197">
                  <c:v>67</c:v>
                </c:pt>
                <c:pt idx="198">
                  <c:v>62</c:v>
                </c:pt>
                <c:pt idx="199">
                  <c:v>65</c:v>
                </c:pt>
                <c:pt idx="200">
                  <c:v>44</c:v>
                </c:pt>
                <c:pt idx="201">
                  <c:v>60</c:v>
                </c:pt>
                <c:pt idx="202">
                  <c:v>58</c:v>
                </c:pt>
                <c:pt idx="203">
                  <c:v>68</c:v>
                </c:pt>
                <c:pt idx="204">
                  <c:v>62</c:v>
                </c:pt>
                <c:pt idx="205">
                  <c:v>52</c:v>
                </c:pt>
                <c:pt idx="206">
                  <c:v>59</c:v>
                </c:pt>
                <c:pt idx="207">
                  <c:v>60</c:v>
                </c:pt>
                <c:pt idx="208">
                  <c:v>49</c:v>
                </c:pt>
                <c:pt idx="209">
                  <c:v>59</c:v>
                </c:pt>
                <c:pt idx="210">
                  <c:v>57</c:v>
                </c:pt>
                <c:pt idx="211">
                  <c:v>61</c:v>
                </c:pt>
                <c:pt idx="212">
                  <c:v>39</c:v>
                </c:pt>
                <c:pt idx="213">
                  <c:v>61</c:v>
                </c:pt>
                <c:pt idx="214">
                  <c:v>56</c:v>
                </c:pt>
                <c:pt idx="215">
                  <c:v>43</c:v>
                </c:pt>
                <c:pt idx="216">
                  <c:v>62</c:v>
                </c:pt>
                <c:pt idx="217">
                  <c:v>63</c:v>
                </c:pt>
                <c:pt idx="218">
                  <c:v>65</c:v>
                </c:pt>
                <c:pt idx="219">
                  <c:v>48</c:v>
                </c:pt>
                <c:pt idx="220">
                  <c:v>63</c:v>
                </c:pt>
                <c:pt idx="221">
                  <c:v>55</c:v>
                </c:pt>
                <c:pt idx="222">
                  <c:v>65</c:v>
                </c:pt>
                <c:pt idx="223">
                  <c:v>56</c:v>
                </c:pt>
                <c:pt idx="224">
                  <c:v>54</c:v>
                </c:pt>
                <c:pt idx="225">
                  <c:v>70</c:v>
                </c:pt>
                <c:pt idx="226">
                  <c:v>62</c:v>
                </c:pt>
                <c:pt idx="227">
                  <c:v>35</c:v>
                </c:pt>
                <c:pt idx="228">
                  <c:v>59</c:v>
                </c:pt>
                <c:pt idx="229">
                  <c:v>64</c:v>
                </c:pt>
                <c:pt idx="230">
                  <c:v>47</c:v>
                </c:pt>
                <c:pt idx="231">
                  <c:v>57</c:v>
                </c:pt>
                <c:pt idx="232">
                  <c:v>55</c:v>
                </c:pt>
                <c:pt idx="233">
                  <c:v>64</c:v>
                </c:pt>
                <c:pt idx="234">
                  <c:v>70</c:v>
                </c:pt>
                <c:pt idx="235">
                  <c:v>51</c:v>
                </c:pt>
                <c:pt idx="236">
                  <c:v>58</c:v>
                </c:pt>
                <c:pt idx="237">
                  <c:v>60</c:v>
                </c:pt>
                <c:pt idx="238">
                  <c:v>77</c:v>
                </c:pt>
                <c:pt idx="239">
                  <c:v>35</c:v>
                </c:pt>
                <c:pt idx="240">
                  <c:v>70</c:v>
                </c:pt>
                <c:pt idx="241">
                  <c:v>59</c:v>
                </c:pt>
                <c:pt idx="242">
                  <c:v>64</c:v>
                </c:pt>
                <c:pt idx="243">
                  <c:v>57</c:v>
                </c:pt>
                <c:pt idx="244">
                  <c:v>56</c:v>
                </c:pt>
                <c:pt idx="245">
                  <c:v>48</c:v>
                </c:pt>
                <c:pt idx="246">
                  <c:v>56</c:v>
                </c:pt>
                <c:pt idx="247">
                  <c:v>66</c:v>
                </c:pt>
                <c:pt idx="248">
                  <c:v>54</c:v>
                </c:pt>
                <c:pt idx="249">
                  <c:v>69</c:v>
                </c:pt>
                <c:pt idx="250">
                  <c:v>51</c:v>
                </c:pt>
                <c:pt idx="251">
                  <c:v>43</c:v>
                </c:pt>
                <c:pt idx="252">
                  <c:v>62</c:v>
                </c:pt>
                <c:pt idx="253">
                  <c:v>67</c:v>
                </c:pt>
                <c:pt idx="254">
                  <c:v>59</c:v>
                </c:pt>
                <c:pt idx="255">
                  <c:v>45</c:v>
                </c:pt>
                <c:pt idx="256">
                  <c:v>58</c:v>
                </c:pt>
                <c:pt idx="257">
                  <c:v>50</c:v>
                </c:pt>
                <c:pt idx="258">
                  <c:v>62</c:v>
                </c:pt>
                <c:pt idx="259">
                  <c:v>38</c:v>
                </c:pt>
                <c:pt idx="260">
                  <c:v>66</c:v>
                </c:pt>
                <c:pt idx="261">
                  <c:v>52</c:v>
                </c:pt>
                <c:pt idx="262">
                  <c:v>53</c:v>
                </c:pt>
                <c:pt idx="263">
                  <c:v>63</c:v>
                </c:pt>
                <c:pt idx="264">
                  <c:v>54</c:v>
                </c:pt>
                <c:pt idx="265">
                  <c:v>66</c:v>
                </c:pt>
                <c:pt idx="266">
                  <c:v>55</c:v>
                </c:pt>
                <c:pt idx="267">
                  <c:v>49</c:v>
                </c:pt>
                <c:pt idx="268">
                  <c:v>54</c:v>
                </c:pt>
                <c:pt idx="269">
                  <c:v>56</c:v>
                </c:pt>
                <c:pt idx="270">
                  <c:v>46</c:v>
                </c:pt>
                <c:pt idx="271">
                  <c:v>61</c:v>
                </c:pt>
                <c:pt idx="272">
                  <c:v>67</c:v>
                </c:pt>
                <c:pt idx="273">
                  <c:v>58</c:v>
                </c:pt>
                <c:pt idx="274">
                  <c:v>47</c:v>
                </c:pt>
                <c:pt idx="275">
                  <c:v>52</c:v>
                </c:pt>
                <c:pt idx="276">
                  <c:v>58</c:v>
                </c:pt>
                <c:pt idx="277">
                  <c:v>57</c:v>
                </c:pt>
                <c:pt idx="278">
                  <c:v>58</c:v>
                </c:pt>
                <c:pt idx="279">
                  <c:v>61</c:v>
                </c:pt>
                <c:pt idx="280">
                  <c:v>42</c:v>
                </c:pt>
                <c:pt idx="281">
                  <c:v>52</c:v>
                </c:pt>
                <c:pt idx="282">
                  <c:v>59</c:v>
                </c:pt>
                <c:pt idx="283">
                  <c:v>40</c:v>
                </c:pt>
                <c:pt idx="284">
                  <c:v>61</c:v>
                </c:pt>
                <c:pt idx="285">
                  <c:v>46</c:v>
                </c:pt>
                <c:pt idx="286">
                  <c:v>59</c:v>
                </c:pt>
                <c:pt idx="287">
                  <c:v>57</c:v>
                </c:pt>
                <c:pt idx="288">
                  <c:v>57</c:v>
                </c:pt>
                <c:pt idx="289">
                  <c:v>55</c:v>
                </c:pt>
                <c:pt idx="290">
                  <c:v>61</c:v>
                </c:pt>
                <c:pt idx="291">
                  <c:v>58</c:v>
                </c:pt>
                <c:pt idx="292">
                  <c:v>58</c:v>
                </c:pt>
                <c:pt idx="293">
                  <c:v>67</c:v>
                </c:pt>
                <c:pt idx="294">
                  <c:v>44</c:v>
                </c:pt>
                <c:pt idx="295">
                  <c:v>63</c:v>
                </c:pt>
                <c:pt idx="296">
                  <c:v>63</c:v>
                </c:pt>
                <c:pt idx="297">
                  <c:v>59</c:v>
                </c:pt>
                <c:pt idx="298">
                  <c:v>57</c:v>
                </c:pt>
                <c:pt idx="299">
                  <c:v>45</c:v>
                </c:pt>
                <c:pt idx="300">
                  <c:v>68</c:v>
                </c:pt>
                <c:pt idx="301">
                  <c:v>57</c:v>
                </c:pt>
                <c:pt idx="302">
                  <c:v>57</c:v>
                </c:pt>
              </c:numCache>
            </c:numRef>
          </c:xVal>
          <c:yVal>
            <c:numRef>
              <c:f>regression!$X$2:$X$304</c:f>
              <c:numCache>
                <c:formatCode>General</c:formatCode>
                <c:ptCount val="303"/>
                <c:pt idx="0">
                  <c:v>233</c:v>
                </c:pt>
                <c:pt idx="1">
                  <c:v>250</c:v>
                </c:pt>
                <c:pt idx="2">
                  <c:v>204</c:v>
                </c:pt>
                <c:pt idx="3">
                  <c:v>236</c:v>
                </c:pt>
                <c:pt idx="4">
                  <c:v>354</c:v>
                </c:pt>
                <c:pt idx="5">
                  <c:v>192</c:v>
                </c:pt>
                <c:pt idx="6">
                  <c:v>294</c:v>
                </c:pt>
                <c:pt idx="7">
                  <c:v>263</c:v>
                </c:pt>
                <c:pt idx="8">
                  <c:v>199</c:v>
                </c:pt>
                <c:pt idx="9">
                  <c:v>168</c:v>
                </c:pt>
                <c:pt idx="10">
                  <c:v>239</c:v>
                </c:pt>
                <c:pt idx="11">
                  <c:v>275</c:v>
                </c:pt>
                <c:pt idx="12">
                  <c:v>266</c:v>
                </c:pt>
                <c:pt idx="13">
                  <c:v>211</c:v>
                </c:pt>
                <c:pt idx="14">
                  <c:v>283</c:v>
                </c:pt>
                <c:pt idx="15">
                  <c:v>219</c:v>
                </c:pt>
                <c:pt idx="16">
                  <c:v>340</c:v>
                </c:pt>
                <c:pt idx="17">
                  <c:v>226</c:v>
                </c:pt>
                <c:pt idx="18">
                  <c:v>247</c:v>
                </c:pt>
                <c:pt idx="19">
                  <c:v>239</c:v>
                </c:pt>
                <c:pt idx="20">
                  <c:v>234</c:v>
                </c:pt>
                <c:pt idx="21">
                  <c:v>233</c:v>
                </c:pt>
                <c:pt idx="22">
                  <c:v>226</c:v>
                </c:pt>
                <c:pt idx="23">
                  <c:v>243</c:v>
                </c:pt>
                <c:pt idx="24">
                  <c:v>199</c:v>
                </c:pt>
                <c:pt idx="25">
                  <c:v>302</c:v>
                </c:pt>
                <c:pt idx="26">
                  <c:v>212</c:v>
                </c:pt>
                <c:pt idx="27">
                  <c:v>175</c:v>
                </c:pt>
                <c:pt idx="28">
                  <c:v>417</c:v>
                </c:pt>
                <c:pt idx="29">
                  <c:v>197</c:v>
                </c:pt>
                <c:pt idx="30">
                  <c:v>198</c:v>
                </c:pt>
                <c:pt idx="31">
                  <c:v>177</c:v>
                </c:pt>
                <c:pt idx="32">
                  <c:v>219</c:v>
                </c:pt>
                <c:pt idx="33">
                  <c:v>273</c:v>
                </c:pt>
                <c:pt idx="34">
                  <c:v>213</c:v>
                </c:pt>
                <c:pt idx="35">
                  <c:v>177</c:v>
                </c:pt>
                <c:pt idx="36">
                  <c:v>304</c:v>
                </c:pt>
                <c:pt idx="37">
                  <c:v>232</c:v>
                </c:pt>
                <c:pt idx="38">
                  <c:v>269</c:v>
                </c:pt>
                <c:pt idx="39">
                  <c:v>360</c:v>
                </c:pt>
                <c:pt idx="40">
                  <c:v>308</c:v>
                </c:pt>
                <c:pt idx="41">
                  <c:v>245</c:v>
                </c:pt>
                <c:pt idx="42">
                  <c:v>208</c:v>
                </c:pt>
                <c:pt idx="43">
                  <c:v>264</c:v>
                </c:pt>
                <c:pt idx="44">
                  <c:v>321</c:v>
                </c:pt>
                <c:pt idx="45">
                  <c:v>325</c:v>
                </c:pt>
                <c:pt idx="46">
                  <c:v>235</c:v>
                </c:pt>
                <c:pt idx="47">
                  <c:v>257</c:v>
                </c:pt>
                <c:pt idx="48">
                  <c:v>216</c:v>
                </c:pt>
                <c:pt idx="49">
                  <c:v>234</c:v>
                </c:pt>
                <c:pt idx="50">
                  <c:v>256</c:v>
                </c:pt>
                <c:pt idx="51">
                  <c:v>302</c:v>
                </c:pt>
                <c:pt idx="52">
                  <c:v>231</c:v>
                </c:pt>
                <c:pt idx="53">
                  <c:v>141</c:v>
                </c:pt>
                <c:pt idx="54">
                  <c:v>252</c:v>
                </c:pt>
                <c:pt idx="55">
                  <c:v>201</c:v>
                </c:pt>
                <c:pt idx="56">
                  <c:v>222</c:v>
                </c:pt>
                <c:pt idx="57">
                  <c:v>260</c:v>
                </c:pt>
                <c:pt idx="58">
                  <c:v>182</c:v>
                </c:pt>
                <c:pt idx="59">
                  <c:v>303</c:v>
                </c:pt>
                <c:pt idx="60">
                  <c:v>265</c:v>
                </c:pt>
                <c:pt idx="61">
                  <c:v>309</c:v>
                </c:pt>
                <c:pt idx="62">
                  <c:v>186</c:v>
                </c:pt>
                <c:pt idx="63">
                  <c:v>203</c:v>
                </c:pt>
                <c:pt idx="64">
                  <c:v>211</c:v>
                </c:pt>
                <c:pt idx="65">
                  <c:v>183</c:v>
                </c:pt>
                <c:pt idx="66">
                  <c:v>222</c:v>
                </c:pt>
                <c:pt idx="67">
                  <c:v>234</c:v>
                </c:pt>
                <c:pt idx="68">
                  <c:v>220</c:v>
                </c:pt>
                <c:pt idx="69">
                  <c:v>209</c:v>
                </c:pt>
                <c:pt idx="70">
                  <c:v>258</c:v>
                </c:pt>
                <c:pt idx="71">
                  <c:v>227</c:v>
                </c:pt>
                <c:pt idx="72">
                  <c:v>204</c:v>
                </c:pt>
                <c:pt idx="73">
                  <c:v>261</c:v>
                </c:pt>
                <c:pt idx="74">
                  <c:v>213</c:v>
                </c:pt>
                <c:pt idx="75">
                  <c:v>250</c:v>
                </c:pt>
                <c:pt idx="76">
                  <c:v>245</c:v>
                </c:pt>
                <c:pt idx="77">
                  <c:v>221</c:v>
                </c:pt>
                <c:pt idx="78">
                  <c:v>205</c:v>
                </c:pt>
                <c:pt idx="79">
                  <c:v>240</c:v>
                </c:pt>
                <c:pt idx="80">
                  <c:v>250</c:v>
                </c:pt>
                <c:pt idx="81">
                  <c:v>308</c:v>
                </c:pt>
                <c:pt idx="82">
                  <c:v>318</c:v>
                </c:pt>
                <c:pt idx="83">
                  <c:v>298</c:v>
                </c:pt>
                <c:pt idx="84">
                  <c:v>265</c:v>
                </c:pt>
                <c:pt idx="85">
                  <c:v>564</c:v>
                </c:pt>
                <c:pt idx="86">
                  <c:v>277</c:v>
                </c:pt>
                <c:pt idx="87">
                  <c:v>197</c:v>
                </c:pt>
                <c:pt idx="88">
                  <c:v>214</c:v>
                </c:pt>
                <c:pt idx="89">
                  <c:v>248</c:v>
                </c:pt>
                <c:pt idx="90">
                  <c:v>255</c:v>
                </c:pt>
                <c:pt idx="91">
                  <c:v>207</c:v>
                </c:pt>
                <c:pt idx="92">
                  <c:v>223</c:v>
                </c:pt>
                <c:pt idx="93">
                  <c:v>288</c:v>
                </c:pt>
                <c:pt idx="94">
                  <c:v>160</c:v>
                </c:pt>
                <c:pt idx="95">
                  <c:v>226</c:v>
                </c:pt>
                <c:pt idx="96">
                  <c:v>394</c:v>
                </c:pt>
                <c:pt idx="97">
                  <c:v>233</c:v>
                </c:pt>
                <c:pt idx="98">
                  <c:v>315</c:v>
                </c:pt>
                <c:pt idx="99">
                  <c:v>246</c:v>
                </c:pt>
                <c:pt idx="100">
                  <c:v>244</c:v>
                </c:pt>
                <c:pt idx="101">
                  <c:v>270</c:v>
                </c:pt>
                <c:pt idx="102">
                  <c:v>195</c:v>
                </c:pt>
                <c:pt idx="103">
                  <c:v>240</c:v>
                </c:pt>
                <c:pt idx="104">
                  <c:v>196</c:v>
                </c:pt>
                <c:pt idx="105">
                  <c:v>211</c:v>
                </c:pt>
                <c:pt idx="106">
                  <c:v>234</c:v>
                </c:pt>
                <c:pt idx="107">
                  <c:v>236</c:v>
                </c:pt>
                <c:pt idx="108">
                  <c:v>244</c:v>
                </c:pt>
                <c:pt idx="109">
                  <c:v>254</c:v>
                </c:pt>
                <c:pt idx="110">
                  <c:v>325</c:v>
                </c:pt>
                <c:pt idx="111">
                  <c:v>126</c:v>
                </c:pt>
                <c:pt idx="112">
                  <c:v>313</c:v>
                </c:pt>
                <c:pt idx="113">
                  <c:v>211</c:v>
                </c:pt>
                <c:pt idx="114">
                  <c:v>262</c:v>
                </c:pt>
                <c:pt idx="115">
                  <c:v>215</c:v>
                </c:pt>
                <c:pt idx="116">
                  <c:v>214</c:v>
                </c:pt>
                <c:pt idx="117">
                  <c:v>193</c:v>
                </c:pt>
                <c:pt idx="118">
                  <c:v>204</c:v>
                </c:pt>
                <c:pt idx="119">
                  <c:v>243</c:v>
                </c:pt>
                <c:pt idx="120">
                  <c:v>303</c:v>
                </c:pt>
                <c:pt idx="121">
                  <c:v>271</c:v>
                </c:pt>
                <c:pt idx="122">
                  <c:v>268</c:v>
                </c:pt>
                <c:pt idx="123">
                  <c:v>267</c:v>
                </c:pt>
                <c:pt idx="124">
                  <c:v>199</c:v>
                </c:pt>
                <c:pt idx="125">
                  <c:v>210</c:v>
                </c:pt>
                <c:pt idx="126">
                  <c:v>204</c:v>
                </c:pt>
                <c:pt idx="127">
                  <c:v>277</c:v>
                </c:pt>
                <c:pt idx="128">
                  <c:v>196</c:v>
                </c:pt>
                <c:pt idx="129">
                  <c:v>269</c:v>
                </c:pt>
                <c:pt idx="130">
                  <c:v>201</c:v>
                </c:pt>
                <c:pt idx="131">
                  <c:v>271</c:v>
                </c:pt>
                <c:pt idx="132">
                  <c:v>295</c:v>
                </c:pt>
                <c:pt idx="133">
                  <c:v>235</c:v>
                </c:pt>
                <c:pt idx="134">
                  <c:v>306</c:v>
                </c:pt>
                <c:pt idx="135">
                  <c:v>269</c:v>
                </c:pt>
                <c:pt idx="136">
                  <c:v>178</c:v>
                </c:pt>
                <c:pt idx="137">
                  <c:v>208</c:v>
                </c:pt>
                <c:pt idx="138">
                  <c:v>201</c:v>
                </c:pt>
                <c:pt idx="139">
                  <c:v>263</c:v>
                </c:pt>
                <c:pt idx="140">
                  <c:v>295</c:v>
                </c:pt>
                <c:pt idx="141">
                  <c:v>303</c:v>
                </c:pt>
                <c:pt idx="142">
                  <c:v>209</c:v>
                </c:pt>
                <c:pt idx="143">
                  <c:v>223</c:v>
                </c:pt>
                <c:pt idx="144">
                  <c:v>197</c:v>
                </c:pt>
                <c:pt idx="145">
                  <c:v>245</c:v>
                </c:pt>
                <c:pt idx="146">
                  <c:v>242</c:v>
                </c:pt>
                <c:pt idx="147">
                  <c:v>240</c:v>
                </c:pt>
                <c:pt idx="148">
                  <c:v>226</c:v>
                </c:pt>
                <c:pt idx="149">
                  <c:v>180</c:v>
                </c:pt>
                <c:pt idx="150">
                  <c:v>228</c:v>
                </c:pt>
                <c:pt idx="151">
                  <c:v>149</c:v>
                </c:pt>
                <c:pt idx="152">
                  <c:v>227</c:v>
                </c:pt>
                <c:pt idx="153">
                  <c:v>278</c:v>
                </c:pt>
                <c:pt idx="154">
                  <c:v>220</c:v>
                </c:pt>
                <c:pt idx="155">
                  <c:v>197</c:v>
                </c:pt>
                <c:pt idx="156">
                  <c:v>253</c:v>
                </c:pt>
                <c:pt idx="157">
                  <c:v>192</c:v>
                </c:pt>
                <c:pt idx="158">
                  <c:v>220</c:v>
                </c:pt>
                <c:pt idx="159">
                  <c:v>221</c:v>
                </c:pt>
                <c:pt idx="160">
                  <c:v>240</c:v>
                </c:pt>
                <c:pt idx="161">
                  <c:v>342</c:v>
                </c:pt>
                <c:pt idx="162">
                  <c:v>157</c:v>
                </c:pt>
                <c:pt idx="163">
                  <c:v>175</c:v>
                </c:pt>
                <c:pt idx="164">
                  <c:v>175</c:v>
                </c:pt>
                <c:pt idx="165">
                  <c:v>286</c:v>
                </c:pt>
                <c:pt idx="166">
                  <c:v>229</c:v>
                </c:pt>
                <c:pt idx="167">
                  <c:v>268</c:v>
                </c:pt>
                <c:pt idx="168">
                  <c:v>254</c:v>
                </c:pt>
                <c:pt idx="169">
                  <c:v>203</c:v>
                </c:pt>
                <c:pt idx="170">
                  <c:v>256</c:v>
                </c:pt>
                <c:pt idx="171">
                  <c:v>229</c:v>
                </c:pt>
                <c:pt idx="172">
                  <c:v>284</c:v>
                </c:pt>
                <c:pt idx="173">
                  <c:v>224</c:v>
                </c:pt>
                <c:pt idx="174">
                  <c:v>206</c:v>
                </c:pt>
                <c:pt idx="175">
                  <c:v>167</c:v>
                </c:pt>
                <c:pt idx="176">
                  <c:v>230</c:v>
                </c:pt>
                <c:pt idx="177">
                  <c:v>335</c:v>
                </c:pt>
                <c:pt idx="178">
                  <c:v>177</c:v>
                </c:pt>
                <c:pt idx="179">
                  <c:v>276</c:v>
                </c:pt>
                <c:pt idx="180">
                  <c:v>353</c:v>
                </c:pt>
                <c:pt idx="181">
                  <c:v>225</c:v>
                </c:pt>
                <c:pt idx="182">
                  <c:v>330</c:v>
                </c:pt>
                <c:pt idx="183">
                  <c:v>230</c:v>
                </c:pt>
                <c:pt idx="184">
                  <c:v>243</c:v>
                </c:pt>
                <c:pt idx="185">
                  <c:v>290</c:v>
                </c:pt>
                <c:pt idx="186">
                  <c:v>253</c:v>
                </c:pt>
                <c:pt idx="187">
                  <c:v>266</c:v>
                </c:pt>
                <c:pt idx="188">
                  <c:v>233</c:v>
                </c:pt>
                <c:pt idx="189">
                  <c:v>172</c:v>
                </c:pt>
                <c:pt idx="190">
                  <c:v>305</c:v>
                </c:pt>
                <c:pt idx="191">
                  <c:v>216</c:v>
                </c:pt>
                <c:pt idx="192">
                  <c:v>188</c:v>
                </c:pt>
                <c:pt idx="193">
                  <c:v>282</c:v>
                </c:pt>
                <c:pt idx="194">
                  <c:v>185</c:v>
                </c:pt>
                <c:pt idx="195">
                  <c:v>326</c:v>
                </c:pt>
                <c:pt idx="196">
                  <c:v>231</c:v>
                </c:pt>
                <c:pt idx="197">
                  <c:v>254</c:v>
                </c:pt>
                <c:pt idx="198">
                  <c:v>267</c:v>
                </c:pt>
                <c:pt idx="199">
                  <c:v>248</c:v>
                </c:pt>
                <c:pt idx="200">
                  <c:v>197</c:v>
                </c:pt>
                <c:pt idx="201">
                  <c:v>258</c:v>
                </c:pt>
                <c:pt idx="202">
                  <c:v>270</c:v>
                </c:pt>
                <c:pt idx="203">
                  <c:v>274</c:v>
                </c:pt>
                <c:pt idx="204">
                  <c:v>164</c:v>
                </c:pt>
                <c:pt idx="205">
                  <c:v>255</c:v>
                </c:pt>
                <c:pt idx="206">
                  <c:v>239</c:v>
                </c:pt>
                <c:pt idx="207">
                  <c:v>258</c:v>
                </c:pt>
                <c:pt idx="208">
                  <c:v>188</c:v>
                </c:pt>
                <c:pt idx="209">
                  <c:v>177</c:v>
                </c:pt>
                <c:pt idx="210">
                  <c:v>229</c:v>
                </c:pt>
                <c:pt idx="211">
                  <c:v>260</c:v>
                </c:pt>
                <c:pt idx="212">
                  <c:v>219</c:v>
                </c:pt>
                <c:pt idx="213">
                  <c:v>307</c:v>
                </c:pt>
                <c:pt idx="214">
                  <c:v>249</c:v>
                </c:pt>
                <c:pt idx="215">
                  <c:v>341</c:v>
                </c:pt>
                <c:pt idx="216">
                  <c:v>263</c:v>
                </c:pt>
                <c:pt idx="217">
                  <c:v>330</c:v>
                </c:pt>
                <c:pt idx="218">
                  <c:v>254</c:v>
                </c:pt>
                <c:pt idx="219">
                  <c:v>256</c:v>
                </c:pt>
                <c:pt idx="220">
                  <c:v>407</c:v>
                </c:pt>
                <c:pt idx="221">
                  <c:v>217</c:v>
                </c:pt>
                <c:pt idx="222">
                  <c:v>282</c:v>
                </c:pt>
                <c:pt idx="223">
                  <c:v>288</c:v>
                </c:pt>
                <c:pt idx="224">
                  <c:v>239</c:v>
                </c:pt>
                <c:pt idx="225">
                  <c:v>174</c:v>
                </c:pt>
                <c:pt idx="226">
                  <c:v>281</c:v>
                </c:pt>
                <c:pt idx="227">
                  <c:v>198</c:v>
                </c:pt>
                <c:pt idx="228">
                  <c:v>288</c:v>
                </c:pt>
                <c:pt idx="229">
                  <c:v>309</c:v>
                </c:pt>
                <c:pt idx="230">
                  <c:v>243</c:v>
                </c:pt>
                <c:pt idx="231">
                  <c:v>289</c:v>
                </c:pt>
                <c:pt idx="232">
                  <c:v>289</c:v>
                </c:pt>
                <c:pt idx="233">
                  <c:v>246</c:v>
                </c:pt>
                <c:pt idx="234">
                  <c:v>322</c:v>
                </c:pt>
                <c:pt idx="235">
                  <c:v>299</c:v>
                </c:pt>
                <c:pt idx="236">
                  <c:v>300</c:v>
                </c:pt>
                <c:pt idx="237">
                  <c:v>293</c:v>
                </c:pt>
                <c:pt idx="238">
                  <c:v>304</c:v>
                </c:pt>
                <c:pt idx="239">
                  <c:v>282</c:v>
                </c:pt>
                <c:pt idx="240">
                  <c:v>269</c:v>
                </c:pt>
                <c:pt idx="241">
                  <c:v>249</c:v>
                </c:pt>
                <c:pt idx="242">
                  <c:v>212</c:v>
                </c:pt>
                <c:pt idx="243">
                  <c:v>274</c:v>
                </c:pt>
                <c:pt idx="244">
                  <c:v>184</c:v>
                </c:pt>
                <c:pt idx="245">
                  <c:v>274</c:v>
                </c:pt>
                <c:pt idx="246">
                  <c:v>409</c:v>
                </c:pt>
                <c:pt idx="247">
                  <c:v>246</c:v>
                </c:pt>
                <c:pt idx="248">
                  <c:v>283</c:v>
                </c:pt>
                <c:pt idx="249">
                  <c:v>254</c:v>
                </c:pt>
                <c:pt idx="250">
                  <c:v>298</c:v>
                </c:pt>
                <c:pt idx="251">
                  <c:v>247</c:v>
                </c:pt>
                <c:pt idx="252">
                  <c:v>294</c:v>
                </c:pt>
                <c:pt idx="253">
                  <c:v>299</c:v>
                </c:pt>
                <c:pt idx="254">
                  <c:v>273</c:v>
                </c:pt>
                <c:pt idx="255">
                  <c:v>309</c:v>
                </c:pt>
                <c:pt idx="256">
                  <c:v>259</c:v>
                </c:pt>
                <c:pt idx="257">
                  <c:v>200</c:v>
                </c:pt>
                <c:pt idx="258">
                  <c:v>244</c:v>
                </c:pt>
                <c:pt idx="259">
                  <c:v>231</c:v>
                </c:pt>
                <c:pt idx="260">
                  <c:v>228</c:v>
                </c:pt>
                <c:pt idx="261">
                  <c:v>230</c:v>
                </c:pt>
                <c:pt idx="262">
                  <c:v>282</c:v>
                </c:pt>
                <c:pt idx="263">
                  <c:v>269</c:v>
                </c:pt>
                <c:pt idx="264">
                  <c:v>206</c:v>
                </c:pt>
                <c:pt idx="265">
                  <c:v>212</c:v>
                </c:pt>
                <c:pt idx="266">
                  <c:v>327</c:v>
                </c:pt>
                <c:pt idx="267">
                  <c:v>149</c:v>
                </c:pt>
                <c:pt idx="268">
                  <c:v>286</c:v>
                </c:pt>
                <c:pt idx="269">
                  <c:v>283</c:v>
                </c:pt>
                <c:pt idx="270">
                  <c:v>249</c:v>
                </c:pt>
                <c:pt idx="271">
                  <c:v>234</c:v>
                </c:pt>
                <c:pt idx="272">
                  <c:v>237</c:v>
                </c:pt>
                <c:pt idx="273">
                  <c:v>234</c:v>
                </c:pt>
                <c:pt idx="274">
                  <c:v>275</c:v>
                </c:pt>
                <c:pt idx="275">
                  <c:v>212</c:v>
                </c:pt>
                <c:pt idx="276">
                  <c:v>218</c:v>
                </c:pt>
                <c:pt idx="277">
                  <c:v>261</c:v>
                </c:pt>
                <c:pt idx="278">
                  <c:v>319</c:v>
                </c:pt>
                <c:pt idx="279">
                  <c:v>166</c:v>
                </c:pt>
                <c:pt idx="280">
                  <c:v>315</c:v>
                </c:pt>
                <c:pt idx="281">
                  <c:v>204</c:v>
                </c:pt>
                <c:pt idx="282">
                  <c:v>218</c:v>
                </c:pt>
                <c:pt idx="283">
                  <c:v>223</c:v>
                </c:pt>
                <c:pt idx="284">
                  <c:v>207</c:v>
                </c:pt>
                <c:pt idx="285">
                  <c:v>311</c:v>
                </c:pt>
                <c:pt idx="286">
                  <c:v>204</c:v>
                </c:pt>
                <c:pt idx="287">
                  <c:v>232</c:v>
                </c:pt>
                <c:pt idx="288">
                  <c:v>335</c:v>
                </c:pt>
                <c:pt idx="289">
                  <c:v>205</c:v>
                </c:pt>
                <c:pt idx="290">
                  <c:v>203</c:v>
                </c:pt>
                <c:pt idx="291">
                  <c:v>318</c:v>
                </c:pt>
                <c:pt idx="292">
                  <c:v>225</c:v>
                </c:pt>
                <c:pt idx="293">
                  <c:v>212</c:v>
                </c:pt>
                <c:pt idx="294">
                  <c:v>169</c:v>
                </c:pt>
                <c:pt idx="295">
                  <c:v>187</c:v>
                </c:pt>
                <c:pt idx="296">
                  <c:v>197</c:v>
                </c:pt>
                <c:pt idx="297">
                  <c:v>176</c:v>
                </c:pt>
                <c:pt idx="298">
                  <c:v>241</c:v>
                </c:pt>
                <c:pt idx="299">
                  <c:v>264</c:v>
                </c:pt>
                <c:pt idx="300">
                  <c:v>193</c:v>
                </c:pt>
                <c:pt idx="301">
                  <c:v>131</c:v>
                </c:pt>
                <c:pt idx="302">
                  <c:v>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C8-4152-92D3-C36B4902F908}"/>
            </c:ext>
          </c:extLst>
        </c:ser>
        <c:ser>
          <c:idx val="1"/>
          <c:order val="1"/>
          <c:tx>
            <c:v>Predicted chol</c:v>
          </c:tx>
          <c:spPr>
            <a:ln w="19050">
              <a:noFill/>
            </a:ln>
          </c:spPr>
          <c:xVal>
            <c:numRef>
              <c:f>regression!$V$2:$V$304</c:f>
              <c:numCache>
                <c:formatCode>General</c:formatCode>
                <c:ptCount val="303"/>
                <c:pt idx="0">
                  <c:v>63</c:v>
                </c:pt>
                <c:pt idx="1">
                  <c:v>37</c:v>
                </c:pt>
                <c:pt idx="2">
                  <c:v>41</c:v>
                </c:pt>
                <c:pt idx="3">
                  <c:v>56</c:v>
                </c:pt>
                <c:pt idx="4">
                  <c:v>57</c:v>
                </c:pt>
                <c:pt idx="5">
                  <c:v>57</c:v>
                </c:pt>
                <c:pt idx="6">
                  <c:v>56</c:v>
                </c:pt>
                <c:pt idx="7">
                  <c:v>44</c:v>
                </c:pt>
                <c:pt idx="8">
                  <c:v>52</c:v>
                </c:pt>
                <c:pt idx="9">
                  <c:v>57</c:v>
                </c:pt>
                <c:pt idx="10">
                  <c:v>54</c:v>
                </c:pt>
                <c:pt idx="11">
                  <c:v>48</c:v>
                </c:pt>
                <c:pt idx="12">
                  <c:v>49</c:v>
                </c:pt>
                <c:pt idx="13">
                  <c:v>64</c:v>
                </c:pt>
                <c:pt idx="14">
                  <c:v>58</c:v>
                </c:pt>
                <c:pt idx="15">
                  <c:v>50</c:v>
                </c:pt>
                <c:pt idx="16">
                  <c:v>58</c:v>
                </c:pt>
                <c:pt idx="17">
                  <c:v>66</c:v>
                </c:pt>
                <c:pt idx="18">
                  <c:v>43</c:v>
                </c:pt>
                <c:pt idx="19">
                  <c:v>69</c:v>
                </c:pt>
                <c:pt idx="20">
                  <c:v>59</c:v>
                </c:pt>
                <c:pt idx="21">
                  <c:v>44</c:v>
                </c:pt>
                <c:pt idx="22">
                  <c:v>42</c:v>
                </c:pt>
                <c:pt idx="23">
                  <c:v>61</c:v>
                </c:pt>
                <c:pt idx="24">
                  <c:v>40</c:v>
                </c:pt>
                <c:pt idx="25">
                  <c:v>71</c:v>
                </c:pt>
                <c:pt idx="26">
                  <c:v>59</c:v>
                </c:pt>
                <c:pt idx="27">
                  <c:v>51</c:v>
                </c:pt>
                <c:pt idx="28">
                  <c:v>65</c:v>
                </c:pt>
                <c:pt idx="29">
                  <c:v>53</c:v>
                </c:pt>
                <c:pt idx="30">
                  <c:v>41</c:v>
                </c:pt>
                <c:pt idx="31">
                  <c:v>65</c:v>
                </c:pt>
                <c:pt idx="32">
                  <c:v>44</c:v>
                </c:pt>
                <c:pt idx="33">
                  <c:v>54</c:v>
                </c:pt>
                <c:pt idx="34">
                  <c:v>51</c:v>
                </c:pt>
                <c:pt idx="35">
                  <c:v>46</c:v>
                </c:pt>
                <c:pt idx="36">
                  <c:v>54</c:v>
                </c:pt>
                <c:pt idx="37">
                  <c:v>54</c:v>
                </c:pt>
                <c:pt idx="38">
                  <c:v>65</c:v>
                </c:pt>
                <c:pt idx="39">
                  <c:v>65</c:v>
                </c:pt>
                <c:pt idx="40">
                  <c:v>51</c:v>
                </c:pt>
                <c:pt idx="41">
                  <c:v>48</c:v>
                </c:pt>
                <c:pt idx="42">
                  <c:v>45</c:v>
                </c:pt>
                <c:pt idx="43">
                  <c:v>53</c:v>
                </c:pt>
                <c:pt idx="44">
                  <c:v>39</c:v>
                </c:pt>
                <c:pt idx="45">
                  <c:v>52</c:v>
                </c:pt>
                <c:pt idx="46">
                  <c:v>44</c:v>
                </c:pt>
                <c:pt idx="47">
                  <c:v>47</c:v>
                </c:pt>
                <c:pt idx="48">
                  <c:v>53</c:v>
                </c:pt>
                <c:pt idx="49">
                  <c:v>53</c:v>
                </c:pt>
                <c:pt idx="50">
                  <c:v>51</c:v>
                </c:pt>
                <c:pt idx="51">
                  <c:v>66</c:v>
                </c:pt>
                <c:pt idx="52">
                  <c:v>62</c:v>
                </c:pt>
                <c:pt idx="53">
                  <c:v>44</c:v>
                </c:pt>
                <c:pt idx="54">
                  <c:v>63</c:v>
                </c:pt>
                <c:pt idx="55">
                  <c:v>52</c:v>
                </c:pt>
                <c:pt idx="56">
                  <c:v>48</c:v>
                </c:pt>
                <c:pt idx="57">
                  <c:v>45</c:v>
                </c:pt>
                <c:pt idx="58">
                  <c:v>34</c:v>
                </c:pt>
                <c:pt idx="59">
                  <c:v>57</c:v>
                </c:pt>
                <c:pt idx="60">
                  <c:v>71</c:v>
                </c:pt>
                <c:pt idx="61">
                  <c:v>54</c:v>
                </c:pt>
                <c:pt idx="62">
                  <c:v>52</c:v>
                </c:pt>
                <c:pt idx="63">
                  <c:v>41</c:v>
                </c:pt>
                <c:pt idx="64">
                  <c:v>58</c:v>
                </c:pt>
                <c:pt idx="65">
                  <c:v>35</c:v>
                </c:pt>
                <c:pt idx="66">
                  <c:v>51</c:v>
                </c:pt>
                <c:pt idx="67">
                  <c:v>45</c:v>
                </c:pt>
                <c:pt idx="68">
                  <c:v>44</c:v>
                </c:pt>
                <c:pt idx="69">
                  <c:v>62</c:v>
                </c:pt>
                <c:pt idx="70">
                  <c:v>54</c:v>
                </c:pt>
                <c:pt idx="71">
                  <c:v>51</c:v>
                </c:pt>
                <c:pt idx="72">
                  <c:v>29</c:v>
                </c:pt>
                <c:pt idx="73">
                  <c:v>51</c:v>
                </c:pt>
                <c:pt idx="74">
                  <c:v>43</c:v>
                </c:pt>
                <c:pt idx="75">
                  <c:v>55</c:v>
                </c:pt>
                <c:pt idx="76">
                  <c:v>51</c:v>
                </c:pt>
                <c:pt idx="77">
                  <c:v>59</c:v>
                </c:pt>
                <c:pt idx="78">
                  <c:v>52</c:v>
                </c:pt>
                <c:pt idx="79">
                  <c:v>58</c:v>
                </c:pt>
                <c:pt idx="80">
                  <c:v>41</c:v>
                </c:pt>
                <c:pt idx="81">
                  <c:v>45</c:v>
                </c:pt>
                <c:pt idx="82">
                  <c:v>60</c:v>
                </c:pt>
                <c:pt idx="83">
                  <c:v>52</c:v>
                </c:pt>
                <c:pt idx="84">
                  <c:v>42</c:v>
                </c:pt>
                <c:pt idx="85">
                  <c:v>67</c:v>
                </c:pt>
                <c:pt idx="86">
                  <c:v>68</c:v>
                </c:pt>
                <c:pt idx="87">
                  <c:v>46</c:v>
                </c:pt>
                <c:pt idx="88">
                  <c:v>54</c:v>
                </c:pt>
                <c:pt idx="89">
                  <c:v>58</c:v>
                </c:pt>
                <c:pt idx="90">
                  <c:v>48</c:v>
                </c:pt>
                <c:pt idx="91">
                  <c:v>57</c:v>
                </c:pt>
                <c:pt idx="92">
                  <c:v>52</c:v>
                </c:pt>
                <c:pt idx="93">
                  <c:v>54</c:v>
                </c:pt>
                <c:pt idx="94">
                  <c:v>45</c:v>
                </c:pt>
                <c:pt idx="95">
                  <c:v>53</c:v>
                </c:pt>
                <c:pt idx="96">
                  <c:v>62</c:v>
                </c:pt>
                <c:pt idx="97">
                  <c:v>52</c:v>
                </c:pt>
                <c:pt idx="98">
                  <c:v>43</c:v>
                </c:pt>
                <c:pt idx="99">
                  <c:v>53</c:v>
                </c:pt>
                <c:pt idx="100">
                  <c:v>42</c:v>
                </c:pt>
                <c:pt idx="101">
                  <c:v>59</c:v>
                </c:pt>
                <c:pt idx="102">
                  <c:v>63</c:v>
                </c:pt>
                <c:pt idx="103">
                  <c:v>42</c:v>
                </c:pt>
                <c:pt idx="104">
                  <c:v>50</c:v>
                </c:pt>
                <c:pt idx="105">
                  <c:v>68</c:v>
                </c:pt>
                <c:pt idx="106">
                  <c:v>69</c:v>
                </c:pt>
                <c:pt idx="107">
                  <c:v>45</c:v>
                </c:pt>
                <c:pt idx="108">
                  <c:v>50</c:v>
                </c:pt>
                <c:pt idx="109">
                  <c:v>50</c:v>
                </c:pt>
                <c:pt idx="110">
                  <c:v>64</c:v>
                </c:pt>
                <c:pt idx="111">
                  <c:v>57</c:v>
                </c:pt>
                <c:pt idx="112">
                  <c:v>64</c:v>
                </c:pt>
                <c:pt idx="113">
                  <c:v>43</c:v>
                </c:pt>
                <c:pt idx="114">
                  <c:v>55</c:v>
                </c:pt>
                <c:pt idx="115">
                  <c:v>37</c:v>
                </c:pt>
                <c:pt idx="116">
                  <c:v>41</c:v>
                </c:pt>
                <c:pt idx="117">
                  <c:v>56</c:v>
                </c:pt>
                <c:pt idx="118">
                  <c:v>46</c:v>
                </c:pt>
                <c:pt idx="119">
                  <c:v>46</c:v>
                </c:pt>
                <c:pt idx="120">
                  <c:v>64</c:v>
                </c:pt>
                <c:pt idx="121">
                  <c:v>59</c:v>
                </c:pt>
                <c:pt idx="122">
                  <c:v>41</c:v>
                </c:pt>
                <c:pt idx="123">
                  <c:v>54</c:v>
                </c:pt>
                <c:pt idx="124">
                  <c:v>39</c:v>
                </c:pt>
                <c:pt idx="125">
                  <c:v>34</c:v>
                </c:pt>
                <c:pt idx="126">
                  <c:v>47</c:v>
                </c:pt>
                <c:pt idx="127">
                  <c:v>67</c:v>
                </c:pt>
                <c:pt idx="128">
                  <c:v>52</c:v>
                </c:pt>
                <c:pt idx="129">
                  <c:v>74</c:v>
                </c:pt>
                <c:pt idx="130">
                  <c:v>54</c:v>
                </c:pt>
                <c:pt idx="131">
                  <c:v>49</c:v>
                </c:pt>
                <c:pt idx="132">
                  <c:v>42</c:v>
                </c:pt>
                <c:pt idx="133">
                  <c:v>41</c:v>
                </c:pt>
                <c:pt idx="134">
                  <c:v>41</c:v>
                </c:pt>
                <c:pt idx="135">
                  <c:v>49</c:v>
                </c:pt>
                <c:pt idx="136">
                  <c:v>60</c:v>
                </c:pt>
                <c:pt idx="137">
                  <c:v>62</c:v>
                </c:pt>
                <c:pt idx="138">
                  <c:v>57</c:v>
                </c:pt>
                <c:pt idx="139">
                  <c:v>64</c:v>
                </c:pt>
                <c:pt idx="140">
                  <c:v>51</c:v>
                </c:pt>
                <c:pt idx="141">
                  <c:v>43</c:v>
                </c:pt>
                <c:pt idx="142">
                  <c:v>42</c:v>
                </c:pt>
                <c:pt idx="143">
                  <c:v>67</c:v>
                </c:pt>
                <c:pt idx="144">
                  <c:v>76</c:v>
                </c:pt>
                <c:pt idx="145">
                  <c:v>70</c:v>
                </c:pt>
                <c:pt idx="146">
                  <c:v>44</c:v>
                </c:pt>
                <c:pt idx="147">
                  <c:v>60</c:v>
                </c:pt>
                <c:pt idx="148">
                  <c:v>44</c:v>
                </c:pt>
                <c:pt idx="149">
                  <c:v>42</c:v>
                </c:pt>
                <c:pt idx="150">
                  <c:v>66</c:v>
                </c:pt>
                <c:pt idx="151">
                  <c:v>71</c:v>
                </c:pt>
                <c:pt idx="152">
                  <c:v>64</c:v>
                </c:pt>
                <c:pt idx="153">
                  <c:v>66</c:v>
                </c:pt>
                <c:pt idx="154">
                  <c:v>39</c:v>
                </c:pt>
                <c:pt idx="155">
                  <c:v>58</c:v>
                </c:pt>
                <c:pt idx="156">
                  <c:v>47</c:v>
                </c:pt>
                <c:pt idx="157">
                  <c:v>35</c:v>
                </c:pt>
                <c:pt idx="158">
                  <c:v>58</c:v>
                </c:pt>
                <c:pt idx="159">
                  <c:v>56</c:v>
                </c:pt>
                <c:pt idx="160">
                  <c:v>56</c:v>
                </c:pt>
                <c:pt idx="161">
                  <c:v>55</c:v>
                </c:pt>
                <c:pt idx="162">
                  <c:v>41</c:v>
                </c:pt>
                <c:pt idx="163">
                  <c:v>38</c:v>
                </c:pt>
                <c:pt idx="164">
                  <c:v>38</c:v>
                </c:pt>
                <c:pt idx="165">
                  <c:v>67</c:v>
                </c:pt>
                <c:pt idx="166">
                  <c:v>67</c:v>
                </c:pt>
                <c:pt idx="167">
                  <c:v>62</c:v>
                </c:pt>
                <c:pt idx="168">
                  <c:v>63</c:v>
                </c:pt>
                <c:pt idx="169">
                  <c:v>53</c:v>
                </c:pt>
                <c:pt idx="170">
                  <c:v>56</c:v>
                </c:pt>
                <c:pt idx="171">
                  <c:v>48</c:v>
                </c:pt>
                <c:pt idx="172">
                  <c:v>58</c:v>
                </c:pt>
                <c:pt idx="173">
                  <c:v>58</c:v>
                </c:pt>
                <c:pt idx="174">
                  <c:v>60</c:v>
                </c:pt>
                <c:pt idx="175">
                  <c:v>40</c:v>
                </c:pt>
                <c:pt idx="176">
                  <c:v>60</c:v>
                </c:pt>
                <c:pt idx="177">
                  <c:v>64</c:v>
                </c:pt>
                <c:pt idx="178">
                  <c:v>43</c:v>
                </c:pt>
                <c:pt idx="179">
                  <c:v>57</c:v>
                </c:pt>
                <c:pt idx="180">
                  <c:v>55</c:v>
                </c:pt>
                <c:pt idx="181">
                  <c:v>65</c:v>
                </c:pt>
                <c:pt idx="182">
                  <c:v>61</c:v>
                </c:pt>
                <c:pt idx="183">
                  <c:v>58</c:v>
                </c:pt>
                <c:pt idx="184">
                  <c:v>50</c:v>
                </c:pt>
                <c:pt idx="185">
                  <c:v>44</c:v>
                </c:pt>
                <c:pt idx="186">
                  <c:v>60</c:v>
                </c:pt>
                <c:pt idx="187">
                  <c:v>54</c:v>
                </c:pt>
                <c:pt idx="188">
                  <c:v>50</c:v>
                </c:pt>
                <c:pt idx="189">
                  <c:v>41</c:v>
                </c:pt>
                <c:pt idx="190">
                  <c:v>51</c:v>
                </c:pt>
                <c:pt idx="191">
                  <c:v>58</c:v>
                </c:pt>
                <c:pt idx="192">
                  <c:v>54</c:v>
                </c:pt>
                <c:pt idx="193">
                  <c:v>60</c:v>
                </c:pt>
                <c:pt idx="194">
                  <c:v>60</c:v>
                </c:pt>
                <c:pt idx="195">
                  <c:v>59</c:v>
                </c:pt>
                <c:pt idx="196">
                  <c:v>46</c:v>
                </c:pt>
                <c:pt idx="197">
                  <c:v>67</c:v>
                </c:pt>
                <c:pt idx="198">
                  <c:v>62</c:v>
                </c:pt>
                <c:pt idx="199">
                  <c:v>65</c:v>
                </c:pt>
                <c:pt idx="200">
                  <c:v>44</c:v>
                </c:pt>
                <c:pt idx="201">
                  <c:v>60</c:v>
                </c:pt>
                <c:pt idx="202">
                  <c:v>58</c:v>
                </c:pt>
                <c:pt idx="203">
                  <c:v>68</c:v>
                </c:pt>
                <c:pt idx="204">
                  <c:v>62</c:v>
                </c:pt>
                <c:pt idx="205">
                  <c:v>52</c:v>
                </c:pt>
                <c:pt idx="206">
                  <c:v>59</c:v>
                </c:pt>
                <c:pt idx="207">
                  <c:v>60</c:v>
                </c:pt>
                <c:pt idx="208">
                  <c:v>49</c:v>
                </c:pt>
                <c:pt idx="209">
                  <c:v>59</c:v>
                </c:pt>
                <c:pt idx="210">
                  <c:v>57</c:v>
                </c:pt>
                <c:pt idx="211">
                  <c:v>61</c:v>
                </c:pt>
                <c:pt idx="212">
                  <c:v>39</c:v>
                </c:pt>
                <c:pt idx="213">
                  <c:v>61</c:v>
                </c:pt>
                <c:pt idx="214">
                  <c:v>56</c:v>
                </c:pt>
                <c:pt idx="215">
                  <c:v>43</c:v>
                </c:pt>
                <c:pt idx="216">
                  <c:v>62</c:v>
                </c:pt>
                <c:pt idx="217">
                  <c:v>63</c:v>
                </c:pt>
                <c:pt idx="218">
                  <c:v>65</c:v>
                </c:pt>
                <c:pt idx="219">
                  <c:v>48</c:v>
                </c:pt>
                <c:pt idx="220">
                  <c:v>63</c:v>
                </c:pt>
                <c:pt idx="221">
                  <c:v>55</c:v>
                </c:pt>
                <c:pt idx="222">
                  <c:v>65</c:v>
                </c:pt>
                <c:pt idx="223">
                  <c:v>56</c:v>
                </c:pt>
                <c:pt idx="224">
                  <c:v>54</c:v>
                </c:pt>
                <c:pt idx="225">
                  <c:v>70</c:v>
                </c:pt>
                <c:pt idx="226">
                  <c:v>62</c:v>
                </c:pt>
                <c:pt idx="227">
                  <c:v>35</c:v>
                </c:pt>
                <c:pt idx="228">
                  <c:v>59</c:v>
                </c:pt>
                <c:pt idx="229">
                  <c:v>64</c:v>
                </c:pt>
                <c:pt idx="230">
                  <c:v>47</c:v>
                </c:pt>
                <c:pt idx="231">
                  <c:v>57</c:v>
                </c:pt>
                <c:pt idx="232">
                  <c:v>55</c:v>
                </c:pt>
                <c:pt idx="233">
                  <c:v>64</c:v>
                </c:pt>
                <c:pt idx="234">
                  <c:v>70</c:v>
                </c:pt>
                <c:pt idx="235">
                  <c:v>51</c:v>
                </c:pt>
                <c:pt idx="236">
                  <c:v>58</c:v>
                </c:pt>
                <c:pt idx="237">
                  <c:v>60</c:v>
                </c:pt>
                <c:pt idx="238">
                  <c:v>77</c:v>
                </c:pt>
                <c:pt idx="239">
                  <c:v>35</c:v>
                </c:pt>
                <c:pt idx="240">
                  <c:v>70</c:v>
                </c:pt>
                <c:pt idx="241">
                  <c:v>59</c:v>
                </c:pt>
                <c:pt idx="242">
                  <c:v>64</c:v>
                </c:pt>
                <c:pt idx="243">
                  <c:v>57</c:v>
                </c:pt>
                <c:pt idx="244">
                  <c:v>56</c:v>
                </c:pt>
                <c:pt idx="245">
                  <c:v>48</c:v>
                </c:pt>
                <c:pt idx="246">
                  <c:v>56</c:v>
                </c:pt>
                <c:pt idx="247">
                  <c:v>66</c:v>
                </c:pt>
                <c:pt idx="248">
                  <c:v>54</c:v>
                </c:pt>
                <c:pt idx="249">
                  <c:v>69</c:v>
                </c:pt>
                <c:pt idx="250">
                  <c:v>51</c:v>
                </c:pt>
                <c:pt idx="251">
                  <c:v>43</c:v>
                </c:pt>
                <c:pt idx="252">
                  <c:v>62</c:v>
                </c:pt>
                <c:pt idx="253">
                  <c:v>67</c:v>
                </c:pt>
                <c:pt idx="254">
                  <c:v>59</c:v>
                </c:pt>
                <c:pt idx="255">
                  <c:v>45</c:v>
                </c:pt>
                <c:pt idx="256">
                  <c:v>58</c:v>
                </c:pt>
                <c:pt idx="257">
                  <c:v>50</c:v>
                </c:pt>
                <c:pt idx="258">
                  <c:v>62</c:v>
                </c:pt>
                <c:pt idx="259">
                  <c:v>38</c:v>
                </c:pt>
                <c:pt idx="260">
                  <c:v>66</c:v>
                </c:pt>
                <c:pt idx="261">
                  <c:v>52</c:v>
                </c:pt>
                <c:pt idx="262">
                  <c:v>53</c:v>
                </c:pt>
                <c:pt idx="263">
                  <c:v>63</c:v>
                </c:pt>
                <c:pt idx="264">
                  <c:v>54</c:v>
                </c:pt>
                <c:pt idx="265">
                  <c:v>66</c:v>
                </c:pt>
                <c:pt idx="266">
                  <c:v>55</c:v>
                </c:pt>
                <c:pt idx="267">
                  <c:v>49</c:v>
                </c:pt>
                <c:pt idx="268">
                  <c:v>54</c:v>
                </c:pt>
                <c:pt idx="269">
                  <c:v>56</c:v>
                </c:pt>
                <c:pt idx="270">
                  <c:v>46</c:v>
                </c:pt>
                <c:pt idx="271">
                  <c:v>61</c:v>
                </c:pt>
                <c:pt idx="272">
                  <c:v>67</c:v>
                </c:pt>
                <c:pt idx="273">
                  <c:v>58</c:v>
                </c:pt>
                <c:pt idx="274">
                  <c:v>47</c:v>
                </c:pt>
                <c:pt idx="275">
                  <c:v>52</c:v>
                </c:pt>
                <c:pt idx="276">
                  <c:v>58</c:v>
                </c:pt>
                <c:pt idx="277">
                  <c:v>57</c:v>
                </c:pt>
                <c:pt idx="278">
                  <c:v>58</c:v>
                </c:pt>
                <c:pt idx="279">
                  <c:v>61</c:v>
                </c:pt>
                <c:pt idx="280">
                  <c:v>42</c:v>
                </c:pt>
                <c:pt idx="281">
                  <c:v>52</c:v>
                </c:pt>
                <c:pt idx="282">
                  <c:v>59</c:v>
                </c:pt>
                <c:pt idx="283">
                  <c:v>40</c:v>
                </c:pt>
                <c:pt idx="284">
                  <c:v>61</c:v>
                </c:pt>
                <c:pt idx="285">
                  <c:v>46</c:v>
                </c:pt>
                <c:pt idx="286">
                  <c:v>59</c:v>
                </c:pt>
                <c:pt idx="287">
                  <c:v>57</c:v>
                </c:pt>
                <c:pt idx="288">
                  <c:v>57</c:v>
                </c:pt>
                <c:pt idx="289">
                  <c:v>55</c:v>
                </c:pt>
                <c:pt idx="290">
                  <c:v>61</c:v>
                </c:pt>
                <c:pt idx="291">
                  <c:v>58</c:v>
                </c:pt>
                <c:pt idx="292">
                  <c:v>58</c:v>
                </c:pt>
                <c:pt idx="293">
                  <c:v>67</c:v>
                </c:pt>
                <c:pt idx="294">
                  <c:v>44</c:v>
                </c:pt>
                <c:pt idx="295">
                  <c:v>63</c:v>
                </c:pt>
                <c:pt idx="296">
                  <c:v>63</c:v>
                </c:pt>
                <c:pt idx="297">
                  <c:v>59</c:v>
                </c:pt>
                <c:pt idx="298">
                  <c:v>57</c:v>
                </c:pt>
                <c:pt idx="299">
                  <c:v>45</c:v>
                </c:pt>
                <c:pt idx="300">
                  <c:v>68</c:v>
                </c:pt>
                <c:pt idx="301">
                  <c:v>57</c:v>
                </c:pt>
                <c:pt idx="302">
                  <c:v>57</c:v>
                </c:pt>
              </c:numCache>
            </c:numRef>
          </c:xVal>
          <c:yVal>
            <c:numRef>
              <c:f>regression!$AA$27:$AA$329</c:f>
              <c:numCache>
                <c:formatCode>General</c:formatCode>
                <c:ptCount val="303"/>
                <c:pt idx="0">
                  <c:v>258.56649209594468</c:v>
                </c:pt>
                <c:pt idx="1">
                  <c:v>226.66273059985517</c:v>
                </c:pt>
                <c:pt idx="2">
                  <c:v>231.10140360282367</c:v>
                </c:pt>
                <c:pt idx="3">
                  <c:v>245.71150271275914</c:v>
                </c:pt>
                <c:pt idx="4">
                  <c:v>246.82117096350126</c:v>
                </c:pt>
                <c:pt idx="5">
                  <c:v>250.89102026589381</c:v>
                </c:pt>
                <c:pt idx="6">
                  <c:v>249.7813520151517</c:v>
                </c:pt>
                <c:pt idx="7">
                  <c:v>232.39548370385373</c:v>
                </c:pt>
                <c:pt idx="8">
                  <c:v>251.85443789601135</c:v>
                </c:pt>
                <c:pt idx="9">
                  <c:v>252.92594491709011</c:v>
                </c:pt>
                <c:pt idx="10">
                  <c:v>247.56201551366746</c:v>
                </c:pt>
                <c:pt idx="11">
                  <c:v>238.86908135801849</c:v>
                </c:pt>
                <c:pt idx="12">
                  <c:v>239.97874960876061</c:v>
                </c:pt>
                <c:pt idx="13">
                  <c:v>252.55392406749979</c:v>
                </c:pt>
                <c:pt idx="14">
                  <c:v>254.03561316783222</c:v>
                </c:pt>
                <c:pt idx="15">
                  <c:v>239.05349320830643</c:v>
                </c:pt>
                <c:pt idx="16">
                  <c:v>247.93083921424338</c:v>
                </c:pt>
                <c:pt idx="17">
                  <c:v>262.91295917376914</c:v>
                </c:pt>
                <c:pt idx="18">
                  <c:v>237.39058940670046</c:v>
                </c:pt>
                <c:pt idx="19">
                  <c:v>264.20703927479923</c:v>
                </c:pt>
                <c:pt idx="20">
                  <c:v>252.09289444177992</c:v>
                </c:pt>
                <c:pt idx="21">
                  <c:v>234.43040835505002</c:v>
                </c:pt>
                <c:pt idx="22">
                  <c:v>234.24599650476205</c:v>
                </c:pt>
                <c:pt idx="23">
                  <c:v>257.36461792005855</c:v>
                </c:pt>
                <c:pt idx="24">
                  <c:v>232.02666000327778</c:v>
                </c:pt>
                <c:pt idx="25">
                  <c:v>270.49622507867605</c:v>
                </c:pt>
                <c:pt idx="26">
                  <c:v>255.14528141857434</c:v>
                </c:pt>
                <c:pt idx="27">
                  <c:v>238.12823680785226</c:v>
                </c:pt>
                <c:pt idx="28">
                  <c:v>259.76836627183076</c:v>
                </c:pt>
                <c:pt idx="29">
                  <c:v>244.41742261172908</c:v>
                </c:pt>
                <c:pt idx="30">
                  <c:v>226.01409197483295</c:v>
                </c:pt>
                <c:pt idx="31">
                  <c:v>255.6985169694382</c:v>
                </c:pt>
                <c:pt idx="32">
                  <c:v>234.43040835505002</c:v>
                </c:pt>
                <c:pt idx="33">
                  <c:v>244.50962853687304</c:v>
                </c:pt>
                <c:pt idx="34">
                  <c:v>241.18062378464668</c:v>
                </c:pt>
                <c:pt idx="35">
                  <c:v>239.09165443796979</c:v>
                </c:pt>
                <c:pt idx="36">
                  <c:v>246.54455318806933</c:v>
                </c:pt>
                <c:pt idx="37">
                  <c:v>249.59694016486375</c:v>
                </c:pt>
                <c:pt idx="38">
                  <c:v>262.82075324862518</c:v>
                </c:pt>
                <c:pt idx="39">
                  <c:v>263.83821557422334</c:v>
                </c:pt>
                <c:pt idx="40">
                  <c:v>244.23301076144111</c:v>
                </c:pt>
                <c:pt idx="41">
                  <c:v>238.86908135801849</c:v>
                </c:pt>
                <c:pt idx="42">
                  <c:v>230.24927251268178</c:v>
                </c:pt>
                <c:pt idx="43">
                  <c:v>244.41742261172908</c:v>
                </c:pt>
                <c:pt idx="44">
                  <c:v>230.91699175253567</c:v>
                </c:pt>
                <c:pt idx="45">
                  <c:v>241.27282970979067</c:v>
                </c:pt>
                <c:pt idx="46">
                  <c:v>236.46533300624628</c:v>
                </c:pt>
                <c:pt idx="47">
                  <c:v>239.38735282823339</c:v>
                </c:pt>
                <c:pt idx="48">
                  <c:v>244.0104376814898</c:v>
                </c:pt>
                <c:pt idx="49">
                  <c:v>246.0453623326861</c:v>
                </c:pt>
                <c:pt idx="50">
                  <c:v>242.19808611024484</c:v>
                </c:pt>
                <c:pt idx="51">
                  <c:v>256.80818522018029</c:v>
                </c:pt>
                <c:pt idx="52">
                  <c:v>254.40443686840814</c:v>
                </c:pt>
                <c:pt idx="53">
                  <c:v>229.95357412241819</c:v>
                </c:pt>
                <c:pt idx="54">
                  <c:v>256.53156744474836</c:v>
                </c:pt>
                <c:pt idx="55">
                  <c:v>244.12172422146546</c:v>
                </c:pt>
                <c:pt idx="56">
                  <c:v>237.24114163706145</c:v>
                </c:pt>
                <c:pt idx="57">
                  <c:v>232.48768962899771</c:v>
                </c:pt>
                <c:pt idx="58">
                  <c:v>220.89181626619327</c:v>
                </c:pt>
                <c:pt idx="59">
                  <c:v>248.44911068445828</c:v>
                </c:pt>
                <c:pt idx="60">
                  <c:v>260.32160182269462</c:v>
                </c:pt>
                <c:pt idx="61">
                  <c:v>241.05025662983937</c:v>
                </c:pt>
                <c:pt idx="62">
                  <c:v>240.86584477955142</c:v>
                </c:pt>
                <c:pt idx="63">
                  <c:v>232.1188659284218</c:v>
                </c:pt>
                <c:pt idx="64">
                  <c:v>252.00068851663593</c:v>
                </c:pt>
                <c:pt idx="65">
                  <c:v>226.07133381932795</c:v>
                </c:pt>
                <c:pt idx="66">
                  <c:v>236.093312156656</c:v>
                </c:pt>
                <c:pt idx="67">
                  <c:v>235.54007660579214</c:v>
                </c:pt>
                <c:pt idx="68">
                  <c:v>232.39548370385373</c:v>
                </c:pt>
                <c:pt idx="69">
                  <c:v>253.18348207769037</c:v>
                </c:pt>
                <c:pt idx="70">
                  <c:v>243.49216621127491</c:v>
                </c:pt>
                <c:pt idx="71">
                  <c:v>234.87235736593823</c:v>
                </c:pt>
                <c:pt idx="72">
                  <c:v>217.78538459391822</c:v>
                </c:pt>
                <c:pt idx="73">
                  <c:v>244.23301076144111</c:v>
                </c:pt>
                <c:pt idx="74">
                  <c:v>231.69280038335086</c:v>
                </c:pt>
                <c:pt idx="75">
                  <c:v>247.65422143881145</c:v>
                </c:pt>
                <c:pt idx="76">
                  <c:v>241.18062378464668</c:v>
                </c:pt>
                <c:pt idx="77">
                  <c:v>253.11035676737805</c:v>
                </c:pt>
                <c:pt idx="78">
                  <c:v>242.90076943074769</c:v>
                </c:pt>
                <c:pt idx="79">
                  <c:v>244.87845223744895</c:v>
                </c:pt>
                <c:pt idx="80">
                  <c:v>227.43853923067036</c:v>
                </c:pt>
                <c:pt idx="81">
                  <c:v>235.13309167555286</c:v>
                </c:pt>
                <c:pt idx="82">
                  <c:v>246.48731134357431</c:v>
                </c:pt>
                <c:pt idx="83">
                  <c:v>247.78458859361876</c:v>
                </c:pt>
                <c:pt idx="84">
                  <c:v>226.51328283021618</c:v>
                </c:pt>
                <c:pt idx="85">
                  <c:v>256.90039114532431</c:v>
                </c:pt>
                <c:pt idx="86">
                  <c:v>258.62053679142531</c:v>
                </c:pt>
                <c:pt idx="87">
                  <c:v>230.74846336806502</c:v>
                </c:pt>
                <c:pt idx="88">
                  <c:v>241.45724156007861</c:v>
                </c:pt>
                <c:pt idx="89">
                  <c:v>243.86098991185082</c:v>
                </c:pt>
                <c:pt idx="90">
                  <c:v>237.64812656730072</c:v>
                </c:pt>
                <c:pt idx="91">
                  <c:v>249.2630805449368</c:v>
                </c:pt>
                <c:pt idx="92">
                  <c:v>244.93569408194398</c:v>
                </c:pt>
                <c:pt idx="93">
                  <c:v>245.93407579271044</c:v>
                </c:pt>
                <c:pt idx="94">
                  <c:v>231.87721223363883</c:v>
                </c:pt>
                <c:pt idx="95">
                  <c:v>246.85933219316462</c:v>
                </c:pt>
                <c:pt idx="96">
                  <c:v>256.4393615196044</c:v>
                </c:pt>
                <c:pt idx="97">
                  <c:v>238.83092012835513</c:v>
                </c:pt>
                <c:pt idx="98">
                  <c:v>233.3207401043079</c:v>
                </c:pt>
                <c:pt idx="99">
                  <c:v>244.41742261172908</c:v>
                </c:pt>
                <c:pt idx="100">
                  <c:v>235.87393622571909</c:v>
                </c:pt>
                <c:pt idx="101">
                  <c:v>260.84307044192394</c:v>
                </c:pt>
                <c:pt idx="102">
                  <c:v>257.54902977034652</c:v>
                </c:pt>
                <c:pt idx="103">
                  <c:v>230.17614720236949</c:v>
                </c:pt>
                <c:pt idx="104">
                  <c:v>240.88492539438309</c:v>
                </c:pt>
                <c:pt idx="105">
                  <c:v>259.02752172166453</c:v>
                </c:pt>
                <c:pt idx="106">
                  <c:v>268.27688857719181</c:v>
                </c:pt>
                <c:pt idx="107">
                  <c:v>237.16801632674915</c:v>
                </c:pt>
                <c:pt idx="108">
                  <c:v>239.05349320830643</c:v>
                </c:pt>
                <c:pt idx="109">
                  <c:v>237.01856855711014</c:v>
                </c:pt>
                <c:pt idx="110">
                  <c:v>266.79839662587381</c:v>
                </c:pt>
                <c:pt idx="111">
                  <c:v>252.92594491709011</c:v>
                </c:pt>
                <c:pt idx="112">
                  <c:v>258.65869802108864</c:v>
                </c:pt>
                <c:pt idx="113">
                  <c:v>229.25089080191532</c:v>
                </c:pt>
                <c:pt idx="114">
                  <c:v>246.63675911321332</c:v>
                </c:pt>
                <c:pt idx="115">
                  <c:v>224.62780594865887</c:v>
                </c:pt>
                <c:pt idx="116">
                  <c:v>231.10140360282367</c:v>
                </c:pt>
                <c:pt idx="117">
                  <c:v>245.71150271275914</c:v>
                </c:pt>
                <c:pt idx="118">
                  <c:v>231.56243322854354</c:v>
                </c:pt>
                <c:pt idx="119">
                  <c:v>238.27768457749127</c:v>
                </c:pt>
                <c:pt idx="120">
                  <c:v>256.62377336989238</c:v>
                </c:pt>
                <c:pt idx="121">
                  <c:v>252.7033718371388</c:v>
                </c:pt>
                <c:pt idx="122">
                  <c:v>227.43853923067036</c:v>
                </c:pt>
                <c:pt idx="123">
                  <c:v>241.05025662983937</c:v>
                </c:pt>
                <c:pt idx="124">
                  <c:v>221.55633835703279</c:v>
                </c:pt>
                <c:pt idx="125">
                  <c:v>220.89181626619327</c:v>
                </c:pt>
                <c:pt idx="126">
                  <c:v>234.09654873512306</c:v>
                </c:pt>
                <c:pt idx="127">
                  <c:v>264.42961235475053</c:v>
                </c:pt>
                <c:pt idx="128">
                  <c:v>244.52870915170473</c:v>
                </c:pt>
                <c:pt idx="129">
                  <c:v>265.68553122611723</c:v>
                </c:pt>
                <c:pt idx="130">
                  <c:v>251.63186481606004</c:v>
                </c:pt>
                <c:pt idx="131">
                  <c:v>240.7927194692391</c:v>
                </c:pt>
                <c:pt idx="132">
                  <c:v>230.17614720236949</c:v>
                </c:pt>
                <c:pt idx="133">
                  <c:v>227.03155430043108</c:v>
                </c:pt>
                <c:pt idx="134">
                  <c:v>230.28743374234514</c:v>
                </c:pt>
                <c:pt idx="135">
                  <c:v>239.97874960876061</c:v>
                </c:pt>
                <c:pt idx="136">
                  <c:v>250.15017571572761</c:v>
                </c:pt>
                <c:pt idx="137">
                  <c:v>253.99745193816887</c:v>
                </c:pt>
                <c:pt idx="138">
                  <c:v>244.78624631230497</c:v>
                </c:pt>
                <c:pt idx="139">
                  <c:v>256.2167884396531</c:v>
                </c:pt>
                <c:pt idx="140">
                  <c:v>240.16316145904855</c:v>
                </c:pt>
                <c:pt idx="141">
                  <c:v>230.26835312751348</c:v>
                </c:pt>
                <c:pt idx="142">
                  <c:v>230.17614720236949</c:v>
                </c:pt>
                <c:pt idx="143">
                  <c:v>255.06895895924765</c:v>
                </c:pt>
                <c:pt idx="144">
                  <c:v>271.97471702999405</c:v>
                </c:pt>
                <c:pt idx="145">
                  <c:v>268.57258696745538</c:v>
                </c:pt>
                <c:pt idx="146">
                  <c:v>231.98849877361448</c:v>
                </c:pt>
                <c:pt idx="147">
                  <c:v>256.25494966931643</c:v>
                </c:pt>
                <c:pt idx="148">
                  <c:v>232.39548370385373</c:v>
                </c:pt>
                <c:pt idx="149">
                  <c:v>232.21107185356578</c:v>
                </c:pt>
                <c:pt idx="150">
                  <c:v>264.94788382496546</c:v>
                </c:pt>
                <c:pt idx="151">
                  <c:v>260.72858675293389</c:v>
                </c:pt>
                <c:pt idx="152">
                  <c:v>264.76347197467749</c:v>
                </c:pt>
                <c:pt idx="153">
                  <c:v>262.09898931329064</c:v>
                </c:pt>
                <c:pt idx="154">
                  <c:v>230.51000682229642</c:v>
                </c:pt>
                <c:pt idx="155">
                  <c:v>249.96576386543967</c:v>
                </c:pt>
                <c:pt idx="156">
                  <c:v>237.75941310727637</c:v>
                </c:pt>
                <c:pt idx="157">
                  <c:v>222.81545437741389</c:v>
                </c:pt>
                <c:pt idx="158">
                  <c:v>248.94830153984151</c:v>
                </c:pt>
                <c:pt idx="159">
                  <c:v>247.74642736395543</c:v>
                </c:pt>
                <c:pt idx="160">
                  <c:v>245.71150271275914</c:v>
                </c:pt>
                <c:pt idx="161">
                  <c:v>247.04374404345256</c:v>
                </c:pt>
                <c:pt idx="162">
                  <c:v>229.06647895162737</c:v>
                </c:pt>
                <c:pt idx="163">
                  <c:v>229.4003385715543</c:v>
                </c:pt>
                <c:pt idx="164">
                  <c:v>229.4003385715543</c:v>
                </c:pt>
                <c:pt idx="165">
                  <c:v>266.05755207570758</c:v>
                </c:pt>
                <c:pt idx="166">
                  <c:v>257.91785347092241</c:v>
                </c:pt>
                <c:pt idx="167">
                  <c:v>256.4393615196044</c:v>
                </c:pt>
                <c:pt idx="168">
                  <c:v>255.51410511915026</c:v>
                </c:pt>
                <c:pt idx="169">
                  <c:v>246.45234726292534</c:v>
                </c:pt>
                <c:pt idx="170">
                  <c:v>247.74642736395543</c:v>
                </c:pt>
                <c:pt idx="171">
                  <c:v>234.79923205562591</c:v>
                </c:pt>
                <c:pt idx="172">
                  <c:v>247.93083921424338</c:v>
                </c:pt>
                <c:pt idx="173">
                  <c:v>250.37274879567892</c:v>
                </c:pt>
                <c:pt idx="174">
                  <c:v>252.1851003669239</c:v>
                </c:pt>
                <c:pt idx="175">
                  <c:v>225.92188604968894</c:v>
                </c:pt>
                <c:pt idx="176">
                  <c:v>249.53969832036873</c:v>
                </c:pt>
                <c:pt idx="177">
                  <c:v>258.65869802108864</c:v>
                </c:pt>
                <c:pt idx="178">
                  <c:v>231.28581545311161</c:v>
                </c:pt>
                <c:pt idx="179">
                  <c:v>252.92594491709011</c:v>
                </c:pt>
                <c:pt idx="180">
                  <c:v>247.04374404345256</c:v>
                </c:pt>
                <c:pt idx="181">
                  <c:v>261.80329092302702</c:v>
                </c:pt>
                <c:pt idx="182">
                  <c:v>253.29476861766602</c:v>
                </c:pt>
                <c:pt idx="183">
                  <c:v>246.30289949328636</c:v>
                </c:pt>
                <c:pt idx="184">
                  <c:v>245.15826716189528</c:v>
                </c:pt>
                <c:pt idx="185">
                  <c:v>230.76754398289671</c:v>
                </c:pt>
                <c:pt idx="186">
                  <c:v>252.1851003669239</c:v>
                </c:pt>
                <c:pt idx="187">
                  <c:v>244.30613607175343</c:v>
                </c:pt>
                <c:pt idx="188">
                  <c:v>243.12334251069899</c:v>
                </c:pt>
                <c:pt idx="189">
                  <c:v>227.03155430043108</c:v>
                </c:pt>
                <c:pt idx="190">
                  <c:v>242.19808611024484</c:v>
                </c:pt>
                <c:pt idx="191">
                  <c:v>249.55877893520039</c:v>
                </c:pt>
                <c:pt idx="192">
                  <c:v>243.49216621127491</c:v>
                </c:pt>
                <c:pt idx="193">
                  <c:v>255.23748734371833</c:v>
                </c:pt>
                <c:pt idx="194">
                  <c:v>254.22002501812017</c:v>
                </c:pt>
                <c:pt idx="195">
                  <c:v>259.2151307209669</c:v>
                </c:pt>
                <c:pt idx="196">
                  <c:v>240.71959415892681</c:v>
                </c:pt>
                <c:pt idx="197">
                  <c:v>258.93531579652057</c:v>
                </c:pt>
                <c:pt idx="198">
                  <c:v>252.36951221721185</c:v>
                </c:pt>
                <c:pt idx="199">
                  <c:v>253.66359231824191</c:v>
                </c:pt>
                <c:pt idx="200">
                  <c:v>230.36055905265744</c:v>
                </c:pt>
                <c:pt idx="201">
                  <c:v>251.16763804132574</c:v>
                </c:pt>
                <c:pt idx="202">
                  <c:v>254.03561316783222</c:v>
                </c:pt>
                <c:pt idx="203">
                  <c:v>271.23706962884228</c:v>
                </c:pt>
                <c:pt idx="204">
                  <c:v>260.50921082199699</c:v>
                </c:pt>
                <c:pt idx="205">
                  <c:v>242.90076943074769</c:v>
                </c:pt>
                <c:pt idx="206">
                  <c:v>247.0055828137892</c:v>
                </c:pt>
                <c:pt idx="207">
                  <c:v>256.25494966931643</c:v>
                </c:pt>
                <c:pt idx="208">
                  <c:v>237.94382495756432</c:v>
                </c:pt>
                <c:pt idx="209">
                  <c:v>253.11035676737805</c:v>
                </c:pt>
                <c:pt idx="210">
                  <c:v>248.44911068445828</c:v>
                </c:pt>
                <c:pt idx="211">
                  <c:v>251.25984396646973</c:v>
                </c:pt>
                <c:pt idx="212">
                  <c:v>226.44015751990386</c:v>
                </c:pt>
                <c:pt idx="213">
                  <c:v>256.34715559446045</c:v>
                </c:pt>
                <c:pt idx="214">
                  <c:v>246.72896503835727</c:v>
                </c:pt>
                <c:pt idx="215">
                  <c:v>233.72772503454715</c:v>
                </c:pt>
                <c:pt idx="216">
                  <c:v>254.40443686840814</c:v>
                </c:pt>
                <c:pt idx="217">
                  <c:v>255.51410511915026</c:v>
                </c:pt>
                <c:pt idx="218">
                  <c:v>258.7509039462326</c:v>
                </c:pt>
                <c:pt idx="219">
                  <c:v>238.86908135801849</c:v>
                </c:pt>
                <c:pt idx="220">
                  <c:v>259.58395442154278</c:v>
                </c:pt>
                <c:pt idx="221">
                  <c:v>248.67168376440958</c:v>
                </c:pt>
                <c:pt idx="222">
                  <c:v>259.36138134159148</c:v>
                </c:pt>
                <c:pt idx="223">
                  <c:v>261.99089992232939</c:v>
                </c:pt>
                <c:pt idx="224">
                  <c:v>241.45724156007861</c:v>
                </c:pt>
                <c:pt idx="225">
                  <c:v>266.33416985113951</c:v>
                </c:pt>
                <c:pt idx="226">
                  <c:v>252.36951221721185</c:v>
                </c:pt>
                <c:pt idx="227">
                  <c:v>222.40846944717464</c:v>
                </c:pt>
                <c:pt idx="228">
                  <c:v>259.2151307209669</c:v>
                </c:pt>
                <c:pt idx="229">
                  <c:v>255.60631104429422</c:v>
                </c:pt>
                <c:pt idx="230">
                  <c:v>233.28257887464454</c:v>
                </c:pt>
                <c:pt idx="231">
                  <c:v>255.97833189388453</c:v>
                </c:pt>
                <c:pt idx="232">
                  <c:v>252.74153306680216</c:v>
                </c:pt>
                <c:pt idx="233">
                  <c:v>254.58884871869608</c:v>
                </c:pt>
                <c:pt idx="234">
                  <c:v>263.28178287434508</c:v>
                </c:pt>
                <c:pt idx="235">
                  <c:v>244.23301076144111</c:v>
                </c:pt>
                <c:pt idx="236">
                  <c:v>248.94830153984151</c:v>
                </c:pt>
                <c:pt idx="237">
                  <c:v>254.22002501812017</c:v>
                </c:pt>
                <c:pt idx="238">
                  <c:v>270.03199830394175</c:v>
                </c:pt>
                <c:pt idx="239">
                  <c:v>223.62942423789241</c:v>
                </c:pt>
                <c:pt idx="240">
                  <c:v>269.38655682793393</c:v>
                </c:pt>
                <c:pt idx="241">
                  <c:v>260.02910058144539</c:v>
                </c:pt>
                <c:pt idx="242">
                  <c:v>259.6761603466868</c:v>
                </c:pt>
                <c:pt idx="243">
                  <c:v>253.33292984732935</c:v>
                </c:pt>
                <c:pt idx="244">
                  <c:v>248.15341229419468</c:v>
                </c:pt>
                <c:pt idx="245">
                  <c:v>237.64812656730072</c:v>
                </c:pt>
                <c:pt idx="246">
                  <c:v>248.56039722443393</c:v>
                </c:pt>
                <c:pt idx="247">
                  <c:v>264.94788382496546</c:v>
                </c:pt>
                <c:pt idx="248">
                  <c:v>258.14362369988817</c:v>
                </c:pt>
                <c:pt idx="249">
                  <c:v>264.20703927479923</c:v>
                </c:pt>
                <c:pt idx="250">
                  <c:v>244.23301076144111</c:v>
                </c:pt>
                <c:pt idx="251">
                  <c:v>233.72772503454715</c:v>
                </c:pt>
                <c:pt idx="252">
                  <c:v>256.03237658936513</c:v>
                </c:pt>
                <c:pt idx="253">
                  <c:v>253.84800416852988</c:v>
                </c:pt>
                <c:pt idx="254">
                  <c:v>257.18020606977063</c:v>
                </c:pt>
                <c:pt idx="255">
                  <c:v>237.98198618722768</c:v>
                </c:pt>
                <c:pt idx="256">
                  <c:v>249.55877893520039</c:v>
                </c:pt>
                <c:pt idx="257">
                  <c:v>243.93731237117751</c:v>
                </c:pt>
                <c:pt idx="258">
                  <c:v>258.47428617080067</c:v>
                </c:pt>
                <c:pt idx="259">
                  <c:v>225.73747419940099</c:v>
                </c:pt>
                <c:pt idx="260">
                  <c:v>268.61074819711877</c:v>
                </c:pt>
                <c:pt idx="261">
                  <c:v>239.64488998883365</c:v>
                </c:pt>
                <c:pt idx="262">
                  <c:v>242.99297535589167</c:v>
                </c:pt>
                <c:pt idx="263">
                  <c:v>251.03727088651843</c:v>
                </c:pt>
                <c:pt idx="264">
                  <c:v>241.45724156007861</c:v>
                </c:pt>
                <c:pt idx="265">
                  <c:v>255.1802454992233</c:v>
                </c:pt>
                <c:pt idx="266">
                  <c:v>256.81138236919469</c:v>
                </c:pt>
                <c:pt idx="267">
                  <c:v>237.53684002732507</c:v>
                </c:pt>
                <c:pt idx="268">
                  <c:v>243.89915114151415</c:v>
                </c:pt>
                <c:pt idx="269">
                  <c:v>247.74642736395543</c:v>
                </c:pt>
                <c:pt idx="270">
                  <c:v>234.61482020533796</c:v>
                </c:pt>
                <c:pt idx="271">
                  <c:v>254.10873847814452</c:v>
                </c:pt>
                <c:pt idx="272">
                  <c:v>257.91785347092241</c:v>
                </c:pt>
                <c:pt idx="273">
                  <c:v>243.86098991185082</c:v>
                </c:pt>
                <c:pt idx="274">
                  <c:v>233.68956380488379</c:v>
                </c:pt>
                <c:pt idx="275">
                  <c:v>242.2902920353888</c:v>
                </c:pt>
                <c:pt idx="276">
                  <c:v>253.2216433073537</c:v>
                </c:pt>
                <c:pt idx="277">
                  <c:v>247.63514082397978</c:v>
                </c:pt>
                <c:pt idx="278">
                  <c:v>251.18671865615744</c:v>
                </c:pt>
                <c:pt idx="279">
                  <c:v>254.92270833862304</c:v>
                </c:pt>
                <c:pt idx="280">
                  <c:v>233.43202664428355</c:v>
                </c:pt>
                <c:pt idx="281">
                  <c:v>242.90076943074769</c:v>
                </c:pt>
                <c:pt idx="282">
                  <c:v>250.26146225570326</c:v>
                </c:pt>
                <c:pt idx="283">
                  <c:v>234.46856958471332</c:v>
                </c:pt>
                <c:pt idx="284">
                  <c:v>255.32969326886229</c:v>
                </c:pt>
                <c:pt idx="285">
                  <c:v>238.68466950773052</c:v>
                </c:pt>
                <c:pt idx="286">
                  <c:v>251.88940197666028</c:v>
                </c:pt>
                <c:pt idx="287">
                  <c:v>253.73991477756863</c:v>
                </c:pt>
                <c:pt idx="288">
                  <c:v>244.78624631230497</c:v>
                </c:pt>
                <c:pt idx="289">
                  <c:v>246.22977418297404</c:v>
                </c:pt>
                <c:pt idx="290">
                  <c:v>256.95763298981933</c:v>
                </c:pt>
                <c:pt idx="291">
                  <c:v>246.70988442352561</c:v>
                </c:pt>
                <c:pt idx="292">
                  <c:v>258.10546247022478</c:v>
                </c:pt>
                <c:pt idx="293">
                  <c:v>264.42961235475053</c:v>
                </c:pt>
                <c:pt idx="294">
                  <c:v>232.39548370385373</c:v>
                </c:pt>
                <c:pt idx="295">
                  <c:v>257.54902977034652</c:v>
                </c:pt>
                <c:pt idx="296">
                  <c:v>254.29315032843249</c:v>
                </c:pt>
                <c:pt idx="297">
                  <c:v>257.99417593024913</c:v>
                </c:pt>
                <c:pt idx="298">
                  <c:v>250.89102026589381</c:v>
                </c:pt>
                <c:pt idx="299">
                  <c:v>231.47022730339955</c:v>
                </c:pt>
                <c:pt idx="300">
                  <c:v>263.9113408845356</c:v>
                </c:pt>
                <c:pt idx="301">
                  <c:v>248.85609561469755</c:v>
                </c:pt>
                <c:pt idx="302">
                  <c:v>248.85609561469755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EC8-4152-92D3-C36B4902F9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0154560"/>
        <c:axId val="660045263"/>
      </c:scatterChart>
      <c:valAx>
        <c:axId val="8901545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age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60045263"/>
        <c:crosses val="autoZero"/>
        <c:crossBetween val="midCat"/>
      </c:valAx>
      <c:valAx>
        <c:axId val="660045263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chol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9015456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trtbps Line Fit 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chol</c:v>
          </c:tx>
          <c:spPr>
            <a:ln w="19050">
              <a:noFill/>
            </a:ln>
          </c:spPr>
          <c:xVal>
            <c:numRef>
              <c:f>regression!$W$2:$W$304</c:f>
              <c:numCache>
                <c:formatCode>General</c:formatCode>
                <c:ptCount val="303"/>
                <c:pt idx="0">
                  <c:v>145</c:v>
                </c:pt>
                <c:pt idx="1">
                  <c:v>130</c:v>
                </c:pt>
                <c:pt idx="2">
                  <c:v>130</c:v>
                </c:pt>
                <c:pt idx="3">
                  <c:v>120</c:v>
                </c:pt>
                <c:pt idx="4">
                  <c:v>120</c:v>
                </c:pt>
                <c:pt idx="5">
                  <c:v>140</c:v>
                </c:pt>
                <c:pt idx="6">
                  <c:v>140</c:v>
                </c:pt>
                <c:pt idx="7">
                  <c:v>120</c:v>
                </c:pt>
                <c:pt idx="8">
                  <c:v>172</c:v>
                </c:pt>
                <c:pt idx="9">
                  <c:v>150</c:v>
                </c:pt>
                <c:pt idx="10">
                  <c:v>140</c:v>
                </c:pt>
                <c:pt idx="11">
                  <c:v>130</c:v>
                </c:pt>
                <c:pt idx="12">
                  <c:v>130</c:v>
                </c:pt>
                <c:pt idx="13">
                  <c:v>110</c:v>
                </c:pt>
                <c:pt idx="14">
                  <c:v>150</c:v>
                </c:pt>
                <c:pt idx="15">
                  <c:v>120</c:v>
                </c:pt>
                <c:pt idx="16">
                  <c:v>120</c:v>
                </c:pt>
                <c:pt idx="17">
                  <c:v>150</c:v>
                </c:pt>
                <c:pt idx="18">
                  <c:v>150</c:v>
                </c:pt>
                <c:pt idx="19">
                  <c:v>140</c:v>
                </c:pt>
                <c:pt idx="20">
                  <c:v>135</c:v>
                </c:pt>
                <c:pt idx="21">
                  <c:v>130</c:v>
                </c:pt>
                <c:pt idx="22">
                  <c:v>140</c:v>
                </c:pt>
                <c:pt idx="23">
                  <c:v>150</c:v>
                </c:pt>
                <c:pt idx="24">
                  <c:v>140</c:v>
                </c:pt>
                <c:pt idx="25">
                  <c:v>160</c:v>
                </c:pt>
                <c:pt idx="26">
                  <c:v>150</c:v>
                </c:pt>
                <c:pt idx="27">
                  <c:v>110</c:v>
                </c:pt>
                <c:pt idx="28">
                  <c:v>140</c:v>
                </c:pt>
                <c:pt idx="29">
                  <c:v>130</c:v>
                </c:pt>
                <c:pt idx="30">
                  <c:v>105</c:v>
                </c:pt>
                <c:pt idx="31">
                  <c:v>120</c:v>
                </c:pt>
                <c:pt idx="32">
                  <c:v>130</c:v>
                </c:pt>
                <c:pt idx="33">
                  <c:v>125</c:v>
                </c:pt>
                <c:pt idx="34">
                  <c:v>125</c:v>
                </c:pt>
                <c:pt idx="35">
                  <c:v>142</c:v>
                </c:pt>
                <c:pt idx="36">
                  <c:v>135</c:v>
                </c:pt>
                <c:pt idx="37">
                  <c:v>150</c:v>
                </c:pt>
                <c:pt idx="38">
                  <c:v>155</c:v>
                </c:pt>
                <c:pt idx="39">
                  <c:v>160</c:v>
                </c:pt>
                <c:pt idx="40">
                  <c:v>140</c:v>
                </c:pt>
                <c:pt idx="41">
                  <c:v>130</c:v>
                </c:pt>
                <c:pt idx="42">
                  <c:v>104</c:v>
                </c:pt>
                <c:pt idx="43">
                  <c:v>130</c:v>
                </c:pt>
                <c:pt idx="44">
                  <c:v>140</c:v>
                </c:pt>
                <c:pt idx="45">
                  <c:v>120</c:v>
                </c:pt>
                <c:pt idx="46">
                  <c:v>140</c:v>
                </c:pt>
                <c:pt idx="47">
                  <c:v>138</c:v>
                </c:pt>
                <c:pt idx="48">
                  <c:v>128</c:v>
                </c:pt>
                <c:pt idx="49">
                  <c:v>138</c:v>
                </c:pt>
                <c:pt idx="50">
                  <c:v>130</c:v>
                </c:pt>
                <c:pt idx="51">
                  <c:v>120</c:v>
                </c:pt>
                <c:pt idx="52">
                  <c:v>130</c:v>
                </c:pt>
                <c:pt idx="53">
                  <c:v>108</c:v>
                </c:pt>
                <c:pt idx="54">
                  <c:v>135</c:v>
                </c:pt>
                <c:pt idx="55">
                  <c:v>134</c:v>
                </c:pt>
                <c:pt idx="56">
                  <c:v>122</c:v>
                </c:pt>
                <c:pt idx="57">
                  <c:v>115</c:v>
                </c:pt>
                <c:pt idx="58">
                  <c:v>118</c:v>
                </c:pt>
                <c:pt idx="59">
                  <c:v>128</c:v>
                </c:pt>
                <c:pt idx="60">
                  <c:v>110</c:v>
                </c:pt>
                <c:pt idx="61">
                  <c:v>108</c:v>
                </c:pt>
                <c:pt idx="62">
                  <c:v>118</c:v>
                </c:pt>
                <c:pt idx="63">
                  <c:v>135</c:v>
                </c:pt>
                <c:pt idx="64">
                  <c:v>140</c:v>
                </c:pt>
                <c:pt idx="65">
                  <c:v>138</c:v>
                </c:pt>
                <c:pt idx="66">
                  <c:v>100</c:v>
                </c:pt>
                <c:pt idx="67">
                  <c:v>130</c:v>
                </c:pt>
                <c:pt idx="68">
                  <c:v>120</c:v>
                </c:pt>
                <c:pt idx="69">
                  <c:v>124</c:v>
                </c:pt>
                <c:pt idx="70">
                  <c:v>120</c:v>
                </c:pt>
                <c:pt idx="71">
                  <c:v>94</c:v>
                </c:pt>
                <c:pt idx="72">
                  <c:v>130</c:v>
                </c:pt>
                <c:pt idx="73">
                  <c:v>140</c:v>
                </c:pt>
                <c:pt idx="74">
                  <c:v>122</c:v>
                </c:pt>
                <c:pt idx="75">
                  <c:v>135</c:v>
                </c:pt>
                <c:pt idx="76">
                  <c:v>125</c:v>
                </c:pt>
                <c:pt idx="77">
                  <c:v>140</c:v>
                </c:pt>
                <c:pt idx="78">
                  <c:v>128</c:v>
                </c:pt>
                <c:pt idx="79">
                  <c:v>105</c:v>
                </c:pt>
                <c:pt idx="80">
                  <c:v>112</c:v>
                </c:pt>
                <c:pt idx="81">
                  <c:v>128</c:v>
                </c:pt>
                <c:pt idx="82">
                  <c:v>102</c:v>
                </c:pt>
                <c:pt idx="83">
                  <c:v>152</c:v>
                </c:pt>
                <c:pt idx="84">
                  <c:v>102</c:v>
                </c:pt>
                <c:pt idx="85">
                  <c:v>115</c:v>
                </c:pt>
                <c:pt idx="86">
                  <c:v>118</c:v>
                </c:pt>
                <c:pt idx="87">
                  <c:v>101</c:v>
                </c:pt>
                <c:pt idx="88">
                  <c:v>110</c:v>
                </c:pt>
                <c:pt idx="89">
                  <c:v>100</c:v>
                </c:pt>
                <c:pt idx="90">
                  <c:v>124</c:v>
                </c:pt>
                <c:pt idx="91">
                  <c:v>132</c:v>
                </c:pt>
                <c:pt idx="92">
                  <c:v>138</c:v>
                </c:pt>
                <c:pt idx="93">
                  <c:v>132</c:v>
                </c:pt>
                <c:pt idx="94">
                  <c:v>112</c:v>
                </c:pt>
                <c:pt idx="95">
                  <c:v>142</c:v>
                </c:pt>
                <c:pt idx="96">
                  <c:v>140</c:v>
                </c:pt>
                <c:pt idx="97">
                  <c:v>108</c:v>
                </c:pt>
                <c:pt idx="98">
                  <c:v>130</c:v>
                </c:pt>
                <c:pt idx="99">
                  <c:v>130</c:v>
                </c:pt>
                <c:pt idx="100">
                  <c:v>148</c:v>
                </c:pt>
                <c:pt idx="101">
                  <c:v>178</c:v>
                </c:pt>
                <c:pt idx="102">
                  <c:v>140</c:v>
                </c:pt>
                <c:pt idx="103">
                  <c:v>120</c:v>
                </c:pt>
                <c:pt idx="104">
                  <c:v>129</c:v>
                </c:pt>
                <c:pt idx="105">
                  <c:v>120</c:v>
                </c:pt>
                <c:pt idx="106">
                  <c:v>160</c:v>
                </c:pt>
                <c:pt idx="107">
                  <c:v>138</c:v>
                </c:pt>
                <c:pt idx="108">
                  <c:v>120</c:v>
                </c:pt>
                <c:pt idx="109">
                  <c:v>110</c:v>
                </c:pt>
                <c:pt idx="110">
                  <c:v>180</c:v>
                </c:pt>
                <c:pt idx="111">
                  <c:v>150</c:v>
                </c:pt>
                <c:pt idx="112">
                  <c:v>140</c:v>
                </c:pt>
                <c:pt idx="113">
                  <c:v>110</c:v>
                </c:pt>
                <c:pt idx="114">
                  <c:v>130</c:v>
                </c:pt>
                <c:pt idx="115">
                  <c:v>120</c:v>
                </c:pt>
                <c:pt idx="116">
                  <c:v>130</c:v>
                </c:pt>
                <c:pt idx="117">
                  <c:v>120</c:v>
                </c:pt>
                <c:pt idx="118">
                  <c:v>105</c:v>
                </c:pt>
                <c:pt idx="119">
                  <c:v>138</c:v>
                </c:pt>
                <c:pt idx="120">
                  <c:v>130</c:v>
                </c:pt>
                <c:pt idx="121">
                  <c:v>138</c:v>
                </c:pt>
                <c:pt idx="122">
                  <c:v>112</c:v>
                </c:pt>
                <c:pt idx="123">
                  <c:v>108</c:v>
                </c:pt>
                <c:pt idx="124">
                  <c:v>94</c:v>
                </c:pt>
                <c:pt idx="125">
                  <c:v>118</c:v>
                </c:pt>
                <c:pt idx="126">
                  <c:v>112</c:v>
                </c:pt>
                <c:pt idx="127">
                  <c:v>152</c:v>
                </c:pt>
                <c:pt idx="128">
                  <c:v>136</c:v>
                </c:pt>
                <c:pt idx="129">
                  <c:v>120</c:v>
                </c:pt>
                <c:pt idx="130">
                  <c:v>160</c:v>
                </c:pt>
                <c:pt idx="131">
                  <c:v>134</c:v>
                </c:pt>
                <c:pt idx="132">
                  <c:v>120</c:v>
                </c:pt>
                <c:pt idx="133">
                  <c:v>110</c:v>
                </c:pt>
                <c:pt idx="134">
                  <c:v>126</c:v>
                </c:pt>
                <c:pt idx="135">
                  <c:v>130</c:v>
                </c:pt>
                <c:pt idx="136">
                  <c:v>120</c:v>
                </c:pt>
                <c:pt idx="137">
                  <c:v>128</c:v>
                </c:pt>
                <c:pt idx="138">
                  <c:v>110</c:v>
                </c:pt>
                <c:pt idx="139">
                  <c:v>128</c:v>
                </c:pt>
                <c:pt idx="140">
                  <c:v>120</c:v>
                </c:pt>
                <c:pt idx="141">
                  <c:v>115</c:v>
                </c:pt>
                <c:pt idx="142">
                  <c:v>120</c:v>
                </c:pt>
                <c:pt idx="143">
                  <c:v>106</c:v>
                </c:pt>
                <c:pt idx="144">
                  <c:v>140</c:v>
                </c:pt>
                <c:pt idx="145">
                  <c:v>156</c:v>
                </c:pt>
                <c:pt idx="146">
                  <c:v>118</c:v>
                </c:pt>
                <c:pt idx="147">
                  <c:v>150</c:v>
                </c:pt>
                <c:pt idx="148">
                  <c:v>120</c:v>
                </c:pt>
                <c:pt idx="149">
                  <c:v>130</c:v>
                </c:pt>
                <c:pt idx="150">
                  <c:v>160</c:v>
                </c:pt>
                <c:pt idx="151">
                  <c:v>112</c:v>
                </c:pt>
                <c:pt idx="152">
                  <c:v>170</c:v>
                </c:pt>
                <c:pt idx="153">
                  <c:v>146</c:v>
                </c:pt>
                <c:pt idx="154">
                  <c:v>138</c:v>
                </c:pt>
                <c:pt idx="155">
                  <c:v>130</c:v>
                </c:pt>
                <c:pt idx="156">
                  <c:v>130</c:v>
                </c:pt>
                <c:pt idx="157">
                  <c:v>122</c:v>
                </c:pt>
                <c:pt idx="158">
                  <c:v>125</c:v>
                </c:pt>
                <c:pt idx="159">
                  <c:v>130</c:v>
                </c:pt>
                <c:pt idx="160">
                  <c:v>120</c:v>
                </c:pt>
                <c:pt idx="161">
                  <c:v>132</c:v>
                </c:pt>
                <c:pt idx="162">
                  <c:v>120</c:v>
                </c:pt>
                <c:pt idx="163">
                  <c:v>138</c:v>
                </c:pt>
                <c:pt idx="164">
                  <c:v>138</c:v>
                </c:pt>
                <c:pt idx="165">
                  <c:v>160</c:v>
                </c:pt>
                <c:pt idx="166">
                  <c:v>120</c:v>
                </c:pt>
                <c:pt idx="167">
                  <c:v>140</c:v>
                </c:pt>
                <c:pt idx="168">
                  <c:v>130</c:v>
                </c:pt>
                <c:pt idx="169">
                  <c:v>140</c:v>
                </c:pt>
                <c:pt idx="170">
                  <c:v>130</c:v>
                </c:pt>
                <c:pt idx="171">
                  <c:v>110</c:v>
                </c:pt>
                <c:pt idx="172">
                  <c:v>120</c:v>
                </c:pt>
                <c:pt idx="173">
                  <c:v>132</c:v>
                </c:pt>
                <c:pt idx="174">
                  <c:v>130</c:v>
                </c:pt>
                <c:pt idx="175">
                  <c:v>110</c:v>
                </c:pt>
                <c:pt idx="176">
                  <c:v>117</c:v>
                </c:pt>
                <c:pt idx="177">
                  <c:v>140</c:v>
                </c:pt>
                <c:pt idx="178">
                  <c:v>120</c:v>
                </c:pt>
                <c:pt idx="179">
                  <c:v>150</c:v>
                </c:pt>
                <c:pt idx="180">
                  <c:v>132</c:v>
                </c:pt>
                <c:pt idx="181">
                  <c:v>150</c:v>
                </c:pt>
                <c:pt idx="182">
                  <c:v>130</c:v>
                </c:pt>
                <c:pt idx="183">
                  <c:v>112</c:v>
                </c:pt>
                <c:pt idx="184">
                  <c:v>150</c:v>
                </c:pt>
                <c:pt idx="185">
                  <c:v>112</c:v>
                </c:pt>
                <c:pt idx="186">
                  <c:v>130</c:v>
                </c:pt>
                <c:pt idx="187">
                  <c:v>124</c:v>
                </c:pt>
                <c:pt idx="188">
                  <c:v>140</c:v>
                </c:pt>
                <c:pt idx="189">
                  <c:v>110</c:v>
                </c:pt>
                <c:pt idx="190">
                  <c:v>130</c:v>
                </c:pt>
                <c:pt idx="191">
                  <c:v>128</c:v>
                </c:pt>
                <c:pt idx="192">
                  <c:v>120</c:v>
                </c:pt>
                <c:pt idx="193">
                  <c:v>145</c:v>
                </c:pt>
                <c:pt idx="194">
                  <c:v>140</c:v>
                </c:pt>
                <c:pt idx="195">
                  <c:v>170</c:v>
                </c:pt>
                <c:pt idx="196">
                  <c:v>150</c:v>
                </c:pt>
                <c:pt idx="197">
                  <c:v>125</c:v>
                </c:pt>
                <c:pt idx="198">
                  <c:v>120</c:v>
                </c:pt>
                <c:pt idx="199">
                  <c:v>110</c:v>
                </c:pt>
                <c:pt idx="200">
                  <c:v>110</c:v>
                </c:pt>
                <c:pt idx="201">
                  <c:v>125</c:v>
                </c:pt>
                <c:pt idx="202">
                  <c:v>150</c:v>
                </c:pt>
                <c:pt idx="203">
                  <c:v>180</c:v>
                </c:pt>
                <c:pt idx="204">
                  <c:v>160</c:v>
                </c:pt>
                <c:pt idx="205">
                  <c:v>128</c:v>
                </c:pt>
                <c:pt idx="206">
                  <c:v>110</c:v>
                </c:pt>
                <c:pt idx="207">
                  <c:v>150</c:v>
                </c:pt>
                <c:pt idx="208">
                  <c:v>120</c:v>
                </c:pt>
                <c:pt idx="209">
                  <c:v>140</c:v>
                </c:pt>
                <c:pt idx="210">
                  <c:v>128</c:v>
                </c:pt>
                <c:pt idx="211">
                  <c:v>120</c:v>
                </c:pt>
                <c:pt idx="212">
                  <c:v>118</c:v>
                </c:pt>
                <c:pt idx="213">
                  <c:v>145</c:v>
                </c:pt>
                <c:pt idx="214">
                  <c:v>125</c:v>
                </c:pt>
                <c:pt idx="215">
                  <c:v>132</c:v>
                </c:pt>
                <c:pt idx="216">
                  <c:v>130</c:v>
                </c:pt>
                <c:pt idx="217">
                  <c:v>130</c:v>
                </c:pt>
                <c:pt idx="218">
                  <c:v>135</c:v>
                </c:pt>
                <c:pt idx="219">
                  <c:v>130</c:v>
                </c:pt>
                <c:pt idx="220">
                  <c:v>150</c:v>
                </c:pt>
                <c:pt idx="221">
                  <c:v>140</c:v>
                </c:pt>
                <c:pt idx="222">
                  <c:v>138</c:v>
                </c:pt>
                <c:pt idx="223">
                  <c:v>200</c:v>
                </c:pt>
                <c:pt idx="224">
                  <c:v>110</c:v>
                </c:pt>
                <c:pt idx="225">
                  <c:v>145</c:v>
                </c:pt>
                <c:pt idx="226">
                  <c:v>120</c:v>
                </c:pt>
                <c:pt idx="227">
                  <c:v>120</c:v>
                </c:pt>
                <c:pt idx="228">
                  <c:v>170</c:v>
                </c:pt>
                <c:pt idx="229">
                  <c:v>125</c:v>
                </c:pt>
                <c:pt idx="230">
                  <c:v>108</c:v>
                </c:pt>
                <c:pt idx="231">
                  <c:v>165</c:v>
                </c:pt>
                <c:pt idx="232">
                  <c:v>160</c:v>
                </c:pt>
                <c:pt idx="233">
                  <c:v>120</c:v>
                </c:pt>
                <c:pt idx="234">
                  <c:v>130</c:v>
                </c:pt>
                <c:pt idx="235">
                  <c:v>140</c:v>
                </c:pt>
                <c:pt idx="236">
                  <c:v>125</c:v>
                </c:pt>
                <c:pt idx="237">
                  <c:v>140</c:v>
                </c:pt>
                <c:pt idx="238">
                  <c:v>125</c:v>
                </c:pt>
                <c:pt idx="239">
                  <c:v>126</c:v>
                </c:pt>
                <c:pt idx="240">
                  <c:v>160</c:v>
                </c:pt>
                <c:pt idx="241">
                  <c:v>174</c:v>
                </c:pt>
                <c:pt idx="242">
                  <c:v>145</c:v>
                </c:pt>
                <c:pt idx="243">
                  <c:v>152</c:v>
                </c:pt>
                <c:pt idx="244">
                  <c:v>132</c:v>
                </c:pt>
                <c:pt idx="245">
                  <c:v>124</c:v>
                </c:pt>
                <c:pt idx="246">
                  <c:v>134</c:v>
                </c:pt>
                <c:pt idx="247">
                  <c:v>160</c:v>
                </c:pt>
                <c:pt idx="248">
                  <c:v>192</c:v>
                </c:pt>
                <c:pt idx="249">
                  <c:v>140</c:v>
                </c:pt>
                <c:pt idx="250">
                  <c:v>140</c:v>
                </c:pt>
                <c:pt idx="251">
                  <c:v>132</c:v>
                </c:pt>
                <c:pt idx="252">
                  <c:v>138</c:v>
                </c:pt>
                <c:pt idx="253">
                  <c:v>100</c:v>
                </c:pt>
                <c:pt idx="254">
                  <c:v>160</c:v>
                </c:pt>
                <c:pt idx="255">
                  <c:v>142</c:v>
                </c:pt>
                <c:pt idx="256">
                  <c:v>128</c:v>
                </c:pt>
                <c:pt idx="257">
                  <c:v>144</c:v>
                </c:pt>
                <c:pt idx="258">
                  <c:v>150</c:v>
                </c:pt>
                <c:pt idx="259">
                  <c:v>120</c:v>
                </c:pt>
                <c:pt idx="260">
                  <c:v>178</c:v>
                </c:pt>
                <c:pt idx="261">
                  <c:v>112</c:v>
                </c:pt>
                <c:pt idx="262">
                  <c:v>123</c:v>
                </c:pt>
                <c:pt idx="263">
                  <c:v>108</c:v>
                </c:pt>
                <c:pt idx="264">
                  <c:v>110</c:v>
                </c:pt>
                <c:pt idx="265">
                  <c:v>112</c:v>
                </c:pt>
                <c:pt idx="266">
                  <c:v>180</c:v>
                </c:pt>
                <c:pt idx="267">
                  <c:v>118</c:v>
                </c:pt>
                <c:pt idx="268">
                  <c:v>122</c:v>
                </c:pt>
                <c:pt idx="269">
                  <c:v>130</c:v>
                </c:pt>
                <c:pt idx="270">
                  <c:v>120</c:v>
                </c:pt>
                <c:pt idx="271">
                  <c:v>134</c:v>
                </c:pt>
                <c:pt idx="272">
                  <c:v>120</c:v>
                </c:pt>
                <c:pt idx="273">
                  <c:v>100</c:v>
                </c:pt>
                <c:pt idx="274">
                  <c:v>110</c:v>
                </c:pt>
                <c:pt idx="275">
                  <c:v>125</c:v>
                </c:pt>
                <c:pt idx="276">
                  <c:v>146</c:v>
                </c:pt>
                <c:pt idx="277">
                  <c:v>124</c:v>
                </c:pt>
                <c:pt idx="278">
                  <c:v>136</c:v>
                </c:pt>
                <c:pt idx="279">
                  <c:v>138</c:v>
                </c:pt>
                <c:pt idx="280">
                  <c:v>136</c:v>
                </c:pt>
                <c:pt idx="281">
                  <c:v>128</c:v>
                </c:pt>
                <c:pt idx="282">
                  <c:v>126</c:v>
                </c:pt>
                <c:pt idx="283">
                  <c:v>152</c:v>
                </c:pt>
                <c:pt idx="284">
                  <c:v>140</c:v>
                </c:pt>
                <c:pt idx="285">
                  <c:v>140</c:v>
                </c:pt>
                <c:pt idx="286">
                  <c:v>134</c:v>
                </c:pt>
                <c:pt idx="287">
                  <c:v>154</c:v>
                </c:pt>
                <c:pt idx="288">
                  <c:v>110</c:v>
                </c:pt>
                <c:pt idx="289">
                  <c:v>128</c:v>
                </c:pt>
                <c:pt idx="290">
                  <c:v>148</c:v>
                </c:pt>
                <c:pt idx="291">
                  <c:v>114</c:v>
                </c:pt>
                <c:pt idx="292">
                  <c:v>170</c:v>
                </c:pt>
                <c:pt idx="293">
                  <c:v>152</c:v>
                </c:pt>
                <c:pt idx="294">
                  <c:v>120</c:v>
                </c:pt>
                <c:pt idx="295">
                  <c:v>140</c:v>
                </c:pt>
                <c:pt idx="296">
                  <c:v>124</c:v>
                </c:pt>
                <c:pt idx="297">
                  <c:v>164</c:v>
                </c:pt>
                <c:pt idx="298">
                  <c:v>140</c:v>
                </c:pt>
                <c:pt idx="299">
                  <c:v>110</c:v>
                </c:pt>
                <c:pt idx="300">
                  <c:v>144</c:v>
                </c:pt>
                <c:pt idx="301">
                  <c:v>130</c:v>
                </c:pt>
                <c:pt idx="302">
                  <c:v>130</c:v>
                </c:pt>
              </c:numCache>
            </c:numRef>
          </c:xVal>
          <c:yVal>
            <c:numRef>
              <c:f>regression!$X$2:$X$304</c:f>
              <c:numCache>
                <c:formatCode>General</c:formatCode>
                <c:ptCount val="303"/>
                <c:pt idx="0">
                  <c:v>233</c:v>
                </c:pt>
                <c:pt idx="1">
                  <c:v>250</c:v>
                </c:pt>
                <c:pt idx="2">
                  <c:v>204</c:v>
                </c:pt>
                <c:pt idx="3">
                  <c:v>236</c:v>
                </c:pt>
                <c:pt idx="4">
                  <c:v>354</c:v>
                </c:pt>
                <c:pt idx="5">
                  <c:v>192</c:v>
                </c:pt>
                <c:pt idx="6">
                  <c:v>294</c:v>
                </c:pt>
                <c:pt idx="7">
                  <c:v>263</c:v>
                </c:pt>
                <c:pt idx="8">
                  <c:v>199</c:v>
                </c:pt>
                <c:pt idx="9">
                  <c:v>168</c:v>
                </c:pt>
                <c:pt idx="10">
                  <c:v>239</c:v>
                </c:pt>
                <c:pt idx="11">
                  <c:v>275</c:v>
                </c:pt>
                <c:pt idx="12">
                  <c:v>266</c:v>
                </c:pt>
                <c:pt idx="13">
                  <c:v>211</c:v>
                </c:pt>
                <c:pt idx="14">
                  <c:v>283</c:v>
                </c:pt>
                <c:pt idx="15">
                  <c:v>219</c:v>
                </c:pt>
                <c:pt idx="16">
                  <c:v>340</c:v>
                </c:pt>
                <c:pt idx="17">
                  <c:v>226</c:v>
                </c:pt>
                <c:pt idx="18">
                  <c:v>247</c:v>
                </c:pt>
                <c:pt idx="19">
                  <c:v>239</c:v>
                </c:pt>
                <c:pt idx="20">
                  <c:v>234</c:v>
                </c:pt>
                <c:pt idx="21">
                  <c:v>233</c:v>
                </c:pt>
                <c:pt idx="22">
                  <c:v>226</c:v>
                </c:pt>
                <c:pt idx="23">
                  <c:v>243</c:v>
                </c:pt>
                <c:pt idx="24">
                  <c:v>199</c:v>
                </c:pt>
                <c:pt idx="25">
                  <c:v>302</c:v>
                </c:pt>
                <c:pt idx="26">
                  <c:v>212</c:v>
                </c:pt>
                <c:pt idx="27">
                  <c:v>175</c:v>
                </c:pt>
                <c:pt idx="28">
                  <c:v>417</c:v>
                </c:pt>
                <c:pt idx="29">
                  <c:v>197</c:v>
                </c:pt>
                <c:pt idx="30">
                  <c:v>198</c:v>
                </c:pt>
                <c:pt idx="31">
                  <c:v>177</c:v>
                </c:pt>
                <c:pt idx="32">
                  <c:v>219</c:v>
                </c:pt>
                <c:pt idx="33">
                  <c:v>273</c:v>
                </c:pt>
                <c:pt idx="34">
                  <c:v>213</c:v>
                </c:pt>
                <c:pt idx="35">
                  <c:v>177</c:v>
                </c:pt>
                <c:pt idx="36">
                  <c:v>304</c:v>
                </c:pt>
                <c:pt idx="37">
                  <c:v>232</c:v>
                </c:pt>
                <c:pt idx="38">
                  <c:v>269</c:v>
                </c:pt>
                <c:pt idx="39">
                  <c:v>360</c:v>
                </c:pt>
                <c:pt idx="40">
                  <c:v>308</c:v>
                </c:pt>
                <c:pt idx="41">
                  <c:v>245</c:v>
                </c:pt>
                <c:pt idx="42">
                  <c:v>208</c:v>
                </c:pt>
                <c:pt idx="43">
                  <c:v>264</c:v>
                </c:pt>
                <c:pt idx="44">
                  <c:v>321</c:v>
                </c:pt>
                <c:pt idx="45">
                  <c:v>325</c:v>
                </c:pt>
                <c:pt idx="46">
                  <c:v>235</c:v>
                </c:pt>
                <c:pt idx="47">
                  <c:v>257</c:v>
                </c:pt>
                <c:pt idx="48">
                  <c:v>216</c:v>
                </c:pt>
                <c:pt idx="49">
                  <c:v>234</c:v>
                </c:pt>
                <c:pt idx="50">
                  <c:v>256</c:v>
                </c:pt>
                <c:pt idx="51">
                  <c:v>302</c:v>
                </c:pt>
                <c:pt idx="52">
                  <c:v>231</c:v>
                </c:pt>
                <c:pt idx="53">
                  <c:v>141</c:v>
                </c:pt>
                <c:pt idx="54">
                  <c:v>252</c:v>
                </c:pt>
                <c:pt idx="55">
                  <c:v>201</c:v>
                </c:pt>
                <c:pt idx="56">
                  <c:v>222</c:v>
                </c:pt>
                <c:pt idx="57">
                  <c:v>260</c:v>
                </c:pt>
                <c:pt idx="58">
                  <c:v>182</c:v>
                </c:pt>
                <c:pt idx="59">
                  <c:v>303</c:v>
                </c:pt>
                <c:pt idx="60">
                  <c:v>265</c:v>
                </c:pt>
                <c:pt idx="61">
                  <c:v>309</c:v>
                </c:pt>
                <c:pt idx="62">
                  <c:v>186</c:v>
                </c:pt>
                <c:pt idx="63">
                  <c:v>203</c:v>
                </c:pt>
                <c:pt idx="64">
                  <c:v>211</c:v>
                </c:pt>
                <c:pt idx="65">
                  <c:v>183</c:v>
                </c:pt>
                <c:pt idx="66">
                  <c:v>222</c:v>
                </c:pt>
                <c:pt idx="67">
                  <c:v>234</c:v>
                </c:pt>
                <c:pt idx="68">
                  <c:v>220</c:v>
                </c:pt>
                <c:pt idx="69">
                  <c:v>209</c:v>
                </c:pt>
                <c:pt idx="70">
                  <c:v>258</c:v>
                </c:pt>
                <c:pt idx="71">
                  <c:v>227</c:v>
                </c:pt>
                <c:pt idx="72">
                  <c:v>204</c:v>
                </c:pt>
                <c:pt idx="73">
                  <c:v>261</c:v>
                </c:pt>
                <c:pt idx="74">
                  <c:v>213</c:v>
                </c:pt>
                <c:pt idx="75">
                  <c:v>250</c:v>
                </c:pt>
                <c:pt idx="76">
                  <c:v>245</c:v>
                </c:pt>
                <c:pt idx="77">
                  <c:v>221</c:v>
                </c:pt>
                <c:pt idx="78">
                  <c:v>205</c:v>
                </c:pt>
                <c:pt idx="79">
                  <c:v>240</c:v>
                </c:pt>
                <c:pt idx="80">
                  <c:v>250</c:v>
                </c:pt>
                <c:pt idx="81">
                  <c:v>308</c:v>
                </c:pt>
                <c:pt idx="82">
                  <c:v>318</c:v>
                </c:pt>
                <c:pt idx="83">
                  <c:v>298</c:v>
                </c:pt>
                <c:pt idx="84">
                  <c:v>265</c:v>
                </c:pt>
                <c:pt idx="85">
                  <c:v>564</c:v>
                </c:pt>
                <c:pt idx="86">
                  <c:v>277</c:v>
                </c:pt>
                <c:pt idx="87">
                  <c:v>197</c:v>
                </c:pt>
                <c:pt idx="88">
                  <c:v>214</c:v>
                </c:pt>
                <c:pt idx="89">
                  <c:v>248</c:v>
                </c:pt>
                <c:pt idx="90">
                  <c:v>255</c:v>
                </c:pt>
                <c:pt idx="91">
                  <c:v>207</c:v>
                </c:pt>
                <c:pt idx="92">
                  <c:v>223</c:v>
                </c:pt>
                <c:pt idx="93">
                  <c:v>288</c:v>
                </c:pt>
                <c:pt idx="94">
                  <c:v>160</c:v>
                </c:pt>
                <c:pt idx="95">
                  <c:v>226</c:v>
                </c:pt>
                <c:pt idx="96">
                  <c:v>394</c:v>
                </c:pt>
                <c:pt idx="97">
                  <c:v>233</c:v>
                </c:pt>
                <c:pt idx="98">
                  <c:v>315</c:v>
                </c:pt>
                <c:pt idx="99">
                  <c:v>246</c:v>
                </c:pt>
                <c:pt idx="100">
                  <c:v>244</c:v>
                </c:pt>
                <c:pt idx="101">
                  <c:v>270</c:v>
                </c:pt>
                <c:pt idx="102">
                  <c:v>195</c:v>
                </c:pt>
                <c:pt idx="103">
                  <c:v>240</c:v>
                </c:pt>
                <c:pt idx="104">
                  <c:v>196</c:v>
                </c:pt>
                <c:pt idx="105">
                  <c:v>211</c:v>
                </c:pt>
                <c:pt idx="106">
                  <c:v>234</c:v>
                </c:pt>
                <c:pt idx="107">
                  <c:v>236</c:v>
                </c:pt>
                <c:pt idx="108">
                  <c:v>244</c:v>
                </c:pt>
                <c:pt idx="109">
                  <c:v>254</c:v>
                </c:pt>
                <c:pt idx="110">
                  <c:v>325</c:v>
                </c:pt>
                <c:pt idx="111">
                  <c:v>126</c:v>
                </c:pt>
                <c:pt idx="112">
                  <c:v>313</c:v>
                </c:pt>
                <c:pt idx="113">
                  <c:v>211</c:v>
                </c:pt>
                <c:pt idx="114">
                  <c:v>262</c:v>
                </c:pt>
                <c:pt idx="115">
                  <c:v>215</c:v>
                </c:pt>
                <c:pt idx="116">
                  <c:v>214</c:v>
                </c:pt>
                <c:pt idx="117">
                  <c:v>193</c:v>
                </c:pt>
                <c:pt idx="118">
                  <c:v>204</c:v>
                </c:pt>
                <c:pt idx="119">
                  <c:v>243</c:v>
                </c:pt>
                <c:pt idx="120">
                  <c:v>303</c:v>
                </c:pt>
                <c:pt idx="121">
                  <c:v>271</c:v>
                </c:pt>
                <c:pt idx="122">
                  <c:v>268</c:v>
                </c:pt>
                <c:pt idx="123">
                  <c:v>267</c:v>
                </c:pt>
                <c:pt idx="124">
                  <c:v>199</c:v>
                </c:pt>
                <c:pt idx="125">
                  <c:v>210</c:v>
                </c:pt>
                <c:pt idx="126">
                  <c:v>204</c:v>
                </c:pt>
                <c:pt idx="127">
                  <c:v>277</c:v>
                </c:pt>
                <c:pt idx="128">
                  <c:v>196</c:v>
                </c:pt>
                <c:pt idx="129">
                  <c:v>269</c:v>
                </c:pt>
                <c:pt idx="130">
                  <c:v>201</c:v>
                </c:pt>
                <c:pt idx="131">
                  <c:v>271</c:v>
                </c:pt>
                <c:pt idx="132">
                  <c:v>295</c:v>
                </c:pt>
                <c:pt idx="133">
                  <c:v>235</c:v>
                </c:pt>
                <c:pt idx="134">
                  <c:v>306</c:v>
                </c:pt>
                <c:pt idx="135">
                  <c:v>269</c:v>
                </c:pt>
                <c:pt idx="136">
                  <c:v>178</c:v>
                </c:pt>
                <c:pt idx="137">
                  <c:v>208</c:v>
                </c:pt>
                <c:pt idx="138">
                  <c:v>201</c:v>
                </c:pt>
                <c:pt idx="139">
                  <c:v>263</c:v>
                </c:pt>
                <c:pt idx="140">
                  <c:v>295</c:v>
                </c:pt>
                <c:pt idx="141">
                  <c:v>303</c:v>
                </c:pt>
                <c:pt idx="142">
                  <c:v>209</c:v>
                </c:pt>
                <c:pt idx="143">
                  <c:v>223</c:v>
                </c:pt>
                <c:pt idx="144">
                  <c:v>197</c:v>
                </c:pt>
                <c:pt idx="145">
                  <c:v>245</c:v>
                </c:pt>
                <c:pt idx="146">
                  <c:v>242</c:v>
                </c:pt>
                <c:pt idx="147">
                  <c:v>240</c:v>
                </c:pt>
                <c:pt idx="148">
                  <c:v>226</c:v>
                </c:pt>
                <c:pt idx="149">
                  <c:v>180</c:v>
                </c:pt>
                <c:pt idx="150">
                  <c:v>228</c:v>
                </c:pt>
                <c:pt idx="151">
                  <c:v>149</c:v>
                </c:pt>
                <c:pt idx="152">
                  <c:v>227</c:v>
                </c:pt>
                <c:pt idx="153">
                  <c:v>278</c:v>
                </c:pt>
                <c:pt idx="154">
                  <c:v>220</c:v>
                </c:pt>
                <c:pt idx="155">
                  <c:v>197</c:v>
                </c:pt>
                <c:pt idx="156">
                  <c:v>253</c:v>
                </c:pt>
                <c:pt idx="157">
                  <c:v>192</c:v>
                </c:pt>
                <c:pt idx="158">
                  <c:v>220</c:v>
                </c:pt>
                <c:pt idx="159">
                  <c:v>221</c:v>
                </c:pt>
                <c:pt idx="160">
                  <c:v>240</c:v>
                </c:pt>
                <c:pt idx="161">
                  <c:v>342</c:v>
                </c:pt>
                <c:pt idx="162">
                  <c:v>157</c:v>
                </c:pt>
                <c:pt idx="163">
                  <c:v>175</c:v>
                </c:pt>
                <c:pt idx="164">
                  <c:v>175</c:v>
                </c:pt>
                <c:pt idx="165">
                  <c:v>286</c:v>
                </c:pt>
                <c:pt idx="166">
                  <c:v>229</c:v>
                </c:pt>
                <c:pt idx="167">
                  <c:v>268</c:v>
                </c:pt>
                <c:pt idx="168">
                  <c:v>254</c:v>
                </c:pt>
                <c:pt idx="169">
                  <c:v>203</c:v>
                </c:pt>
                <c:pt idx="170">
                  <c:v>256</c:v>
                </c:pt>
                <c:pt idx="171">
                  <c:v>229</c:v>
                </c:pt>
                <c:pt idx="172">
                  <c:v>284</c:v>
                </c:pt>
                <c:pt idx="173">
                  <c:v>224</c:v>
                </c:pt>
                <c:pt idx="174">
                  <c:v>206</c:v>
                </c:pt>
                <c:pt idx="175">
                  <c:v>167</c:v>
                </c:pt>
                <c:pt idx="176">
                  <c:v>230</c:v>
                </c:pt>
                <c:pt idx="177">
                  <c:v>335</c:v>
                </c:pt>
                <c:pt idx="178">
                  <c:v>177</c:v>
                </c:pt>
                <c:pt idx="179">
                  <c:v>276</c:v>
                </c:pt>
                <c:pt idx="180">
                  <c:v>353</c:v>
                </c:pt>
                <c:pt idx="181">
                  <c:v>225</c:v>
                </c:pt>
                <c:pt idx="182">
                  <c:v>330</c:v>
                </c:pt>
                <c:pt idx="183">
                  <c:v>230</c:v>
                </c:pt>
                <c:pt idx="184">
                  <c:v>243</c:v>
                </c:pt>
                <c:pt idx="185">
                  <c:v>290</c:v>
                </c:pt>
                <c:pt idx="186">
                  <c:v>253</c:v>
                </c:pt>
                <c:pt idx="187">
                  <c:v>266</c:v>
                </c:pt>
                <c:pt idx="188">
                  <c:v>233</c:v>
                </c:pt>
                <c:pt idx="189">
                  <c:v>172</c:v>
                </c:pt>
                <c:pt idx="190">
                  <c:v>305</c:v>
                </c:pt>
                <c:pt idx="191">
                  <c:v>216</c:v>
                </c:pt>
                <c:pt idx="192">
                  <c:v>188</c:v>
                </c:pt>
                <c:pt idx="193">
                  <c:v>282</c:v>
                </c:pt>
                <c:pt idx="194">
                  <c:v>185</c:v>
                </c:pt>
                <c:pt idx="195">
                  <c:v>326</c:v>
                </c:pt>
                <c:pt idx="196">
                  <c:v>231</c:v>
                </c:pt>
                <c:pt idx="197">
                  <c:v>254</c:v>
                </c:pt>
                <c:pt idx="198">
                  <c:v>267</c:v>
                </c:pt>
                <c:pt idx="199">
                  <c:v>248</c:v>
                </c:pt>
                <c:pt idx="200">
                  <c:v>197</c:v>
                </c:pt>
                <c:pt idx="201">
                  <c:v>258</c:v>
                </c:pt>
                <c:pt idx="202">
                  <c:v>270</c:v>
                </c:pt>
                <c:pt idx="203">
                  <c:v>274</c:v>
                </c:pt>
                <c:pt idx="204">
                  <c:v>164</c:v>
                </c:pt>
                <c:pt idx="205">
                  <c:v>255</c:v>
                </c:pt>
                <c:pt idx="206">
                  <c:v>239</c:v>
                </c:pt>
                <c:pt idx="207">
                  <c:v>258</c:v>
                </c:pt>
                <c:pt idx="208">
                  <c:v>188</c:v>
                </c:pt>
                <c:pt idx="209">
                  <c:v>177</c:v>
                </c:pt>
                <c:pt idx="210">
                  <c:v>229</c:v>
                </c:pt>
                <c:pt idx="211">
                  <c:v>260</c:v>
                </c:pt>
                <c:pt idx="212">
                  <c:v>219</c:v>
                </c:pt>
                <c:pt idx="213">
                  <c:v>307</c:v>
                </c:pt>
                <c:pt idx="214">
                  <c:v>249</c:v>
                </c:pt>
                <c:pt idx="215">
                  <c:v>341</c:v>
                </c:pt>
                <c:pt idx="216">
                  <c:v>263</c:v>
                </c:pt>
                <c:pt idx="217">
                  <c:v>330</c:v>
                </c:pt>
                <c:pt idx="218">
                  <c:v>254</c:v>
                </c:pt>
                <c:pt idx="219">
                  <c:v>256</c:v>
                </c:pt>
                <c:pt idx="220">
                  <c:v>407</c:v>
                </c:pt>
                <c:pt idx="221">
                  <c:v>217</c:v>
                </c:pt>
                <c:pt idx="222">
                  <c:v>282</c:v>
                </c:pt>
                <c:pt idx="223">
                  <c:v>288</c:v>
                </c:pt>
                <c:pt idx="224">
                  <c:v>239</c:v>
                </c:pt>
                <c:pt idx="225">
                  <c:v>174</c:v>
                </c:pt>
                <c:pt idx="226">
                  <c:v>281</c:v>
                </c:pt>
                <c:pt idx="227">
                  <c:v>198</c:v>
                </c:pt>
                <c:pt idx="228">
                  <c:v>288</c:v>
                </c:pt>
                <c:pt idx="229">
                  <c:v>309</c:v>
                </c:pt>
                <c:pt idx="230">
                  <c:v>243</c:v>
                </c:pt>
                <c:pt idx="231">
                  <c:v>289</c:v>
                </c:pt>
                <c:pt idx="232">
                  <c:v>289</c:v>
                </c:pt>
                <c:pt idx="233">
                  <c:v>246</c:v>
                </c:pt>
                <c:pt idx="234">
                  <c:v>322</c:v>
                </c:pt>
                <c:pt idx="235">
                  <c:v>299</c:v>
                </c:pt>
                <c:pt idx="236">
                  <c:v>300</c:v>
                </c:pt>
                <c:pt idx="237">
                  <c:v>293</c:v>
                </c:pt>
                <c:pt idx="238">
                  <c:v>304</c:v>
                </c:pt>
                <c:pt idx="239">
                  <c:v>282</c:v>
                </c:pt>
                <c:pt idx="240">
                  <c:v>269</c:v>
                </c:pt>
                <c:pt idx="241">
                  <c:v>249</c:v>
                </c:pt>
                <c:pt idx="242">
                  <c:v>212</c:v>
                </c:pt>
                <c:pt idx="243">
                  <c:v>274</c:v>
                </c:pt>
                <c:pt idx="244">
                  <c:v>184</c:v>
                </c:pt>
                <c:pt idx="245">
                  <c:v>274</c:v>
                </c:pt>
                <c:pt idx="246">
                  <c:v>409</c:v>
                </c:pt>
                <c:pt idx="247">
                  <c:v>246</c:v>
                </c:pt>
                <c:pt idx="248">
                  <c:v>283</c:v>
                </c:pt>
                <c:pt idx="249">
                  <c:v>254</c:v>
                </c:pt>
                <c:pt idx="250">
                  <c:v>298</c:v>
                </c:pt>
                <c:pt idx="251">
                  <c:v>247</c:v>
                </c:pt>
                <c:pt idx="252">
                  <c:v>294</c:v>
                </c:pt>
                <c:pt idx="253">
                  <c:v>299</c:v>
                </c:pt>
                <c:pt idx="254">
                  <c:v>273</c:v>
                </c:pt>
                <c:pt idx="255">
                  <c:v>309</c:v>
                </c:pt>
                <c:pt idx="256">
                  <c:v>259</c:v>
                </c:pt>
                <c:pt idx="257">
                  <c:v>200</c:v>
                </c:pt>
                <c:pt idx="258">
                  <c:v>244</c:v>
                </c:pt>
                <c:pt idx="259">
                  <c:v>231</c:v>
                </c:pt>
                <c:pt idx="260">
                  <c:v>228</c:v>
                </c:pt>
                <c:pt idx="261">
                  <c:v>230</c:v>
                </c:pt>
                <c:pt idx="262">
                  <c:v>282</c:v>
                </c:pt>
                <c:pt idx="263">
                  <c:v>269</c:v>
                </c:pt>
                <c:pt idx="264">
                  <c:v>206</c:v>
                </c:pt>
                <c:pt idx="265">
                  <c:v>212</c:v>
                </c:pt>
                <c:pt idx="266">
                  <c:v>327</c:v>
                </c:pt>
                <c:pt idx="267">
                  <c:v>149</c:v>
                </c:pt>
                <c:pt idx="268">
                  <c:v>286</c:v>
                </c:pt>
                <c:pt idx="269">
                  <c:v>283</c:v>
                </c:pt>
                <c:pt idx="270">
                  <c:v>249</c:v>
                </c:pt>
                <c:pt idx="271">
                  <c:v>234</c:v>
                </c:pt>
                <c:pt idx="272">
                  <c:v>237</c:v>
                </c:pt>
                <c:pt idx="273">
                  <c:v>234</c:v>
                </c:pt>
                <c:pt idx="274">
                  <c:v>275</c:v>
                </c:pt>
                <c:pt idx="275">
                  <c:v>212</c:v>
                </c:pt>
                <c:pt idx="276">
                  <c:v>218</c:v>
                </c:pt>
                <c:pt idx="277">
                  <c:v>261</c:v>
                </c:pt>
                <c:pt idx="278">
                  <c:v>319</c:v>
                </c:pt>
                <c:pt idx="279">
                  <c:v>166</c:v>
                </c:pt>
                <c:pt idx="280">
                  <c:v>315</c:v>
                </c:pt>
                <c:pt idx="281">
                  <c:v>204</c:v>
                </c:pt>
                <c:pt idx="282">
                  <c:v>218</c:v>
                </c:pt>
                <c:pt idx="283">
                  <c:v>223</c:v>
                </c:pt>
                <c:pt idx="284">
                  <c:v>207</c:v>
                </c:pt>
                <c:pt idx="285">
                  <c:v>311</c:v>
                </c:pt>
                <c:pt idx="286">
                  <c:v>204</c:v>
                </c:pt>
                <c:pt idx="287">
                  <c:v>232</c:v>
                </c:pt>
                <c:pt idx="288">
                  <c:v>335</c:v>
                </c:pt>
                <c:pt idx="289">
                  <c:v>205</c:v>
                </c:pt>
                <c:pt idx="290">
                  <c:v>203</c:v>
                </c:pt>
                <c:pt idx="291">
                  <c:v>318</c:v>
                </c:pt>
                <c:pt idx="292">
                  <c:v>225</c:v>
                </c:pt>
                <c:pt idx="293">
                  <c:v>212</c:v>
                </c:pt>
                <c:pt idx="294">
                  <c:v>169</c:v>
                </c:pt>
                <c:pt idx="295">
                  <c:v>187</c:v>
                </c:pt>
                <c:pt idx="296">
                  <c:v>197</c:v>
                </c:pt>
                <c:pt idx="297">
                  <c:v>176</c:v>
                </c:pt>
                <c:pt idx="298">
                  <c:v>241</c:v>
                </c:pt>
                <c:pt idx="299">
                  <c:v>264</c:v>
                </c:pt>
                <c:pt idx="300">
                  <c:v>193</c:v>
                </c:pt>
                <c:pt idx="301">
                  <c:v>131</c:v>
                </c:pt>
                <c:pt idx="302">
                  <c:v>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10-4FA5-99E6-F40984803B27}"/>
            </c:ext>
          </c:extLst>
        </c:ser>
        <c:ser>
          <c:idx val="1"/>
          <c:order val="1"/>
          <c:tx>
            <c:v>Predicted chol</c:v>
          </c:tx>
          <c:spPr>
            <a:ln w="19050">
              <a:noFill/>
            </a:ln>
          </c:spPr>
          <c:xVal>
            <c:numRef>
              <c:f>regression!$W$2:$W$304</c:f>
              <c:numCache>
                <c:formatCode>General</c:formatCode>
                <c:ptCount val="303"/>
                <c:pt idx="0">
                  <c:v>145</c:v>
                </c:pt>
                <c:pt idx="1">
                  <c:v>130</c:v>
                </c:pt>
                <c:pt idx="2">
                  <c:v>130</c:v>
                </c:pt>
                <c:pt idx="3">
                  <c:v>120</c:v>
                </c:pt>
                <c:pt idx="4">
                  <c:v>120</c:v>
                </c:pt>
                <c:pt idx="5">
                  <c:v>140</c:v>
                </c:pt>
                <c:pt idx="6">
                  <c:v>140</c:v>
                </c:pt>
                <c:pt idx="7">
                  <c:v>120</c:v>
                </c:pt>
                <c:pt idx="8">
                  <c:v>172</c:v>
                </c:pt>
                <c:pt idx="9">
                  <c:v>150</c:v>
                </c:pt>
                <c:pt idx="10">
                  <c:v>140</c:v>
                </c:pt>
                <c:pt idx="11">
                  <c:v>130</c:v>
                </c:pt>
                <c:pt idx="12">
                  <c:v>130</c:v>
                </c:pt>
                <c:pt idx="13">
                  <c:v>110</c:v>
                </c:pt>
                <c:pt idx="14">
                  <c:v>150</c:v>
                </c:pt>
                <c:pt idx="15">
                  <c:v>120</c:v>
                </c:pt>
                <c:pt idx="16">
                  <c:v>120</c:v>
                </c:pt>
                <c:pt idx="17">
                  <c:v>150</c:v>
                </c:pt>
                <c:pt idx="18">
                  <c:v>150</c:v>
                </c:pt>
                <c:pt idx="19">
                  <c:v>140</c:v>
                </c:pt>
                <c:pt idx="20">
                  <c:v>135</c:v>
                </c:pt>
                <c:pt idx="21">
                  <c:v>130</c:v>
                </c:pt>
                <c:pt idx="22">
                  <c:v>140</c:v>
                </c:pt>
                <c:pt idx="23">
                  <c:v>150</c:v>
                </c:pt>
                <c:pt idx="24">
                  <c:v>140</c:v>
                </c:pt>
                <c:pt idx="25">
                  <c:v>160</c:v>
                </c:pt>
                <c:pt idx="26">
                  <c:v>150</c:v>
                </c:pt>
                <c:pt idx="27">
                  <c:v>110</c:v>
                </c:pt>
                <c:pt idx="28">
                  <c:v>140</c:v>
                </c:pt>
                <c:pt idx="29">
                  <c:v>130</c:v>
                </c:pt>
                <c:pt idx="30">
                  <c:v>105</c:v>
                </c:pt>
                <c:pt idx="31">
                  <c:v>120</c:v>
                </c:pt>
                <c:pt idx="32">
                  <c:v>130</c:v>
                </c:pt>
                <c:pt idx="33">
                  <c:v>125</c:v>
                </c:pt>
                <c:pt idx="34">
                  <c:v>125</c:v>
                </c:pt>
                <c:pt idx="35">
                  <c:v>142</c:v>
                </c:pt>
                <c:pt idx="36">
                  <c:v>135</c:v>
                </c:pt>
                <c:pt idx="37">
                  <c:v>150</c:v>
                </c:pt>
                <c:pt idx="38">
                  <c:v>155</c:v>
                </c:pt>
                <c:pt idx="39">
                  <c:v>160</c:v>
                </c:pt>
                <c:pt idx="40">
                  <c:v>140</c:v>
                </c:pt>
                <c:pt idx="41">
                  <c:v>130</c:v>
                </c:pt>
                <c:pt idx="42">
                  <c:v>104</c:v>
                </c:pt>
                <c:pt idx="43">
                  <c:v>130</c:v>
                </c:pt>
                <c:pt idx="44">
                  <c:v>140</c:v>
                </c:pt>
                <c:pt idx="45">
                  <c:v>120</c:v>
                </c:pt>
                <c:pt idx="46">
                  <c:v>140</c:v>
                </c:pt>
                <c:pt idx="47">
                  <c:v>138</c:v>
                </c:pt>
                <c:pt idx="48">
                  <c:v>128</c:v>
                </c:pt>
                <c:pt idx="49">
                  <c:v>138</c:v>
                </c:pt>
                <c:pt idx="50">
                  <c:v>130</c:v>
                </c:pt>
                <c:pt idx="51">
                  <c:v>120</c:v>
                </c:pt>
                <c:pt idx="52">
                  <c:v>130</c:v>
                </c:pt>
                <c:pt idx="53">
                  <c:v>108</c:v>
                </c:pt>
                <c:pt idx="54">
                  <c:v>135</c:v>
                </c:pt>
                <c:pt idx="55">
                  <c:v>134</c:v>
                </c:pt>
                <c:pt idx="56">
                  <c:v>122</c:v>
                </c:pt>
                <c:pt idx="57">
                  <c:v>115</c:v>
                </c:pt>
                <c:pt idx="58">
                  <c:v>118</c:v>
                </c:pt>
                <c:pt idx="59">
                  <c:v>128</c:v>
                </c:pt>
                <c:pt idx="60">
                  <c:v>110</c:v>
                </c:pt>
                <c:pt idx="61">
                  <c:v>108</c:v>
                </c:pt>
                <c:pt idx="62">
                  <c:v>118</c:v>
                </c:pt>
                <c:pt idx="63">
                  <c:v>135</c:v>
                </c:pt>
                <c:pt idx="64">
                  <c:v>140</c:v>
                </c:pt>
                <c:pt idx="65">
                  <c:v>138</c:v>
                </c:pt>
                <c:pt idx="66">
                  <c:v>100</c:v>
                </c:pt>
                <c:pt idx="67">
                  <c:v>130</c:v>
                </c:pt>
                <c:pt idx="68">
                  <c:v>120</c:v>
                </c:pt>
                <c:pt idx="69">
                  <c:v>124</c:v>
                </c:pt>
                <c:pt idx="70">
                  <c:v>120</c:v>
                </c:pt>
                <c:pt idx="71">
                  <c:v>94</c:v>
                </c:pt>
                <c:pt idx="72">
                  <c:v>130</c:v>
                </c:pt>
                <c:pt idx="73">
                  <c:v>140</c:v>
                </c:pt>
                <c:pt idx="74">
                  <c:v>122</c:v>
                </c:pt>
                <c:pt idx="75">
                  <c:v>135</c:v>
                </c:pt>
                <c:pt idx="76">
                  <c:v>125</c:v>
                </c:pt>
                <c:pt idx="77">
                  <c:v>140</c:v>
                </c:pt>
                <c:pt idx="78">
                  <c:v>128</c:v>
                </c:pt>
                <c:pt idx="79">
                  <c:v>105</c:v>
                </c:pt>
                <c:pt idx="80">
                  <c:v>112</c:v>
                </c:pt>
                <c:pt idx="81">
                  <c:v>128</c:v>
                </c:pt>
                <c:pt idx="82">
                  <c:v>102</c:v>
                </c:pt>
                <c:pt idx="83">
                  <c:v>152</c:v>
                </c:pt>
                <c:pt idx="84">
                  <c:v>102</c:v>
                </c:pt>
                <c:pt idx="85">
                  <c:v>115</c:v>
                </c:pt>
                <c:pt idx="86">
                  <c:v>118</c:v>
                </c:pt>
                <c:pt idx="87">
                  <c:v>101</c:v>
                </c:pt>
                <c:pt idx="88">
                  <c:v>110</c:v>
                </c:pt>
                <c:pt idx="89">
                  <c:v>100</c:v>
                </c:pt>
                <c:pt idx="90">
                  <c:v>124</c:v>
                </c:pt>
                <c:pt idx="91">
                  <c:v>132</c:v>
                </c:pt>
                <c:pt idx="92">
                  <c:v>138</c:v>
                </c:pt>
                <c:pt idx="93">
                  <c:v>132</c:v>
                </c:pt>
                <c:pt idx="94">
                  <c:v>112</c:v>
                </c:pt>
                <c:pt idx="95">
                  <c:v>142</c:v>
                </c:pt>
                <c:pt idx="96">
                  <c:v>140</c:v>
                </c:pt>
                <c:pt idx="97">
                  <c:v>108</c:v>
                </c:pt>
                <c:pt idx="98">
                  <c:v>130</c:v>
                </c:pt>
                <c:pt idx="99">
                  <c:v>130</c:v>
                </c:pt>
                <c:pt idx="100">
                  <c:v>148</c:v>
                </c:pt>
                <c:pt idx="101">
                  <c:v>178</c:v>
                </c:pt>
                <c:pt idx="102">
                  <c:v>140</c:v>
                </c:pt>
                <c:pt idx="103">
                  <c:v>120</c:v>
                </c:pt>
                <c:pt idx="104">
                  <c:v>129</c:v>
                </c:pt>
                <c:pt idx="105">
                  <c:v>120</c:v>
                </c:pt>
                <c:pt idx="106">
                  <c:v>160</c:v>
                </c:pt>
                <c:pt idx="107">
                  <c:v>138</c:v>
                </c:pt>
                <c:pt idx="108">
                  <c:v>120</c:v>
                </c:pt>
                <c:pt idx="109">
                  <c:v>110</c:v>
                </c:pt>
                <c:pt idx="110">
                  <c:v>180</c:v>
                </c:pt>
                <c:pt idx="111">
                  <c:v>150</c:v>
                </c:pt>
                <c:pt idx="112">
                  <c:v>140</c:v>
                </c:pt>
                <c:pt idx="113">
                  <c:v>110</c:v>
                </c:pt>
                <c:pt idx="114">
                  <c:v>130</c:v>
                </c:pt>
                <c:pt idx="115">
                  <c:v>120</c:v>
                </c:pt>
                <c:pt idx="116">
                  <c:v>130</c:v>
                </c:pt>
                <c:pt idx="117">
                  <c:v>120</c:v>
                </c:pt>
                <c:pt idx="118">
                  <c:v>105</c:v>
                </c:pt>
                <c:pt idx="119">
                  <c:v>138</c:v>
                </c:pt>
                <c:pt idx="120">
                  <c:v>130</c:v>
                </c:pt>
                <c:pt idx="121">
                  <c:v>138</c:v>
                </c:pt>
                <c:pt idx="122">
                  <c:v>112</c:v>
                </c:pt>
                <c:pt idx="123">
                  <c:v>108</c:v>
                </c:pt>
                <c:pt idx="124">
                  <c:v>94</c:v>
                </c:pt>
                <c:pt idx="125">
                  <c:v>118</c:v>
                </c:pt>
                <c:pt idx="126">
                  <c:v>112</c:v>
                </c:pt>
                <c:pt idx="127">
                  <c:v>152</c:v>
                </c:pt>
                <c:pt idx="128">
                  <c:v>136</c:v>
                </c:pt>
                <c:pt idx="129">
                  <c:v>120</c:v>
                </c:pt>
                <c:pt idx="130">
                  <c:v>160</c:v>
                </c:pt>
                <c:pt idx="131">
                  <c:v>134</c:v>
                </c:pt>
                <c:pt idx="132">
                  <c:v>120</c:v>
                </c:pt>
                <c:pt idx="133">
                  <c:v>110</c:v>
                </c:pt>
                <c:pt idx="134">
                  <c:v>126</c:v>
                </c:pt>
                <c:pt idx="135">
                  <c:v>130</c:v>
                </c:pt>
                <c:pt idx="136">
                  <c:v>120</c:v>
                </c:pt>
                <c:pt idx="137">
                  <c:v>128</c:v>
                </c:pt>
                <c:pt idx="138">
                  <c:v>110</c:v>
                </c:pt>
                <c:pt idx="139">
                  <c:v>128</c:v>
                </c:pt>
                <c:pt idx="140">
                  <c:v>120</c:v>
                </c:pt>
                <c:pt idx="141">
                  <c:v>115</c:v>
                </c:pt>
                <c:pt idx="142">
                  <c:v>120</c:v>
                </c:pt>
                <c:pt idx="143">
                  <c:v>106</c:v>
                </c:pt>
                <c:pt idx="144">
                  <c:v>140</c:v>
                </c:pt>
                <c:pt idx="145">
                  <c:v>156</c:v>
                </c:pt>
                <c:pt idx="146">
                  <c:v>118</c:v>
                </c:pt>
                <c:pt idx="147">
                  <c:v>150</c:v>
                </c:pt>
                <c:pt idx="148">
                  <c:v>120</c:v>
                </c:pt>
                <c:pt idx="149">
                  <c:v>130</c:v>
                </c:pt>
                <c:pt idx="150">
                  <c:v>160</c:v>
                </c:pt>
                <c:pt idx="151">
                  <c:v>112</c:v>
                </c:pt>
                <c:pt idx="152">
                  <c:v>170</c:v>
                </c:pt>
                <c:pt idx="153">
                  <c:v>146</c:v>
                </c:pt>
                <c:pt idx="154">
                  <c:v>138</c:v>
                </c:pt>
                <c:pt idx="155">
                  <c:v>130</c:v>
                </c:pt>
                <c:pt idx="156">
                  <c:v>130</c:v>
                </c:pt>
                <c:pt idx="157">
                  <c:v>122</c:v>
                </c:pt>
                <c:pt idx="158">
                  <c:v>125</c:v>
                </c:pt>
                <c:pt idx="159">
                  <c:v>130</c:v>
                </c:pt>
                <c:pt idx="160">
                  <c:v>120</c:v>
                </c:pt>
                <c:pt idx="161">
                  <c:v>132</c:v>
                </c:pt>
                <c:pt idx="162">
                  <c:v>120</c:v>
                </c:pt>
                <c:pt idx="163">
                  <c:v>138</c:v>
                </c:pt>
                <c:pt idx="164">
                  <c:v>138</c:v>
                </c:pt>
                <c:pt idx="165">
                  <c:v>160</c:v>
                </c:pt>
                <c:pt idx="166">
                  <c:v>120</c:v>
                </c:pt>
                <c:pt idx="167">
                  <c:v>140</c:v>
                </c:pt>
                <c:pt idx="168">
                  <c:v>130</c:v>
                </c:pt>
                <c:pt idx="169">
                  <c:v>140</c:v>
                </c:pt>
                <c:pt idx="170">
                  <c:v>130</c:v>
                </c:pt>
                <c:pt idx="171">
                  <c:v>110</c:v>
                </c:pt>
                <c:pt idx="172">
                  <c:v>120</c:v>
                </c:pt>
                <c:pt idx="173">
                  <c:v>132</c:v>
                </c:pt>
                <c:pt idx="174">
                  <c:v>130</c:v>
                </c:pt>
                <c:pt idx="175">
                  <c:v>110</c:v>
                </c:pt>
                <c:pt idx="176">
                  <c:v>117</c:v>
                </c:pt>
                <c:pt idx="177">
                  <c:v>140</c:v>
                </c:pt>
                <c:pt idx="178">
                  <c:v>120</c:v>
                </c:pt>
                <c:pt idx="179">
                  <c:v>150</c:v>
                </c:pt>
                <c:pt idx="180">
                  <c:v>132</c:v>
                </c:pt>
                <c:pt idx="181">
                  <c:v>150</c:v>
                </c:pt>
                <c:pt idx="182">
                  <c:v>130</c:v>
                </c:pt>
                <c:pt idx="183">
                  <c:v>112</c:v>
                </c:pt>
                <c:pt idx="184">
                  <c:v>150</c:v>
                </c:pt>
                <c:pt idx="185">
                  <c:v>112</c:v>
                </c:pt>
                <c:pt idx="186">
                  <c:v>130</c:v>
                </c:pt>
                <c:pt idx="187">
                  <c:v>124</c:v>
                </c:pt>
                <c:pt idx="188">
                  <c:v>140</c:v>
                </c:pt>
                <c:pt idx="189">
                  <c:v>110</c:v>
                </c:pt>
                <c:pt idx="190">
                  <c:v>130</c:v>
                </c:pt>
                <c:pt idx="191">
                  <c:v>128</c:v>
                </c:pt>
                <c:pt idx="192">
                  <c:v>120</c:v>
                </c:pt>
                <c:pt idx="193">
                  <c:v>145</c:v>
                </c:pt>
                <c:pt idx="194">
                  <c:v>140</c:v>
                </c:pt>
                <c:pt idx="195">
                  <c:v>170</c:v>
                </c:pt>
                <c:pt idx="196">
                  <c:v>150</c:v>
                </c:pt>
                <c:pt idx="197">
                  <c:v>125</c:v>
                </c:pt>
                <c:pt idx="198">
                  <c:v>120</c:v>
                </c:pt>
                <c:pt idx="199">
                  <c:v>110</c:v>
                </c:pt>
                <c:pt idx="200">
                  <c:v>110</c:v>
                </c:pt>
                <c:pt idx="201">
                  <c:v>125</c:v>
                </c:pt>
                <c:pt idx="202">
                  <c:v>150</c:v>
                </c:pt>
                <c:pt idx="203">
                  <c:v>180</c:v>
                </c:pt>
                <c:pt idx="204">
                  <c:v>160</c:v>
                </c:pt>
                <c:pt idx="205">
                  <c:v>128</c:v>
                </c:pt>
                <c:pt idx="206">
                  <c:v>110</c:v>
                </c:pt>
                <c:pt idx="207">
                  <c:v>150</c:v>
                </c:pt>
                <c:pt idx="208">
                  <c:v>120</c:v>
                </c:pt>
                <c:pt idx="209">
                  <c:v>140</c:v>
                </c:pt>
                <c:pt idx="210">
                  <c:v>128</c:v>
                </c:pt>
                <c:pt idx="211">
                  <c:v>120</c:v>
                </c:pt>
                <c:pt idx="212">
                  <c:v>118</c:v>
                </c:pt>
                <c:pt idx="213">
                  <c:v>145</c:v>
                </c:pt>
                <c:pt idx="214">
                  <c:v>125</c:v>
                </c:pt>
                <c:pt idx="215">
                  <c:v>132</c:v>
                </c:pt>
                <c:pt idx="216">
                  <c:v>130</c:v>
                </c:pt>
                <c:pt idx="217">
                  <c:v>130</c:v>
                </c:pt>
                <c:pt idx="218">
                  <c:v>135</c:v>
                </c:pt>
                <c:pt idx="219">
                  <c:v>130</c:v>
                </c:pt>
                <c:pt idx="220">
                  <c:v>150</c:v>
                </c:pt>
                <c:pt idx="221">
                  <c:v>140</c:v>
                </c:pt>
                <c:pt idx="222">
                  <c:v>138</c:v>
                </c:pt>
                <c:pt idx="223">
                  <c:v>200</c:v>
                </c:pt>
                <c:pt idx="224">
                  <c:v>110</c:v>
                </c:pt>
                <c:pt idx="225">
                  <c:v>145</c:v>
                </c:pt>
                <c:pt idx="226">
                  <c:v>120</c:v>
                </c:pt>
                <c:pt idx="227">
                  <c:v>120</c:v>
                </c:pt>
                <c:pt idx="228">
                  <c:v>170</c:v>
                </c:pt>
                <c:pt idx="229">
                  <c:v>125</c:v>
                </c:pt>
                <c:pt idx="230">
                  <c:v>108</c:v>
                </c:pt>
                <c:pt idx="231">
                  <c:v>165</c:v>
                </c:pt>
                <c:pt idx="232">
                  <c:v>160</c:v>
                </c:pt>
                <c:pt idx="233">
                  <c:v>120</c:v>
                </c:pt>
                <c:pt idx="234">
                  <c:v>130</c:v>
                </c:pt>
                <c:pt idx="235">
                  <c:v>140</c:v>
                </c:pt>
                <c:pt idx="236">
                  <c:v>125</c:v>
                </c:pt>
                <c:pt idx="237">
                  <c:v>140</c:v>
                </c:pt>
                <c:pt idx="238">
                  <c:v>125</c:v>
                </c:pt>
                <c:pt idx="239">
                  <c:v>126</c:v>
                </c:pt>
                <c:pt idx="240">
                  <c:v>160</c:v>
                </c:pt>
                <c:pt idx="241">
                  <c:v>174</c:v>
                </c:pt>
                <c:pt idx="242">
                  <c:v>145</c:v>
                </c:pt>
                <c:pt idx="243">
                  <c:v>152</c:v>
                </c:pt>
                <c:pt idx="244">
                  <c:v>132</c:v>
                </c:pt>
                <c:pt idx="245">
                  <c:v>124</c:v>
                </c:pt>
                <c:pt idx="246">
                  <c:v>134</c:v>
                </c:pt>
                <c:pt idx="247">
                  <c:v>160</c:v>
                </c:pt>
                <c:pt idx="248">
                  <c:v>192</c:v>
                </c:pt>
                <c:pt idx="249">
                  <c:v>140</c:v>
                </c:pt>
                <c:pt idx="250">
                  <c:v>140</c:v>
                </c:pt>
                <c:pt idx="251">
                  <c:v>132</c:v>
                </c:pt>
                <c:pt idx="252">
                  <c:v>138</c:v>
                </c:pt>
                <c:pt idx="253">
                  <c:v>100</c:v>
                </c:pt>
                <c:pt idx="254">
                  <c:v>160</c:v>
                </c:pt>
                <c:pt idx="255">
                  <c:v>142</c:v>
                </c:pt>
                <c:pt idx="256">
                  <c:v>128</c:v>
                </c:pt>
                <c:pt idx="257">
                  <c:v>144</c:v>
                </c:pt>
                <c:pt idx="258">
                  <c:v>150</c:v>
                </c:pt>
                <c:pt idx="259">
                  <c:v>120</c:v>
                </c:pt>
                <c:pt idx="260">
                  <c:v>178</c:v>
                </c:pt>
                <c:pt idx="261">
                  <c:v>112</c:v>
                </c:pt>
                <c:pt idx="262">
                  <c:v>123</c:v>
                </c:pt>
                <c:pt idx="263">
                  <c:v>108</c:v>
                </c:pt>
                <c:pt idx="264">
                  <c:v>110</c:v>
                </c:pt>
                <c:pt idx="265">
                  <c:v>112</c:v>
                </c:pt>
                <c:pt idx="266">
                  <c:v>180</c:v>
                </c:pt>
                <c:pt idx="267">
                  <c:v>118</c:v>
                </c:pt>
                <c:pt idx="268">
                  <c:v>122</c:v>
                </c:pt>
                <c:pt idx="269">
                  <c:v>130</c:v>
                </c:pt>
                <c:pt idx="270">
                  <c:v>120</c:v>
                </c:pt>
                <c:pt idx="271">
                  <c:v>134</c:v>
                </c:pt>
                <c:pt idx="272">
                  <c:v>120</c:v>
                </c:pt>
                <c:pt idx="273">
                  <c:v>100</c:v>
                </c:pt>
                <c:pt idx="274">
                  <c:v>110</c:v>
                </c:pt>
                <c:pt idx="275">
                  <c:v>125</c:v>
                </c:pt>
                <c:pt idx="276">
                  <c:v>146</c:v>
                </c:pt>
                <c:pt idx="277">
                  <c:v>124</c:v>
                </c:pt>
                <c:pt idx="278">
                  <c:v>136</c:v>
                </c:pt>
                <c:pt idx="279">
                  <c:v>138</c:v>
                </c:pt>
                <c:pt idx="280">
                  <c:v>136</c:v>
                </c:pt>
                <c:pt idx="281">
                  <c:v>128</c:v>
                </c:pt>
                <c:pt idx="282">
                  <c:v>126</c:v>
                </c:pt>
                <c:pt idx="283">
                  <c:v>152</c:v>
                </c:pt>
                <c:pt idx="284">
                  <c:v>140</c:v>
                </c:pt>
                <c:pt idx="285">
                  <c:v>140</c:v>
                </c:pt>
                <c:pt idx="286">
                  <c:v>134</c:v>
                </c:pt>
                <c:pt idx="287">
                  <c:v>154</c:v>
                </c:pt>
                <c:pt idx="288">
                  <c:v>110</c:v>
                </c:pt>
                <c:pt idx="289">
                  <c:v>128</c:v>
                </c:pt>
                <c:pt idx="290">
                  <c:v>148</c:v>
                </c:pt>
                <c:pt idx="291">
                  <c:v>114</c:v>
                </c:pt>
                <c:pt idx="292">
                  <c:v>170</c:v>
                </c:pt>
                <c:pt idx="293">
                  <c:v>152</c:v>
                </c:pt>
                <c:pt idx="294">
                  <c:v>120</c:v>
                </c:pt>
                <c:pt idx="295">
                  <c:v>140</c:v>
                </c:pt>
                <c:pt idx="296">
                  <c:v>124</c:v>
                </c:pt>
                <c:pt idx="297">
                  <c:v>164</c:v>
                </c:pt>
                <c:pt idx="298">
                  <c:v>140</c:v>
                </c:pt>
                <c:pt idx="299">
                  <c:v>110</c:v>
                </c:pt>
                <c:pt idx="300">
                  <c:v>144</c:v>
                </c:pt>
                <c:pt idx="301">
                  <c:v>130</c:v>
                </c:pt>
                <c:pt idx="302">
                  <c:v>130</c:v>
                </c:pt>
              </c:numCache>
            </c:numRef>
          </c:xVal>
          <c:yVal>
            <c:numRef>
              <c:f>regression!$AA$27:$AA$329</c:f>
              <c:numCache>
                <c:formatCode>General</c:formatCode>
                <c:ptCount val="303"/>
                <c:pt idx="0">
                  <c:v>258.56649209594468</c:v>
                </c:pt>
                <c:pt idx="1">
                  <c:v>226.66273059985517</c:v>
                </c:pt>
                <c:pt idx="2">
                  <c:v>231.10140360282367</c:v>
                </c:pt>
                <c:pt idx="3">
                  <c:v>245.71150271275914</c:v>
                </c:pt>
                <c:pt idx="4">
                  <c:v>246.82117096350126</c:v>
                </c:pt>
                <c:pt idx="5">
                  <c:v>250.89102026589381</c:v>
                </c:pt>
                <c:pt idx="6">
                  <c:v>249.7813520151517</c:v>
                </c:pt>
                <c:pt idx="7">
                  <c:v>232.39548370385373</c:v>
                </c:pt>
                <c:pt idx="8">
                  <c:v>251.85443789601135</c:v>
                </c:pt>
                <c:pt idx="9">
                  <c:v>252.92594491709011</c:v>
                </c:pt>
                <c:pt idx="10">
                  <c:v>247.56201551366746</c:v>
                </c:pt>
                <c:pt idx="11">
                  <c:v>238.86908135801849</c:v>
                </c:pt>
                <c:pt idx="12">
                  <c:v>239.97874960876061</c:v>
                </c:pt>
                <c:pt idx="13">
                  <c:v>252.55392406749979</c:v>
                </c:pt>
                <c:pt idx="14">
                  <c:v>254.03561316783222</c:v>
                </c:pt>
                <c:pt idx="15">
                  <c:v>239.05349320830643</c:v>
                </c:pt>
                <c:pt idx="16">
                  <c:v>247.93083921424338</c:v>
                </c:pt>
                <c:pt idx="17">
                  <c:v>262.91295917376914</c:v>
                </c:pt>
                <c:pt idx="18">
                  <c:v>237.39058940670046</c:v>
                </c:pt>
                <c:pt idx="19">
                  <c:v>264.20703927479923</c:v>
                </c:pt>
                <c:pt idx="20">
                  <c:v>252.09289444177992</c:v>
                </c:pt>
                <c:pt idx="21">
                  <c:v>234.43040835505002</c:v>
                </c:pt>
                <c:pt idx="22">
                  <c:v>234.24599650476205</c:v>
                </c:pt>
                <c:pt idx="23">
                  <c:v>257.36461792005855</c:v>
                </c:pt>
                <c:pt idx="24">
                  <c:v>232.02666000327778</c:v>
                </c:pt>
                <c:pt idx="25">
                  <c:v>270.49622507867605</c:v>
                </c:pt>
                <c:pt idx="26">
                  <c:v>255.14528141857434</c:v>
                </c:pt>
                <c:pt idx="27">
                  <c:v>238.12823680785226</c:v>
                </c:pt>
                <c:pt idx="28">
                  <c:v>259.76836627183076</c:v>
                </c:pt>
                <c:pt idx="29">
                  <c:v>244.41742261172908</c:v>
                </c:pt>
                <c:pt idx="30">
                  <c:v>226.01409197483295</c:v>
                </c:pt>
                <c:pt idx="31">
                  <c:v>255.6985169694382</c:v>
                </c:pt>
                <c:pt idx="32">
                  <c:v>234.43040835505002</c:v>
                </c:pt>
                <c:pt idx="33">
                  <c:v>244.50962853687304</c:v>
                </c:pt>
                <c:pt idx="34">
                  <c:v>241.18062378464668</c:v>
                </c:pt>
                <c:pt idx="35">
                  <c:v>239.09165443796979</c:v>
                </c:pt>
                <c:pt idx="36">
                  <c:v>246.54455318806933</c:v>
                </c:pt>
                <c:pt idx="37">
                  <c:v>249.59694016486375</c:v>
                </c:pt>
                <c:pt idx="38">
                  <c:v>262.82075324862518</c:v>
                </c:pt>
                <c:pt idx="39">
                  <c:v>263.83821557422334</c:v>
                </c:pt>
                <c:pt idx="40">
                  <c:v>244.23301076144111</c:v>
                </c:pt>
                <c:pt idx="41">
                  <c:v>238.86908135801849</c:v>
                </c:pt>
                <c:pt idx="42">
                  <c:v>230.24927251268178</c:v>
                </c:pt>
                <c:pt idx="43">
                  <c:v>244.41742261172908</c:v>
                </c:pt>
                <c:pt idx="44">
                  <c:v>230.91699175253567</c:v>
                </c:pt>
                <c:pt idx="45">
                  <c:v>241.27282970979067</c:v>
                </c:pt>
                <c:pt idx="46">
                  <c:v>236.46533300624628</c:v>
                </c:pt>
                <c:pt idx="47">
                  <c:v>239.38735282823339</c:v>
                </c:pt>
                <c:pt idx="48">
                  <c:v>244.0104376814898</c:v>
                </c:pt>
                <c:pt idx="49">
                  <c:v>246.0453623326861</c:v>
                </c:pt>
                <c:pt idx="50">
                  <c:v>242.19808611024484</c:v>
                </c:pt>
                <c:pt idx="51">
                  <c:v>256.80818522018029</c:v>
                </c:pt>
                <c:pt idx="52">
                  <c:v>254.40443686840814</c:v>
                </c:pt>
                <c:pt idx="53">
                  <c:v>229.95357412241819</c:v>
                </c:pt>
                <c:pt idx="54">
                  <c:v>256.53156744474836</c:v>
                </c:pt>
                <c:pt idx="55">
                  <c:v>244.12172422146546</c:v>
                </c:pt>
                <c:pt idx="56">
                  <c:v>237.24114163706145</c:v>
                </c:pt>
                <c:pt idx="57">
                  <c:v>232.48768962899771</c:v>
                </c:pt>
                <c:pt idx="58">
                  <c:v>220.89181626619327</c:v>
                </c:pt>
                <c:pt idx="59">
                  <c:v>248.44911068445828</c:v>
                </c:pt>
                <c:pt idx="60">
                  <c:v>260.32160182269462</c:v>
                </c:pt>
                <c:pt idx="61">
                  <c:v>241.05025662983937</c:v>
                </c:pt>
                <c:pt idx="62">
                  <c:v>240.86584477955142</c:v>
                </c:pt>
                <c:pt idx="63">
                  <c:v>232.1188659284218</c:v>
                </c:pt>
                <c:pt idx="64">
                  <c:v>252.00068851663593</c:v>
                </c:pt>
                <c:pt idx="65">
                  <c:v>226.07133381932795</c:v>
                </c:pt>
                <c:pt idx="66">
                  <c:v>236.093312156656</c:v>
                </c:pt>
                <c:pt idx="67">
                  <c:v>235.54007660579214</c:v>
                </c:pt>
                <c:pt idx="68">
                  <c:v>232.39548370385373</c:v>
                </c:pt>
                <c:pt idx="69">
                  <c:v>253.18348207769037</c:v>
                </c:pt>
                <c:pt idx="70">
                  <c:v>243.49216621127491</c:v>
                </c:pt>
                <c:pt idx="71">
                  <c:v>234.87235736593823</c:v>
                </c:pt>
                <c:pt idx="72">
                  <c:v>217.78538459391822</c:v>
                </c:pt>
                <c:pt idx="73">
                  <c:v>244.23301076144111</c:v>
                </c:pt>
                <c:pt idx="74">
                  <c:v>231.69280038335086</c:v>
                </c:pt>
                <c:pt idx="75">
                  <c:v>247.65422143881145</c:v>
                </c:pt>
                <c:pt idx="76">
                  <c:v>241.18062378464668</c:v>
                </c:pt>
                <c:pt idx="77">
                  <c:v>253.11035676737805</c:v>
                </c:pt>
                <c:pt idx="78">
                  <c:v>242.90076943074769</c:v>
                </c:pt>
                <c:pt idx="79">
                  <c:v>244.87845223744895</c:v>
                </c:pt>
                <c:pt idx="80">
                  <c:v>227.43853923067036</c:v>
                </c:pt>
                <c:pt idx="81">
                  <c:v>235.13309167555286</c:v>
                </c:pt>
                <c:pt idx="82">
                  <c:v>246.48731134357431</c:v>
                </c:pt>
                <c:pt idx="83">
                  <c:v>247.78458859361876</c:v>
                </c:pt>
                <c:pt idx="84">
                  <c:v>226.51328283021618</c:v>
                </c:pt>
                <c:pt idx="85">
                  <c:v>256.90039114532431</c:v>
                </c:pt>
                <c:pt idx="86">
                  <c:v>258.62053679142531</c:v>
                </c:pt>
                <c:pt idx="87">
                  <c:v>230.74846336806502</c:v>
                </c:pt>
                <c:pt idx="88">
                  <c:v>241.45724156007861</c:v>
                </c:pt>
                <c:pt idx="89">
                  <c:v>243.86098991185082</c:v>
                </c:pt>
                <c:pt idx="90">
                  <c:v>237.64812656730072</c:v>
                </c:pt>
                <c:pt idx="91">
                  <c:v>249.2630805449368</c:v>
                </c:pt>
                <c:pt idx="92">
                  <c:v>244.93569408194398</c:v>
                </c:pt>
                <c:pt idx="93">
                  <c:v>245.93407579271044</c:v>
                </c:pt>
                <c:pt idx="94">
                  <c:v>231.87721223363883</c:v>
                </c:pt>
                <c:pt idx="95">
                  <c:v>246.85933219316462</c:v>
                </c:pt>
                <c:pt idx="96">
                  <c:v>256.4393615196044</c:v>
                </c:pt>
                <c:pt idx="97">
                  <c:v>238.83092012835513</c:v>
                </c:pt>
                <c:pt idx="98">
                  <c:v>233.3207401043079</c:v>
                </c:pt>
                <c:pt idx="99">
                  <c:v>244.41742261172908</c:v>
                </c:pt>
                <c:pt idx="100">
                  <c:v>235.87393622571909</c:v>
                </c:pt>
                <c:pt idx="101">
                  <c:v>260.84307044192394</c:v>
                </c:pt>
                <c:pt idx="102">
                  <c:v>257.54902977034652</c:v>
                </c:pt>
                <c:pt idx="103">
                  <c:v>230.17614720236949</c:v>
                </c:pt>
                <c:pt idx="104">
                  <c:v>240.88492539438309</c:v>
                </c:pt>
                <c:pt idx="105">
                  <c:v>259.02752172166453</c:v>
                </c:pt>
                <c:pt idx="106">
                  <c:v>268.27688857719181</c:v>
                </c:pt>
                <c:pt idx="107">
                  <c:v>237.16801632674915</c:v>
                </c:pt>
                <c:pt idx="108">
                  <c:v>239.05349320830643</c:v>
                </c:pt>
                <c:pt idx="109">
                  <c:v>237.01856855711014</c:v>
                </c:pt>
                <c:pt idx="110">
                  <c:v>266.79839662587381</c:v>
                </c:pt>
                <c:pt idx="111">
                  <c:v>252.92594491709011</c:v>
                </c:pt>
                <c:pt idx="112">
                  <c:v>258.65869802108864</c:v>
                </c:pt>
                <c:pt idx="113">
                  <c:v>229.25089080191532</c:v>
                </c:pt>
                <c:pt idx="114">
                  <c:v>246.63675911321332</c:v>
                </c:pt>
                <c:pt idx="115">
                  <c:v>224.62780594865887</c:v>
                </c:pt>
                <c:pt idx="116">
                  <c:v>231.10140360282367</c:v>
                </c:pt>
                <c:pt idx="117">
                  <c:v>245.71150271275914</c:v>
                </c:pt>
                <c:pt idx="118">
                  <c:v>231.56243322854354</c:v>
                </c:pt>
                <c:pt idx="119">
                  <c:v>238.27768457749127</c:v>
                </c:pt>
                <c:pt idx="120">
                  <c:v>256.62377336989238</c:v>
                </c:pt>
                <c:pt idx="121">
                  <c:v>252.7033718371388</c:v>
                </c:pt>
                <c:pt idx="122">
                  <c:v>227.43853923067036</c:v>
                </c:pt>
                <c:pt idx="123">
                  <c:v>241.05025662983937</c:v>
                </c:pt>
                <c:pt idx="124">
                  <c:v>221.55633835703279</c:v>
                </c:pt>
                <c:pt idx="125">
                  <c:v>220.89181626619327</c:v>
                </c:pt>
                <c:pt idx="126">
                  <c:v>234.09654873512306</c:v>
                </c:pt>
                <c:pt idx="127">
                  <c:v>264.42961235475053</c:v>
                </c:pt>
                <c:pt idx="128">
                  <c:v>244.52870915170473</c:v>
                </c:pt>
                <c:pt idx="129">
                  <c:v>265.68553122611723</c:v>
                </c:pt>
                <c:pt idx="130">
                  <c:v>251.63186481606004</c:v>
                </c:pt>
                <c:pt idx="131">
                  <c:v>240.7927194692391</c:v>
                </c:pt>
                <c:pt idx="132">
                  <c:v>230.17614720236949</c:v>
                </c:pt>
                <c:pt idx="133">
                  <c:v>227.03155430043108</c:v>
                </c:pt>
                <c:pt idx="134">
                  <c:v>230.28743374234514</c:v>
                </c:pt>
                <c:pt idx="135">
                  <c:v>239.97874960876061</c:v>
                </c:pt>
                <c:pt idx="136">
                  <c:v>250.15017571572761</c:v>
                </c:pt>
                <c:pt idx="137">
                  <c:v>253.99745193816887</c:v>
                </c:pt>
                <c:pt idx="138">
                  <c:v>244.78624631230497</c:v>
                </c:pt>
                <c:pt idx="139">
                  <c:v>256.2167884396531</c:v>
                </c:pt>
                <c:pt idx="140">
                  <c:v>240.16316145904855</c:v>
                </c:pt>
                <c:pt idx="141">
                  <c:v>230.26835312751348</c:v>
                </c:pt>
                <c:pt idx="142">
                  <c:v>230.17614720236949</c:v>
                </c:pt>
                <c:pt idx="143">
                  <c:v>255.06895895924765</c:v>
                </c:pt>
                <c:pt idx="144">
                  <c:v>271.97471702999405</c:v>
                </c:pt>
                <c:pt idx="145">
                  <c:v>268.57258696745538</c:v>
                </c:pt>
                <c:pt idx="146">
                  <c:v>231.98849877361448</c:v>
                </c:pt>
                <c:pt idx="147">
                  <c:v>256.25494966931643</c:v>
                </c:pt>
                <c:pt idx="148">
                  <c:v>232.39548370385373</c:v>
                </c:pt>
                <c:pt idx="149">
                  <c:v>232.21107185356578</c:v>
                </c:pt>
                <c:pt idx="150">
                  <c:v>264.94788382496546</c:v>
                </c:pt>
                <c:pt idx="151">
                  <c:v>260.72858675293389</c:v>
                </c:pt>
                <c:pt idx="152">
                  <c:v>264.76347197467749</c:v>
                </c:pt>
                <c:pt idx="153">
                  <c:v>262.09898931329064</c:v>
                </c:pt>
                <c:pt idx="154">
                  <c:v>230.51000682229642</c:v>
                </c:pt>
                <c:pt idx="155">
                  <c:v>249.96576386543967</c:v>
                </c:pt>
                <c:pt idx="156">
                  <c:v>237.75941310727637</c:v>
                </c:pt>
                <c:pt idx="157">
                  <c:v>222.81545437741389</c:v>
                </c:pt>
                <c:pt idx="158">
                  <c:v>248.94830153984151</c:v>
                </c:pt>
                <c:pt idx="159">
                  <c:v>247.74642736395543</c:v>
                </c:pt>
                <c:pt idx="160">
                  <c:v>245.71150271275914</c:v>
                </c:pt>
                <c:pt idx="161">
                  <c:v>247.04374404345256</c:v>
                </c:pt>
                <c:pt idx="162">
                  <c:v>229.06647895162737</c:v>
                </c:pt>
                <c:pt idx="163">
                  <c:v>229.4003385715543</c:v>
                </c:pt>
                <c:pt idx="164">
                  <c:v>229.4003385715543</c:v>
                </c:pt>
                <c:pt idx="165">
                  <c:v>266.05755207570758</c:v>
                </c:pt>
                <c:pt idx="166">
                  <c:v>257.91785347092241</c:v>
                </c:pt>
                <c:pt idx="167">
                  <c:v>256.4393615196044</c:v>
                </c:pt>
                <c:pt idx="168">
                  <c:v>255.51410511915026</c:v>
                </c:pt>
                <c:pt idx="169">
                  <c:v>246.45234726292534</c:v>
                </c:pt>
                <c:pt idx="170">
                  <c:v>247.74642736395543</c:v>
                </c:pt>
                <c:pt idx="171">
                  <c:v>234.79923205562591</c:v>
                </c:pt>
                <c:pt idx="172">
                  <c:v>247.93083921424338</c:v>
                </c:pt>
                <c:pt idx="173">
                  <c:v>250.37274879567892</c:v>
                </c:pt>
                <c:pt idx="174">
                  <c:v>252.1851003669239</c:v>
                </c:pt>
                <c:pt idx="175">
                  <c:v>225.92188604968894</c:v>
                </c:pt>
                <c:pt idx="176">
                  <c:v>249.53969832036873</c:v>
                </c:pt>
                <c:pt idx="177">
                  <c:v>258.65869802108864</c:v>
                </c:pt>
                <c:pt idx="178">
                  <c:v>231.28581545311161</c:v>
                </c:pt>
                <c:pt idx="179">
                  <c:v>252.92594491709011</c:v>
                </c:pt>
                <c:pt idx="180">
                  <c:v>247.04374404345256</c:v>
                </c:pt>
                <c:pt idx="181">
                  <c:v>261.80329092302702</c:v>
                </c:pt>
                <c:pt idx="182">
                  <c:v>253.29476861766602</c:v>
                </c:pt>
                <c:pt idx="183">
                  <c:v>246.30289949328636</c:v>
                </c:pt>
                <c:pt idx="184">
                  <c:v>245.15826716189528</c:v>
                </c:pt>
                <c:pt idx="185">
                  <c:v>230.76754398289671</c:v>
                </c:pt>
                <c:pt idx="186">
                  <c:v>252.1851003669239</c:v>
                </c:pt>
                <c:pt idx="187">
                  <c:v>244.30613607175343</c:v>
                </c:pt>
                <c:pt idx="188">
                  <c:v>243.12334251069899</c:v>
                </c:pt>
                <c:pt idx="189">
                  <c:v>227.03155430043108</c:v>
                </c:pt>
                <c:pt idx="190">
                  <c:v>242.19808611024484</c:v>
                </c:pt>
                <c:pt idx="191">
                  <c:v>249.55877893520039</c:v>
                </c:pt>
                <c:pt idx="192">
                  <c:v>243.49216621127491</c:v>
                </c:pt>
                <c:pt idx="193">
                  <c:v>255.23748734371833</c:v>
                </c:pt>
                <c:pt idx="194">
                  <c:v>254.22002501812017</c:v>
                </c:pt>
                <c:pt idx="195">
                  <c:v>259.2151307209669</c:v>
                </c:pt>
                <c:pt idx="196">
                  <c:v>240.71959415892681</c:v>
                </c:pt>
                <c:pt idx="197">
                  <c:v>258.93531579652057</c:v>
                </c:pt>
                <c:pt idx="198">
                  <c:v>252.36951221721185</c:v>
                </c:pt>
                <c:pt idx="199">
                  <c:v>253.66359231824191</c:v>
                </c:pt>
                <c:pt idx="200">
                  <c:v>230.36055905265744</c:v>
                </c:pt>
                <c:pt idx="201">
                  <c:v>251.16763804132574</c:v>
                </c:pt>
                <c:pt idx="202">
                  <c:v>254.03561316783222</c:v>
                </c:pt>
                <c:pt idx="203">
                  <c:v>271.23706962884228</c:v>
                </c:pt>
                <c:pt idx="204">
                  <c:v>260.50921082199699</c:v>
                </c:pt>
                <c:pt idx="205">
                  <c:v>242.90076943074769</c:v>
                </c:pt>
                <c:pt idx="206">
                  <c:v>247.0055828137892</c:v>
                </c:pt>
                <c:pt idx="207">
                  <c:v>256.25494966931643</c:v>
                </c:pt>
                <c:pt idx="208">
                  <c:v>237.94382495756432</c:v>
                </c:pt>
                <c:pt idx="209">
                  <c:v>253.11035676737805</c:v>
                </c:pt>
                <c:pt idx="210">
                  <c:v>248.44911068445828</c:v>
                </c:pt>
                <c:pt idx="211">
                  <c:v>251.25984396646973</c:v>
                </c:pt>
                <c:pt idx="212">
                  <c:v>226.44015751990386</c:v>
                </c:pt>
                <c:pt idx="213">
                  <c:v>256.34715559446045</c:v>
                </c:pt>
                <c:pt idx="214">
                  <c:v>246.72896503835727</c:v>
                </c:pt>
                <c:pt idx="215">
                  <c:v>233.72772503454715</c:v>
                </c:pt>
                <c:pt idx="216">
                  <c:v>254.40443686840814</c:v>
                </c:pt>
                <c:pt idx="217">
                  <c:v>255.51410511915026</c:v>
                </c:pt>
                <c:pt idx="218">
                  <c:v>258.7509039462326</c:v>
                </c:pt>
                <c:pt idx="219">
                  <c:v>238.86908135801849</c:v>
                </c:pt>
                <c:pt idx="220">
                  <c:v>259.58395442154278</c:v>
                </c:pt>
                <c:pt idx="221">
                  <c:v>248.67168376440958</c:v>
                </c:pt>
                <c:pt idx="222">
                  <c:v>259.36138134159148</c:v>
                </c:pt>
                <c:pt idx="223">
                  <c:v>261.99089992232939</c:v>
                </c:pt>
                <c:pt idx="224">
                  <c:v>241.45724156007861</c:v>
                </c:pt>
                <c:pt idx="225">
                  <c:v>266.33416985113951</c:v>
                </c:pt>
                <c:pt idx="226">
                  <c:v>252.36951221721185</c:v>
                </c:pt>
                <c:pt idx="227">
                  <c:v>222.40846944717464</c:v>
                </c:pt>
                <c:pt idx="228">
                  <c:v>259.2151307209669</c:v>
                </c:pt>
                <c:pt idx="229">
                  <c:v>255.60631104429422</c:v>
                </c:pt>
                <c:pt idx="230">
                  <c:v>233.28257887464454</c:v>
                </c:pt>
                <c:pt idx="231">
                  <c:v>255.97833189388453</c:v>
                </c:pt>
                <c:pt idx="232">
                  <c:v>252.74153306680216</c:v>
                </c:pt>
                <c:pt idx="233">
                  <c:v>254.58884871869608</c:v>
                </c:pt>
                <c:pt idx="234">
                  <c:v>263.28178287434508</c:v>
                </c:pt>
                <c:pt idx="235">
                  <c:v>244.23301076144111</c:v>
                </c:pt>
                <c:pt idx="236">
                  <c:v>248.94830153984151</c:v>
                </c:pt>
                <c:pt idx="237">
                  <c:v>254.22002501812017</c:v>
                </c:pt>
                <c:pt idx="238">
                  <c:v>270.03199830394175</c:v>
                </c:pt>
                <c:pt idx="239">
                  <c:v>223.62942423789241</c:v>
                </c:pt>
                <c:pt idx="240">
                  <c:v>269.38655682793393</c:v>
                </c:pt>
                <c:pt idx="241">
                  <c:v>260.02910058144539</c:v>
                </c:pt>
                <c:pt idx="242">
                  <c:v>259.6761603466868</c:v>
                </c:pt>
                <c:pt idx="243">
                  <c:v>253.33292984732935</c:v>
                </c:pt>
                <c:pt idx="244">
                  <c:v>248.15341229419468</c:v>
                </c:pt>
                <c:pt idx="245">
                  <c:v>237.64812656730072</c:v>
                </c:pt>
                <c:pt idx="246">
                  <c:v>248.56039722443393</c:v>
                </c:pt>
                <c:pt idx="247">
                  <c:v>264.94788382496546</c:v>
                </c:pt>
                <c:pt idx="248">
                  <c:v>258.14362369988817</c:v>
                </c:pt>
                <c:pt idx="249">
                  <c:v>264.20703927479923</c:v>
                </c:pt>
                <c:pt idx="250">
                  <c:v>244.23301076144111</c:v>
                </c:pt>
                <c:pt idx="251">
                  <c:v>233.72772503454715</c:v>
                </c:pt>
                <c:pt idx="252">
                  <c:v>256.03237658936513</c:v>
                </c:pt>
                <c:pt idx="253">
                  <c:v>253.84800416852988</c:v>
                </c:pt>
                <c:pt idx="254">
                  <c:v>257.18020606977063</c:v>
                </c:pt>
                <c:pt idx="255">
                  <c:v>237.98198618722768</c:v>
                </c:pt>
                <c:pt idx="256">
                  <c:v>249.55877893520039</c:v>
                </c:pt>
                <c:pt idx="257">
                  <c:v>243.93731237117751</c:v>
                </c:pt>
                <c:pt idx="258">
                  <c:v>258.47428617080067</c:v>
                </c:pt>
                <c:pt idx="259">
                  <c:v>225.73747419940099</c:v>
                </c:pt>
                <c:pt idx="260">
                  <c:v>268.61074819711877</c:v>
                </c:pt>
                <c:pt idx="261">
                  <c:v>239.64488998883365</c:v>
                </c:pt>
                <c:pt idx="262">
                  <c:v>242.99297535589167</c:v>
                </c:pt>
                <c:pt idx="263">
                  <c:v>251.03727088651843</c:v>
                </c:pt>
                <c:pt idx="264">
                  <c:v>241.45724156007861</c:v>
                </c:pt>
                <c:pt idx="265">
                  <c:v>255.1802454992233</c:v>
                </c:pt>
                <c:pt idx="266">
                  <c:v>256.81138236919469</c:v>
                </c:pt>
                <c:pt idx="267">
                  <c:v>237.53684002732507</c:v>
                </c:pt>
                <c:pt idx="268">
                  <c:v>243.89915114151415</c:v>
                </c:pt>
                <c:pt idx="269">
                  <c:v>247.74642736395543</c:v>
                </c:pt>
                <c:pt idx="270">
                  <c:v>234.61482020533796</c:v>
                </c:pt>
                <c:pt idx="271">
                  <c:v>254.10873847814452</c:v>
                </c:pt>
                <c:pt idx="272">
                  <c:v>257.91785347092241</c:v>
                </c:pt>
                <c:pt idx="273">
                  <c:v>243.86098991185082</c:v>
                </c:pt>
                <c:pt idx="274">
                  <c:v>233.68956380488379</c:v>
                </c:pt>
                <c:pt idx="275">
                  <c:v>242.2902920353888</c:v>
                </c:pt>
                <c:pt idx="276">
                  <c:v>253.2216433073537</c:v>
                </c:pt>
                <c:pt idx="277">
                  <c:v>247.63514082397978</c:v>
                </c:pt>
                <c:pt idx="278">
                  <c:v>251.18671865615744</c:v>
                </c:pt>
                <c:pt idx="279">
                  <c:v>254.92270833862304</c:v>
                </c:pt>
                <c:pt idx="280">
                  <c:v>233.43202664428355</c:v>
                </c:pt>
                <c:pt idx="281">
                  <c:v>242.90076943074769</c:v>
                </c:pt>
                <c:pt idx="282">
                  <c:v>250.26146225570326</c:v>
                </c:pt>
                <c:pt idx="283">
                  <c:v>234.46856958471332</c:v>
                </c:pt>
                <c:pt idx="284">
                  <c:v>255.32969326886229</c:v>
                </c:pt>
                <c:pt idx="285">
                  <c:v>238.68466950773052</c:v>
                </c:pt>
                <c:pt idx="286">
                  <c:v>251.88940197666028</c:v>
                </c:pt>
                <c:pt idx="287">
                  <c:v>253.73991477756863</c:v>
                </c:pt>
                <c:pt idx="288">
                  <c:v>244.78624631230497</c:v>
                </c:pt>
                <c:pt idx="289">
                  <c:v>246.22977418297404</c:v>
                </c:pt>
                <c:pt idx="290">
                  <c:v>256.95763298981933</c:v>
                </c:pt>
                <c:pt idx="291">
                  <c:v>246.70988442352561</c:v>
                </c:pt>
                <c:pt idx="292">
                  <c:v>258.10546247022478</c:v>
                </c:pt>
                <c:pt idx="293">
                  <c:v>264.42961235475053</c:v>
                </c:pt>
                <c:pt idx="294">
                  <c:v>232.39548370385373</c:v>
                </c:pt>
                <c:pt idx="295">
                  <c:v>257.54902977034652</c:v>
                </c:pt>
                <c:pt idx="296">
                  <c:v>254.29315032843249</c:v>
                </c:pt>
                <c:pt idx="297">
                  <c:v>257.99417593024913</c:v>
                </c:pt>
                <c:pt idx="298">
                  <c:v>250.89102026589381</c:v>
                </c:pt>
                <c:pt idx="299">
                  <c:v>231.47022730339955</c:v>
                </c:pt>
                <c:pt idx="300">
                  <c:v>263.9113408845356</c:v>
                </c:pt>
                <c:pt idx="301">
                  <c:v>248.85609561469755</c:v>
                </c:pt>
                <c:pt idx="302">
                  <c:v>248.85609561469755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A10-4FA5-99E6-F40984803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3133200"/>
        <c:axId val="983130320"/>
      </c:scatterChart>
      <c:valAx>
        <c:axId val="983133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trtbps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83130320"/>
        <c:crosses val="autoZero"/>
        <c:crossBetween val="midCat"/>
      </c:valAx>
      <c:valAx>
        <c:axId val="98313032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chol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8313320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Normal Probability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regression!$AE$27:$AE$329</c:f>
              <c:numCache>
                <c:formatCode>General</c:formatCode>
                <c:ptCount val="303"/>
                <c:pt idx="0">
                  <c:v>0.16501650165016502</c:v>
                </c:pt>
                <c:pt idx="1">
                  <c:v>0.49504950495049505</c:v>
                </c:pt>
                <c:pt idx="2">
                  <c:v>0.82508250825082508</c:v>
                </c:pt>
                <c:pt idx="3">
                  <c:v>1.1551155115511551</c:v>
                </c:pt>
                <c:pt idx="4">
                  <c:v>1.4851485148514851</c:v>
                </c:pt>
                <c:pt idx="5">
                  <c:v>1.8151815181518152</c:v>
                </c:pt>
                <c:pt idx="6">
                  <c:v>2.1452145214521452</c:v>
                </c:pt>
                <c:pt idx="7">
                  <c:v>2.4752475247524752</c:v>
                </c:pt>
                <c:pt idx="8">
                  <c:v>2.8052805280528053</c:v>
                </c:pt>
                <c:pt idx="9">
                  <c:v>3.1353135313531353</c:v>
                </c:pt>
                <c:pt idx="10">
                  <c:v>3.4653465346534653</c:v>
                </c:pt>
                <c:pt idx="11">
                  <c:v>3.7953795379537953</c:v>
                </c:pt>
                <c:pt idx="12">
                  <c:v>4.1254125412541249</c:v>
                </c:pt>
                <c:pt idx="13">
                  <c:v>4.4554455445544559</c:v>
                </c:pt>
                <c:pt idx="14">
                  <c:v>4.785478547854785</c:v>
                </c:pt>
                <c:pt idx="15">
                  <c:v>5.1155115511551159</c:v>
                </c:pt>
                <c:pt idx="16">
                  <c:v>5.4455445544554451</c:v>
                </c:pt>
                <c:pt idx="17">
                  <c:v>5.775577557755776</c:v>
                </c:pt>
                <c:pt idx="18">
                  <c:v>6.1056105610561051</c:v>
                </c:pt>
                <c:pt idx="19">
                  <c:v>6.435643564356436</c:v>
                </c:pt>
                <c:pt idx="20">
                  <c:v>6.7656765676567652</c:v>
                </c:pt>
                <c:pt idx="21">
                  <c:v>7.0957095709570961</c:v>
                </c:pt>
                <c:pt idx="22">
                  <c:v>7.4257425742574252</c:v>
                </c:pt>
                <c:pt idx="23">
                  <c:v>7.7557755775577562</c:v>
                </c:pt>
                <c:pt idx="24">
                  <c:v>8.0858085808580853</c:v>
                </c:pt>
                <c:pt idx="25">
                  <c:v>8.4158415841584144</c:v>
                </c:pt>
                <c:pt idx="26">
                  <c:v>8.7458745874587454</c:v>
                </c:pt>
                <c:pt idx="27">
                  <c:v>9.0759075907590763</c:v>
                </c:pt>
                <c:pt idx="28">
                  <c:v>9.4059405940594054</c:v>
                </c:pt>
                <c:pt idx="29">
                  <c:v>9.7359735973597346</c:v>
                </c:pt>
                <c:pt idx="30">
                  <c:v>10.066006600660065</c:v>
                </c:pt>
                <c:pt idx="31">
                  <c:v>10.396039603960396</c:v>
                </c:pt>
                <c:pt idx="32">
                  <c:v>10.726072607260726</c:v>
                </c:pt>
                <c:pt idx="33">
                  <c:v>11.056105610561055</c:v>
                </c:pt>
                <c:pt idx="34">
                  <c:v>11.386138613861386</c:v>
                </c:pt>
                <c:pt idx="35">
                  <c:v>11.716171617161717</c:v>
                </c:pt>
                <c:pt idx="36">
                  <c:v>12.046204620462046</c:v>
                </c:pt>
                <c:pt idx="37">
                  <c:v>12.376237623762375</c:v>
                </c:pt>
                <c:pt idx="38">
                  <c:v>12.706270627062706</c:v>
                </c:pt>
                <c:pt idx="39">
                  <c:v>13.036303630363037</c:v>
                </c:pt>
                <c:pt idx="40">
                  <c:v>13.366336633663366</c:v>
                </c:pt>
                <c:pt idx="41">
                  <c:v>13.696369636963695</c:v>
                </c:pt>
                <c:pt idx="42">
                  <c:v>14.026402640264026</c:v>
                </c:pt>
                <c:pt idx="43">
                  <c:v>14.356435643564357</c:v>
                </c:pt>
                <c:pt idx="44">
                  <c:v>14.686468646864686</c:v>
                </c:pt>
                <c:pt idx="45">
                  <c:v>15.016501650165015</c:v>
                </c:pt>
                <c:pt idx="46">
                  <c:v>15.346534653465346</c:v>
                </c:pt>
                <c:pt idx="47">
                  <c:v>15.676567656765677</c:v>
                </c:pt>
                <c:pt idx="48">
                  <c:v>16.006600660066006</c:v>
                </c:pt>
                <c:pt idx="49">
                  <c:v>16.336633663366335</c:v>
                </c:pt>
                <c:pt idx="50">
                  <c:v>16.666666666666664</c:v>
                </c:pt>
                <c:pt idx="51">
                  <c:v>16.996699669966997</c:v>
                </c:pt>
                <c:pt idx="52">
                  <c:v>17.326732673267326</c:v>
                </c:pt>
                <c:pt idx="53">
                  <c:v>17.656765676567655</c:v>
                </c:pt>
                <c:pt idx="54">
                  <c:v>17.986798679867988</c:v>
                </c:pt>
                <c:pt idx="55">
                  <c:v>18.316831683168317</c:v>
                </c:pt>
                <c:pt idx="56">
                  <c:v>18.646864686468646</c:v>
                </c:pt>
                <c:pt idx="57">
                  <c:v>18.976897689768975</c:v>
                </c:pt>
                <c:pt idx="58">
                  <c:v>19.306930693069305</c:v>
                </c:pt>
                <c:pt idx="59">
                  <c:v>19.636963696369637</c:v>
                </c:pt>
                <c:pt idx="60">
                  <c:v>19.966996699669966</c:v>
                </c:pt>
                <c:pt idx="61">
                  <c:v>20.297029702970296</c:v>
                </c:pt>
                <c:pt idx="62">
                  <c:v>20.627062706270628</c:v>
                </c:pt>
                <c:pt idx="63">
                  <c:v>20.957095709570957</c:v>
                </c:pt>
                <c:pt idx="64">
                  <c:v>21.287128712871286</c:v>
                </c:pt>
                <c:pt idx="65">
                  <c:v>21.617161716171616</c:v>
                </c:pt>
                <c:pt idx="66">
                  <c:v>21.947194719471945</c:v>
                </c:pt>
                <c:pt idx="67">
                  <c:v>22.277227722772277</c:v>
                </c:pt>
                <c:pt idx="68">
                  <c:v>22.607260726072607</c:v>
                </c:pt>
                <c:pt idx="69">
                  <c:v>22.937293729372936</c:v>
                </c:pt>
                <c:pt idx="70">
                  <c:v>23.267326732673268</c:v>
                </c:pt>
                <c:pt idx="71">
                  <c:v>23.597359735973598</c:v>
                </c:pt>
                <c:pt idx="72">
                  <c:v>23.927392739273927</c:v>
                </c:pt>
                <c:pt idx="73">
                  <c:v>24.257425742574256</c:v>
                </c:pt>
                <c:pt idx="74">
                  <c:v>24.587458745874585</c:v>
                </c:pt>
                <c:pt idx="75">
                  <c:v>24.917491749174918</c:v>
                </c:pt>
                <c:pt idx="76">
                  <c:v>25.247524752475247</c:v>
                </c:pt>
                <c:pt idx="77">
                  <c:v>25.577557755775576</c:v>
                </c:pt>
                <c:pt idx="78">
                  <c:v>25.907590759075909</c:v>
                </c:pt>
                <c:pt idx="79">
                  <c:v>26.237623762376238</c:v>
                </c:pt>
                <c:pt idx="80">
                  <c:v>26.567656765676567</c:v>
                </c:pt>
                <c:pt idx="81">
                  <c:v>26.897689768976896</c:v>
                </c:pt>
                <c:pt idx="82">
                  <c:v>27.227722772277225</c:v>
                </c:pt>
                <c:pt idx="83">
                  <c:v>27.557755775577558</c:v>
                </c:pt>
                <c:pt idx="84">
                  <c:v>27.887788778877887</c:v>
                </c:pt>
                <c:pt idx="85">
                  <c:v>28.217821782178216</c:v>
                </c:pt>
                <c:pt idx="86">
                  <c:v>28.547854785478549</c:v>
                </c:pt>
                <c:pt idx="87">
                  <c:v>28.877887788778878</c:v>
                </c:pt>
                <c:pt idx="88">
                  <c:v>29.207920792079207</c:v>
                </c:pt>
                <c:pt idx="89">
                  <c:v>29.537953795379536</c:v>
                </c:pt>
                <c:pt idx="90">
                  <c:v>29.867986798679866</c:v>
                </c:pt>
                <c:pt idx="91">
                  <c:v>30.198019801980198</c:v>
                </c:pt>
                <c:pt idx="92">
                  <c:v>30.528052805280527</c:v>
                </c:pt>
                <c:pt idx="93">
                  <c:v>30.858085808580856</c:v>
                </c:pt>
                <c:pt idx="94">
                  <c:v>31.188118811881189</c:v>
                </c:pt>
                <c:pt idx="95">
                  <c:v>31.518151815181518</c:v>
                </c:pt>
                <c:pt idx="96">
                  <c:v>31.848184818481847</c:v>
                </c:pt>
                <c:pt idx="97">
                  <c:v>32.178217821782177</c:v>
                </c:pt>
                <c:pt idx="98">
                  <c:v>32.508250825082506</c:v>
                </c:pt>
                <c:pt idx="99">
                  <c:v>32.838283828382835</c:v>
                </c:pt>
                <c:pt idx="100">
                  <c:v>33.168316831683164</c:v>
                </c:pt>
                <c:pt idx="101">
                  <c:v>33.4983498349835</c:v>
                </c:pt>
                <c:pt idx="102">
                  <c:v>33.828382838283829</c:v>
                </c:pt>
                <c:pt idx="103">
                  <c:v>34.158415841584159</c:v>
                </c:pt>
                <c:pt idx="104">
                  <c:v>34.488448844884488</c:v>
                </c:pt>
                <c:pt idx="105">
                  <c:v>34.818481848184817</c:v>
                </c:pt>
                <c:pt idx="106">
                  <c:v>35.148514851485146</c:v>
                </c:pt>
                <c:pt idx="107">
                  <c:v>35.478547854785475</c:v>
                </c:pt>
                <c:pt idx="108">
                  <c:v>35.808580858085811</c:v>
                </c:pt>
                <c:pt idx="109">
                  <c:v>36.138613861386141</c:v>
                </c:pt>
                <c:pt idx="110">
                  <c:v>36.46864686468647</c:v>
                </c:pt>
                <c:pt idx="111">
                  <c:v>36.798679867986799</c:v>
                </c:pt>
                <c:pt idx="112">
                  <c:v>37.128712871287128</c:v>
                </c:pt>
                <c:pt idx="113">
                  <c:v>37.458745874587457</c:v>
                </c:pt>
                <c:pt idx="114">
                  <c:v>37.788778877887786</c:v>
                </c:pt>
                <c:pt idx="115">
                  <c:v>38.118811881188115</c:v>
                </c:pt>
                <c:pt idx="116">
                  <c:v>38.448844884488445</c:v>
                </c:pt>
                <c:pt idx="117">
                  <c:v>38.778877887788781</c:v>
                </c:pt>
                <c:pt idx="118">
                  <c:v>39.10891089108911</c:v>
                </c:pt>
                <c:pt idx="119">
                  <c:v>39.438943894389439</c:v>
                </c:pt>
                <c:pt idx="120">
                  <c:v>39.768976897689768</c:v>
                </c:pt>
                <c:pt idx="121">
                  <c:v>40.099009900990097</c:v>
                </c:pt>
                <c:pt idx="122">
                  <c:v>40.429042904290426</c:v>
                </c:pt>
                <c:pt idx="123">
                  <c:v>40.759075907590756</c:v>
                </c:pt>
                <c:pt idx="124">
                  <c:v>41.089108910891092</c:v>
                </c:pt>
                <c:pt idx="125">
                  <c:v>41.419141914191421</c:v>
                </c:pt>
                <c:pt idx="126">
                  <c:v>41.74917491749175</c:v>
                </c:pt>
                <c:pt idx="127">
                  <c:v>42.079207920792079</c:v>
                </c:pt>
                <c:pt idx="128">
                  <c:v>42.409240924092408</c:v>
                </c:pt>
                <c:pt idx="129">
                  <c:v>42.739273927392738</c:v>
                </c:pt>
                <c:pt idx="130">
                  <c:v>43.069306930693067</c:v>
                </c:pt>
                <c:pt idx="131">
                  <c:v>43.399339933993396</c:v>
                </c:pt>
                <c:pt idx="132">
                  <c:v>43.729372937293725</c:v>
                </c:pt>
                <c:pt idx="133">
                  <c:v>44.059405940594061</c:v>
                </c:pt>
                <c:pt idx="134">
                  <c:v>44.38943894389439</c:v>
                </c:pt>
                <c:pt idx="135">
                  <c:v>44.71947194719472</c:v>
                </c:pt>
                <c:pt idx="136">
                  <c:v>45.049504950495049</c:v>
                </c:pt>
                <c:pt idx="137">
                  <c:v>45.379537953795378</c:v>
                </c:pt>
                <c:pt idx="138">
                  <c:v>45.709570957095707</c:v>
                </c:pt>
                <c:pt idx="139">
                  <c:v>46.039603960396036</c:v>
                </c:pt>
                <c:pt idx="140">
                  <c:v>46.369636963696372</c:v>
                </c:pt>
                <c:pt idx="141">
                  <c:v>46.699669966996701</c:v>
                </c:pt>
                <c:pt idx="142">
                  <c:v>47.029702970297031</c:v>
                </c:pt>
                <c:pt idx="143">
                  <c:v>47.35973597359736</c:v>
                </c:pt>
                <c:pt idx="144">
                  <c:v>47.689768976897689</c:v>
                </c:pt>
                <c:pt idx="145">
                  <c:v>48.019801980198018</c:v>
                </c:pt>
                <c:pt idx="146">
                  <c:v>48.349834983498347</c:v>
                </c:pt>
                <c:pt idx="147">
                  <c:v>48.679867986798676</c:v>
                </c:pt>
                <c:pt idx="148">
                  <c:v>49.009900990099005</c:v>
                </c:pt>
                <c:pt idx="149">
                  <c:v>49.339933993399342</c:v>
                </c:pt>
                <c:pt idx="150">
                  <c:v>49.669966996699671</c:v>
                </c:pt>
                <c:pt idx="151">
                  <c:v>50</c:v>
                </c:pt>
                <c:pt idx="152">
                  <c:v>50.330033003300329</c:v>
                </c:pt>
                <c:pt idx="153">
                  <c:v>50.660066006600658</c:v>
                </c:pt>
                <c:pt idx="154">
                  <c:v>50.990099009900987</c:v>
                </c:pt>
                <c:pt idx="155">
                  <c:v>51.320132013201317</c:v>
                </c:pt>
                <c:pt idx="156">
                  <c:v>51.650165016501653</c:v>
                </c:pt>
                <c:pt idx="157">
                  <c:v>51.980198019801982</c:v>
                </c:pt>
                <c:pt idx="158">
                  <c:v>52.310231023102311</c:v>
                </c:pt>
                <c:pt idx="159">
                  <c:v>52.64026402640264</c:v>
                </c:pt>
                <c:pt idx="160">
                  <c:v>52.970297029702969</c:v>
                </c:pt>
                <c:pt idx="161">
                  <c:v>53.300330033003299</c:v>
                </c:pt>
                <c:pt idx="162">
                  <c:v>53.630363036303628</c:v>
                </c:pt>
                <c:pt idx="163">
                  <c:v>53.960396039603957</c:v>
                </c:pt>
                <c:pt idx="164">
                  <c:v>54.290429042904286</c:v>
                </c:pt>
                <c:pt idx="165">
                  <c:v>54.620462046204622</c:v>
                </c:pt>
                <c:pt idx="166">
                  <c:v>54.950495049504951</c:v>
                </c:pt>
                <c:pt idx="167">
                  <c:v>55.28052805280528</c:v>
                </c:pt>
                <c:pt idx="168">
                  <c:v>55.61056105610561</c:v>
                </c:pt>
                <c:pt idx="169">
                  <c:v>55.940594059405939</c:v>
                </c:pt>
                <c:pt idx="170">
                  <c:v>56.270627062706268</c:v>
                </c:pt>
                <c:pt idx="171">
                  <c:v>56.600660066006597</c:v>
                </c:pt>
                <c:pt idx="172">
                  <c:v>56.930693069306933</c:v>
                </c:pt>
                <c:pt idx="173">
                  <c:v>57.260726072607262</c:v>
                </c:pt>
                <c:pt idx="174">
                  <c:v>57.590759075907592</c:v>
                </c:pt>
                <c:pt idx="175">
                  <c:v>57.920792079207921</c:v>
                </c:pt>
                <c:pt idx="176">
                  <c:v>58.25082508250825</c:v>
                </c:pt>
                <c:pt idx="177">
                  <c:v>58.580858085808579</c:v>
                </c:pt>
                <c:pt idx="178">
                  <c:v>58.910891089108908</c:v>
                </c:pt>
                <c:pt idx="179">
                  <c:v>59.240924092409237</c:v>
                </c:pt>
                <c:pt idx="180">
                  <c:v>59.570957095709566</c:v>
                </c:pt>
                <c:pt idx="181">
                  <c:v>59.900990099009903</c:v>
                </c:pt>
                <c:pt idx="182">
                  <c:v>60.231023102310232</c:v>
                </c:pt>
                <c:pt idx="183">
                  <c:v>60.561056105610561</c:v>
                </c:pt>
                <c:pt idx="184">
                  <c:v>60.89108910891089</c:v>
                </c:pt>
                <c:pt idx="185">
                  <c:v>61.221122112211219</c:v>
                </c:pt>
                <c:pt idx="186">
                  <c:v>61.551155115511548</c:v>
                </c:pt>
                <c:pt idx="187">
                  <c:v>61.881188118811878</c:v>
                </c:pt>
                <c:pt idx="188">
                  <c:v>62.211221122112214</c:v>
                </c:pt>
                <c:pt idx="189">
                  <c:v>62.541254125412543</c:v>
                </c:pt>
                <c:pt idx="190">
                  <c:v>62.871287128712872</c:v>
                </c:pt>
                <c:pt idx="191">
                  <c:v>63.201320132013201</c:v>
                </c:pt>
                <c:pt idx="192">
                  <c:v>63.53135313531353</c:v>
                </c:pt>
                <c:pt idx="193">
                  <c:v>63.861386138613859</c:v>
                </c:pt>
                <c:pt idx="194">
                  <c:v>64.191419141914196</c:v>
                </c:pt>
                <c:pt idx="195">
                  <c:v>64.521452145214525</c:v>
                </c:pt>
                <c:pt idx="196">
                  <c:v>64.851485148514854</c:v>
                </c:pt>
                <c:pt idx="197">
                  <c:v>65.181518151815183</c:v>
                </c:pt>
                <c:pt idx="198">
                  <c:v>65.511551155115512</c:v>
                </c:pt>
                <c:pt idx="199">
                  <c:v>65.841584158415841</c:v>
                </c:pt>
                <c:pt idx="200">
                  <c:v>66.171617161716171</c:v>
                </c:pt>
                <c:pt idx="201">
                  <c:v>66.501650165016514</c:v>
                </c:pt>
                <c:pt idx="202">
                  <c:v>66.831683168316843</c:v>
                </c:pt>
                <c:pt idx="203">
                  <c:v>67.161716171617172</c:v>
                </c:pt>
                <c:pt idx="204">
                  <c:v>67.491749174917501</c:v>
                </c:pt>
                <c:pt idx="205">
                  <c:v>67.821782178217831</c:v>
                </c:pt>
                <c:pt idx="206">
                  <c:v>68.15181518151816</c:v>
                </c:pt>
                <c:pt idx="207">
                  <c:v>68.481848184818489</c:v>
                </c:pt>
                <c:pt idx="208">
                  <c:v>68.811881188118818</c:v>
                </c:pt>
                <c:pt idx="209">
                  <c:v>69.141914191419147</c:v>
                </c:pt>
                <c:pt idx="210">
                  <c:v>69.471947194719476</c:v>
                </c:pt>
                <c:pt idx="211">
                  <c:v>69.801980198019805</c:v>
                </c:pt>
                <c:pt idx="212">
                  <c:v>70.132013201320134</c:v>
                </c:pt>
                <c:pt idx="213">
                  <c:v>70.462046204620464</c:v>
                </c:pt>
                <c:pt idx="214">
                  <c:v>70.792079207920793</c:v>
                </c:pt>
                <c:pt idx="215">
                  <c:v>71.122112211221122</c:v>
                </c:pt>
                <c:pt idx="216">
                  <c:v>71.452145214521465</c:v>
                </c:pt>
                <c:pt idx="217">
                  <c:v>71.782178217821794</c:v>
                </c:pt>
                <c:pt idx="218">
                  <c:v>72.112211221122124</c:v>
                </c:pt>
                <c:pt idx="219">
                  <c:v>72.442244224422453</c:v>
                </c:pt>
                <c:pt idx="220">
                  <c:v>72.772277227722782</c:v>
                </c:pt>
                <c:pt idx="221">
                  <c:v>73.102310231023111</c:v>
                </c:pt>
                <c:pt idx="222">
                  <c:v>73.43234323432344</c:v>
                </c:pt>
                <c:pt idx="223">
                  <c:v>73.762376237623769</c:v>
                </c:pt>
                <c:pt idx="224">
                  <c:v>74.092409240924098</c:v>
                </c:pt>
                <c:pt idx="225">
                  <c:v>74.422442244224428</c:v>
                </c:pt>
                <c:pt idx="226">
                  <c:v>74.752475247524757</c:v>
                </c:pt>
                <c:pt idx="227">
                  <c:v>75.082508250825086</c:v>
                </c:pt>
                <c:pt idx="228">
                  <c:v>75.412541254125415</c:v>
                </c:pt>
                <c:pt idx="229">
                  <c:v>75.742574257425744</c:v>
                </c:pt>
                <c:pt idx="230">
                  <c:v>76.072607260726073</c:v>
                </c:pt>
                <c:pt idx="231">
                  <c:v>76.402640264026402</c:v>
                </c:pt>
                <c:pt idx="232">
                  <c:v>76.732673267326732</c:v>
                </c:pt>
                <c:pt idx="233">
                  <c:v>77.062706270627075</c:v>
                </c:pt>
                <c:pt idx="234">
                  <c:v>77.392739273927404</c:v>
                </c:pt>
                <c:pt idx="235">
                  <c:v>77.722772277227733</c:v>
                </c:pt>
                <c:pt idx="236">
                  <c:v>78.052805280528062</c:v>
                </c:pt>
                <c:pt idx="237">
                  <c:v>78.382838283828391</c:v>
                </c:pt>
                <c:pt idx="238">
                  <c:v>78.712871287128721</c:v>
                </c:pt>
                <c:pt idx="239">
                  <c:v>79.04290429042905</c:v>
                </c:pt>
                <c:pt idx="240">
                  <c:v>79.372937293729379</c:v>
                </c:pt>
                <c:pt idx="241">
                  <c:v>79.702970297029708</c:v>
                </c:pt>
                <c:pt idx="242">
                  <c:v>80.033003300330037</c:v>
                </c:pt>
                <c:pt idx="243">
                  <c:v>80.363036303630366</c:v>
                </c:pt>
                <c:pt idx="244">
                  <c:v>80.693069306930695</c:v>
                </c:pt>
                <c:pt idx="245">
                  <c:v>81.023102310231025</c:v>
                </c:pt>
                <c:pt idx="246">
                  <c:v>81.353135313531354</c:v>
                </c:pt>
                <c:pt idx="247">
                  <c:v>81.683168316831683</c:v>
                </c:pt>
                <c:pt idx="248">
                  <c:v>82.013201320132026</c:v>
                </c:pt>
                <c:pt idx="249">
                  <c:v>82.343234323432355</c:v>
                </c:pt>
                <c:pt idx="250">
                  <c:v>82.673267326732685</c:v>
                </c:pt>
                <c:pt idx="251">
                  <c:v>83.003300330033014</c:v>
                </c:pt>
                <c:pt idx="252">
                  <c:v>83.333333333333343</c:v>
                </c:pt>
                <c:pt idx="253">
                  <c:v>83.663366336633672</c:v>
                </c:pt>
                <c:pt idx="254">
                  <c:v>83.993399339934001</c:v>
                </c:pt>
                <c:pt idx="255">
                  <c:v>84.32343234323433</c:v>
                </c:pt>
                <c:pt idx="256">
                  <c:v>84.653465346534659</c:v>
                </c:pt>
                <c:pt idx="257">
                  <c:v>84.983498349834989</c:v>
                </c:pt>
                <c:pt idx="258">
                  <c:v>85.313531353135318</c:v>
                </c:pt>
                <c:pt idx="259">
                  <c:v>85.643564356435647</c:v>
                </c:pt>
                <c:pt idx="260">
                  <c:v>85.973597359735976</c:v>
                </c:pt>
                <c:pt idx="261">
                  <c:v>86.303630363036305</c:v>
                </c:pt>
                <c:pt idx="262">
                  <c:v>86.633663366336634</c:v>
                </c:pt>
                <c:pt idx="263">
                  <c:v>86.963696369636963</c:v>
                </c:pt>
                <c:pt idx="264">
                  <c:v>87.293729372937293</c:v>
                </c:pt>
                <c:pt idx="265">
                  <c:v>87.623762376237636</c:v>
                </c:pt>
                <c:pt idx="266">
                  <c:v>87.953795379537965</c:v>
                </c:pt>
                <c:pt idx="267">
                  <c:v>88.283828382838294</c:v>
                </c:pt>
                <c:pt idx="268">
                  <c:v>88.613861386138623</c:v>
                </c:pt>
                <c:pt idx="269">
                  <c:v>88.943894389438952</c:v>
                </c:pt>
                <c:pt idx="270">
                  <c:v>89.273927392739282</c:v>
                </c:pt>
                <c:pt idx="271">
                  <c:v>89.603960396039611</c:v>
                </c:pt>
                <c:pt idx="272">
                  <c:v>89.93399339933994</c:v>
                </c:pt>
                <c:pt idx="273">
                  <c:v>90.264026402640269</c:v>
                </c:pt>
                <c:pt idx="274">
                  <c:v>90.594059405940598</c:v>
                </c:pt>
                <c:pt idx="275">
                  <c:v>90.924092409240927</c:v>
                </c:pt>
                <c:pt idx="276">
                  <c:v>91.254125412541256</c:v>
                </c:pt>
                <c:pt idx="277">
                  <c:v>91.584158415841586</c:v>
                </c:pt>
                <c:pt idx="278">
                  <c:v>91.914191419141915</c:v>
                </c:pt>
                <c:pt idx="279">
                  <c:v>92.244224422442244</c:v>
                </c:pt>
                <c:pt idx="280">
                  <c:v>92.574257425742587</c:v>
                </c:pt>
                <c:pt idx="281">
                  <c:v>92.904290429042916</c:v>
                </c:pt>
                <c:pt idx="282">
                  <c:v>93.234323432343245</c:v>
                </c:pt>
                <c:pt idx="283">
                  <c:v>93.564356435643575</c:v>
                </c:pt>
                <c:pt idx="284">
                  <c:v>93.894389438943904</c:v>
                </c:pt>
                <c:pt idx="285">
                  <c:v>94.224422442244233</c:v>
                </c:pt>
                <c:pt idx="286">
                  <c:v>94.554455445544562</c:v>
                </c:pt>
                <c:pt idx="287">
                  <c:v>94.884488448844891</c:v>
                </c:pt>
                <c:pt idx="288">
                  <c:v>95.21452145214522</c:v>
                </c:pt>
                <c:pt idx="289">
                  <c:v>95.544554455445549</c:v>
                </c:pt>
                <c:pt idx="290">
                  <c:v>95.874587458745879</c:v>
                </c:pt>
                <c:pt idx="291">
                  <c:v>96.204620462046208</c:v>
                </c:pt>
                <c:pt idx="292">
                  <c:v>96.534653465346537</c:v>
                </c:pt>
                <c:pt idx="293">
                  <c:v>96.864686468646866</c:v>
                </c:pt>
                <c:pt idx="294">
                  <c:v>97.194719471947195</c:v>
                </c:pt>
                <c:pt idx="295">
                  <c:v>97.524752475247524</c:v>
                </c:pt>
                <c:pt idx="296">
                  <c:v>97.854785478547853</c:v>
                </c:pt>
                <c:pt idx="297">
                  <c:v>98.184818481848197</c:v>
                </c:pt>
                <c:pt idx="298">
                  <c:v>98.514851485148526</c:v>
                </c:pt>
                <c:pt idx="299">
                  <c:v>98.844884488448855</c:v>
                </c:pt>
                <c:pt idx="300">
                  <c:v>99.174917491749184</c:v>
                </c:pt>
                <c:pt idx="301">
                  <c:v>99.504950495049513</c:v>
                </c:pt>
                <c:pt idx="302">
                  <c:v>99.834983498349843</c:v>
                </c:pt>
              </c:numCache>
            </c:numRef>
          </c:xVal>
          <c:yVal>
            <c:numRef>
              <c:f>regression!$AF$27:$AF$329</c:f>
              <c:numCache>
                <c:formatCode>General</c:formatCode>
                <c:ptCount val="303"/>
                <c:pt idx="0">
                  <c:v>126</c:v>
                </c:pt>
                <c:pt idx="1">
                  <c:v>131</c:v>
                </c:pt>
                <c:pt idx="2">
                  <c:v>141</c:v>
                </c:pt>
                <c:pt idx="3">
                  <c:v>149</c:v>
                </c:pt>
                <c:pt idx="4">
                  <c:v>149</c:v>
                </c:pt>
                <c:pt idx="5">
                  <c:v>157</c:v>
                </c:pt>
                <c:pt idx="6">
                  <c:v>160</c:v>
                </c:pt>
                <c:pt idx="7">
                  <c:v>164</c:v>
                </c:pt>
                <c:pt idx="8">
                  <c:v>166</c:v>
                </c:pt>
                <c:pt idx="9">
                  <c:v>167</c:v>
                </c:pt>
                <c:pt idx="10">
                  <c:v>168</c:v>
                </c:pt>
                <c:pt idx="11">
                  <c:v>169</c:v>
                </c:pt>
                <c:pt idx="12">
                  <c:v>172</c:v>
                </c:pt>
                <c:pt idx="13">
                  <c:v>174</c:v>
                </c:pt>
                <c:pt idx="14">
                  <c:v>175</c:v>
                </c:pt>
                <c:pt idx="15">
                  <c:v>175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177</c:v>
                </c:pt>
                <c:pt idx="20">
                  <c:v>177</c:v>
                </c:pt>
                <c:pt idx="21">
                  <c:v>177</c:v>
                </c:pt>
                <c:pt idx="22">
                  <c:v>178</c:v>
                </c:pt>
                <c:pt idx="23">
                  <c:v>180</c:v>
                </c:pt>
                <c:pt idx="24">
                  <c:v>182</c:v>
                </c:pt>
                <c:pt idx="25">
                  <c:v>183</c:v>
                </c:pt>
                <c:pt idx="26">
                  <c:v>184</c:v>
                </c:pt>
                <c:pt idx="27">
                  <c:v>185</c:v>
                </c:pt>
                <c:pt idx="28">
                  <c:v>186</c:v>
                </c:pt>
                <c:pt idx="29">
                  <c:v>187</c:v>
                </c:pt>
                <c:pt idx="30">
                  <c:v>188</c:v>
                </c:pt>
                <c:pt idx="31">
                  <c:v>188</c:v>
                </c:pt>
                <c:pt idx="32">
                  <c:v>192</c:v>
                </c:pt>
                <c:pt idx="33">
                  <c:v>192</c:v>
                </c:pt>
                <c:pt idx="34">
                  <c:v>193</c:v>
                </c:pt>
                <c:pt idx="35">
                  <c:v>193</c:v>
                </c:pt>
                <c:pt idx="36">
                  <c:v>195</c:v>
                </c:pt>
                <c:pt idx="37">
                  <c:v>196</c:v>
                </c:pt>
                <c:pt idx="38">
                  <c:v>196</c:v>
                </c:pt>
                <c:pt idx="39">
                  <c:v>197</c:v>
                </c:pt>
                <c:pt idx="40">
                  <c:v>197</c:v>
                </c:pt>
                <c:pt idx="41">
                  <c:v>197</c:v>
                </c:pt>
                <c:pt idx="42">
                  <c:v>197</c:v>
                </c:pt>
                <c:pt idx="43">
                  <c:v>197</c:v>
                </c:pt>
                <c:pt idx="44">
                  <c:v>197</c:v>
                </c:pt>
                <c:pt idx="45">
                  <c:v>198</c:v>
                </c:pt>
                <c:pt idx="46">
                  <c:v>198</c:v>
                </c:pt>
                <c:pt idx="47">
                  <c:v>199</c:v>
                </c:pt>
                <c:pt idx="48">
                  <c:v>199</c:v>
                </c:pt>
                <c:pt idx="49">
                  <c:v>199</c:v>
                </c:pt>
                <c:pt idx="50">
                  <c:v>200</c:v>
                </c:pt>
                <c:pt idx="51">
                  <c:v>201</c:v>
                </c:pt>
                <c:pt idx="52">
                  <c:v>201</c:v>
                </c:pt>
                <c:pt idx="53">
                  <c:v>201</c:v>
                </c:pt>
                <c:pt idx="54">
                  <c:v>203</c:v>
                </c:pt>
                <c:pt idx="55">
                  <c:v>203</c:v>
                </c:pt>
                <c:pt idx="56">
                  <c:v>203</c:v>
                </c:pt>
                <c:pt idx="57">
                  <c:v>204</c:v>
                </c:pt>
                <c:pt idx="58">
                  <c:v>204</c:v>
                </c:pt>
                <c:pt idx="59">
                  <c:v>204</c:v>
                </c:pt>
                <c:pt idx="60">
                  <c:v>204</c:v>
                </c:pt>
                <c:pt idx="61">
                  <c:v>204</c:v>
                </c:pt>
                <c:pt idx="62">
                  <c:v>204</c:v>
                </c:pt>
                <c:pt idx="63">
                  <c:v>205</c:v>
                </c:pt>
                <c:pt idx="64">
                  <c:v>205</c:v>
                </c:pt>
                <c:pt idx="65">
                  <c:v>206</c:v>
                </c:pt>
                <c:pt idx="66">
                  <c:v>206</c:v>
                </c:pt>
                <c:pt idx="67">
                  <c:v>207</c:v>
                </c:pt>
                <c:pt idx="68">
                  <c:v>207</c:v>
                </c:pt>
                <c:pt idx="69">
                  <c:v>208</c:v>
                </c:pt>
                <c:pt idx="70">
                  <c:v>208</c:v>
                </c:pt>
                <c:pt idx="71">
                  <c:v>209</c:v>
                </c:pt>
                <c:pt idx="72">
                  <c:v>209</c:v>
                </c:pt>
                <c:pt idx="73">
                  <c:v>210</c:v>
                </c:pt>
                <c:pt idx="74">
                  <c:v>211</c:v>
                </c:pt>
                <c:pt idx="75">
                  <c:v>211</c:v>
                </c:pt>
                <c:pt idx="76">
                  <c:v>211</c:v>
                </c:pt>
                <c:pt idx="77">
                  <c:v>211</c:v>
                </c:pt>
                <c:pt idx="78">
                  <c:v>212</c:v>
                </c:pt>
                <c:pt idx="79">
                  <c:v>212</c:v>
                </c:pt>
                <c:pt idx="80">
                  <c:v>212</c:v>
                </c:pt>
                <c:pt idx="81">
                  <c:v>212</c:v>
                </c:pt>
                <c:pt idx="82">
                  <c:v>212</c:v>
                </c:pt>
                <c:pt idx="83">
                  <c:v>213</c:v>
                </c:pt>
                <c:pt idx="84">
                  <c:v>213</c:v>
                </c:pt>
                <c:pt idx="85">
                  <c:v>214</c:v>
                </c:pt>
                <c:pt idx="86">
                  <c:v>214</c:v>
                </c:pt>
                <c:pt idx="87">
                  <c:v>215</c:v>
                </c:pt>
                <c:pt idx="88">
                  <c:v>216</c:v>
                </c:pt>
                <c:pt idx="89">
                  <c:v>216</c:v>
                </c:pt>
                <c:pt idx="90">
                  <c:v>217</c:v>
                </c:pt>
                <c:pt idx="91">
                  <c:v>218</c:v>
                </c:pt>
                <c:pt idx="92">
                  <c:v>218</c:v>
                </c:pt>
                <c:pt idx="93">
                  <c:v>219</c:v>
                </c:pt>
                <c:pt idx="94">
                  <c:v>219</c:v>
                </c:pt>
                <c:pt idx="95">
                  <c:v>219</c:v>
                </c:pt>
                <c:pt idx="96">
                  <c:v>220</c:v>
                </c:pt>
                <c:pt idx="97">
                  <c:v>220</c:v>
                </c:pt>
                <c:pt idx="98">
                  <c:v>220</c:v>
                </c:pt>
                <c:pt idx="99">
                  <c:v>221</c:v>
                </c:pt>
                <c:pt idx="100">
                  <c:v>221</c:v>
                </c:pt>
                <c:pt idx="101">
                  <c:v>222</c:v>
                </c:pt>
                <c:pt idx="102">
                  <c:v>222</c:v>
                </c:pt>
                <c:pt idx="103">
                  <c:v>223</c:v>
                </c:pt>
                <c:pt idx="104">
                  <c:v>223</c:v>
                </c:pt>
                <c:pt idx="105">
                  <c:v>223</c:v>
                </c:pt>
                <c:pt idx="106">
                  <c:v>224</c:v>
                </c:pt>
                <c:pt idx="107">
                  <c:v>225</c:v>
                </c:pt>
                <c:pt idx="108">
                  <c:v>225</c:v>
                </c:pt>
                <c:pt idx="109">
                  <c:v>226</c:v>
                </c:pt>
                <c:pt idx="110">
                  <c:v>226</c:v>
                </c:pt>
                <c:pt idx="111">
                  <c:v>226</c:v>
                </c:pt>
                <c:pt idx="112">
                  <c:v>226</c:v>
                </c:pt>
                <c:pt idx="113">
                  <c:v>227</c:v>
                </c:pt>
                <c:pt idx="114">
                  <c:v>227</c:v>
                </c:pt>
                <c:pt idx="115">
                  <c:v>228</c:v>
                </c:pt>
                <c:pt idx="116">
                  <c:v>228</c:v>
                </c:pt>
                <c:pt idx="117">
                  <c:v>229</c:v>
                </c:pt>
                <c:pt idx="118">
                  <c:v>229</c:v>
                </c:pt>
                <c:pt idx="119">
                  <c:v>229</c:v>
                </c:pt>
                <c:pt idx="120">
                  <c:v>230</c:v>
                </c:pt>
                <c:pt idx="121">
                  <c:v>230</c:v>
                </c:pt>
                <c:pt idx="122">
                  <c:v>230</c:v>
                </c:pt>
                <c:pt idx="123">
                  <c:v>231</c:v>
                </c:pt>
                <c:pt idx="124">
                  <c:v>231</c:v>
                </c:pt>
                <c:pt idx="125">
                  <c:v>231</c:v>
                </c:pt>
                <c:pt idx="126">
                  <c:v>232</c:v>
                </c:pt>
                <c:pt idx="127">
                  <c:v>232</c:v>
                </c:pt>
                <c:pt idx="128">
                  <c:v>233</c:v>
                </c:pt>
                <c:pt idx="129">
                  <c:v>233</c:v>
                </c:pt>
                <c:pt idx="130">
                  <c:v>233</c:v>
                </c:pt>
                <c:pt idx="131">
                  <c:v>233</c:v>
                </c:pt>
                <c:pt idx="132">
                  <c:v>234</c:v>
                </c:pt>
                <c:pt idx="133">
                  <c:v>234</c:v>
                </c:pt>
                <c:pt idx="134">
                  <c:v>234</c:v>
                </c:pt>
                <c:pt idx="135">
                  <c:v>234</c:v>
                </c:pt>
                <c:pt idx="136">
                  <c:v>234</c:v>
                </c:pt>
                <c:pt idx="137">
                  <c:v>234</c:v>
                </c:pt>
                <c:pt idx="138">
                  <c:v>235</c:v>
                </c:pt>
                <c:pt idx="139">
                  <c:v>235</c:v>
                </c:pt>
                <c:pt idx="140">
                  <c:v>236</c:v>
                </c:pt>
                <c:pt idx="141">
                  <c:v>236</c:v>
                </c:pt>
                <c:pt idx="142">
                  <c:v>236</c:v>
                </c:pt>
                <c:pt idx="143">
                  <c:v>237</c:v>
                </c:pt>
                <c:pt idx="144">
                  <c:v>239</c:v>
                </c:pt>
                <c:pt idx="145">
                  <c:v>239</c:v>
                </c:pt>
                <c:pt idx="146">
                  <c:v>239</c:v>
                </c:pt>
                <c:pt idx="147">
                  <c:v>239</c:v>
                </c:pt>
                <c:pt idx="148">
                  <c:v>240</c:v>
                </c:pt>
                <c:pt idx="149">
                  <c:v>240</c:v>
                </c:pt>
                <c:pt idx="150">
                  <c:v>240</c:v>
                </c:pt>
                <c:pt idx="151">
                  <c:v>240</c:v>
                </c:pt>
                <c:pt idx="152">
                  <c:v>241</c:v>
                </c:pt>
                <c:pt idx="153">
                  <c:v>242</c:v>
                </c:pt>
                <c:pt idx="154">
                  <c:v>243</c:v>
                </c:pt>
                <c:pt idx="155">
                  <c:v>243</c:v>
                </c:pt>
                <c:pt idx="156">
                  <c:v>243</c:v>
                </c:pt>
                <c:pt idx="157">
                  <c:v>243</c:v>
                </c:pt>
                <c:pt idx="158">
                  <c:v>244</c:v>
                </c:pt>
                <c:pt idx="159">
                  <c:v>244</c:v>
                </c:pt>
                <c:pt idx="160">
                  <c:v>244</c:v>
                </c:pt>
                <c:pt idx="161">
                  <c:v>245</c:v>
                </c:pt>
                <c:pt idx="162">
                  <c:v>245</c:v>
                </c:pt>
                <c:pt idx="163">
                  <c:v>245</c:v>
                </c:pt>
                <c:pt idx="164">
                  <c:v>246</c:v>
                </c:pt>
                <c:pt idx="165">
                  <c:v>246</c:v>
                </c:pt>
                <c:pt idx="166">
                  <c:v>246</c:v>
                </c:pt>
                <c:pt idx="167">
                  <c:v>247</c:v>
                </c:pt>
                <c:pt idx="168">
                  <c:v>247</c:v>
                </c:pt>
                <c:pt idx="169">
                  <c:v>248</c:v>
                </c:pt>
                <c:pt idx="170">
                  <c:v>248</c:v>
                </c:pt>
                <c:pt idx="171">
                  <c:v>249</c:v>
                </c:pt>
                <c:pt idx="172">
                  <c:v>249</c:v>
                </c:pt>
                <c:pt idx="173">
                  <c:v>249</c:v>
                </c:pt>
                <c:pt idx="174">
                  <c:v>250</c:v>
                </c:pt>
                <c:pt idx="175">
                  <c:v>250</c:v>
                </c:pt>
                <c:pt idx="176">
                  <c:v>250</c:v>
                </c:pt>
                <c:pt idx="177">
                  <c:v>252</c:v>
                </c:pt>
                <c:pt idx="178">
                  <c:v>253</c:v>
                </c:pt>
                <c:pt idx="179">
                  <c:v>253</c:v>
                </c:pt>
                <c:pt idx="180">
                  <c:v>254</c:v>
                </c:pt>
                <c:pt idx="181">
                  <c:v>254</c:v>
                </c:pt>
                <c:pt idx="182">
                  <c:v>254</c:v>
                </c:pt>
                <c:pt idx="183">
                  <c:v>254</c:v>
                </c:pt>
                <c:pt idx="184">
                  <c:v>254</c:v>
                </c:pt>
                <c:pt idx="185">
                  <c:v>255</c:v>
                </c:pt>
                <c:pt idx="186">
                  <c:v>255</c:v>
                </c:pt>
                <c:pt idx="187">
                  <c:v>256</c:v>
                </c:pt>
                <c:pt idx="188">
                  <c:v>256</c:v>
                </c:pt>
                <c:pt idx="189">
                  <c:v>256</c:v>
                </c:pt>
                <c:pt idx="190">
                  <c:v>257</c:v>
                </c:pt>
                <c:pt idx="191">
                  <c:v>258</c:v>
                </c:pt>
                <c:pt idx="192">
                  <c:v>258</c:v>
                </c:pt>
                <c:pt idx="193">
                  <c:v>258</c:v>
                </c:pt>
                <c:pt idx="194">
                  <c:v>259</c:v>
                </c:pt>
                <c:pt idx="195">
                  <c:v>260</c:v>
                </c:pt>
                <c:pt idx="196">
                  <c:v>260</c:v>
                </c:pt>
                <c:pt idx="197">
                  <c:v>261</c:v>
                </c:pt>
                <c:pt idx="198">
                  <c:v>261</c:v>
                </c:pt>
                <c:pt idx="199">
                  <c:v>262</c:v>
                </c:pt>
                <c:pt idx="200">
                  <c:v>263</c:v>
                </c:pt>
                <c:pt idx="201">
                  <c:v>263</c:v>
                </c:pt>
                <c:pt idx="202">
                  <c:v>263</c:v>
                </c:pt>
                <c:pt idx="203">
                  <c:v>264</c:v>
                </c:pt>
                <c:pt idx="204">
                  <c:v>264</c:v>
                </c:pt>
                <c:pt idx="205">
                  <c:v>265</c:v>
                </c:pt>
                <c:pt idx="206">
                  <c:v>265</c:v>
                </c:pt>
                <c:pt idx="207">
                  <c:v>266</c:v>
                </c:pt>
                <c:pt idx="208">
                  <c:v>266</c:v>
                </c:pt>
                <c:pt idx="209">
                  <c:v>267</c:v>
                </c:pt>
                <c:pt idx="210">
                  <c:v>267</c:v>
                </c:pt>
                <c:pt idx="211">
                  <c:v>268</c:v>
                </c:pt>
                <c:pt idx="212">
                  <c:v>268</c:v>
                </c:pt>
                <c:pt idx="213">
                  <c:v>269</c:v>
                </c:pt>
                <c:pt idx="214">
                  <c:v>269</c:v>
                </c:pt>
                <c:pt idx="215">
                  <c:v>269</c:v>
                </c:pt>
                <c:pt idx="216">
                  <c:v>269</c:v>
                </c:pt>
                <c:pt idx="217">
                  <c:v>269</c:v>
                </c:pt>
                <c:pt idx="218">
                  <c:v>270</c:v>
                </c:pt>
                <c:pt idx="219">
                  <c:v>270</c:v>
                </c:pt>
                <c:pt idx="220">
                  <c:v>271</c:v>
                </c:pt>
                <c:pt idx="221">
                  <c:v>271</c:v>
                </c:pt>
                <c:pt idx="222">
                  <c:v>273</c:v>
                </c:pt>
                <c:pt idx="223">
                  <c:v>273</c:v>
                </c:pt>
                <c:pt idx="224">
                  <c:v>274</c:v>
                </c:pt>
                <c:pt idx="225">
                  <c:v>274</c:v>
                </c:pt>
                <c:pt idx="226">
                  <c:v>274</c:v>
                </c:pt>
                <c:pt idx="227">
                  <c:v>275</c:v>
                </c:pt>
                <c:pt idx="228">
                  <c:v>275</c:v>
                </c:pt>
                <c:pt idx="229">
                  <c:v>276</c:v>
                </c:pt>
                <c:pt idx="230">
                  <c:v>277</c:v>
                </c:pt>
                <c:pt idx="231">
                  <c:v>277</c:v>
                </c:pt>
                <c:pt idx="232">
                  <c:v>278</c:v>
                </c:pt>
                <c:pt idx="233">
                  <c:v>281</c:v>
                </c:pt>
                <c:pt idx="234">
                  <c:v>282</c:v>
                </c:pt>
                <c:pt idx="235">
                  <c:v>282</c:v>
                </c:pt>
                <c:pt idx="236">
                  <c:v>282</c:v>
                </c:pt>
                <c:pt idx="237">
                  <c:v>282</c:v>
                </c:pt>
                <c:pt idx="238">
                  <c:v>283</c:v>
                </c:pt>
                <c:pt idx="239">
                  <c:v>283</c:v>
                </c:pt>
                <c:pt idx="240">
                  <c:v>283</c:v>
                </c:pt>
                <c:pt idx="241">
                  <c:v>284</c:v>
                </c:pt>
                <c:pt idx="242">
                  <c:v>286</c:v>
                </c:pt>
                <c:pt idx="243">
                  <c:v>286</c:v>
                </c:pt>
                <c:pt idx="244">
                  <c:v>288</c:v>
                </c:pt>
                <c:pt idx="245">
                  <c:v>288</c:v>
                </c:pt>
                <c:pt idx="246">
                  <c:v>288</c:v>
                </c:pt>
                <c:pt idx="247">
                  <c:v>289</c:v>
                </c:pt>
                <c:pt idx="248">
                  <c:v>289</c:v>
                </c:pt>
                <c:pt idx="249">
                  <c:v>290</c:v>
                </c:pt>
                <c:pt idx="250">
                  <c:v>293</c:v>
                </c:pt>
                <c:pt idx="251">
                  <c:v>294</c:v>
                </c:pt>
                <c:pt idx="252">
                  <c:v>294</c:v>
                </c:pt>
                <c:pt idx="253">
                  <c:v>295</c:v>
                </c:pt>
                <c:pt idx="254">
                  <c:v>295</c:v>
                </c:pt>
                <c:pt idx="255">
                  <c:v>298</c:v>
                </c:pt>
                <c:pt idx="256">
                  <c:v>298</c:v>
                </c:pt>
                <c:pt idx="257">
                  <c:v>299</c:v>
                </c:pt>
                <c:pt idx="258">
                  <c:v>299</c:v>
                </c:pt>
                <c:pt idx="259">
                  <c:v>300</c:v>
                </c:pt>
                <c:pt idx="260">
                  <c:v>302</c:v>
                </c:pt>
                <c:pt idx="261">
                  <c:v>302</c:v>
                </c:pt>
                <c:pt idx="262">
                  <c:v>303</c:v>
                </c:pt>
                <c:pt idx="263">
                  <c:v>303</c:v>
                </c:pt>
                <c:pt idx="264">
                  <c:v>303</c:v>
                </c:pt>
                <c:pt idx="265">
                  <c:v>304</c:v>
                </c:pt>
                <c:pt idx="266">
                  <c:v>304</c:v>
                </c:pt>
                <c:pt idx="267">
                  <c:v>305</c:v>
                </c:pt>
                <c:pt idx="268">
                  <c:v>306</c:v>
                </c:pt>
                <c:pt idx="269">
                  <c:v>307</c:v>
                </c:pt>
                <c:pt idx="270">
                  <c:v>308</c:v>
                </c:pt>
                <c:pt idx="271">
                  <c:v>308</c:v>
                </c:pt>
                <c:pt idx="272">
                  <c:v>309</c:v>
                </c:pt>
                <c:pt idx="273">
                  <c:v>309</c:v>
                </c:pt>
                <c:pt idx="274">
                  <c:v>309</c:v>
                </c:pt>
                <c:pt idx="275">
                  <c:v>311</c:v>
                </c:pt>
                <c:pt idx="276">
                  <c:v>313</c:v>
                </c:pt>
                <c:pt idx="277">
                  <c:v>315</c:v>
                </c:pt>
                <c:pt idx="278">
                  <c:v>315</c:v>
                </c:pt>
                <c:pt idx="279">
                  <c:v>318</c:v>
                </c:pt>
                <c:pt idx="280">
                  <c:v>318</c:v>
                </c:pt>
                <c:pt idx="281">
                  <c:v>319</c:v>
                </c:pt>
                <c:pt idx="282">
                  <c:v>321</c:v>
                </c:pt>
                <c:pt idx="283">
                  <c:v>322</c:v>
                </c:pt>
                <c:pt idx="284">
                  <c:v>325</c:v>
                </c:pt>
                <c:pt idx="285">
                  <c:v>325</c:v>
                </c:pt>
                <c:pt idx="286">
                  <c:v>326</c:v>
                </c:pt>
                <c:pt idx="287">
                  <c:v>327</c:v>
                </c:pt>
                <c:pt idx="288">
                  <c:v>330</c:v>
                </c:pt>
                <c:pt idx="289">
                  <c:v>330</c:v>
                </c:pt>
                <c:pt idx="290">
                  <c:v>335</c:v>
                </c:pt>
                <c:pt idx="291">
                  <c:v>335</c:v>
                </c:pt>
                <c:pt idx="292">
                  <c:v>340</c:v>
                </c:pt>
                <c:pt idx="293">
                  <c:v>341</c:v>
                </c:pt>
                <c:pt idx="294">
                  <c:v>342</c:v>
                </c:pt>
                <c:pt idx="295">
                  <c:v>353</c:v>
                </c:pt>
                <c:pt idx="296">
                  <c:v>354</c:v>
                </c:pt>
                <c:pt idx="297">
                  <c:v>360</c:v>
                </c:pt>
                <c:pt idx="298">
                  <c:v>394</c:v>
                </c:pt>
                <c:pt idx="299">
                  <c:v>407</c:v>
                </c:pt>
                <c:pt idx="300">
                  <c:v>409</c:v>
                </c:pt>
                <c:pt idx="301">
                  <c:v>417</c:v>
                </c:pt>
                <c:pt idx="302">
                  <c:v>564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44-4B39-8F3C-06A44450C8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3124560"/>
        <c:axId val="983137520"/>
      </c:scatterChart>
      <c:valAx>
        <c:axId val="9831245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Sample Percentile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83137520"/>
        <c:crosses val="autoZero"/>
        <c:crossBetween val="midCat"/>
      </c:valAx>
      <c:valAx>
        <c:axId val="98313752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chol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83124560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IN"/>
              <a:t>output / Standardized coefficients
(95% conf. interval)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D9E8-48EB-BB9B-1DA63A5E1D31}"/>
              </c:ext>
            </c:extLst>
          </c:dPt>
          <c:dPt>
            <c:idx val="1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D9E8-48EB-BB9B-1DA63A5E1D31}"/>
              </c:ext>
            </c:extLst>
          </c:dPt>
          <c:dPt>
            <c:idx val="2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D9E8-48EB-BB9B-1DA63A5E1D3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BarType val="both"/>
            <c:errValType val="cust"/>
            <c:noEndCap val="0"/>
            <c:plus>
              <c:numLit>
                <c:formatCode>General</c:formatCode>
                <c:ptCount val="3"/>
                <c:pt idx="0">
                  <c:v>0.16584146833933175</c:v>
                </c:pt>
                <c:pt idx="1">
                  <c:v>0.16448675378516175</c:v>
                </c:pt>
                <c:pt idx="2">
                  <c:v>0.16399295574515715</c:v>
                </c:pt>
              </c:numLit>
            </c:plus>
            <c:minus>
              <c:numLit>
                <c:formatCode>General</c:formatCode>
                <c:ptCount val="3"/>
                <c:pt idx="0">
                  <c:v>0.16584146833933172</c:v>
                </c:pt>
                <c:pt idx="1">
                  <c:v>0.16448675378516181</c:v>
                </c:pt>
                <c:pt idx="2">
                  <c:v>0.1639929557451571</c:v>
                </c:pt>
              </c:numLit>
            </c:minus>
          </c:errBars>
          <c:cat>
            <c:strRef>
              <c:f>regression!$F$436:$F$438</c:f>
              <c:strCache>
                <c:ptCount val="3"/>
                <c:pt idx="0">
                  <c:v>age</c:v>
                </c:pt>
                <c:pt idx="1">
                  <c:v>sex</c:v>
                </c:pt>
                <c:pt idx="2">
                  <c:v>cp</c:v>
                </c:pt>
              </c:strCache>
            </c:strRef>
          </c:cat>
          <c:val>
            <c:numRef>
              <c:f>regression!$G$436:$G$438</c:f>
              <c:numCache>
                <c:formatCode>0.000</c:formatCode>
                <c:ptCount val="3"/>
                <c:pt idx="0">
                  <c:v>-0.36420794468634793</c:v>
                </c:pt>
                <c:pt idx="1">
                  <c:v>-0.43881904394466215</c:v>
                </c:pt>
                <c:pt idx="2">
                  <c:v>0.58262182421755515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E8-48EB-BB9B-1DA63A5E1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934235759"/>
        <c:axId val="934242959"/>
      </c:barChart>
      <c:catAx>
        <c:axId val="9342357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Variable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one"/>
        <c:txPr>
          <a:bodyPr rot="0" vert="horz"/>
          <a:lstStyle/>
          <a:p>
            <a:pPr>
              <a:defRPr sz="700"/>
            </a:pPr>
            <a:endParaRPr lang="en-US"/>
          </a:p>
        </c:txPr>
        <c:crossAx val="934242959"/>
        <c:crosses val="autoZero"/>
        <c:auto val="1"/>
        <c:lblAlgn val="ctr"/>
        <c:lblOffset val="100"/>
        <c:noMultiLvlLbl val="0"/>
      </c:catAx>
      <c:valAx>
        <c:axId val="934242959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Standardized coefficients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934235759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IN"/>
              <a:t>Probabilities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</c:marker>
          <c:dPt>
            <c:idx val="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C92C-4900-BC28-EE3982AC77C4}"/>
              </c:ext>
            </c:extLst>
          </c:dPt>
          <c:dPt>
            <c:idx val="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C92C-4900-BC28-EE3982AC77C4}"/>
              </c:ext>
            </c:extLst>
          </c:dPt>
          <c:dPt>
            <c:idx val="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C92C-4900-BC28-EE3982AC77C4}"/>
              </c:ext>
            </c:extLst>
          </c:dPt>
          <c:dPt>
            <c:idx val="3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C92C-4900-BC28-EE3982AC77C4}"/>
              </c:ext>
            </c:extLst>
          </c:dPt>
          <c:dPt>
            <c:idx val="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C92C-4900-BC28-EE3982AC77C4}"/>
              </c:ext>
            </c:extLst>
          </c:dPt>
          <c:dPt>
            <c:idx val="5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C92C-4900-BC28-EE3982AC77C4}"/>
              </c:ext>
            </c:extLst>
          </c:dPt>
          <c:dPt>
            <c:idx val="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C92C-4900-BC28-EE3982AC77C4}"/>
              </c:ext>
            </c:extLst>
          </c:dPt>
          <c:dPt>
            <c:idx val="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C92C-4900-BC28-EE3982AC77C4}"/>
              </c:ext>
            </c:extLst>
          </c:dPt>
          <c:dPt>
            <c:idx val="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C92C-4900-BC28-EE3982AC77C4}"/>
              </c:ext>
            </c:extLst>
          </c:dPt>
          <c:dPt>
            <c:idx val="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C92C-4900-BC28-EE3982AC77C4}"/>
              </c:ext>
            </c:extLst>
          </c:dPt>
          <c:dPt>
            <c:idx val="10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C92C-4900-BC28-EE3982AC77C4}"/>
              </c:ext>
            </c:extLst>
          </c:dPt>
          <c:dPt>
            <c:idx val="1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C92C-4900-BC28-EE3982AC77C4}"/>
              </c:ext>
            </c:extLst>
          </c:dPt>
          <c:dPt>
            <c:idx val="1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C92C-4900-BC28-EE3982AC77C4}"/>
              </c:ext>
            </c:extLst>
          </c:dPt>
          <c:dPt>
            <c:idx val="1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C92C-4900-BC28-EE3982AC77C4}"/>
              </c:ext>
            </c:extLst>
          </c:dPt>
          <c:dPt>
            <c:idx val="1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C92C-4900-BC28-EE3982AC77C4}"/>
              </c:ext>
            </c:extLst>
          </c:dPt>
          <c:dPt>
            <c:idx val="1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C92C-4900-BC28-EE3982AC77C4}"/>
              </c:ext>
            </c:extLst>
          </c:dPt>
          <c:dPt>
            <c:idx val="1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C92C-4900-BC28-EE3982AC77C4}"/>
              </c:ext>
            </c:extLst>
          </c:dPt>
          <c:dPt>
            <c:idx val="1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C92C-4900-BC28-EE3982AC77C4}"/>
              </c:ext>
            </c:extLst>
          </c:dPt>
          <c:dPt>
            <c:idx val="18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C92C-4900-BC28-EE3982AC77C4}"/>
              </c:ext>
            </c:extLst>
          </c:dPt>
          <c:dPt>
            <c:idx val="1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C92C-4900-BC28-EE3982AC77C4}"/>
              </c:ext>
            </c:extLst>
          </c:dPt>
          <c:dPt>
            <c:idx val="20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C92C-4900-BC28-EE3982AC77C4}"/>
              </c:ext>
            </c:extLst>
          </c:dPt>
          <c:dPt>
            <c:idx val="2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C92C-4900-BC28-EE3982AC77C4}"/>
              </c:ext>
            </c:extLst>
          </c:dPt>
          <c:dPt>
            <c:idx val="22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C92C-4900-BC28-EE3982AC77C4}"/>
              </c:ext>
            </c:extLst>
          </c:dPt>
          <c:dPt>
            <c:idx val="2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C92C-4900-BC28-EE3982AC77C4}"/>
              </c:ext>
            </c:extLst>
          </c:dPt>
          <c:dPt>
            <c:idx val="2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C92C-4900-BC28-EE3982AC77C4}"/>
              </c:ext>
            </c:extLst>
          </c:dPt>
          <c:dPt>
            <c:idx val="2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C92C-4900-BC28-EE3982AC77C4}"/>
              </c:ext>
            </c:extLst>
          </c:dPt>
          <c:dPt>
            <c:idx val="2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C92C-4900-BC28-EE3982AC77C4}"/>
              </c:ext>
            </c:extLst>
          </c:dPt>
          <c:dPt>
            <c:idx val="2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C92C-4900-BC28-EE3982AC77C4}"/>
              </c:ext>
            </c:extLst>
          </c:dPt>
          <c:dPt>
            <c:idx val="2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C92C-4900-BC28-EE3982AC77C4}"/>
              </c:ext>
            </c:extLst>
          </c:dPt>
          <c:dPt>
            <c:idx val="2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C92C-4900-BC28-EE3982AC77C4}"/>
              </c:ext>
            </c:extLst>
          </c:dPt>
          <c:dPt>
            <c:idx val="3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C92C-4900-BC28-EE3982AC77C4}"/>
              </c:ext>
            </c:extLst>
          </c:dPt>
          <c:dPt>
            <c:idx val="31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C92C-4900-BC28-EE3982AC77C4}"/>
              </c:ext>
            </c:extLst>
          </c:dPt>
          <c:dPt>
            <c:idx val="3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C92C-4900-BC28-EE3982AC77C4}"/>
              </c:ext>
            </c:extLst>
          </c:dPt>
          <c:dPt>
            <c:idx val="3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C92C-4900-BC28-EE3982AC77C4}"/>
              </c:ext>
            </c:extLst>
          </c:dPt>
          <c:dPt>
            <c:idx val="3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C92C-4900-BC28-EE3982AC77C4}"/>
              </c:ext>
            </c:extLst>
          </c:dPt>
          <c:dPt>
            <c:idx val="3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C92C-4900-BC28-EE3982AC77C4}"/>
              </c:ext>
            </c:extLst>
          </c:dPt>
          <c:dPt>
            <c:idx val="3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C92C-4900-BC28-EE3982AC77C4}"/>
              </c:ext>
            </c:extLst>
          </c:dPt>
          <c:dPt>
            <c:idx val="3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C92C-4900-BC28-EE3982AC77C4}"/>
              </c:ext>
            </c:extLst>
          </c:dPt>
          <c:dPt>
            <c:idx val="3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C92C-4900-BC28-EE3982AC77C4}"/>
              </c:ext>
            </c:extLst>
          </c:dPt>
          <c:dPt>
            <c:idx val="3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C92C-4900-BC28-EE3982AC77C4}"/>
              </c:ext>
            </c:extLst>
          </c:dPt>
          <c:dPt>
            <c:idx val="4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C92C-4900-BC28-EE3982AC77C4}"/>
              </c:ext>
            </c:extLst>
          </c:dPt>
          <c:dPt>
            <c:idx val="4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C92C-4900-BC28-EE3982AC77C4}"/>
              </c:ext>
            </c:extLst>
          </c:dPt>
          <c:dPt>
            <c:idx val="42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C92C-4900-BC28-EE3982AC77C4}"/>
              </c:ext>
            </c:extLst>
          </c:dPt>
          <c:dPt>
            <c:idx val="4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C92C-4900-BC28-EE3982AC77C4}"/>
              </c:ext>
            </c:extLst>
          </c:dPt>
          <c:dPt>
            <c:idx val="4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C92C-4900-BC28-EE3982AC77C4}"/>
              </c:ext>
            </c:extLst>
          </c:dPt>
          <c:dPt>
            <c:idx val="45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C92C-4900-BC28-EE3982AC77C4}"/>
              </c:ext>
            </c:extLst>
          </c:dPt>
          <c:dPt>
            <c:idx val="4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C92C-4900-BC28-EE3982AC77C4}"/>
              </c:ext>
            </c:extLst>
          </c:dPt>
          <c:dPt>
            <c:idx val="4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C92C-4900-BC28-EE3982AC77C4}"/>
              </c:ext>
            </c:extLst>
          </c:dPt>
          <c:dPt>
            <c:idx val="4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C92C-4900-BC28-EE3982AC77C4}"/>
              </c:ext>
            </c:extLst>
          </c:dPt>
          <c:dPt>
            <c:idx val="4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C92C-4900-BC28-EE3982AC77C4}"/>
              </c:ext>
            </c:extLst>
          </c:dPt>
          <c:dPt>
            <c:idx val="5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C92C-4900-BC28-EE3982AC77C4}"/>
              </c:ext>
            </c:extLst>
          </c:dPt>
          <c:dPt>
            <c:idx val="51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C92C-4900-BC28-EE3982AC77C4}"/>
              </c:ext>
            </c:extLst>
          </c:dPt>
          <c:dPt>
            <c:idx val="5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C92C-4900-BC28-EE3982AC77C4}"/>
              </c:ext>
            </c:extLst>
          </c:dPt>
          <c:dPt>
            <c:idx val="5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C92C-4900-BC28-EE3982AC77C4}"/>
              </c:ext>
            </c:extLst>
          </c:dPt>
          <c:dPt>
            <c:idx val="5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C92C-4900-BC28-EE3982AC77C4}"/>
              </c:ext>
            </c:extLst>
          </c:dPt>
          <c:dPt>
            <c:idx val="55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C92C-4900-BC28-EE3982AC77C4}"/>
              </c:ext>
            </c:extLst>
          </c:dPt>
          <c:dPt>
            <c:idx val="56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C92C-4900-BC28-EE3982AC77C4}"/>
              </c:ext>
            </c:extLst>
          </c:dPt>
          <c:dPt>
            <c:idx val="57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C92C-4900-BC28-EE3982AC77C4}"/>
              </c:ext>
            </c:extLst>
          </c:dPt>
          <c:dPt>
            <c:idx val="5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C92C-4900-BC28-EE3982AC77C4}"/>
              </c:ext>
            </c:extLst>
          </c:dPt>
          <c:dPt>
            <c:idx val="5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C-C92C-4900-BC28-EE3982AC77C4}"/>
              </c:ext>
            </c:extLst>
          </c:dPt>
          <c:dPt>
            <c:idx val="6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D-C92C-4900-BC28-EE3982AC77C4}"/>
              </c:ext>
            </c:extLst>
          </c:dPt>
          <c:dPt>
            <c:idx val="61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E-C92C-4900-BC28-EE3982AC77C4}"/>
              </c:ext>
            </c:extLst>
          </c:dPt>
          <c:dPt>
            <c:idx val="6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F-C92C-4900-BC28-EE3982AC77C4}"/>
              </c:ext>
            </c:extLst>
          </c:dPt>
          <c:dPt>
            <c:idx val="6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0-C92C-4900-BC28-EE3982AC77C4}"/>
              </c:ext>
            </c:extLst>
          </c:dPt>
          <c:dPt>
            <c:idx val="6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1-C92C-4900-BC28-EE3982AC77C4}"/>
              </c:ext>
            </c:extLst>
          </c:dPt>
          <c:dPt>
            <c:idx val="6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2-C92C-4900-BC28-EE3982AC77C4}"/>
              </c:ext>
            </c:extLst>
          </c:dPt>
          <c:dPt>
            <c:idx val="6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3-C92C-4900-BC28-EE3982AC77C4}"/>
              </c:ext>
            </c:extLst>
          </c:dPt>
          <c:dPt>
            <c:idx val="6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4-C92C-4900-BC28-EE3982AC77C4}"/>
              </c:ext>
            </c:extLst>
          </c:dPt>
          <c:dPt>
            <c:idx val="6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5-C92C-4900-BC28-EE3982AC77C4}"/>
              </c:ext>
            </c:extLst>
          </c:dPt>
          <c:dPt>
            <c:idx val="69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6-C92C-4900-BC28-EE3982AC77C4}"/>
              </c:ext>
            </c:extLst>
          </c:dPt>
          <c:dPt>
            <c:idx val="7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7-C92C-4900-BC28-EE3982AC77C4}"/>
              </c:ext>
            </c:extLst>
          </c:dPt>
          <c:dPt>
            <c:idx val="7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C92C-4900-BC28-EE3982AC77C4}"/>
              </c:ext>
            </c:extLst>
          </c:dPt>
          <c:dPt>
            <c:idx val="7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9-C92C-4900-BC28-EE3982AC77C4}"/>
              </c:ext>
            </c:extLst>
          </c:dPt>
          <c:dPt>
            <c:idx val="73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A-C92C-4900-BC28-EE3982AC77C4}"/>
              </c:ext>
            </c:extLst>
          </c:dPt>
          <c:dPt>
            <c:idx val="7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B-C92C-4900-BC28-EE3982AC77C4}"/>
              </c:ext>
            </c:extLst>
          </c:dPt>
          <c:dPt>
            <c:idx val="7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C-C92C-4900-BC28-EE3982AC77C4}"/>
              </c:ext>
            </c:extLst>
          </c:dPt>
          <c:dPt>
            <c:idx val="7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D-C92C-4900-BC28-EE3982AC77C4}"/>
              </c:ext>
            </c:extLst>
          </c:dPt>
          <c:dPt>
            <c:idx val="77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E-C92C-4900-BC28-EE3982AC77C4}"/>
              </c:ext>
            </c:extLst>
          </c:dPt>
          <c:dPt>
            <c:idx val="78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F-C92C-4900-BC28-EE3982AC77C4}"/>
              </c:ext>
            </c:extLst>
          </c:dPt>
          <c:dPt>
            <c:idx val="7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0-C92C-4900-BC28-EE3982AC77C4}"/>
              </c:ext>
            </c:extLst>
          </c:dPt>
          <c:dPt>
            <c:idx val="8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1-C92C-4900-BC28-EE3982AC77C4}"/>
              </c:ext>
            </c:extLst>
          </c:dPt>
          <c:dPt>
            <c:idx val="8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2-C92C-4900-BC28-EE3982AC77C4}"/>
              </c:ext>
            </c:extLst>
          </c:dPt>
          <c:dPt>
            <c:idx val="8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3-C92C-4900-BC28-EE3982AC77C4}"/>
              </c:ext>
            </c:extLst>
          </c:dPt>
          <c:dPt>
            <c:idx val="8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4-C92C-4900-BC28-EE3982AC77C4}"/>
              </c:ext>
            </c:extLst>
          </c:dPt>
          <c:dPt>
            <c:idx val="8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5-C92C-4900-BC28-EE3982AC77C4}"/>
              </c:ext>
            </c:extLst>
          </c:dPt>
          <c:dPt>
            <c:idx val="8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6-C92C-4900-BC28-EE3982AC77C4}"/>
              </c:ext>
            </c:extLst>
          </c:dPt>
          <c:dPt>
            <c:idx val="86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7-C92C-4900-BC28-EE3982AC77C4}"/>
              </c:ext>
            </c:extLst>
          </c:dPt>
          <c:dPt>
            <c:idx val="8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8-C92C-4900-BC28-EE3982AC77C4}"/>
              </c:ext>
            </c:extLst>
          </c:dPt>
          <c:dPt>
            <c:idx val="8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9-C92C-4900-BC28-EE3982AC77C4}"/>
              </c:ext>
            </c:extLst>
          </c:dPt>
          <c:dPt>
            <c:idx val="8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A-C92C-4900-BC28-EE3982AC77C4}"/>
              </c:ext>
            </c:extLst>
          </c:dPt>
          <c:dPt>
            <c:idx val="9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B-C92C-4900-BC28-EE3982AC77C4}"/>
              </c:ext>
            </c:extLst>
          </c:dPt>
          <c:dPt>
            <c:idx val="91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C-C92C-4900-BC28-EE3982AC77C4}"/>
              </c:ext>
            </c:extLst>
          </c:dPt>
          <c:dPt>
            <c:idx val="9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D-C92C-4900-BC28-EE3982AC77C4}"/>
              </c:ext>
            </c:extLst>
          </c:dPt>
          <c:dPt>
            <c:idx val="9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E-C92C-4900-BC28-EE3982AC77C4}"/>
              </c:ext>
            </c:extLst>
          </c:dPt>
          <c:dPt>
            <c:idx val="9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F-C92C-4900-BC28-EE3982AC77C4}"/>
              </c:ext>
            </c:extLst>
          </c:dPt>
          <c:dPt>
            <c:idx val="95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0-C92C-4900-BC28-EE3982AC77C4}"/>
              </c:ext>
            </c:extLst>
          </c:dPt>
          <c:dPt>
            <c:idx val="96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1-C92C-4900-BC28-EE3982AC77C4}"/>
              </c:ext>
            </c:extLst>
          </c:dPt>
          <c:dPt>
            <c:idx val="97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2-C92C-4900-BC28-EE3982AC77C4}"/>
              </c:ext>
            </c:extLst>
          </c:dPt>
          <c:dPt>
            <c:idx val="9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3-C92C-4900-BC28-EE3982AC77C4}"/>
              </c:ext>
            </c:extLst>
          </c:dPt>
          <c:dPt>
            <c:idx val="9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4-C92C-4900-BC28-EE3982AC77C4}"/>
              </c:ext>
            </c:extLst>
          </c:dPt>
          <c:dPt>
            <c:idx val="10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5-C92C-4900-BC28-EE3982AC77C4}"/>
              </c:ext>
            </c:extLst>
          </c:dPt>
          <c:dPt>
            <c:idx val="10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6-C92C-4900-BC28-EE3982AC77C4}"/>
              </c:ext>
            </c:extLst>
          </c:dPt>
          <c:dPt>
            <c:idx val="10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7-C92C-4900-BC28-EE3982AC77C4}"/>
              </c:ext>
            </c:extLst>
          </c:dPt>
          <c:dPt>
            <c:idx val="10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8-C92C-4900-BC28-EE3982AC77C4}"/>
              </c:ext>
            </c:extLst>
          </c:dPt>
          <c:dPt>
            <c:idx val="10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9-C92C-4900-BC28-EE3982AC77C4}"/>
              </c:ext>
            </c:extLst>
          </c:dPt>
          <c:dPt>
            <c:idx val="10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A-C92C-4900-BC28-EE3982AC77C4}"/>
              </c:ext>
            </c:extLst>
          </c:dPt>
          <c:dPt>
            <c:idx val="10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B-C92C-4900-BC28-EE3982AC77C4}"/>
              </c:ext>
            </c:extLst>
          </c:dPt>
          <c:dPt>
            <c:idx val="10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C-C92C-4900-BC28-EE3982AC77C4}"/>
              </c:ext>
            </c:extLst>
          </c:dPt>
          <c:dPt>
            <c:idx val="10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D-C92C-4900-BC28-EE3982AC77C4}"/>
              </c:ext>
            </c:extLst>
          </c:dPt>
          <c:dPt>
            <c:idx val="10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E-C92C-4900-BC28-EE3982AC77C4}"/>
              </c:ext>
            </c:extLst>
          </c:dPt>
          <c:dPt>
            <c:idx val="110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F-C92C-4900-BC28-EE3982AC77C4}"/>
              </c:ext>
            </c:extLst>
          </c:dPt>
          <c:dPt>
            <c:idx val="11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0-C92C-4900-BC28-EE3982AC77C4}"/>
              </c:ext>
            </c:extLst>
          </c:dPt>
          <c:dPt>
            <c:idx val="11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1-C92C-4900-BC28-EE3982AC77C4}"/>
              </c:ext>
            </c:extLst>
          </c:dPt>
          <c:dPt>
            <c:idx val="113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2-C92C-4900-BC28-EE3982AC77C4}"/>
              </c:ext>
            </c:extLst>
          </c:dPt>
          <c:dPt>
            <c:idx val="114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3-C92C-4900-BC28-EE3982AC77C4}"/>
              </c:ext>
            </c:extLst>
          </c:dPt>
          <c:dPt>
            <c:idx val="11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4-C92C-4900-BC28-EE3982AC77C4}"/>
              </c:ext>
            </c:extLst>
          </c:dPt>
          <c:dPt>
            <c:idx val="11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5-C92C-4900-BC28-EE3982AC77C4}"/>
              </c:ext>
            </c:extLst>
          </c:dPt>
          <c:dPt>
            <c:idx val="11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6-C92C-4900-BC28-EE3982AC77C4}"/>
              </c:ext>
            </c:extLst>
          </c:dPt>
          <c:dPt>
            <c:idx val="11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7-C92C-4900-BC28-EE3982AC77C4}"/>
              </c:ext>
            </c:extLst>
          </c:dPt>
          <c:dPt>
            <c:idx val="11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8-C92C-4900-BC28-EE3982AC77C4}"/>
              </c:ext>
            </c:extLst>
          </c:dPt>
          <c:dPt>
            <c:idx val="120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9-C92C-4900-BC28-EE3982AC77C4}"/>
              </c:ext>
            </c:extLst>
          </c:dPt>
          <c:dPt>
            <c:idx val="121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A-C92C-4900-BC28-EE3982AC77C4}"/>
              </c:ext>
            </c:extLst>
          </c:dPt>
          <c:dPt>
            <c:idx val="12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B-C92C-4900-BC28-EE3982AC77C4}"/>
              </c:ext>
            </c:extLst>
          </c:dPt>
          <c:dPt>
            <c:idx val="12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C-C92C-4900-BC28-EE3982AC77C4}"/>
              </c:ext>
            </c:extLst>
          </c:dPt>
          <c:dPt>
            <c:idx val="12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D-C92C-4900-BC28-EE3982AC77C4}"/>
              </c:ext>
            </c:extLst>
          </c:dPt>
          <c:dPt>
            <c:idx val="12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E-C92C-4900-BC28-EE3982AC77C4}"/>
              </c:ext>
            </c:extLst>
          </c:dPt>
          <c:dPt>
            <c:idx val="126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F-C92C-4900-BC28-EE3982AC77C4}"/>
              </c:ext>
            </c:extLst>
          </c:dPt>
          <c:dPt>
            <c:idx val="12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0-C92C-4900-BC28-EE3982AC77C4}"/>
              </c:ext>
            </c:extLst>
          </c:dPt>
          <c:dPt>
            <c:idx val="12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1-C92C-4900-BC28-EE3982AC77C4}"/>
              </c:ext>
            </c:extLst>
          </c:dPt>
          <c:dPt>
            <c:idx val="12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2-C92C-4900-BC28-EE3982AC77C4}"/>
              </c:ext>
            </c:extLst>
          </c:dPt>
          <c:dPt>
            <c:idx val="13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3-C92C-4900-BC28-EE3982AC77C4}"/>
              </c:ext>
            </c:extLst>
          </c:dPt>
          <c:dPt>
            <c:idx val="13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4-C92C-4900-BC28-EE3982AC77C4}"/>
              </c:ext>
            </c:extLst>
          </c:dPt>
          <c:dPt>
            <c:idx val="13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5-C92C-4900-BC28-EE3982AC77C4}"/>
              </c:ext>
            </c:extLst>
          </c:dPt>
          <c:dPt>
            <c:idx val="13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6-C92C-4900-BC28-EE3982AC77C4}"/>
              </c:ext>
            </c:extLst>
          </c:dPt>
          <c:dPt>
            <c:idx val="13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7-C92C-4900-BC28-EE3982AC77C4}"/>
              </c:ext>
            </c:extLst>
          </c:dPt>
          <c:dPt>
            <c:idx val="13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8-C92C-4900-BC28-EE3982AC77C4}"/>
              </c:ext>
            </c:extLst>
          </c:dPt>
          <c:dPt>
            <c:idx val="13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9-C92C-4900-BC28-EE3982AC77C4}"/>
              </c:ext>
            </c:extLst>
          </c:dPt>
          <c:dPt>
            <c:idx val="137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A-C92C-4900-BC28-EE3982AC77C4}"/>
              </c:ext>
            </c:extLst>
          </c:dPt>
          <c:dPt>
            <c:idx val="138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B-C92C-4900-BC28-EE3982AC77C4}"/>
              </c:ext>
            </c:extLst>
          </c:dPt>
          <c:dPt>
            <c:idx val="139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C-C92C-4900-BC28-EE3982AC77C4}"/>
              </c:ext>
            </c:extLst>
          </c:dPt>
          <c:dPt>
            <c:idx val="14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D-C92C-4900-BC28-EE3982AC77C4}"/>
              </c:ext>
            </c:extLst>
          </c:dPt>
          <c:dPt>
            <c:idx val="141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E-C92C-4900-BC28-EE3982AC77C4}"/>
              </c:ext>
            </c:extLst>
          </c:dPt>
          <c:dPt>
            <c:idx val="14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F-C92C-4900-BC28-EE3982AC77C4}"/>
              </c:ext>
            </c:extLst>
          </c:dPt>
          <c:dPt>
            <c:idx val="143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0-C92C-4900-BC28-EE3982AC77C4}"/>
              </c:ext>
            </c:extLst>
          </c:dPt>
          <c:dPt>
            <c:idx val="14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1-C92C-4900-BC28-EE3982AC77C4}"/>
              </c:ext>
            </c:extLst>
          </c:dPt>
          <c:dPt>
            <c:idx val="145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2-C92C-4900-BC28-EE3982AC77C4}"/>
              </c:ext>
            </c:extLst>
          </c:dPt>
          <c:dPt>
            <c:idx val="14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3-C92C-4900-BC28-EE3982AC77C4}"/>
              </c:ext>
            </c:extLst>
          </c:dPt>
          <c:dPt>
            <c:idx val="14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4-C92C-4900-BC28-EE3982AC77C4}"/>
              </c:ext>
            </c:extLst>
          </c:dPt>
          <c:dPt>
            <c:idx val="14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5-C92C-4900-BC28-EE3982AC77C4}"/>
              </c:ext>
            </c:extLst>
          </c:dPt>
          <c:dPt>
            <c:idx val="14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6-C92C-4900-BC28-EE3982AC77C4}"/>
              </c:ext>
            </c:extLst>
          </c:dPt>
          <c:dPt>
            <c:idx val="150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7-C92C-4900-BC28-EE3982AC77C4}"/>
              </c:ext>
            </c:extLst>
          </c:dPt>
          <c:dPt>
            <c:idx val="151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8-C92C-4900-BC28-EE3982AC77C4}"/>
              </c:ext>
            </c:extLst>
          </c:dPt>
          <c:dPt>
            <c:idx val="15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9-C92C-4900-BC28-EE3982AC77C4}"/>
              </c:ext>
            </c:extLst>
          </c:dPt>
          <c:dPt>
            <c:idx val="15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A-C92C-4900-BC28-EE3982AC77C4}"/>
              </c:ext>
            </c:extLst>
          </c:dPt>
          <c:dPt>
            <c:idx val="15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B-C92C-4900-BC28-EE3982AC77C4}"/>
              </c:ext>
            </c:extLst>
          </c:dPt>
          <c:dPt>
            <c:idx val="15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C-C92C-4900-BC28-EE3982AC77C4}"/>
              </c:ext>
            </c:extLst>
          </c:dPt>
          <c:dPt>
            <c:idx val="15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D-C92C-4900-BC28-EE3982AC77C4}"/>
              </c:ext>
            </c:extLst>
          </c:dPt>
          <c:dPt>
            <c:idx val="15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E-C92C-4900-BC28-EE3982AC77C4}"/>
              </c:ext>
            </c:extLst>
          </c:dPt>
          <c:dPt>
            <c:idx val="158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F-C92C-4900-BC28-EE3982AC77C4}"/>
              </c:ext>
            </c:extLst>
          </c:dPt>
          <c:dPt>
            <c:idx val="159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0-C92C-4900-BC28-EE3982AC77C4}"/>
              </c:ext>
            </c:extLst>
          </c:dPt>
          <c:dPt>
            <c:idx val="160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1-C92C-4900-BC28-EE3982AC77C4}"/>
              </c:ext>
            </c:extLst>
          </c:dPt>
          <c:dPt>
            <c:idx val="16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2-C92C-4900-BC28-EE3982AC77C4}"/>
              </c:ext>
            </c:extLst>
          </c:dPt>
          <c:dPt>
            <c:idx val="16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3-C92C-4900-BC28-EE3982AC77C4}"/>
              </c:ext>
            </c:extLst>
          </c:dPt>
          <c:dPt>
            <c:idx val="16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4-C92C-4900-BC28-EE3982AC77C4}"/>
              </c:ext>
            </c:extLst>
          </c:dPt>
          <c:dPt>
            <c:idx val="16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5-C92C-4900-BC28-EE3982AC77C4}"/>
              </c:ext>
            </c:extLst>
          </c:dPt>
          <c:dPt>
            <c:idx val="16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6-C92C-4900-BC28-EE3982AC77C4}"/>
              </c:ext>
            </c:extLst>
          </c:dPt>
          <c:dPt>
            <c:idx val="16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7-C92C-4900-BC28-EE3982AC77C4}"/>
              </c:ext>
            </c:extLst>
          </c:dPt>
          <c:dPt>
            <c:idx val="16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8-C92C-4900-BC28-EE3982AC77C4}"/>
              </c:ext>
            </c:extLst>
          </c:dPt>
          <c:dPt>
            <c:idx val="16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9-C92C-4900-BC28-EE3982AC77C4}"/>
              </c:ext>
            </c:extLst>
          </c:dPt>
          <c:dPt>
            <c:idx val="16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A-C92C-4900-BC28-EE3982AC77C4}"/>
              </c:ext>
            </c:extLst>
          </c:dPt>
          <c:dPt>
            <c:idx val="170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B-C92C-4900-BC28-EE3982AC77C4}"/>
              </c:ext>
            </c:extLst>
          </c:dPt>
          <c:dPt>
            <c:idx val="171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C-C92C-4900-BC28-EE3982AC77C4}"/>
              </c:ext>
            </c:extLst>
          </c:dPt>
          <c:dPt>
            <c:idx val="17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D-C92C-4900-BC28-EE3982AC77C4}"/>
              </c:ext>
            </c:extLst>
          </c:dPt>
          <c:dPt>
            <c:idx val="173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E-C92C-4900-BC28-EE3982AC77C4}"/>
              </c:ext>
            </c:extLst>
          </c:dPt>
          <c:dPt>
            <c:idx val="17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F-C92C-4900-BC28-EE3982AC77C4}"/>
              </c:ext>
            </c:extLst>
          </c:dPt>
          <c:dPt>
            <c:idx val="17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0-C92C-4900-BC28-EE3982AC77C4}"/>
              </c:ext>
            </c:extLst>
          </c:dPt>
          <c:dPt>
            <c:idx val="17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1-C92C-4900-BC28-EE3982AC77C4}"/>
              </c:ext>
            </c:extLst>
          </c:dPt>
          <c:dPt>
            <c:idx val="177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2-C92C-4900-BC28-EE3982AC77C4}"/>
              </c:ext>
            </c:extLst>
          </c:dPt>
          <c:dPt>
            <c:idx val="17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3-C92C-4900-BC28-EE3982AC77C4}"/>
              </c:ext>
            </c:extLst>
          </c:dPt>
          <c:dPt>
            <c:idx val="17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4-C92C-4900-BC28-EE3982AC77C4}"/>
              </c:ext>
            </c:extLst>
          </c:dPt>
          <c:dPt>
            <c:idx val="18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5-C92C-4900-BC28-EE3982AC77C4}"/>
              </c:ext>
            </c:extLst>
          </c:dPt>
          <c:dPt>
            <c:idx val="18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6-C92C-4900-BC28-EE3982AC77C4}"/>
              </c:ext>
            </c:extLst>
          </c:dPt>
          <c:dPt>
            <c:idx val="18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7-C92C-4900-BC28-EE3982AC77C4}"/>
              </c:ext>
            </c:extLst>
          </c:dPt>
          <c:dPt>
            <c:idx val="183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8-C92C-4900-BC28-EE3982AC77C4}"/>
              </c:ext>
            </c:extLst>
          </c:dPt>
          <c:dPt>
            <c:idx val="18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9-C92C-4900-BC28-EE3982AC77C4}"/>
              </c:ext>
            </c:extLst>
          </c:dPt>
          <c:dPt>
            <c:idx val="18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A-C92C-4900-BC28-EE3982AC77C4}"/>
              </c:ext>
            </c:extLst>
          </c:dPt>
          <c:dPt>
            <c:idx val="18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B-C92C-4900-BC28-EE3982AC77C4}"/>
              </c:ext>
            </c:extLst>
          </c:dPt>
          <c:dPt>
            <c:idx val="18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C-C92C-4900-BC28-EE3982AC77C4}"/>
              </c:ext>
            </c:extLst>
          </c:dPt>
          <c:dPt>
            <c:idx val="188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D-C92C-4900-BC28-EE3982AC77C4}"/>
              </c:ext>
            </c:extLst>
          </c:dPt>
          <c:dPt>
            <c:idx val="18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E-C92C-4900-BC28-EE3982AC77C4}"/>
              </c:ext>
            </c:extLst>
          </c:dPt>
          <c:dPt>
            <c:idx val="190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F-C92C-4900-BC28-EE3982AC77C4}"/>
              </c:ext>
            </c:extLst>
          </c:dPt>
          <c:dPt>
            <c:idx val="19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0-C92C-4900-BC28-EE3982AC77C4}"/>
              </c:ext>
            </c:extLst>
          </c:dPt>
          <c:dPt>
            <c:idx val="19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1-C92C-4900-BC28-EE3982AC77C4}"/>
              </c:ext>
            </c:extLst>
          </c:dPt>
          <c:dPt>
            <c:idx val="19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2-C92C-4900-BC28-EE3982AC77C4}"/>
              </c:ext>
            </c:extLst>
          </c:dPt>
          <c:dPt>
            <c:idx val="194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3-C92C-4900-BC28-EE3982AC77C4}"/>
              </c:ext>
            </c:extLst>
          </c:dPt>
          <c:dPt>
            <c:idx val="19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4-C92C-4900-BC28-EE3982AC77C4}"/>
              </c:ext>
            </c:extLst>
          </c:dPt>
          <c:dPt>
            <c:idx val="196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5-C92C-4900-BC28-EE3982AC77C4}"/>
              </c:ext>
            </c:extLst>
          </c:dPt>
          <c:dPt>
            <c:idx val="19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6-C92C-4900-BC28-EE3982AC77C4}"/>
              </c:ext>
            </c:extLst>
          </c:dPt>
          <c:dPt>
            <c:idx val="19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7-C92C-4900-BC28-EE3982AC77C4}"/>
              </c:ext>
            </c:extLst>
          </c:dPt>
          <c:dPt>
            <c:idx val="19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8-C92C-4900-BC28-EE3982AC77C4}"/>
              </c:ext>
            </c:extLst>
          </c:dPt>
          <c:dPt>
            <c:idx val="20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9-C92C-4900-BC28-EE3982AC77C4}"/>
              </c:ext>
            </c:extLst>
          </c:dPt>
          <c:dPt>
            <c:idx val="20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A-C92C-4900-BC28-EE3982AC77C4}"/>
              </c:ext>
            </c:extLst>
          </c:dPt>
          <c:dPt>
            <c:idx val="20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B-C92C-4900-BC28-EE3982AC77C4}"/>
              </c:ext>
            </c:extLst>
          </c:dPt>
          <c:dPt>
            <c:idx val="20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C-C92C-4900-BC28-EE3982AC77C4}"/>
              </c:ext>
            </c:extLst>
          </c:dPt>
          <c:dPt>
            <c:idx val="20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D-C92C-4900-BC28-EE3982AC77C4}"/>
              </c:ext>
            </c:extLst>
          </c:dPt>
          <c:dPt>
            <c:idx val="20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E-C92C-4900-BC28-EE3982AC77C4}"/>
              </c:ext>
            </c:extLst>
          </c:dPt>
          <c:dPt>
            <c:idx val="20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F-C92C-4900-BC28-EE3982AC77C4}"/>
              </c:ext>
            </c:extLst>
          </c:dPt>
          <c:dPt>
            <c:idx val="207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0-C92C-4900-BC28-EE3982AC77C4}"/>
              </c:ext>
            </c:extLst>
          </c:dPt>
          <c:dPt>
            <c:idx val="208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1-C92C-4900-BC28-EE3982AC77C4}"/>
              </c:ext>
            </c:extLst>
          </c:dPt>
          <c:dPt>
            <c:idx val="20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2-C92C-4900-BC28-EE3982AC77C4}"/>
              </c:ext>
            </c:extLst>
          </c:dPt>
          <c:dPt>
            <c:idx val="210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3-C92C-4900-BC28-EE3982AC77C4}"/>
              </c:ext>
            </c:extLst>
          </c:dPt>
          <c:dPt>
            <c:idx val="21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4-C92C-4900-BC28-EE3982AC77C4}"/>
              </c:ext>
            </c:extLst>
          </c:dPt>
          <c:dPt>
            <c:idx val="21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5-C92C-4900-BC28-EE3982AC77C4}"/>
              </c:ext>
            </c:extLst>
          </c:dPt>
          <c:dPt>
            <c:idx val="21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6-C92C-4900-BC28-EE3982AC77C4}"/>
              </c:ext>
            </c:extLst>
          </c:dPt>
          <c:dPt>
            <c:idx val="21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7-C92C-4900-BC28-EE3982AC77C4}"/>
              </c:ext>
            </c:extLst>
          </c:dPt>
          <c:dPt>
            <c:idx val="215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8-C92C-4900-BC28-EE3982AC77C4}"/>
              </c:ext>
            </c:extLst>
          </c:dPt>
          <c:dPt>
            <c:idx val="216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9-C92C-4900-BC28-EE3982AC77C4}"/>
              </c:ext>
            </c:extLst>
          </c:dPt>
          <c:dPt>
            <c:idx val="21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A-C92C-4900-BC28-EE3982AC77C4}"/>
              </c:ext>
            </c:extLst>
          </c:dPt>
          <c:dPt>
            <c:idx val="21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B-C92C-4900-BC28-EE3982AC77C4}"/>
              </c:ext>
            </c:extLst>
          </c:dPt>
          <c:dPt>
            <c:idx val="21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C-C92C-4900-BC28-EE3982AC77C4}"/>
              </c:ext>
            </c:extLst>
          </c:dPt>
          <c:dPt>
            <c:idx val="22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D-C92C-4900-BC28-EE3982AC77C4}"/>
              </c:ext>
            </c:extLst>
          </c:dPt>
          <c:dPt>
            <c:idx val="22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E-C92C-4900-BC28-EE3982AC77C4}"/>
              </c:ext>
            </c:extLst>
          </c:dPt>
          <c:dPt>
            <c:idx val="222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F-C92C-4900-BC28-EE3982AC77C4}"/>
              </c:ext>
            </c:extLst>
          </c:dPt>
          <c:dPt>
            <c:idx val="223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0-C92C-4900-BC28-EE3982AC77C4}"/>
              </c:ext>
            </c:extLst>
          </c:dPt>
          <c:dPt>
            <c:idx val="22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1-C92C-4900-BC28-EE3982AC77C4}"/>
              </c:ext>
            </c:extLst>
          </c:dPt>
          <c:dPt>
            <c:idx val="22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2-C92C-4900-BC28-EE3982AC77C4}"/>
              </c:ext>
            </c:extLst>
          </c:dPt>
          <c:dPt>
            <c:idx val="22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3-C92C-4900-BC28-EE3982AC77C4}"/>
              </c:ext>
            </c:extLst>
          </c:dPt>
          <c:dPt>
            <c:idx val="227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4-C92C-4900-BC28-EE3982AC77C4}"/>
              </c:ext>
            </c:extLst>
          </c:dPt>
          <c:dPt>
            <c:idx val="228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5-C92C-4900-BC28-EE3982AC77C4}"/>
              </c:ext>
            </c:extLst>
          </c:dPt>
          <c:dPt>
            <c:idx val="229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6-C92C-4900-BC28-EE3982AC77C4}"/>
              </c:ext>
            </c:extLst>
          </c:dPt>
          <c:dPt>
            <c:idx val="230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7-C92C-4900-BC28-EE3982AC77C4}"/>
              </c:ext>
            </c:extLst>
          </c:dPt>
          <c:dPt>
            <c:idx val="23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8-C92C-4900-BC28-EE3982AC77C4}"/>
              </c:ext>
            </c:extLst>
          </c:dPt>
          <c:dPt>
            <c:idx val="23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9-C92C-4900-BC28-EE3982AC77C4}"/>
              </c:ext>
            </c:extLst>
          </c:dPt>
          <c:dPt>
            <c:idx val="23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A-C92C-4900-BC28-EE3982AC77C4}"/>
              </c:ext>
            </c:extLst>
          </c:dPt>
          <c:dPt>
            <c:idx val="23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B-C92C-4900-BC28-EE3982AC77C4}"/>
              </c:ext>
            </c:extLst>
          </c:dPt>
          <c:dPt>
            <c:idx val="23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C-C92C-4900-BC28-EE3982AC77C4}"/>
              </c:ext>
            </c:extLst>
          </c:dPt>
          <c:dPt>
            <c:idx val="23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D-C92C-4900-BC28-EE3982AC77C4}"/>
              </c:ext>
            </c:extLst>
          </c:dPt>
          <c:dPt>
            <c:idx val="23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E-C92C-4900-BC28-EE3982AC77C4}"/>
              </c:ext>
            </c:extLst>
          </c:dPt>
          <c:dPt>
            <c:idx val="23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F-C92C-4900-BC28-EE3982AC77C4}"/>
              </c:ext>
            </c:extLst>
          </c:dPt>
          <c:dPt>
            <c:idx val="239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0-C92C-4900-BC28-EE3982AC77C4}"/>
              </c:ext>
            </c:extLst>
          </c:dPt>
          <c:dPt>
            <c:idx val="24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1-C92C-4900-BC28-EE3982AC77C4}"/>
              </c:ext>
            </c:extLst>
          </c:dPt>
          <c:dPt>
            <c:idx val="241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2-C92C-4900-BC28-EE3982AC77C4}"/>
              </c:ext>
            </c:extLst>
          </c:dPt>
          <c:dPt>
            <c:idx val="24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3-C92C-4900-BC28-EE3982AC77C4}"/>
              </c:ext>
            </c:extLst>
          </c:dPt>
          <c:dPt>
            <c:idx val="24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4-C92C-4900-BC28-EE3982AC77C4}"/>
              </c:ext>
            </c:extLst>
          </c:dPt>
          <c:dPt>
            <c:idx val="24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5-C92C-4900-BC28-EE3982AC77C4}"/>
              </c:ext>
            </c:extLst>
          </c:dPt>
          <c:dPt>
            <c:idx val="24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6-C92C-4900-BC28-EE3982AC77C4}"/>
              </c:ext>
            </c:extLst>
          </c:dPt>
          <c:dPt>
            <c:idx val="246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7-C92C-4900-BC28-EE3982AC77C4}"/>
              </c:ext>
            </c:extLst>
          </c:dPt>
          <c:dPt>
            <c:idx val="24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8-C92C-4900-BC28-EE3982AC77C4}"/>
              </c:ext>
            </c:extLst>
          </c:dPt>
          <c:dPt>
            <c:idx val="24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9-C92C-4900-BC28-EE3982AC77C4}"/>
              </c:ext>
            </c:extLst>
          </c:dPt>
          <c:dPt>
            <c:idx val="24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A-C92C-4900-BC28-EE3982AC77C4}"/>
              </c:ext>
            </c:extLst>
          </c:dPt>
          <c:dPt>
            <c:idx val="25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B-C92C-4900-BC28-EE3982AC77C4}"/>
              </c:ext>
            </c:extLst>
          </c:dPt>
          <c:dPt>
            <c:idx val="25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C-C92C-4900-BC28-EE3982AC77C4}"/>
              </c:ext>
            </c:extLst>
          </c:dPt>
          <c:dPt>
            <c:idx val="25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D-C92C-4900-BC28-EE3982AC77C4}"/>
              </c:ext>
            </c:extLst>
          </c:dPt>
          <c:dPt>
            <c:idx val="25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E-C92C-4900-BC28-EE3982AC77C4}"/>
              </c:ext>
            </c:extLst>
          </c:dPt>
          <c:dPt>
            <c:idx val="254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F-C92C-4900-BC28-EE3982AC77C4}"/>
              </c:ext>
            </c:extLst>
          </c:dPt>
          <c:dPt>
            <c:idx val="25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0-C92C-4900-BC28-EE3982AC77C4}"/>
              </c:ext>
            </c:extLst>
          </c:dPt>
          <c:dPt>
            <c:idx val="25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1-C92C-4900-BC28-EE3982AC77C4}"/>
              </c:ext>
            </c:extLst>
          </c:dPt>
          <c:dPt>
            <c:idx val="25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2-C92C-4900-BC28-EE3982AC77C4}"/>
              </c:ext>
            </c:extLst>
          </c:dPt>
          <c:dPt>
            <c:idx val="25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3-C92C-4900-BC28-EE3982AC77C4}"/>
              </c:ext>
            </c:extLst>
          </c:dPt>
          <c:dPt>
            <c:idx val="259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4-C92C-4900-BC28-EE3982AC77C4}"/>
              </c:ext>
            </c:extLst>
          </c:dPt>
          <c:dPt>
            <c:idx val="26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5-C92C-4900-BC28-EE3982AC77C4}"/>
              </c:ext>
            </c:extLst>
          </c:dPt>
          <c:dPt>
            <c:idx val="26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6-C92C-4900-BC28-EE3982AC77C4}"/>
              </c:ext>
            </c:extLst>
          </c:dPt>
          <c:dPt>
            <c:idx val="26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7-C92C-4900-BC28-EE3982AC77C4}"/>
              </c:ext>
            </c:extLst>
          </c:dPt>
          <c:dPt>
            <c:idx val="26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8-C92C-4900-BC28-EE3982AC77C4}"/>
              </c:ext>
            </c:extLst>
          </c:dPt>
          <c:dPt>
            <c:idx val="26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9-C92C-4900-BC28-EE3982AC77C4}"/>
              </c:ext>
            </c:extLst>
          </c:dPt>
          <c:dPt>
            <c:idx val="26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A-C92C-4900-BC28-EE3982AC77C4}"/>
              </c:ext>
            </c:extLst>
          </c:dPt>
          <c:dPt>
            <c:idx val="266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B-C92C-4900-BC28-EE3982AC77C4}"/>
              </c:ext>
            </c:extLst>
          </c:dPt>
          <c:dPt>
            <c:idx val="267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C-C92C-4900-BC28-EE3982AC77C4}"/>
              </c:ext>
            </c:extLst>
          </c:dPt>
          <c:dPt>
            <c:idx val="26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D-C92C-4900-BC28-EE3982AC77C4}"/>
              </c:ext>
            </c:extLst>
          </c:dPt>
          <c:dPt>
            <c:idx val="26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E-C92C-4900-BC28-EE3982AC77C4}"/>
              </c:ext>
            </c:extLst>
          </c:dPt>
          <c:dPt>
            <c:idx val="27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F-C92C-4900-BC28-EE3982AC77C4}"/>
              </c:ext>
            </c:extLst>
          </c:dPt>
          <c:dPt>
            <c:idx val="271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0-C92C-4900-BC28-EE3982AC77C4}"/>
              </c:ext>
            </c:extLst>
          </c:dPt>
          <c:dPt>
            <c:idx val="27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1-C92C-4900-BC28-EE3982AC77C4}"/>
              </c:ext>
            </c:extLst>
          </c:dPt>
          <c:dPt>
            <c:idx val="27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2-C92C-4900-BC28-EE3982AC77C4}"/>
              </c:ext>
            </c:extLst>
          </c:dPt>
          <c:dPt>
            <c:idx val="27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3-C92C-4900-BC28-EE3982AC77C4}"/>
              </c:ext>
            </c:extLst>
          </c:dPt>
          <c:dPt>
            <c:idx val="27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4-C92C-4900-BC28-EE3982AC77C4}"/>
              </c:ext>
            </c:extLst>
          </c:dPt>
          <c:dPt>
            <c:idx val="27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5-C92C-4900-BC28-EE3982AC77C4}"/>
              </c:ext>
            </c:extLst>
          </c:dPt>
          <c:dPt>
            <c:idx val="27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6-C92C-4900-BC28-EE3982AC77C4}"/>
              </c:ext>
            </c:extLst>
          </c:dPt>
          <c:dPt>
            <c:idx val="278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7-C92C-4900-BC28-EE3982AC77C4}"/>
              </c:ext>
            </c:extLst>
          </c:dPt>
          <c:dPt>
            <c:idx val="27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8-C92C-4900-BC28-EE3982AC77C4}"/>
              </c:ext>
            </c:extLst>
          </c:dPt>
          <c:dPt>
            <c:idx val="28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9-C92C-4900-BC28-EE3982AC77C4}"/>
              </c:ext>
            </c:extLst>
          </c:dPt>
          <c:dPt>
            <c:idx val="28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A-C92C-4900-BC28-EE3982AC77C4}"/>
              </c:ext>
            </c:extLst>
          </c:dPt>
          <c:dPt>
            <c:idx val="282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B-C92C-4900-BC28-EE3982AC77C4}"/>
              </c:ext>
            </c:extLst>
          </c:dPt>
          <c:dPt>
            <c:idx val="28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C-C92C-4900-BC28-EE3982AC77C4}"/>
              </c:ext>
            </c:extLst>
          </c:dPt>
          <c:dPt>
            <c:idx val="28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D-C92C-4900-BC28-EE3982AC77C4}"/>
              </c:ext>
            </c:extLst>
          </c:dPt>
          <c:dPt>
            <c:idx val="28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E-C92C-4900-BC28-EE3982AC77C4}"/>
              </c:ext>
            </c:extLst>
          </c:dPt>
          <c:dPt>
            <c:idx val="286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F-C92C-4900-BC28-EE3982AC77C4}"/>
              </c:ext>
            </c:extLst>
          </c:dPt>
          <c:dPt>
            <c:idx val="28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0-C92C-4900-BC28-EE3982AC77C4}"/>
              </c:ext>
            </c:extLst>
          </c:dPt>
          <c:dPt>
            <c:idx val="28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1-C92C-4900-BC28-EE3982AC77C4}"/>
              </c:ext>
            </c:extLst>
          </c:dPt>
          <c:dPt>
            <c:idx val="289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2-C92C-4900-BC28-EE3982AC77C4}"/>
              </c:ext>
            </c:extLst>
          </c:dPt>
          <c:dPt>
            <c:idx val="29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3-C92C-4900-BC28-EE3982AC77C4}"/>
              </c:ext>
            </c:extLst>
          </c:dPt>
          <c:dPt>
            <c:idx val="29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4-C92C-4900-BC28-EE3982AC77C4}"/>
              </c:ext>
            </c:extLst>
          </c:dPt>
          <c:dPt>
            <c:idx val="292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5-C92C-4900-BC28-EE3982AC77C4}"/>
              </c:ext>
            </c:extLst>
          </c:dPt>
          <c:dPt>
            <c:idx val="29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6-C92C-4900-BC28-EE3982AC77C4}"/>
              </c:ext>
            </c:extLst>
          </c:dPt>
          <c:dPt>
            <c:idx val="29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7-C92C-4900-BC28-EE3982AC77C4}"/>
              </c:ext>
            </c:extLst>
          </c:dPt>
          <c:dPt>
            <c:idx val="29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8-C92C-4900-BC28-EE3982AC77C4}"/>
              </c:ext>
            </c:extLst>
          </c:dPt>
          <c:dPt>
            <c:idx val="29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9-C92C-4900-BC28-EE3982AC77C4}"/>
              </c:ext>
            </c:extLst>
          </c:dPt>
          <c:dPt>
            <c:idx val="29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A-C92C-4900-BC28-EE3982AC77C4}"/>
              </c:ext>
            </c:extLst>
          </c:dPt>
          <c:dPt>
            <c:idx val="298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B-C92C-4900-BC28-EE3982AC77C4}"/>
              </c:ext>
            </c:extLst>
          </c:dPt>
          <c:dPt>
            <c:idx val="299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C-C92C-4900-BC28-EE3982AC77C4}"/>
              </c:ext>
            </c:extLst>
          </c:dPt>
          <c:dPt>
            <c:idx val="30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D-C92C-4900-BC28-EE3982AC77C4}"/>
              </c:ext>
            </c:extLst>
          </c:dPt>
          <c:dPt>
            <c:idx val="30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E-C92C-4900-BC28-EE3982AC77C4}"/>
              </c:ext>
            </c:extLst>
          </c:dPt>
          <c:dPt>
            <c:idx val="302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F-C92C-4900-BC28-EE3982AC77C4}"/>
              </c:ext>
            </c:extLst>
          </c:dPt>
          <c:cat>
            <c:strRef>
              <c:f>regression!$F$463:$F$765</c:f>
              <c:strCache>
                <c:ptCount val="303"/>
                <c:pt idx="0">
                  <c:v>Obs1</c:v>
                </c:pt>
                <c:pt idx="1">
                  <c:v>Obs2</c:v>
                </c:pt>
                <c:pt idx="2">
                  <c:v>Obs3</c:v>
                </c:pt>
                <c:pt idx="3">
                  <c:v>Obs4</c:v>
                </c:pt>
                <c:pt idx="4">
                  <c:v>Obs5</c:v>
                </c:pt>
                <c:pt idx="5">
                  <c:v>Obs6</c:v>
                </c:pt>
                <c:pt idx="6">
                  <c:v>Obs7</c:v>
                </c:pt>
                <c:pt idx="7">
                  <c:v>Obs8</c:v>
                </c:pt>
                <c:pt idx="8">
                  <c:v>Obs9</c:v>
                </c:pt>
                <c:pt idx="9">
                  <c:v>Obs10</c:v>
                </c:pt>
                <c:pt idx="10">
                  <c:v>Obs11</c:v>
                </c:pt>
                <c:pt idx="11">
                  <c:v>Obs12</c:v>
                </c:pt>
                <c:pt idx="12">
                  <c:v>Obs13</c:v>
                </c:pt>
                <c:pt idx="13">
                  <c:v>Obs14</c:v>
                </c:pt>
                <c:pt idx="14">
                  <c:v>Obs15</c:v>
                </c:pt>
                <c:pt idx="15">
                  <c:v>Obs16</c:v>
                </c:pt>
                <c:pt idx="16">
                  <c:v>Obs17</c:v>
                </c:pt>
                <c:pt idx="17">
                  <c:v>Obs18</c:v>
                </c:pt>
                <c:pt idx="18">
                  <c:v>Obs19</c:v>
                </c:pt>
                <c:pt idx="19">
                  <c:v>Obs20</c:v>
                </c:pt>
                <c:pt idx="20">
                  <c:v>Obs21</c:v>
                </c:pt>
                <c:pt idx="21">
                  <c:v>Obs22</c:v>
                </c:pt>
                <c:pt idx="22">
                  <c:v>Obs23</c:v>
                </c:pt>
                <c:pt idx="23">
                  <c:v>Obs24</c:v>
                </c:pt>
                <c:pt idx="24">
                  <c:v>Obs25</c:v>
                </c:pt>
                <c:pt idx="25">
                  <c:v>Obs26</c:v>
                </c:pt>
                <c:pt idx="26">
                  <c:v>Obs27</c:v>
                </c:pt>
                <c:pt idx="27">
                  <c:v>Obs28</c:v>
                </c:pt>
                <c:pt idx="28">
                  <c:v>Obs29</c:v>
                </c:pt>
                <c:pt idx="29">
                  <c:v>Obs30</c:v>
                </c:pt>
                <c:pt idx="30">
                  <c:v>Obs31</c:v>
                </c:pt>
                <c:pt idx="31">
                  <c:v>Obs32</c:v>
                </c:pt>
                <c:pt idx="32">
                  <c:v>Obs33</c:v>
                </c:pt>
                <c:pt idx="33">
                  <c:v>Obs34</c:v>
                </c:pt>
                <c:pt idx="34">
                  <c:v>Obs35</c:v>
                </c:pt>
                <c:pt idx="35">
                  <c:v>Obs36</c:v>
                </c:pt>
                <c:pt idx="36">
                  <c:v>Obs37</c:v>
                </c:pt>
                <c:pt idx="37">
                  <c:v>Obs38</c:v>
                </c:pt>
                <c:pt idx="38">
                  <c:v>Obs39</c:v>
                </c:pt>
                <c:pt idx="39">
                  <c:v>Obs40</c:v>
                </c:pt>
                <c:pt idx="40">
                  <c:v>Obs41</c:v>
                </c:pt>
                <c:pt idx="41">
                  <c:v>Obs42</c:v>
                </c:pt>
                <c:pt idx="42">
                  <c:v>Obs43</c:v>
                </c:pt>
                <c:pt idx="43">
                  <c:v>Obs44</c:v>
                </c:pt>
                <c:pt idx="44">
                  <c:v>Obs45</c:v>
                </c:pt>
                <c:pt idx="45">
                  <c:v>Obs46</c:v>
                </c:pt>
                <c:pt idx="46">
                  <c:v>Obs47</c:v>
                </c:pt>
                <c:pt idx="47">
                  <c:v>Obs48</c:v>
                </c:pt>
                <c:pt idx="48">
                  <c:v>Obs49</c:v>
                </c:pt>
                <c:pt idx="49">
                  <c:v>Obs50</c:v>
                </c:pt>
                <c:pt idx="50">
                  <c:v>Obs51</c:v>
                </c:pt>
                <c:pt idx="51">
                  <c:v>Obs52</c:v>
                </c:pt>
                <c:pt idx="52">
                  <c:v>Obs53</c:v>
                </c:pt>
                <c:pt idx="53">
                  <c:v>Obs54</c:v>
                </c:pt>
                <c:pt idx="54">
                  <c:v>Obs55</c:v>
                </c:pt>
                <c:pt idx="55">
                  <c:v>Obs56</c:v>
                </c:pt>
                <c:pt idx="56">
                  <c:v>Obs57</c:v>
                </c:pt>
                <c:pt idx="57">
                  <c:v>Obs58</c:v>
                </c:pt>
                <c:pt idx="58">
                  <c:v>Obs59</c:v>
                </c:pt>
                <c:pt idx="59">
                  <c:v>Obs60</c:v>
                </c:pt>
                <c:pt idx="60">
                  <c:v>Obs61</c:v>
                </c:pt>
                <c:pt idx="61">
                  <c:v>Obs62</c:v>
                </c:pt>
                <c:pt idx="62">
                  <c:v>Obs63</c:v>
                </c:pt>
                <c:pt idx="63">
                  <c:v>Obs64</c:v>
                </c:pt>
                <c:pt idx="64">
                  <c:v>Obs65</c:v>
                </c:pt>
                <c:pt idx="65">
                  <c:v>Obs66</c:v>
                </c:pt>
                <c:pt idx="66">
                  <c:v>Obs67</c:v>
                </c:pt>
                <c:pt idx="67">
                  <c:v>Obs68</c:v>
                </c:pt>
                <c:pt idx="68">
                  <c:v>Obs69</c:v>
                </c:pt>
                <c:pt idx="69">
                  <c:v>Obs70</c:v>
                </c:pt>
                <c:pt idx="70">
                  <c:v>Obs71</c:v>
                </c:pt>
                <c:pt idx="71">
                  <c:v>Obs72</c:v>
                </c:pt>
                <c:pt idx="72">
                  <c:v>Obs73</c:v>
                </c:pt>
                <c:pt idx="73">
                  <c:v>Obs74</c:v>
                </c:pt>
                <c:pt idx="74">
                  <c:v>Obs75</c:v>
                </c:pt>
                <c:pt idx="75">
                  <c:v>Obs76</c:v>
                </c:pt>
                <c:pt idx="76">
                  <c:v>Obs77</c:v>
                </c:pt>
                <c:pt idx="77">
                  <c:v>Obs78</c:v>
                </c:pt>
                <c:pt idx="78">
                  <c:v>Obs79</c:v>
                </c:pt>
                <c:pt idx="79">
                  <c:v>Obs80</c:v>
                </c:pt>
                <c:pt idx="80">
                  <c:v>Obs81</c:v>
                </c:pt>
                <c:pt idx="81">
                  <c:v>Obs82</c:v>
                </c:pt>
                <c:pt idx="82">
                  <c:v>Obs83</c:v>
                </c:pt>
                <c:pt idx="83">
                  <c:v>Obs84</c:v>
                </c:pt>
                <c:pt idx="84">
                  <c:v>Obs85</c:v>
                </c:pt>
                <c:pt idx="85">
                  <c:v>Obs86</c:v>
                </c:pt>
                <c:pt idx="86">
                  <c:v>Obs87</c:v>
                </c:pt>
                <c:pt idx="87">
                  <c:v>Obs88</c:v>
                </c:pt>
                <c:pt idx="88">
                  <c:v>Obs89</c:v>
                </c:pt>
                <c:pt idx="89">
                  <c:v>Obs90</c:v>
                </c:pt>
                <c:pt idx="90">
                  <c:v>Obs91</c:v>
                </c:pt>
                <c:pt idx="91">
                  <c:v>Obs92</c:v>
                </c:pt>
                <c:pt idx="92">
                  <c:v>Obs93</c:v>
                </c:pt>
                <c:pt idx="93">
                  <c:v>Obs94</c:v>
                </c:pt>
                <c:pt idx="94">
                  <c:v>Obs95</c:v>
                </c:pt>
                <c:pt idx="95">
                  <c:v>Obs96</c:v>
                </c:pt>
                <c:pt idx="96">
                  <c:v>Obs97</c:v>
                </c:pt>
                <c:pt idx="97">
                  <c:v>Obs98</c:v>
                </c:pt>
                <c:pt idx="98">
                  <c:v>Obs99</c:v>
                </c:pt>
                <c:pt idx="99">
                  <c:v>Obs100</c:v>
                </c:pt>
                <c:pt idx="100">
                  <c:v>Obs101</c:v>
                </c:pt>
                <c:pt idx="101">
                  <c:v>Obs102</c:v>
                </c:pt>
                <c:pt idx="102">
                  <c:v>Obs103</c:v>
                </c:pt>
                <c:pt idx="103">
                  <c:v>Obs104</c:v>
                </c:pt>
                <c:pt idx="104">
                  <c:v>Obs105</c:v>
                </c:pt>
                <c:pt idx="105">
                  <c:v>Obs106</c:v>
                </c:pt>
                <c:pt idx="106">
                  <c:v>Obs107</c:v>
                </c:pt>
                <c:pt idx="107">
                  <c:v>Obs108</c:v>
                </c:pt>
                <c:pt idx="108">
                  <c:v>Obs109</c:v>
                </c:pt>
                <c:pt idx="109">
                  <c:v>Obs110</c:v>
                </c:pt>
                <c:pt idx="110">
                  <c:v>Obs111</c:v>
                </c:pt>
                <c:pt idx="111">
                  <c:v>Obs112</c:v>
                </c:pt>
                <c:pt idx="112">
                  <c:v>Obs113</c:v>
                </c:pt>
                <c:pt idx="113">
                  <c:v>Obs114</c:v>
                </c:pt>
                <c:pt idx="114">
                  <c:v>Obs115</c:v>
                </c:pt>
                <c:pt idx="115">
                  <c:v>Obs116</c:v>
                </c:pt>
                <c:pt idx="116">
                  <c:v>Obs117</c:v>
                </c:pt>
                <c:pt idx="117">
                  <c:v>Obs118</c:v>
                </c:pt>
                <c:pt idx="118">
                  <c:v>Obs119</c:v>
                </c:pt>
                <c:pt idx="119">
                  <c:v>Obs120</c:v>
                </c:pt>
                <c:pt idx="120">
                  <c:v>Obs121</c:v>
                </c:pt>
                <c:pt idx="121">
                  <c:v>Obs122</c:v>
                </c:pt>
                <c:pt idx="122">
                  <c:v>Obs123</c:v>
                </c:pt>
                <c:pt idx="123">
                  <c:v>Obs124</c:v>
                </c:pt>
                <c:pt idx="124">
                  <c:v>Obs125</c:v>
                </c:pt>
                <c:pt idx="125">
                  <c:v>Obs126</c:v>
                </c:pt>
                <c:pt idx="126">
                  <c:v>Obs127</c:v>
                </c:pt>
                <c:pt idx="127">
                  <c:v>Obs128</c:v>
                </c:pt>
                <c:pt idx="128">
                  <c:v>Obs129</c:v>
                </c:pt>
                <c:pt idx="129">
                  <c:v>Obs130</c:v>
                </c:pt>
                <c:pt idx="130">
                  <c:v>Obs131</c:v>
                </c:pt>
                <c:pt idx="131">
                  <c:v>Obs132</c:v>
                </c:pt>
                <c:pt idx="132">
                  <c:v>Obs133</c:v>
                </c:pt>
                <c:pt idx="133">
                  <c:v>Obs134</c:v>
                </c:pt>
                <c:pt idx="134">
                  <c:v>Obs135</c:v>
                </c:pt>
                <c:pt idx="135">
                  <c:v>Obs136</c:v>
                </c:pt>
                <c:pt idx="136">
                  <c:v>Obs137</c:v>
                </c:pt>
                <c:pt idx="137">
                  <c:v>Obs138</c:v>
                </c:pt>
                <c:pt idx="138">
                  <c:v>Obs139</c:v>
                </c:pt>
                <c:pt idx="139">
                  <c:v>Obs140</c:v>
                </c:pt>
                <c:pt idx="140">
                  <c:v>Obs141</c:v>
                </c:pt>
                <c:pt idx="141">
                  <c:v>Obs142</c:v>
                </c:pt>
                <c:pt idx="142">
                  <c:v>Obs143</c:v>
                </c:pt>
                <c:pt idx="143">
                  <c:v>Obs144</c:v>
                </c:pt>
                <c:pt idx="144">
                  <c:v>Obs145</c:v>
                </c:pt>
                <c:pt idx="145">
                  <c:v>Obs146</c:v>
                </c:pt>
                <c:pt idx="146">
                  <c:v>Obs147</c:v>
                </c:pt>
                <c:pt idx="147">
                  <c:v>Obs148</c:v>
                </c:pt>
                <c:pt idx="148">
                  <c:v>Obs149</c:v>
                </c:pt>
                <c:pt idx="149">
                  <c:v>Obs150</c:v>
                </c:pt>
                <c:pt idx="150">
                  <c:v>Obs151</c:v>
                </c:pt>
                <c:pt idx="151">
                  <c:v>Obs152</c:v>
                </c:pt>
                <c:pt idx="152">
                  <c:v>Obs153</c:v>
                </c:pt>
                <c:pt idx="153">
                  <c:v>Obs154</c:v>
                </c:pt>
                <c:pt idx="154">
                  <c:v>Obs155</c:v>
                </c:pt>
                <c:pt idx="155">
                  <c:v>Obs156</c:v>
                </c:pt>
                <c:pt idx="156">
                  <c:v>Obs157</c:v>
                </c:pt>
                <c:pt idx="157">
                  <c:v>Obs158</c:v>
                </c:pt>
                <c:pt idx="158">
                  <c:v>Obs159</c:v>
                </c:pt>
                <c:pt idx="159">
                  <c:v>Obs160</c:v>
                </c:pt>
                <c:pt idx="160">
                  <c:v>Obs161</c:v>
                </c:pt>
                <c:pt idx="161">
                  <c:v>Obs162</c:v>
                </c:pt>
                <c:pt idx="162">
                  <c:v>Obs163</c:v>
                </c:pt>
                <c:pt idx="163">
                  <c:v>Obs164</c:v>
                </c:pt>
                <c:pt idx="164">
                  <c:v>Obs165</c:v>
                </c:pt>
                <c:pt idx="165">
                  <c:v>Obs166</c:v>
                </c:pt>
                <c:pt idx="166">
                  <c:v>Obs167</c:v>
                </c:pt>
                <c:pt idx="167">
                  <c:v>Obs168</c:v>
                </c:pt>
                <c:pt idx="168">
                  <c:v>Obs169</c:v>
                </c:pt>
                <c:pt idx="169">
                  <c:v>Obs170</c:v>
                </c:pt>
                <c:pt idx="170">
                  <c:v>Obs171</c:v>
                </c:pt>
                <c:pt idx="171">
                  <c:v>Obs172</c:v>
                </c:pt>
                <c:pt idx="172">
                  <c:v>Obs173</c:v>
                </c:pt>
                <c:pt idx="173">
                  <c:v>Obs174</c:v>
                </c:pt>
                <c:pt idx="174">
                  <c:v>Obs175</c:v>
                </c:pt>
                <c:pt idx="175">
                  <c:v>Obs176</c:v>
                </c:pt>
                <c:pt idx="176">
                  <c:v>Obs177</c:v>
                </c:pt>
                <c:pt idx="177">
                  <c:v>Obs178</c:v>
                </c:pt>
                <c:pt idx="178">
                  <c:v>Obs179</c:v>
                </c:pt>
                <c:pt idx="179">
                  <c:v>Obs180</c:v>
                </c:pt>
                <c:pt idx="180">
                  <c:v>Obs181</c:v>
                </c:pt>
                <c:pt idx="181">
                  <c:v>Obs182</c:v>
                </c:pt>
                <c:pt idx="182">
                  <c:v>Obs183</c:v>
                </c:pt>
                <c:pt idx="183">
                  <c:v>Obs184</c:v>
                </c:pt>
                <c:pt idx="184">
                  <c:v>Obs185</c:v>
                </c:pt>
                <c:pt idx="185">
                  <c:v>Obs186</c:v>
                </c:pt>
                <c:pt idx="186">
                  <c:v>Obs187</c:v>
                </c:pt>
                <c:pt idx="187">
                  <c:v>Obs188</c:v>
                </c:pt>
                <c:pt idx="188">
                  <c:v>Obs189</c:v>
                </c:pt>
                <c:pt idx="189">
                  <c:v>Obs190</c:v>
                </c:pt>
                <c:pt idx="190">
                  <c:v>Obs191</c:v>
                </c:pt>
                <c:pt idx="191">
                  <c:v>Obs192</c:v>
                </c:pt>
                <c:pt idx="192">
                  <c:v>Obs193</c:v>
                </c:pt>
                <c:pt idx="193">
                  <c:v>Obs194</c:v>
                </c:pt>
                <c:pt idx="194">
                  <c:v>Obs195</c:v>
                </c:pt>
                <c:pt idx="195">
                  <c:v>Obs196</c:v>
                </c:pt>
                <c:pt idx="196">
                  <c:v>Obs197</c:v>
                </c:pt>
                <c:pt idx="197">
                  <c:v>Obs198</c:v>
                </c:pt>
                <c:pt idx="198">
                  <c:v>Obs199</c:v>
                </c:pt>
                <c:pt idx="199">
                  <c:v>Obs200</c:v>
                </c:pt>
                <c:pt idx="200">
                  <c:v>Obs201</c:v>
                </c:pt>
                <c:pt idx="201">
                  <c:v>Obs202</c:v>
                </c:pt>
                <c:pt idx="202">
                  <c:v>Obs203</c:v>
                </c:pt>
                <c:pt idx="203">
                  <c:v>Obs204</c:v>
                </c:pt>
                <c:pt idx="204">
                  <c:v>Obs205</c:v>
                </c:pt>
                <c:pt idx="205">
                  <c:v>Obs206</c:v>
                </c:pt>
                <c:pt idx="206">
                  <c:v>Obs207</c:v>
                </c:pt>
                <c:pt idx="207">
                  <c:v>Obs208</c:v>
                </c:pt>
                <c:pt idx="208">
                  <c:v>Obs209</c:v>
                </c:pt>
                <c:pt idx="209">
                  <c:v>Obs210</c:v>
                </c:pt>
                <c:pt idx="210">
                  <c:v>Obs211</c:v>
                </c:pt>
                <c:pt idx="211">
                  <c:v>Obs212</c:v>
                </c:pt>
                <c:pt idx="212">
                  <c:v>Obs213</c:v>
                </c:pt>
                <c:pt idx="213">
                  <c:v>Obs214</c:v>
                </c:pt>
                <c:pt idx="214">
                  <c:v>Obs215</c:v>
                </c:pt>
                <c:pt idx="215">
                  <c:v>Obs216</c:v>
                </c:pt>
                <c:pt idx="216">
                  <c:v>Obs217</c:v>
                </c:pt>
                <c:pt idx="217">
                  <c:v>Obs218</c:v>
                </c:pt>
                <c:pt idx="218">
                  <c:v>Obs219</c:v>
                </c:pt>
                <c:pt idx="219">
                  <c:v>Obs220</c:v>
                </c:pt>
                <c:pt idx="220">
                  <c:v>Obs221</c:v>
                </c:pt>
                <c:pt idx="221">
                  <c:v>Obs222</c:v>
                </c:pt>
                <c:pt idx="222">
                  <c:v>Obs223</c:v>
                </c:pt>
                <c:pt idx="223">
                  <c:v>Obs224</c:v>
                </c:pt>
                <c:pt idx="224">
                  <c:v>Obs225</c:v>
                </c:pt>
                <c:pt idx="225">
                  <c:v>Obs226</c:v>
                </c:pt>
                <c:pt idx="226">
                  <c:v>Obs227</c:v>
                </c:pt>
                <c:pt idx="227">
                  <c:v>Obs228</c:v>
                </c:pt>
                <c:pt idx="228">
                  <c:v>Obs229</c:v>
                </c:pt>
                <c:pt idx="229">
                  <c:v>Obs230</c:v>
                </c:pt>
                <c:pt idx="230">
                  <c:v>Obs231</c:v>
                </c:pt>
                <c:pt idx="231">
                  <c:v>Obs232</c:v>
                </c:pt>
                <c:pt idx="232">
                  <c:v>Obs233</c:v>
                </c:pt>
                <c:pt idx="233">
                  <c:v>Obs234</c:v>
                </c:pt>
                <c:pt idx="234">
                  <c:v>Obs235</c:v>
                </c:pt>
                <c:pt idx="235">
                  <c:v>Obs236</c:v>
                </c:pt>
                <c:pt idx="236">
                  <c:v>Obs237</c:v>
                </c:pt>
                <c:pt idx="237">
                  <c:v>Obs238</c:v>
                </c:pt>
                <c:pt idx="238">
                  <c:v>Obs239</c:v>
                </c:pt>
                <c:pt idx="239">
                  <c:v>Obs240</c:v>
                </c:pt>
                <c:pt idx="240">
                  <c:v>Obs241</c:v>
                </c:pt>
                <c:pt idx="241">
                  <c:v>Obs242</c:v>
                </c:pt>
                <c:pt idx="242">
                  <c:v>Obs243</c:v>
                </c:pt>
                <c:pt idx="243">
                  <c:v>Obs244</c:v>
                </c:pt>
                <c:pt idx="244">
                  <c:v>Obs245</c:v>
                </c:pt>
                <c:pt idx="245">
                  <c:v>Obs246</c:v>
                </c:pt>
                <c:pt idx="246">
                  <c:v>Obs247</c:v>
                </c:pt>
                <c:pt idx="247">
                  <c:v>Obs248</c:v>
                </c:pt>
                <c:pt idx="248">
                  <c:v>Obs249</c:v>
                </c:pt>
                <c:pt idx="249">
                  <c:v>Obs250</c:v>
                </c:pt>
                <c:pt idx="250">
                  <c:v>Obs251</c:v>
                </c:pt>
                <c:pt idx="251">
                  <c:v>Obs252</c:v>
                </c:pt>
                <c:pt idx="252">
                  <c:v>Obs253</c:v>
                </c:pt>
                <c:pt idx="253">
                  <c:v>Obs254</c:v>
                </c:pt>
                <c:pt idx="254">
                  <c:v>Obs255</c:v>
                </c:pt>
                <c:pt idx="255">
                  <c:v>Obs256</c:v>
                </c:pt>
                <c:pt idx="256">
                  <c:v>Obs257</c:v>
                </c:pt>
                <c:pt idx="257">
                  <c:v>Obs258</c:v>
                </c:pt>
                <c:pt idx="258">
                  <c:v>Obs259</c:v>
                </c:pt>
                <c:pt idx="259">
                  <c:v>Obs260</c:v>
                </c:pt>
                <c:pt idx="260">
                  <c:v>Obs261</c:v>
                </c:pt>
                <c:pt idx="261">
                  <c:v>Obs262</c:v>
                </c:pt>
                <c:pt idx="262">
                  <c:v>Obs263</c:v>
                </c:pt>
                <c:pt idx="263">
                  <c:v>Obs264</c:v>
                </c:pt>
                <c:pt idx="264">
                  <c:v>Obs265</c:v>
                </c:pt>
                <c:pt idx="265">
                  <c:v>Obs266</c:v>
                </c:pt>
                <c:pt idx="266">
                  <c:v>Obs267</c:v>
                </c:pt>
                <c:pt idx="267">
                  <c:v>Obs268</c:v>
                </c:pt>
                <c:pt idx="268">
                  <c:v>Obs269</c:v>
                </c:pt>
                <c:pt idx="269">
                  <c:v>Obs270</c:v>
                </c:pt>
                <c:pt idx="270">
                  <c:v>Obs271</c:v>
                </c:pt>
                <c:pt idx="271">
                  <c:v>Obs272</c:v>
                </c:pt>
                <c:pt idx="272">
                  <c:v>Obs273</c:v>
                </c:pt>
                <c:pt idx="273">
                  <c:v>Obs274</c:v>
                </c:pt>
                <c:pt idx="274">
                  <c:v>Obs275</c:v>
                </c:pt>
                <c:pt idx="275">
                  <c:v>Obs276</c:v>
                </c:pt>
                <c:pt idx="276">
                  <c:v>Obs277</c:v>
                </c:pt>
                <c:pt idx="277">
                  <c:v>Obs278</c:v>
                </c:pt>
                <c:pt idx="278">
                  <c:v>Obs279</c:v>
                </c:pt>
                <c:pt idx="279">
                  <c:v>Obs280</c:v>
                </c:pt>
                <c:pt idx="280">
                  <c:v>Obs281</c:v>
                </c:pt>
                <c:pt idx="281">
                  <c:v>Obs282</c:v>
                </c:pt>
                <c:pt idx="282">
                  <c:v>Obs283</c:v>
                </c:pt>
                <c:pt idx="283">
                  <c:v>Obs284</c:v>
                </c:pt>
                <c:pt idx="284">
                  <c:v>Obs285</c:v>
                </c:pt>
                <c:pt idx="285">
                  <c:v>Obs286</c:v>
                </c:pt>
                <c:pt idx="286">
                  <c:v>Obs287</c:v>
                </c:pt>
                <c:pt idx="287">
                  <c:v>Obs288</c:v>
                </c:pt>
                <c:pt idx="288">
                  <c:v>Obs289</c:v>
                </c:pt>
                <c:pt idx="289">
                  <c:v>Obs290</c:v>
                </c:pt>
                <c:pt idx="290">
                  <c:v>Obs291</c:v>
                </c:pt>
                <c:pt idx="291">
                  <c:v>Obs292</c:v>
                </c:pt>
                <c:pt idx="292">
                  <c:v>Obs293</c:v>
                </c:pt>
                <c:pt idx="293">
                  <c:v>Obs294</c:v>
                </c:pt>
                <c:pt idx="294">
                  <c:v>Obs295</c:v>
                </c:pt>
                <c:pt idx="295">
                  <c:v>Obs296</c:v>
                </c:pt>
                <c:pt idx="296">
                  <c:v>Obs297</c:v>
                </c:pt>
                <c:pt idx="297">
                  <c:v>Obs298</c:v>
                </c:pt>
                <c:pt idx="298">
                  <c:v>Obs299</c:v>
                </c:pt>
                <c:pt idx="299">
                  <c:v>Obs300</c:v>
                </c:pt>
                <c:pt idx="300">
                  <c:v>Obs301</c:v>
                </c:pt>
                <c:pt idx="301">
                  <c:v>Obs302</c:v>
                </c:pt>
                <c:pt idx="302">
                  <c:v>Obs303</c:v>
                </c:pt>
              </c:strCache>
            </c:strRef>
          </c:cat>
          <c:val>
            <c:numRef>
              <c:f>regression!$J$463:$J$765</c:f>
              <c:numCache>
                <c:formatCode>0.000</c:formatCode>
                <c:ptCount val="303"/>
                <c:pt idx="0">
                  <c:v>0.77018766474696465</c:v>
                </c:pt>
                <c:pt idx="1">
                  <c:v>0.88874793514054573</c:v>
                </c:pt>
                <c:pt idx="2">
                  <c:v>0.92213708895469237</c:v>
                </c:pt>
                <c:pt idx="3">
                  <c:v>0.41777901725366751</c:v>
                </c:pt>
                <c:pt idx="4">
                  <c:v>0.56964477439121586</c:v>
                </c:pt>
                <c:pt idx="5">
                  <c:v>0.19303832797553774</c:v>
                </c:pt>
                <c:pt idx="6">
                  <c:v>0.79881298485951879</c:v>
                </c:pt>
                <c:pt idx="7">
                  <c:v>0.63236689773677257</c:v>
                </c:pt>
                <c:pt idx="8">
                  <c:v>0.72813145934227685</c:v>
                </c:pt>
                <c:pt idx="9">
                  <c:v>0.65041841297115799</c:v>
                </c:pt>
                <c:pt idx="10">
                  <c:v>0.22937971682504882</c:v>
                </c:pt>
                <c:pt idx="11">
                  <c:v>0.95200071287120269</c:v>
                </c:pt>
                <c:pt idx="12">
                  <c:v>0.5444077420232547</c:v>
                </c:pt>
                <c:pt idx="13">
                  <c:v>0.75703909466632502</c:v>
                </c:pt>
                <c:pt idx="14">
                  <c:v>0.963891297966464</c:v>
                </c:pt>
                <c:pt idx="15">
                  <c:v>0.94488628528250485</c:v>
                </c:pt>
                <c:pt idx="16">
                  <c:v>0.90540789023175972</c:v>
                </c:pt>
                <c:pt idx="17">
                  <c:v>0.93712040835218813</c:v>
                </c:pt>
                <c:pt idx="18">
                  <c:v>0.39881812689246637</c:v>
                </c:pt>
                <c:pt idx="19">
                  <c:v>0.92294283017617362</c:v>
                </c:pt>
                <c:pt idx="20">
                  <c:v>0.17134837863629696</c:v>
                </c:pt>
                <c:pt idx="21">
                  <c:v>0.8275008003464801</c:v>
                </c:pt>
                <c:pt idx="22">
                  <c:v>0.41640833005757572</c:v>
                </c:pt>
                <c:pt idx="23">
                  <c:v>0.58162594592680061</c:v>
                </c:pt>
                <c:pt idx="24">
                  <c:v>0.94710383476390703</c:v>
                </c:pt>
                <c:pt idx="25">
                  <c:v>0.57102632200298398</c:v>
                </c:pt>
                <c:pt idx="26">
                  <c:v>0.61660557470942989</c:v>
                </c:pt>
                <c:pt idx="27">
                  <c:v>0.74231194066188955</c:v>
                </c:pt>
                <c:pt idx="28">
                  <c:v>0.85180312306253048</c:v>
                </c:pt>
                <c:pt idx="29">
                  <c:v>0.71347184062487201</c:v>
                </c:pt>
                <c:pt idx="30">
                  <c:v>0.92213708895469237</c:v>
                </c:pt>
                <c:pt idx="31">
                  <c:v>0.11781960034674145</c:v>
                </c:pt>
                <c:pt idx="32">
                  <c:v>0.63236689773677257</c:v>
                </c:pt>
                <c:pt idx="33">
                  <c:v>0.69834922726347282</c:v>
                </c:pt>
                <c:pt idx="34">
                  <c:v>0.88930414802650137</c:v>
                </c:pt>
                <c:pt idx="35">
                  <c:v>0.95823735595811654</c:v>
                </c:pt>
                <c:pt idx="36">
                  <c:v>0.92758955174558888</c:v>
                </c:pt>
                <c:pt idx="37">
                  <c:v>0.69834922726347282</c:v>
                </c:pt>
                <c:pt idx="38">
                  <c:v>0.85180312306253048</c:v>
                </c:pt>
                <c:pt idx="39">
                  <c:v>0.85180312306253048</c:v>
                </c:pt>
                <c:pt idx="40">
                  <c:v>0.94096687344290653</c:v>
                </c:pt>
                <c:pt idx="41">
                  <c:v>0.56241205380166437</c:v>
                </c:pt>
                <c:pt idx="42">
                  <c:v>0.36444901654281697</c:v>
                </c:pt>
                <c:pt idx="43">
                  <c:v>0.6391851569845195</c:v>
                </c:pt>
                <c:pt idx="44">
                  <c:v>0.87350394767466955</c:v>
                </c:pt>
                <c:pt idx="45">
                  <c:v>0.48988383347445597</c:v>
                </c:pt>
                <c:pt idx="46">
                  <c:v>0.8275008003464801</c:v>
                </c:pt>
                <c:pt idx="47">
                  <c:v>0.79403921054441406</c:v>
                </c:pt>
                <c:pt idx="48">
                  <c:v>0.93233326012759621</c:v>
                </c:pt>
                <c:pt idx="49">
                  <c:v>0.6391851569845195</c:v>
                </c:pt>
                <c:pt idx="50">
                  <c:v>0.94096687344290653</c:v>
                </c:pt>
                <c:pt idx="51">
                  <c:v>0.11045531028129311</c:v>
                </c:pt>
                <c:pt idx="52">
                  <c:v>0.56379904061051667</c:v>
                </c:pt>
                <c:pt idx="53">
                  <c:v>0.9636945626264154</c:v>
                </c:pt>
                <c:pt idx="54">
                  <c:v>0.8692708819979782</c:v>
                </c:pt>
                <c:pt idx="55">
                  <c:v>0.48988383347445597</c:v>
                </c:pt>
                <c:pt idx="56">
                  <c:v>0.31546844408806846</c:v>
                </c:pt>
                <c:pt idx="57">
                  <c:v>0.36444901654281697</c:v>
                </c:pt>
                <c:pt idx="58">
                  <c:v>0.96518322934993639</c:v>
                </c:pt>
                <c:pt idx="59">
                  <c:v>0.56964477439121586</c:v>
                </c:pt>
                <c:pt idx="60">
                  <c:v>0.78779295792982351</c:v>
                </c:pt>
                <c:pt idx="61">
                  <c:v>0.45358803863471986</c:v>
                </c:pt>
                <c:pt idx="62">
                  <c:v>0.88192594926941226</c:v>
                </c:pt>
                <c:pt idx="63">
                  <c:v>0.68156098798243991</c:v>
                </c:pt>
                <c:pt idx="64">
                  <c:v>0.63367657687884704</c:v>
                </c:pt>
                <c:pt idx="65">
                  <c:v>0.86798420010470823</c:v>
                </c:pt>
                <c:pt idx="66">
                  <c:v>0.74231194066188955</c:v>
                </c:pt>
                <c:pt idx="67">
                  <c:v>0.89846798558402141</c:v>
                </c:pt>
                <c:pt idx="68">
                  <c:v>0.63236689773677257</c:v>
                </c:pt>
                <c:pt idx="69">
                  <c:v>0.47904176730245318</c:v>
                </c:pt>
                <c:pt idx="70">
                  <c:v>0.69834922726347282</c:v>
                </c:pt>
                <c:pt idx="71">
                  <c:v>0.74231194066188955</c:v>
                </c:pt>
                <c:pt idx="72">
                  <c:v>0.8368857294228621</c:v>
                </c:pt>
                <c:pt idx="73">
                  <c:v>0.27027130463497784</c:v>
                </c:pt>
                <c:pt idx="74">
                  <c:v>0.96615927343334351</c:v>
                </c:pt>
                <c:pt idx="75">
                  <c:v>0.81026742578468736</c:v>
                </c:pt>
                <c:pt idx="76">
                  <c:v>0.74231194066188955</c:v>
                </c:pt>
                <c:pt idx="77">
                  <c:v>0.36575586231900614</c:v>
                </c:pt>
                <c:pt idx="78">
                  <c:v>0.48988383347445597</c:v>
                </c:pt>
                <c:pt idx="79">
                  <c:v>0.63367657687884704</c:v>
                </c:pt>
                <c:pt idx="80">
                  <c:v>0.85650843586269965</c:v>
                </c:pt>
                <c:pt idx="81">
                  <c:v>0.61527191822243332</c:v>
                </c:pt>
                <c:pt idx="82">
                  <c:v>0.89216971818219293</c:v>
                </c:pt>
                <c:pt idx="83">
                  <c:v>0.88192594926941226</c:v>
                </c:pt>
                <c:pt idx="84">
                  <c:v>0.79790541001219029</c:v>
                </c:pt>
                <c:pt idx="85">
                  <c:v>0.83245122886621092</c:v>
                </c:pt>
                <c:pt idx="86">
                  <c:v>0.45498569558501262</c:v>
                </c:pt>
                <c:pt idx="87">
                  <c:v>0.59788749683492848</c:v>
                </c:pt>
                <c:pt idx="88">
                  <c:v>0.92758955174558888</c:v>
                </c:pt>
                <c:pt idx="89">
                  <c:v>0.5517008425936899</c:v>
                </c:pt>
                <c:pt idx="90">
                  <c:v>0.78186879767165418</c:v>
                </c:pt>
                <c:pt idx="91">
                  <c:v>0.19303832797553774</c:v>
                </c:pt>
                <c:pt idx="92">
                  <c:v>0.72813145934227685</c:v>
                </c:pt>
                <c:pt idx="93">
                  <c:v>0.82121567562114983</c:v>
                </c:pt>
                <c:pt idx="94">
                  <c:v>0.89846798558402141</c:v>
                </c:pt>
                <c:pt idx="95">
                  <c:v>0.24251132864667538</c:v>
                </c:pt>
                <c:pt idx="96">
                  <c:v>0.47904176730245318</c:v>
                </c:pt>
                <c:pt idx="97">
                  <c:v>0.2561448267044934</c:v>
                </c:pt>
                <c:pt idx="98">
                  <c:v>0.83765386734097236</c:v>
                </c:pt>
                <c:pt idx="99">
                  <c:v>0.71347184062487201</c:v>
                </c:pt>
                <c:pt idx="100">
                  <c:v>0.93930986524890059</c:v>
                </c:pt>
                <c:pt idx="101">
                  <c:v>0.81769352748489343</c:v>
                </c:pt>
                <c:pt idx="102">
                  <c:v>0.70451556423699346</c:v>
                </c:pt>
                <c:pt idx="103">
                  <c:v>0.84731959978803328</c:v>
                </c:pt>
                <c:pt idx="104">
                  <c:v>0.75600063495601078</c:v>
                </c:pt>
                <c:pt idx="105">
                  <c:v>0.82204191530075543</c:v>
                </c:pt>
                <c:pt idx="106">
                  <c:v>0.68400315024130864</c:v>
                </c:pt>
                <c:pt idx="107">
                  <c:v>0.76036538454586378</c:v>
                </c:pt>
                <c:pt idx="108">
                  <c:v>0.86008941832497643</c:v>
                </c:pt>
                <c:pt idx="109">
                  <c:v>0.68791714505967272</c:v>
                </c:pt>
                <c:pt idx="110">
                  <c:v>0.44285189554492399</c:v>
                </c:pt>
                <c:pt idx="111">
                  <c:v>0.65041841297115799</c:v>
                </c:pt>
                <c:pt idx="112">
                  <c:v>0.86076646490493147</c:v>
                </c:pt>
                <c:pt idx="113">
                  <c:v>0.39881812689246637</c:v>
                </c:pt>
                <c:pt idx="114">
                  <c:v>0.43559955692182922</c:v>
                </c:pt>
                <c:pt idx="115">
                  <c:v>0.97787783234681824</c:v>
                </c:pt>
                <c:pt idx="116">
                  <c:v>0.85650843586269965</c:v>
                </c:pt>
                <c:pt idx="117">
                  <c:v>0.84804752393782545</c:v>
                </c:pt>
                <c:pt idx="118">
                  <c:v>0.89162614924416317</c:v>
                </c:pt>
                <c:pt idx="119">
                  <c:v>0.74683956002326379</c:v>
                </c:pt>
                <c:pt idx="120">
                  <c:v>0.44285189554492399</c:v>
                </c:pt>
                <c:pt idx="121">
                  <c:v>0.17134837863629696</c:v>
                </c:pt>
                <c:pt idx="122">
                  <c:v>0.97061305396703024</c:v>
                </c:pt>
                <c:pt idx="123">
                  <c:v>0.92758955174558888</c:v>
                </c:pt>
                <c:pt idx="124">
                  <c:v>0.9744961451329287</c:v>
                </c:pt>
                <c:pt idx="125">
                  <c:v>0.95174243611959364</c:v>
                </c:pt>
                <c:pt idx="126">
                  <c:v>0.33140899530177215</c:v>
                </c:pt>
                <c:pt idx="127">
                  <c:v>0.83245122886621092</c:v>
                </c:pt>
                <c:pt idx="128">
                  <c:v>0.9367873795172309</c:v>
                </c:pt>
                <c:pt idx="129">
                  <c:v>0.51686093041509129</c:v>
                </c:pt>
                <c:pt idx="130">
                  <c:v>0.92758955174558888</c:v>
                </c:pt>
                <c:pt idx="131">
                  <c:v>0.86862887806453948</c:v>
                </c:pt>
                <c:pt idx="132">
                  <c:v>0.66554367326171981</c:v>
                </c:pt>
                <c:pt idx="133">
                  <c:v>0.68156098798243991</c:v>
                </c:pt>
                <c:pt idx="134">
                  <c:v>0.92213708895469237</c:v>
                </c:pt>
                <c:pt idx="135">
                  <c:v>0.70334058178537806</c:v>
                </c:pt>
                <c:pt idx="136">
                  <c:v>0.89216971818219293</c:v>
                </c:pt>
                <c:pt idx="137">
                  <c:v>0.31668717153564691</c:v>
                </c:pt>
                <c:pt idx="138">
                  <c:v>0.19303832797553774</c:v>
                </c:pt>
                <c:pt idx="139">
                  <c:v>0.12560555405850152</c:v>
                </c:pt>
                <c:pt idx="140">
                  <c:v>0.94096687344290653</c:v>
                </c:pt>
                <c:pt idx="141">
                  <c:v>0.39881812689246637</c:v>
                </c:pt>
                <c:pt idx="142">
                  <c:v>0.96846213532932135</c:v>
                </c:pt>
                <c:pt idx="143">
                  <c:v>0.38979686844341799</c:v>
                </c:pt>
                <c:pt idx="144">
                  <c:v>0.7205897474629982</c:v>
                </c:pt>
                <c:pt idx="145">
                  <c:v>0.20556108747582916</c:v>
                </c:pt>
                <c:pt idx="146">
                  <c:v>0.9636945626264154</c:v>
                </c:pt>
                <c:pt idx="147">
                  <c:v>0.95846238869883349</c:v>
                </c:pt>
                <c:pt idx="148">
                  <c:v>0.8275008003464801</c:v>
                </c:pt>
                <c:pt idx="149">
                  <c:v>0.84731959978803328</c:v>
                </c:pt>
                <c:pt idx="150">
                  <c:v>0.11045531028129311</c:v>
                </c:pt>
                <c:pt idx="151">
                  <c:v>0.32309306076538646</c:v>
                </c:pt>
                <c:pt idx="152">
                  <c:v>0.75703909466632502</c:v>
                </c:pt>
                <c:pt idx="153">
                  <c:v>0.8423684248515767</c:v>
                </c:pt>
                <c:pt idx="154">
                  <c:v>0.9744961451329287</c:v>
                </c:pt>
                <c:pt idx="155">
                  <c:v>0.5517008425936899</c:v>
                </c:pt>
                <c:pt idx="156">
                  <c:v>0.79403921054441406</c:v>
                </c:pt>
                <c:pt idx="157">
                  <c:v>0.76818583715811728</c:v>
                </c:pt>
                <c:pt idx="158">
                  <c:v>0.38281639390688826</c:v>
                </c:pt>
                <c:pt idx="159">
                  <c:v>0.41777901725366751</c:v>
                </c:pt>
                <c:pt idx="160">
                  <c:v>0.41777901725366751</c:v>
                </c:pt>
                <c:pt idx="161">
                  <c:v>0.81026742578468736</c:v>
                </c:pt>
                <c:pt idx="162">
                  <c:v>0.68156098798243991</c:v>
                </c:pt>
                <c:pt idx="163">
                  <c:v>0.88133760996816202</c:v>
                </c:pt>
                <c:pt idx="164">
                  <c:v>0.88133760996816202</c:v>
                </c:pt>
                <c:pt idx="165">
                  <c:v>0.1034973209060859</c:v>
                </c:pt>
                <c:pt idx="166">
                  <c:v>0.1034973209060859</c:v>
                </c:pt>
                <c:pt idx="167">
                  <c:v>0.47904176730245318</c:v>
                </c:pt>
                <c:pt idx="168">
                  <c:v>0.13382797822750572</c:v>
                </c:pt>
                <c:pt idx="169">
                  <c:v>0.24251132864667538</c:v>
                </c:pt>
                <c:pt idx="170">
                  <c:v>0.66679743781095624</c:v>
                </c:pt>
                <c:pt idx="171">
                  <c:v>0.56241205380166437</c:v>
                </c:pt>
                <c:pt idx="172">
                  <c:v>0.38281639390688826</c:v>
                </c:pt>
                <c:pt idx="173">
                  <c:v>0.63367657687884704</c:v>
                </c:pt>
                <c:pt idx="174">
                  <c:v>0.1612498481555816</c:v>
                </c:pt>
                <c:pt idx="175">
                  <c:v>0.45219111291110831</c:v>
                </c:pt>
                <c:pt idx="176">
                  <c:v>0.1612498481555816</c:v>
                </c:pt>
                <c:pt idx="177">
                  <c:v>0.52769193285997396</c:v>
                </c:pt>
                <c:pt idx="178">
                  <c:v>0.39881812689246637</c:v>
                </c:pt>
                <c:pt idx="179">
                  <c:v>0.19303832797553774</c:v>
                </c:pt>
                <c:pt idx="180">
                  <c:v>0.21675569231486269</c:v>
                </c:pt>
                <c:pt idx="181">
                  <c:v>0.42495805334626657</c:v>
                </c:pt>
                <c:pt idx="182">
                  <c:v>0.49724371132331496</c:v>
                </c:pt>
                <c:pt idx="183">
                  <c:v>0.63367657687884704</c:v>
                </c:pt>
                <c:pt idx="184">
                  <c:v>0.28487849397871828</c:v>
                </c:pt>
                <c:pt idx="185">
                  <c:v>0.38148525544303286</c:v>
                </c:pt>
                <c:pt idx="186">
                  <c:v>0.1612498481555816</c:v>
                </c:pt>
                <c:pt idx="187">
                  <c:v>0.22937971682504882</c:v>
                </c:pt>
                <c:pt idx="188">
                  <c:v>0.75600063495601078</c:v>
                </c:pt>
                <c:pt idx="189">
                  <c:v>0.43421400671072691</c:v>
                </c:pt>
                <c:pt idx="190">
                  <c:v>0.67206571200434639</c:v>
                </c:pt>
                <c:pt idx="191">
                  <c:v>0.18194215727109586</c:v>
                </c:pt>
                <c:pt idx="192">
                  <c:v>0.22937971682504882</c:v>
                </c:pt>
                <c:pt idx="193">
                  <c:v>0.1612498481555816</c:v>
                </c:pt>
                <c:pt idx="194">
                  <c:v>0.5992421639506641</c:v>
                </c:pt>
                <c:pt idx="195">
                  <c:v>0.17134837863629696</c:v>
                </c:pt>
                <c:pt idx="196">
                  <c:v>0.80569933327317889</c:v>
                </c:pt>
                <c:pt idx="197">
                  <c:v>0.1034973209060859</c:v>
                </c:pt>
                <c:pt idx="198">
                  <c:v>0.14250094038254432</c:v>
                </c:pt>
                <c:pt idx="199">
                  <c:v>0.11781960034674145</c:v>
                </c:pt>
                <c:pt idx="200">
                  <c:v>0.38148525544303286</c:v>
                </c:pt>
                <c:pt idx="201">
                  <c:v>0.1612498481555816</c:v>
                </c:pt>
                <c:pt idx="202">
                  <c:v>0.18194215727109586</c:v>
                </c:pt>
                <c:pt idx="203">
                  <c:v>0.45498569558501262</c:v>
                </c:pt>
                <c:pt idx="204">
                  <c:v>0.47904176730245318</c:v>
                </c:pt>
                <c:pt idx="205">
                  <c:v>0.2561448267044934</c:v>
                </c:pt>
                <c:pt idx="206">
                  <c:v>0.17134837863629696</c:v>
                </c:pt>
                <c:pt idx="207">
                  <c:v>0.51545296400457441</c:v>
                </c:pt>
                <c:pt idx="208">
                  <c:v>0.76918826995316214</c:v>
                </c:pt>
                <c:pt idx="209">
                  <c:v>0.17134837863629696</c:v>
                </c:pt>
                <c:pt idx="210">
                  <c:v>0.65041841297115799</c:v>
                </c:pt>
                <c:pt idx="211">
                  <c:v>0.1516375704128968</c:v>
                </c:pt>
                <c:pt idx="212">
                  <c:v>0.47029383693029009</c:v>
                </c:pt>
                <c:pt idx="213">
                  <c:v>0.49724371132331496</c:v>
                </c:pt>
                <c:pt idx="214">
                  <c:v>0.20464193779232659</c:v>
                </c:pt>
                <c:pt idx="215">
                  <c:v>0.78590185510105481</c:v>
                </c:pt>
                <c:pt idx="216">
                  <c:v>0.87732987575427124</c:v>
                </c:pt>
                <c:pt idx="217">
                  <c:v>0.13382797822750572</c:v>
                </c:pt>
                <c:pt idx="218">
                  <c:v>0.11781960034674145</c:v>
                </c:pt>
                <c:pt idx="219">
                  <c:v>0.31546844408806846</c:v>
                </c:pt>
                <c:pt idx="220">
                  <c:v>0.4608953009511339</c:v>
                </c:pt>
                <c:pt idx="221">
                  <c:v>0.21675569231486269</c:v>
                </c:pt>
                <c:pt idx="222">
                  <c:v>0.74338888437552064</c:v>
                </c:pt>
                <c:pt idx="223">
                  <c:v>0.58740760672706027</c:v>
                </c:pt>
                <c:pt idx="224">
                  <c:v>0.22937971682504882</c:v>
                </c:pt>
                <c:pt idx="225">
                  <c:v>8.4902584014652102E-2</c:v>
                </c:pt>
                <c:pt idx="226">
                  <c:v>0.31668717153564691</c:v>
                </c:pt>
                <c:pt idx="227">
                  <c:v>0.54300907441606883</c:v>
                </c:pt>
                <c:pt idx="228">
                  <c:v>0.81769352748489343</c:v>
                </c:pt>
                <c:pt idx="229">
                  <c:v>0.52769193285997396</c:v>
                </c:pt>
                <c:pt idx="230">
                  <c:v>0.79403921054441406</c:v>
                </c:pt>
                <c:pt idx="231">
                  <c:v>0.19303832797553774</c:v>
                </c:pt>
                <c:pt idx="232">
                  <c:v>0.21675569231486269</c:v>
                </c:pt>
                <c:pt idx="233">
                  <c:v>0.12560555405850152</c:v>
                </c:pt>
                <c:pt idx="234">
                  <c:v>8.4902584014652102E-2</c:v>
                </c:pt>
                <c:pt idx="235">
                  <c:v>0.27027130463497784</c:v>
                </c:pt>
                <c:pt idx="236">
                  <c:v>0.18194215727109586</c:v>
                </c:pt>
                <c:pt idx="237">
                  <c:v>0.1612498481555816</c:v>
                </c:pt>
                <c:pt idx="238">
                  <c:v>5.2773768694072465E-2</c:v>
                </c:pt>
                <c:pt idx="239">
                  <c:v>0.54300907441606883</c:v>
                </c:pt>
                <c:pt idx="240">
                  <c:v>0.41915097577749066</c:v>
                </c:pt>
                <c:pt idx="241">
                  <c:v>0.53362127897266698</c:v>
                </c:pt>
                <c:pt idx="242">
                  <c:v>0.12560555405850152</c:v>
                </c:pt>
                <c:pt idx="243">
                  <c:v>0.19303832797553774</c:v>
                </c:pt>
                <c:pt idx="244">
                  <c:v>0.20464193779232659</c:v>
                </c:pt>
                <c:pt idx="245">
                  <c:v>0.31546844408806846</c:v>
                </c:pt>
                <c:pt idx="246">
                  <c:v>0.58740760672706027</c:v>
                </c:pt>
                <c:pt idx="247">
                  <c:v>0.25722049061461966</c:v>
                </c:pt>
                <c:pt idx="248">
                  <c:v>0.45358803863471986</c:v>
                </c:pt>
                <c:pt idx="249">
                  <c:v>0.43698611361020895</c:v>
                </c:pt>
                <c:pt idx="250">
                  <c:v>0.27027130463497784</c:v>
                </c:pt>
                <c:pt idx="251">
                  <c:v>0.39881812689246637</c:v>
                </c:pt>
                <c:pt idx="252">
                  <c:v>0.47904176730245318</c:v>
                </c:pt>
                <c:pt idx="253">
                  <c:v>0.1034973209060859</c:v>
                </c:pt>
                <c:pt idx="254">
                  <c:v>0.81769352748489343</c:v>
                </c:pt>
                <c:pt idx="255">
                  <c:v>0.36444901654281697</c:v>
                </c:pt>
                <c:pt idx="256">
                  <c:v>0.18194215727109586</c:v>
                </c:pt>
                <c:pt idx="257">
                  <c:v>0.28487849397871828</c:v>
                </c:pt>
                <c:pt idx="258">
                  <c:v>0.47904176730245318</c:v>
                </c:pt>
                <c:pt idx="259">
                  <c:v>0.9539459591825783</c:v>
                </c:pt>
                <c:pt idx="260">
                  <c:v>0.40725872426970344</c:v>
                </c:pt>
                <c:pt idx="261">
                  <c:v>0.2561448267044934</c:v>
                </c:pt>
                <c:pt idx="262">
                  <c:v>0.24251132864667538</c:v>
                </c:pt>
                <c:pt idx="263">
                  <c:v>0.4608953009511339</c:v>
                </c:pt>
                <c:pt idx="264">
                  <c:v>0.22937971682504882</c:v>
                </c:pt>
                <c:pt idx="265">
                  <c:v>0.11045531028129311</c:v>
                </c:pt>
                <c:pt idx="266">
                  <c:v>0.60494573348000547</c:v>
                </c:pt>
                <c:pt idx="267">
                  <c:v>0.76918826995316214</c:v>
                </c:pt>
                <c:pt idx="268">
                  <c:v>0.22937971682504882</c:v>
                </c:pt>
                <c:pt idx="269">
                  <c:v>0.20464193779232659</c:v>
                </c:pt>
                <c:pt idx="270">
                  <c:v>0.34774583453523311</c:v>
                </c:pt>
                <c:pt idx="271">
                  <c:v>0.79495968618731383</c:v>
                </c:pt>
                <c:pt idx="272">
                  <c:v>0.1034973209060859</c:v>
                </c:pt>
                <c:pt idx="273">
                  <c:v>0.18194215727109586</c:v>
                </c:pt>
                <c:pt idx="274">
                  <c:v>0.33140899530177215</c:v>
                </c:pt>
                <c:pt idx="275">
                  <c:v>0.2561448267044934</c:v>
                </c:pt>
                <c:pt idx="276">
                  <c:v>0.18194215727109586</c:v>
                </c:pt>
                <c:pt idx="277">
                  <c:v>0.40017061582696928</c:v>
                </c:pt>
                <c:pt idx="278">
                  <c:v>0.77437437211402305</c:v>
                </c:pt>
                <c:pt idx="279">
                  <c:v>0.1516375704128968</c:v>
                </c:pt>
                <c:pt idx="280">
                  <c:v>0.41640833005757572</c:v>
                </c:pt>
                <c:pt idx="281">
                  <c:v>0.2561448267044934</c:v>
                </c:pt>
                <c:pt idx="282">
                  <c:v>0.61660557470942989</c:v>
                </c:pt>
                <c:pt idx="283">
                  <c:v>0.45219111291110831</c:v>
                </c:pt>
                <c:pt idx="284">
                  <c:v>0.1516375704128968</c:v>
                </c:pt>
                <c:pt idx="285">
                  <c:v>0.34774583453523311</c:v>
                </c:pt>
                <c:pt idx="286">
                  <c:v>0.81769352748489343</c:v>
                </c:pt>
                <c:pt idx="287">
                  <c:v>0.40017061582696928</c:v>
                </c:pt>
                <c:pt idx="288">
                  <c:v>0.19303832797553774</c:v>
                </c:pt>
                <c:pt idx="289">
                  <c:v>0.60494573348000547</c:v>
                </c:pt>
                <c:pt idx="290">
                  <c:v>0.1516375704128968</c:v>
                </c:pt>
                <c:pt idx="291">
                  <c:v>0.18194215727109586</c:v>
                </c:pt>
                <c:pt idx="292">
                  <c:v>0.5517008425936899</c:v>
                </c:pt>
                <c:pt idx="293">
                  <c:v>0.47310367630719141</c:v>
                </c:pt>
                <c:pt idx="294">
                  <c:v>0.38148525544303286</c:v>
                </c:pt>
                <c:pt idx="295">
                  <c:v>0.13382797822750572</c:v>
                </c:pt>
                <c:pt idx="296">
                  <c:v>0.4608953009511339</c:v>
                </c:pt>
                <c:pt idx="297">
                  <c:v>0.17134837863629696</c:v>
                </c:pt>
                <c:pt idx="298">
                  <c:v>0.56964477439121586</c:v>
                </c:pt>
                <c:pt idx="299">
                  <c:v>0.9255867482014295</c:v>
                </c:pt>
                <c:pt idx="300">
                  <c:v>9.6929880354144432E-2</c:v>
                </c:pt>
                <c:pt idx="301">
                  <c:v>0.19303832797553774</c:v>
                </c:pt>
                <c:pt idx="302">
                  <c:v>0.78684893564236913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2C-4900-BC28-EE3982AC77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4228559"/>
        <c:axId val="934223759"/>
      </c:lineChart>
      <c:scatterChart>
        <c:scatterStyle val="lineMarker"/>
        <c:varyColors val="0"/>
        <c:ser>
          <c:idx val="1"/>
          <c:order val="1"/>
          <c:tx>
            <c:v/>
          </c:tx>
          <c:spPr>
            <a:ln w="635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1</c:v>
              </c:pt>
              <c:pt idx="1">
                <c:v>303</c:v>
              </c:pt>
            </c:numLit>
          </c:xVal>
          <c:yVal>
            <c:numLit>
              <c:formatCode>General</c:formatCode>
              <c:ptCount val="2"/>
              <c:pt idx="0">
                <c:v>0.5</c:v>
              </c:pt>
              <c:pt idx="1">
                <c:v>0.5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130-C92C-4900-BC28-EE3982AC77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4248239"/>
        <c:axId val="934226159"/>
      </c:scatterChart>
      <c:catAx>
        <c:axId val="9342285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Observations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one"/>
        <c:txPr>
          <a:bodyPr rot="0" vert="horz"/>
          <a:lstStyle/>
          <a:p>
            <a:pPr>
              <a:defRPr sz="700"/>
            </a:pPr>
            <a:endParaRPr lang="en-US"/>
          </a:p>
        </c:txPr>
        <c:crossAx val="934223759"/>
        <c:crosses val="autoZero"/>
        <c:auto val="1"/>
        <c:lblAlgn val="ctr"/>
        <c:lblOffset val="100"/>
        <c:noMultiLvlLbl val="0"/>
      </c:catAx>
      <c:valAx>
        <c:axId val="934223759"/>
        <c:scaling>
          <c:orientation val="minMax"/>
          <c:max val="1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Pr(1)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934228559"/>
        <c:crosses val="autoZero"/>
        <c:crossBetween val="between"/>
      </c:valAx>
      <c:valAx>
        <c:axId val="934226159"/>
        <c:scaling>
          <c:orientation val="minMax"/>
          <c:max val="1.2"/>
          <c:min val="0"/>
        </c:scaling>
        <c:delete val="1"/>
        <c:axPos val="r"/>
        <c:numFmt formatCode="General" sourceLinked="1"/>
        <c:majorTickMark val="none"/>
        <c:minorTickMark val="none"/>
        <c:tickLblPos val="none"/>
        <c:crossAx val="934248239"/>
        <c:crosses val="max"/>
        <c:crossBetween val="midCat"/>
      </c:valAx>
      <c:valAx>
        <c:axId val="934248239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934226159"/>
        <c:crosses val="max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IN"/>
              <a:t>Confusion plot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0.11056878184344604"/>
          <c:y val="9.9392311255210752E-2"/>
          <c:w val="0.84629396325459316"/>
          <c:h val="0.77043106376408832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6350">
              <a:solidFill>
                <a:srgbClr val="DCDCDC"/>
              </a:solidFill>
              <a:prstDash val="solid"/>
            </a:ln>
            <a:effectLst/>
          </c:spPr>
          <c:marker>
            <c:symbol val="none"/>
          </c:marker>
          <c:xVal>
            <c:numRef>
              <c:f>Sheet5_HID!xdata1</c:f>
              <c:numCache>
                <c:formatCode>General</c:formatCode>
                <c:ptCount val="700"/>
                <c:pt idx="0">
                  <c:v>4.2735405819662099E-2</c:v>
                </c:pt>
                <c:pt idx="1">
                  <c:v>4.4043745144927697E-2</c:v>
                </c:pt>
                <c:pt idx="2">
                  <c:v>4.5352084470193302E-2</c:v>
                </c:pt>
                <c:pt idx="3">
                  <c:v>4.66604237954589E-2</c:v>
                </c:pt>
                <c:pt idx="4">
                  <c:v>4.7968763120724497E-2</c:v>
                </c:pt>
                <c:pt idx="5">
                  <c:v>4.9277102445990095E-2</c:v>
                </c:pt>
                <c:pt idx="6">
                  <c:v>5.05854417712557E-2</c:v>
                </c:pt>
                <c:pt idx="7">
                  <c:v>5.1893781096521298E-2</c:v>
                </c:pt>
                <c:pt idx="8">
                  <c:v>5.3202120421786903E-2</c:v>
                </c:pt>
                <c:pt idx="9">
                  <c:v>5.45104597470525E-2</c:v>
                </c:pt>
                <c:pt idx="10">
                  <c:v>5.5818799072318098E-2</c:v>
                </c:pt>
                <c:pt idx="11">
                  <c:v>5.7127138397583696E-2</c:v>
                </c:pt>
                <c:pt idx="12">
                  <c:v>5.8435477722849301E-2</c:v>
                </c:pt>
                <c:pt idx="13">
                  <c:v>5.9743817048114899E-2</c:v>
                </c:pt>
                <c:pt idx="14">
                  <c:v>6.1052156373380503E-2</c:v>
                </c:pt>
                <c:pt idx="15">
                  <c:v>6.2360495698646101E-2</c:v>
                </c:pt>
                <c:pt idx="16">
                  <c:v>6.3668835023911699E-2</c:v>
                </c:pt>
                <c:pt idx="17">
                  <c:v>6.4977174349177297E-2</c:v>
                </c:pt>
                <c:pt idx="18">
                  <c:v>6.6285513674442895E-2</c:v>
                </c:pt>
                <c:pt idx="19">
                  <c:v>6.7593852999708492E-2</c:v>
                </c:pt>
                <c:pt idx="20">
                  <c:v>6.8902192324974104E-2</c:v>
                </c:pt>
                <c:pt idx="21">
                  <c:v>7.0210531650239702E-2</c:v>
                </c:pt>
                <c:pt idx="22">
                  <c:v>7.15188709755053E-2</c:v>
                </c:pt>
                <c:pt idx="23">
                  <c:v>7.2827210300770898E-2</c:v>
                </c:pt>
                <c:pt idx="24">
                  <c:v>7.4135549626036495E-2</c:v>
                </c:pt>
                <c:pt idx="25">
                  <c:v>7.5443888951302107E-2</c:v>
                </c:pt>
                <c:pt idx="26">
                  <c:v>7.6752228276567691E-2</c:v>
                </c:pt>
                <c:pt idx="27">
                  <c:v>7.8060567601833303E-2</c:v>
                </c:pt>
                <c:pt idx="28">
                  <c:v>7.9368906927098901E-2</c:v>
                </c:pt>
                <c:pt idx="29">
                  <c:v>8.0677246252364498E-2</c:v>
                </c:pt>
                <c:pt idx="30">
                  <c:v>8.1985585577630096E-2</c:v>
                </c:pt>
                <c:pt idx="31">
                  <c:v>8.3293924902895694E-2</c:v>
                </c:pt>
                <c:pt idx="32">
                  <c:v>8.4602264228161306E-2</c:v>
                </c:pt>
                <c:pt idx="33">
                  <c:v>8.591060355342689E-2</c:v>
                </c:pt>
                <c:pt idx="34">
                  <c:v>8.7218942878692501E-2</c:v>
                </c:pt>
                <c:pt idx="35">
                  <c:v>8.8527282203958099E-2</c:v>
                </c:pt>
                <c:pt idx="36">
                  <c:v>8.9835621529223697E-2</c:v>
                </c:pt>
                <c:pt idx="37">
                  <c:v>9.1143960854489309E-2</c:v>
                </c:pt>
                <c:pt idx="38">
                  <c:v>9.2452300179754893E-2</c:v>
                </c:pt>
                <c:pt idx="39">
                  <c:v>9.3760639505020504E-2</c:v>
                </c:pt>
                <c:pt idx="40">
                  <c:v>9.5068978830286088E-2</c:v>
                </c:pt>
                <c:pt idx="41">
                  <c:v>9.63773181555517E-2</c:v>
                </c:pt>
                <c:pt idx="42">
                  <c:v>9.7685657480817298E-2</c:v>
                </c:pt>
                <c:pt idx="43">
                  <c:v>9.8993996806082896E-2</c:v>
                </c:pt>
                <c:pt idx="44">
                  <c:v>0.10030233613134851</c:v>
                </c:pt>
                <c:pt idx="45">
                  <c:v>0.10161067545661409</c:v>
                </c:pt>
                <c:pt idx="46">
                  <c:v>0.1029190147818797</c:v>
                </c:pt>
                <c:pt idx="47">
                  <c:v>0.1042273541071453</c:v>
                </c:pt>
                <c:pt idx="48">
                  <c:v>0.1055356934324109</c:v>
                </c:pt>
                <c:pt idx="49">
                  <c:v>0.10684403275767651</c:v>
                </c:pt>
                <c:pt idx="50">
                  <c:v>0.10815237208294209</c:v>
                </c:pt>
                <c:pt idx="51">
                  <c:v>0.10946071140820771</c:v>
                </c:pt>
                <c:pt idx="52">
                  <c:v>0.11076905073347329</c:v>
                </c:pt>
                <c:pt idx="53">
                  <c:v>0.1120773900587389</c:v>
                </c:pt>
                <c:pt idx="54">
                  <c:v>0.11338572938400449</c:v>
                </c:pt>
                <c:pt idx="55">
                  <c:v>0.1146940687092701</c:v>
                </c:pt>
                <c:pt idx="56">
                  <c:v>0.11600240803453571</c:v>
                </c:pt>
                <c:pt idx="57">
                  <c:v>0.11731074735980129</c:v>
                </c:pt>
                <c:pt idx="58">
                  <c:v>0.1186190866850669</c:v>
                </c:pt>
                <c:pt idx="59">
                  <c:v>0.11992742601033249</c:v>
                </c:pt>
                <c:pt idx="60">
                  <c:v>0.1212357653355981</c:v>
                </c:pt>
                <c:pt idx="61">
                  <c:v>0.12254410466086371</c:v>
                </c:pt>
                <c:pt idx="62">
                  <c:v>0.1238524439861293</c:v>
                </c:pt>
                <c:pt idx="63">
                  <c:v>0.12516078331139491</c:v>
                </c:pt>
                <c:pt idx="64">
                  <c:v>0.12646912263666049</c:v>
                </c:pt>
                <c:pt idx="65">
                  <c:v>0.1277774619619261</c:v>
                </c:pt>
                <c:pt idx="66">
                  <c:v>0.12908580128719169</c:v>
                </c:pt>
                <c:pt idx="67">
                  <c:v>0.1303941406124573</c:v>
                </c:pt>
                <c:pt idx="68">
                  <c:v>0.13170247993772291</c:v>
                </c:pt>
                <c:pt idx="69">
                  <c:v>0.13301081926298849</c:v>
                </c:pt>
                <c:pt idx="70">
                  <c:v>0.13431915858825411</c:v>
                </c:pt>
                <c:pt idx="71">
                  <c:v>0.13562749791351969</c:v>
                </c:pt>
                <c:pt idx="72">
                  <c:v>0.1369358372387853</c:v>
                </c:pt>
                <c:pt idx="73">
                  <c:v>0.13824417656405089</c:v>
                </c:pt>
                <c:pt idx="74">
                  <c:v>0.1395525158893165</c:v>
                </c:pt>
                <c:pt idx="75">
                  <c:v>0.14086085521458211</c:v>
                </c:pt>
                <c:pt idx="76">
                  <c:v>0.14216919453984769</c:v>
                </c:pt>
                <c:pt idx="77">
                  <c:v>0.1434775338651133</c:v>
                </c:pt>
                <c:pt idx="78">
                  <c:v>0.14478587319037889</c:v>
                </c:pt>
                <c:pt idx="79">
                  <c:v>0.1460942125156445</c:v>
                </c:pt>
                <c:pt idx="80">
                  <c:v>0.14740255184091008</c:v>
                </c:pt>
                <c:pt idx="81">
                  <c:v>0.1487108911661757</c:v>
                </c:pt>
                <c:pt idx="82">
                  <c:v>0.15001923049144131</c:v>
                </c:pt>
                <c:pt idx="83">
                  <c:v>0.15132756981670689</c:v>
                </c:pt>
                <c:pt idx="84">
                  <c:v>0.1526359091419725</c:v>
                </c:pt>
                <c:pt idx="85">
                  <c:v>0.15394424846723809</c:v>
                </c:pt>
                <c:pt idx="86">
                  <c:v>0.1552525877925037</c:v>
                </c:pt>
                <c:pt idx="87">
                  <c:v>0.15656092711776931</c:v>
                </c:pt>
                <c:pt idx="88">
                  <c:v>0.15786926644303489</c:v>
                </c:pt>
                <c:pt idx="89">
                  <c:v>0.15917760576830051</c:v>
                </c:pt>
                <c:pt idx="90">
                  <c:v>0.16048594509356609</c:v>
                </c:pt>
                <c:pt idx="91">
                  <c:v>0.1617942844188317</c:v>
                </c:pt>
                <c:pt idx="92">
                  <c:v>0.16310262374409729</c:v>
                </c:pt>
                <c:pt idx="93">
                  <c:v>0.1644109630693629</c:v>
                </c:pt>
                <c:pt idx="94">
                  <c:v>0.16571930239462851</c:v>
                </c:pt>
                <c:pt idx="95">
                  <c:v>0.16702764171989409</c:v>
                </c:pt>
                <c:pt idx="96">
                  <c:v>0.1683359810451597</c:v>
                </c:pt>
                <c:pt idx="97">
                  <c:v>0.16964432037042529</c:v>
                </c:pt>
                <c:pt idx="98">
                  <c:v>0.1709526596956909</c:v>
                </c:pt>
                <c:pt idx="99">
                  <c:v>0.17226099902095648</c:v>
                </c:pt>
                <c:pt idx="100">
                  <c:v>0.1735693383462221</c:v>
                </c:pt>
                <c:pt idx="101">
                  <c:v>0.17487767767148768</c:v>
                </c:pt>
                <c:pt idx="102">
                  <c:v>0.17618601699675329</c:v>
                </c:pt>
                <c:pt idx="103">
                  <c:v>0.1774943563220189</c:v>
                </c:pt>
                <c:pt idx="104">
                  <c:v>0.17880269564728449</c:v>
                </c:pt>
                <c:pt idx="105">
                  <c:v>0.1801110349725501</c:v>
                </c:pt>
                <c:pt idx="106">
                  <c:v>0.18141937429781568</c:v>
                </c:pt>
                <c:pt idx="107">
                  <c:v>0.18272771362308129</c:v>
                </c:pt>
                <c:pt idx="108">
                  <c:v>0.18403605294834688</c:v>
                </c:pt>
                <c:pt idx="109">
                  <c:v>0.18534439227361249</c:v>
                </c:pt>
                <c:pt idx="110">
                  <c:v>0.1866527315988781</c:v>
                </c:pt>
                <c:pt idx="111">
                  <c:v>0.18796107092414369</c:v>
                </c:pt>
                <c:pt idx="112">
                  <c:v>0.1892694102494093</c:v>
                </c:pt>
                <c:pt idx="113">
                  <c:v>0.19057774957467488</c:v>
                </c:pt>
                <c:pt idx="114">
                  <c:v>0.19188608889994049</c:v>
                </c:pt>
                <c:pt idx="115">
                  <c:v>0.19319442822520608</c:v>
                </c:pt>
                <c:pt idx="116">
                  <c:v>0.19450276755047169</c:v>
                </c:pt>
                <c:pt idx="117">
                  <c:v>0.1958111068757373</c:v>
                </c:pt>
                <c:pt idx="118">
                  <c:v>0.19711944620100288</c:v>
                </c:pt>
                <c:pt idx="119">
                  <c:v>0.1984277855262685</c:v>
                </c:pt>
                <c:pt idx="120">
                  <c:v>0.19973612485153408</c:v>
                </c:pt>
                <c:pt idx="121">
                  <c:v>0.20104446417679969</c:v>
                </c:pt>
                <c:pt idx="122">
                  <c:v>0.2023528035020653</c:v>
                </c:pt>
                <c:pt idx="123">
                  <c:v>0.20366114282733089</c:v>
                </c:pt>
                <c:pt idx="124">
                  <c:v>0.2049694821525965</c:v>
                </c:pt>
                <c:pt idx="125">
                  <c:v>0.20627782147786208</c:v>
                </c:pt>
                <c:pt idx="126">
                  <c:v>0.2075861608031277</c:v>
                </c:pt>
                <c:pt idx="127">
                  <c:v>0.20889450012839328</c:v>
                </c:pt>
                <c:pt idx="128">
                  <c:v>0.21020283945365889</c:v>
                </c:pt>
                <c:pt idx="129">
                  <c:v>0.2115111787789245</c:v>
                </c:pt>
                <c:pt idx="130">
                  <c:v>0.21281951810419009</c:v>
                </c:pt>
                <c:pt idx="131">
                  <c:v>0.2141278574294557</c:v>
                </c:pt>
                <c:pt idx="132">
                  <c:v>0.21543619675472128</c:v>
                </c:pt>
                <c:pt idx="133">
                  <c:v>0.21674453607998689</c:v>
                </c:pt>
                <c:pt idx="134">
                  <c:v>0.21805287540525248</c:v>
                </c:pt>
                <c:pt idx="135">
                  <c:v>0.21936121473051809</c:v>
                </c:pt>
                <c:pt idx="136">
                  <c:v>0.2206695540557837</c:v>
                </c:pt>
                <c:pt idx="137">
                  <c:v>0.22197789338104928</c:v>
                </c:pt>
                <c:pt idx="138">
                  <c:v>0.2232862327063149</c:v>
                </c:pt>
                <c:pt idx="139">
                  <c:v>0.22459457203158048</c:v>
                </c:pt>
                <c:pt idx="140">
                  <c:v>0.22590291135684609</c:v>
                </c:pt>
                <c:pt idx="141">
                  <c:v>0.2272112506821117</c:v>
                </c:pt>
                <c:pt idx="142">
                  <c:v>0.22851959000737729</c:v>
                </c:pt>
                <c:pt idx="143">
                  <c:v>0.2298279293326429</c:v>
                </c:pt>
                <c:pt idx="144">
                  <c:v>0.23113626865790848</c:v>
                </c:pt>
                <c:pt idx="145">
                  <c:v>0.2324446079831741</c:v>
                </c:pt>
                <c:pt idx="146">
                  <c:v>0.23375294730843968</c:v>
                </c:pt>
                <c:pt idx="147">
                  <c:v>0.23506128663370529</c:v>
                </c:pt>
                <c:pt idx="148">
                  <c:v>0.2363696259589709</c:v>
                </c:pt>
                <c:pt idx="149">
                  <c:v>0.23767796528423649</c:v>
                </c:pt>
                <c:pt idx="150">
                  <c:v>0.2389863046095021</c:v>
                </c:pt>
                <c:pt idx="151">
                  <c:v>0.24029464393476768</c:v>
                </c:pt>
                <c:pt idx="152">
                  <c:v>0.24160298326003329</c:v>
                </c:pt>
                <c:pt idx="153">
                  <c:v>0.24291132258529888</c:v>
                </c:pt>
                <c:pt idx="154">
                  <c:v>0.24421966191056449</c:v>
                </c:pt>
                <c:pt idx="155">
                  <c:v>0.2455280012358301</c:v>
                </c:pt>
                <c:pt idx="156">
                  <c:v>0.24683634056109569</c:v>
                </c:pt>
                <c:pt idx="157">
                  <c:v>0.2481446798863613</c:v>
                </c:pt>
                <c:pt idx="158">
                  <c:v>0.24945301921162688</c:v>
                </c:pt>
                <c:pt idx="159">
                  <c:v>0.25076135853689252</c:v>
                </c:pt>
                <c:pt idx="160">
                  <c:v>0.2520696978621581</c:v>
                </c:pt>
                <c:pt idx="161">
                  <c:v>0.25337803718742369</c:v>
                </c:pt>
                <c:pt idx="162">
                  <c:v>0.25468637651268933</c:v>
                </c:pt>
                <c:pt idx="163">
                  <c:v>0.25599471583795491</c:v>
                </c:pt>
                <c:pt idx="164">
                  <c:v>0.2573030551632205</c:v>
                </c:pt>
                <c:pt idx="165">
                  <c:v>0.25861139448848608</c:v>
                </c:pt>
                <c:pt idx="166">
                  <c:v>0.25991973381375172</c:v>
                </c:pt>
                <c:pt idx="167">
                  <c:v>0.2612280731390173</c:v>
                </c:pt>
                <c:pt idx="168">
                  <c:v>0.26253641246428289</c:v>
                </c:pt>
                <c:pt idx="169">
                  <c:v>0.26384475178954853</c:v>
                </c:pt>
                <c:pt idx="170">
                  <c:v>0.26515309111481411</c:v>
                </c:pt>
                <c:pt idx="171">
                  <c:v>0.26646143044007969</c:v>
                </c:pt>
                <c:pt idx="172">
                  <c:v>0.26776976976534528</c:v>
                </c:pt>
                <c:pt idx="173">
                  <c:v>0.26907810909061092</c:v>
                </c:pt>
                <c:pt idx="174">
                  <c:v>0.2703864484158765</c:v>
                </c:pt>
                <c:pt idx="175">
                  <c:v>0.27169478774114209</c:v>
                </c:pt>
                <c:pt idx="176">
                  <c:v>0.27300312706640772</c:v>
                </c:pt>
                <c:pt idx="177">
                  <c:v>0.27431146639167331</c:v>
                </c:pt>
                <c:pt idx="178">
                  <c:v>0.27561980571693889</c:v>
                </c:pt>
                <c:pt idx="179">
                  <c:v>0.27692814504220448</c:v>
                </c:pt>
                <c:pt idx="180">
                  <c:v>0.27823648436747012</c:v>
                </c:pt>
                <c:pt idx="181">
                  <c:v>0.2795448236927357</c:v>
                </c:pt>
                <c:pt idx="182">
                  <c:v>0.28085316301800128</c:v>
                </c:pt>
                <c:pt idx="183">
                  <c:v>0.28216150234326692</c:v>
                </c:pt>
                <c:pt idx="184">
                  <c:v>0.28346984166853251</c:v>
                </c:pt>
                <c:pt idx="185">
                  <c:v>0.28477818099379809</c:v>
                </c:pt>
                <c:pt idx="186">
                  <c:v>0.28608652031906373</c:v>
                </c:pt>
                <c:pt idx="187">
                  <c:v>0.28739485964432931</c:v>
                </c:pt>
                <c:pt idx="188">
                  <c:v>0.2887031989695949</c:v>
                </c:pt>
                <c:pt idx="189">
                  <c:v>0.29001153829486048</c:v>
                </c:pt>
                <c:pt idx="190">
                  <c:v>0.29131987762012612</c:v>
                </c:pt>
                <c:pt idx="191">
                  <c:v>0.29262821694539171</c:v>
                </c:pt>
                <c:pt idx="192">
                  <c:v>0.29393655627065735</c:v>
                </c:pt>
                <c:pt idx="193">
                  <c:v>0.29524489559592293</c:v>
                </c:pt>
                <c:pt idx="194">
                  <c:v>0.29655323492118851</c:v>
                </c:pt>
                <c:pt idx="195">
                  <c:v>0.2978615742464541</c:v>
                </c:pt>
                <c:pt idx="196">
                  <c:v>0.29916991357171974</c:v>
                </c:pt>
                <c:pt idx="197">
                  <c:v>0.30047825289698532</c:v>
                </c:pt>
                <c:pt idx="198">
                  <c:v>0.3017865922222509</c:v>
                </c:pt>
                <c:pt idx="199">
                  <c:v>0.30309493154751654</c:v>
                </c:pt>
                <c:pt idx="200">
                  <c:v>0.30440327087278213</c:v>
                </c:pt>
                <c:pt idx="201">
                  <c:v>0.30571161019804771</c:v>
                </c:pt>
                <c:pt idx="202">
                  <c:v>0.3070199495233133</c:v>
                </c:pt>
                <c:pt idx="203">
                  <c:v>0.30832828884857894</c:v>
                </c:pt>
                <c:pt idx="204">
                  <c:v>0.30963662817384452</c:v>
                </c:pt>
                <c:pt idx="205">
                  <c:v>0.3109449674991101</c:v>
                </c:pt>
                <c:pt idx="206">
                  <c:v>0.31225330682437574</c:v>
                </c:pt>
                <c:pt idx="207">
                  <c:v>0.31356164614964133</c:v>
                </c:pt>
                <c:pt idx="208">
                  <c:v>0.31486998547490691</c:v>
                </c:pt>
                <c:pt idx="209">
                  <c:v>0.31617832480017249</c:v>
                </c:pt>
                <c:pt idx="210">
                  <c:v>0.31748666412543813</c:v>
                </c:pt>
                <c:pt idx="211">
                  <c:v>0.31879500345070372</c:v>
                </c:pt>
                <c:pt idx="212">
                  <c:v>0.3201033427759693</c:v>
                </c:pt>
                <c:pt idx="213">
                  <c:v>0.32141168210123494</c:v>
                </c:pt>
                <c:pt idx="214">
                  <c:v>0.32272002142650053</c:v>
                </c:pt>
                <c:pt idx="215">
                  <c:v>0.32402836075176611</c:v>
                </c:pt>
                <c:pt idx="216">
                  <c:v>0.32533670007703169</c:v>
                </c:pt>
                <c:pt idx="217">
                  <c:v>0.32664503940229733</c:v>
                </c:pt>
                <c:pt idx="218">
                  <c:v>0.32795337872756292</c:v>
                </c:pt>
                <c:pt idx="219">
                  <c:v>0.3292617180528285</c:v>
                </c:pt>
                <c:pt idx="220">
                  <c:v>0.33057005737809414</c:v>
                </c:pt>
                <c:pt idx="221">
                  <c:v>0.33187839670335972</c:v>
                </c:pt>
                <c:pt idx="222">
                  <c:v>0.33318673602862531</c:v>
                </c:pt>
                <c:pt idx="223">
                  <c:v>0.33449507535389089</c:v>
                </c:pt>
                <c:pt idx="224">
                  <c:v>0.33580341467915653</c:v>
                </c:pt>
                <c:pt idx="225">
                  <c:v>0.33711175400442212</c:v>
                </c:pt>
                <c:pt idx="226">
                  <c:v>0.3384200933296877</c:v>
                </c:pt>
                <c:pt idx="227">
                  <c:v>0.33972843265495334</c:v>
                </c:pt>
                <c:pt idx="228">
                  <c:v>0.34103677198021892</c:v>
                </c:pt>
                <c:pt idx="229">
                  <c:v>0.34234511130548451</c:v>
                </c:pt>
                <c:pt idx="230">
                  <c:v>0.34365345063075009</c:v>
                </c:pt>
                <c:pt idx="231">
                  <c:v>0.34496178995601573</c:v>
                </c:pt>
                <c:pt idx="232">
                  <c:v>0.34627012928128131</c:v>
                </c:pt>
                <c:pt idx="233">
                  <c:v>0.3475784686065469</c:v>
                </c:pt>
                <c:pt idx="234">
                  <c:v>0.34888680793181254</c:v>
                </c:pt>
                <c:pt idx="235">
                  <c:v>0.35019514725707812</c:v>
                </c:pt>
                <c:pt idx="236">
                  <c:v>0.3515034865823437</c:v>
                </c:pt>
                <c:pt idx="237">
                  <c:v>0.35281182590760934</c:v>
                </c:pt>
                <c:pt idx="238">
                  <c:v>0.35412016523287493</c:v>
                </c:pt>
                <c:pt idx="239">
                  <c:v>0.35542850455814051</c:v>
                </c:pt>
                <c:pt idx="240">
                  <c:v>0.3567368438834061</c:v>
                </c:pt>
                <c:pt idx="241">
                  <c:v>0.35804518320867174</c:v>
                </c:pt>
                <c:pt idx="242">
                  <c:v>0.35935352253393732</c:v>
                </c:pt>
                <c:pt idx="243">
                  <c:v>0.3606618618592029</c:v>
                </c:pt>
                <c:pt idx="244">
                  <c:v>0.36197020118446854</c:v>
                </c:pt>
                <c:pt idx="245">
                  <c:v>0.36327854050973413</c:v>
                </c:pt>
                <c:pt idx="246">
                  <c:v>0.36458687983499971</c:v>
                </c:pt>
                <c:pt idx="247">
                  <c:v>0.36589521916026529</c:v>
                </c:pt>
                <c:pt idx="248">
                  <c:v>0.36720355848553093</c:v>
                </c:pt>
                <c:pt idx="249">
                  <c:v>0.36851189781079652</c:v>
                </c:pt>
                <c:pt idx="250">
                  <c:v>0.3698202371360621</c:v>
                </c:pt>
                <c:pt idx="251">
                  <c:v>0.37112857646132774</c:v>
                </c:pt>
                <c:pt idx="252">
                  <c:v>0.37243691578659333</c:v>
                </c:pt>
                <c:pt idx="253">
                  <c:v>0.37374525511185891</c:v>
                </c:pt>
                <c:pt idx="254">
                  <c:v>0.37505359443712449</c:v>
                </c:pt>
                <c:pt idx="255">
                  <c:v>0.37636193376239013</c:v>
                </c:pt>
                <c:pt idx="256">
                  <c:v>0.37767027308765572</c:v>
                </c:pt>
                <c:pt idx="257">
                  <c:v>0.3789786124129213</c:v>
                </c:pt>
                <c:pt idx="258">
                  <c:v>0.38028695173818694</c:v>
                </c:pt>
                <c:pt idx="259">
                  <c:v>0.38159529106345252</c:v>
                </c:pt>
                <c:pt idx="260">
                  <c:v>0.38290363038871811</c:v>
                </c:pt>
                <c:pt idx="261">
                  <c:v>0.38421196971398369</c:v>
                </c:pt>
                <c:pt idx="262">
                  <c:v>0.38552030903924933</c:v>
                </c:pt>
                <c:pt idx="263">
                  <c:v>0.38682864836451492</c:v>
                </c:pt>
                <c:pt idx="264">
                  <c:v>0.3881369876897805</c:v>
                </c:pt>
                <c:pt idx="265">
                  <c:v>0.38944532701504614</c:v>
                </c:pt>
                <c:pt idx="266">
                  <c:v>0.39075366634031172</c:v>
                </c:pt>
                <c:pt idx="267">
                  <c:v>0.39206200566557731</c:v>
                </c:pt>
                <c:pt idx="268">
                  <c:v>0.39337034499084289</c:v>
                </c:pt>
                <c:pt idx="269">
                  <c:v>0.39467868431610853</c:v>
                </c:pt>
                <c:pt idx="270">
                  <c:v>0.39598702364137411</c:v>
                </c:pt>
                <c:pt idx="271">
                  <c:v>0.3972953629666397</c:v>
                </c:pt>
                <c:pt idx="272">
                  <c:v>0.39860370229190534</c:v>
                </c:pt>
                <c:pt idx="273">
                  <c:v>0.39991204161717092</c:v>
                </c:pt>
                <c:pt idx="274">
                  <c:v>0.40122038094243651</c:v>
                </c:pt>
                <c:pt idx="275">
                  <c:v>0.40252872026770209</c:v>
                </c:pt>
                <c:pt idx="276">
                  <c:v>0.40383705959296773</c:v>
                </c:pt>
                <c:pt idx="277">
                  <c:v>0.40514539891823331</c:v>
                </c:pt>
                <c:pt idx="278">
                  <c:v>0.4064537382434989</c:v>
                </c:pt>
                <c:pt idx="279">
                  <c:v>0.40776207756876454</c:v>
                </c:pt>
                <c:pt idx="280">
                  <c:v>0.40907041689403012</c:v>
                </c:pt>
                <c:pt idx="281">
                  <c:v>0.4103787562192957</c:v>
                </c:pt>
                <c:pt idx="282">
                  <c:v>0.41168709554456134</c:v>
                </c:pt>
                <c:pt idx="283">
                  <c:v>0.41299543486982693</c:v>
                </c:pt>
                <c:pt idx="284">
                  <c:v>0.41430377419509251</c:v>
                </c:pt>
                <c:pt idx="285">
                  <c:v>0.4156121135203581</c:v>
                </c:pt>
                <c:pt idx="286">
                  <c:v>0.41692045284562373</c:v>
                </c:pt>
                <c:pt idx="287">
                  <c:v>0.41822879217088932</c:v>
                </c:pt>
                <c:pt idx="288">
                  <c:v>0.4195371314961549</c:v>
                </c:pt>
                <c:pt idx="289">
                  <c:v>0.42084547082142054</c:v>
                </c:pt>
                <c:pt idx="290">
                  <c:v>0.42215381014668613</c:v>
                </c:pt>
                <c:pt idx="291">
                  <c:v>0.42346214947195171</c:v>
                </c:pt>
                <c:pt idx="292">
                  <c:v>0.42477048879721729</c:v>
                </c:pt>
                <c:pt idx="293">
                  <c:v>0.42607882812248293</c:v>
                </c:pt>
                <c:pt idx="294">
                  <c:v>0.42738716744774852</c:v>
                </c:pt>
                <c:pt idx="295">
                  <c:v>0.4286955067730141</c:v>
                </c:pt>
                <c:pt idx="296">
                  <c:v>0.43000384609827974</c:v>
                </c:pt>
                <c:pt idx="297">
                  <c:v>0.43131218542354532</c:v>
                </c:pt>
                <c:pt idx="298">
                  <c:v>0.43262052474881091</c:v>
                </c:pt>
                <c:pt idx="299">
                  <c:v>0.43392886407407649</c:v>
                </c:pt>
                <c:pt idx="300">
                  <c:v>0.43523720339934213</c:v>
                </c:pt>
                <c:pt idx="301">
                  <c:v>0.43654554272460772</c:v>
                </c:pt>
                <c:pt idx="302">
                  <c:v>0.4378538820498733</c:v>
                </c:pt>
                <c:pt idx="303">
                  <c:v>0.43916222137513894</c:v>
                </c:pt>
                <c:pt idx="304">
                  <c:v>0.44047056070040452</c:v>
                </c:pt>
                <c:pt idx="305">
                  <c:v>0.44177890002567011</c:v>
                </c:pt>
                <c:pt idx="306">
                  <c:v>0.44308723935093569</c:v>
                </c:pt>
                <c:pt idx="307">
                  <c:v>0.44439557867620133</c:v>
                </c:pt>
                <c:pt idx="308">
                  <c:v>0.44570391800146691</c:v>
                </c:pt>
                <c:pt idx="309">
                  <c:v>0.4470122573267325</c:v>
                </c:pt>
                <c:pt idx="310">
                  <c:v>0.44832059665199814</c:v>
                </c:pt>
                <c:pt idx="311">
                  <c:v>0.44962893597726372</c:v>
                </c:pt>
                <c:pt idx="312">
                  <c:v>0.45093727530252931</c:v>
                </c:pt>
                <c:pt idx="313">
                  <c:v>0.45224561462779489</c:v>
                </c:pt>
                <c:pt idx="314">
                  <c:v>0.45355395395306053</c:v>
                </c:pt>
                <c:pt idx="315">
                  <c:v>0.45486229327832611</c:v>
                </c:pt>
                <c:pt idx="316">
                  <c:v>0.4561706326035917</c:v>
                </c:pt>
                <c:pt idx="317">
                  <c:v>0.45747897192885734</c:v>
                </c:pt>
                <c:pt idx="318">
                  <c:v>0.45878731125412292</c:v>
                </c:pt>
                <c:pt idx="319">
                  <c:v>0.4600956505793885</c:v>
                </c:pt>
                <c:pt idx="320">
                  <c:v>0.46140398990465409</c:v>
                </c:pt>
                <c:pt idx="321">
                  <c:v>0.46271232922991973</c:v>
                </c:pt>
                <c:pt idx="322">
                  <c:v>0.46402066855518531</c:v>
                </c:pt>
                <c:pt idx="323">
                  <c:v>0.4653290078804509</c:v>
                </c:pt>
                <c:pt idx="324">
                  <c:v>0.46663734720571654</c:v>
                </c:pt>
                <c:pt idx="325">
                  <c:v>0.46794568653098212</c:v>
                </c:pt>
                <c:pt idx="326">
                  <c:v>0.4692540258562477</c:v>
                </c:pt>
                <c:pt idx="327">
                  <c:v>0.47056236518151334</c:v>
                </c:pt>
                <c:pt idx="328">
                  <c:v>0.47187070450677893</c:v>
                </c:pt>
                <c:pt idx="329">
                  <c:v>0.47317904383204451</c:v>
                </c:pt>
                <c:pt idx="330">
                  <c:v>0.47448738315731009</c:v>
                </c:pt>
                <c:pt idx="331">
                  <c:v>0.47579572248257573</c:v>
                </c:pt>
                <c:pt idx="332">
                  <c:v>0.47710406180784132</c:v>
                </c:pt>
                <c:pt idx="333">
                  <c:v>0.4784124011331069</c:v>
                </c:pt>
                <c:pt idx="334">
                  <c:v>0.47972074045837254</c:v>
                </c:pt>
                <c:pt idx="335">
                  <c:v>0.48102907978363812</c:v>
                </c:pt>
                <c:pt idx="336">
                  <c:v>0.48233741910890371</c:v>
                </c:pt>
                <c:pt idx="337">
                  <c:v>0.48364575843416929</c:v>
                </c:pt>
                <c:pt idx="338">
                  <c:v>0.48495409775943493</c:v>
                </c:pt>
                <c:pt idx="339">
                  <c:v>0.48626243708470052</c:v>
                </c:pt>
                <c:pt idx="340">
                  <c:v>0.4875707764099661</c:v>
                </c:pt>
                <c:pt idx="341">
                  <c:v>0.48887911573523174</c:v>
                </c:pt>
                <c:pt idx="342">
                  <c:v>0.49018745506049732</c:v>
                </c:pt>
                <c:pt idx="343">
                  <c:v>0.49149579438576291</c:v>
                </c:pt>
                <c:pt idx="344">
                  <c:v>0.49280413371102849</c:v>
                </c:pt>
                <c:pt idx="345">
                  <c:v>0.49411247303629413</c:v>
                </c:pt>
                <c:pt idx="346">
                  <c:v>0.49542081236155971</c:v>
                </c:pt>
                <c:pt idx="347">
                  <c:v>0.4967291516868253</c:v>
                </c:pt>
                <c:pt idx="348">
                  <c:v>0.49803749101209094</c:v>
                </c:pt>
                <c:pt idx="349">
                  <c:v>0.49934583033735652</c:v>
                </c:pt>
                <c:pt idx="350">
                  <c:v>0.50065416966262211</c:v>
                </c:pt>
                <c:pt idx="351">
                  <c:v>0.50196250898788763</c:v>
                </c:pt>
                <c:pt idx="352">
                  <c:v>0.50327084831315327</c:v>
                </c:pt>
                <c:pt idx="353">
                  <c:v>0.50457918763841891</c:v>
                </c:pt>
                <c:pt idx="354">
                  <c:v>0.50588752696368444</c:v>
                </c:pt>
                <c:pt idx="355">
                  <c:v>0.50719586628895008</c:v>
                </c:pt>
                <c:pt idx="356">
                  <c:v>0.50850420561421572</c:v>
                </c:pt>
                <c:pt idx="357">
                  <c:v>0.50981254493948125</c:v>
                </c:pt>
                <c:pt idx="358">
                  <c:v>0.51112088426474689</c:v>
                </c:pt>
                <c:pt idx="359">
                  <c:v>0.51242922359001253</c:v>
                </c:pt>
                <c:pt idx="360">
                  <c:v>0.51373756291527806</c:v>
                </c:pt>
                <c:pt idx="361">
                  <c:v>0.5150459022405437</c:v>
                </c:pt>
                <c:pt idx="362">
                  <c:v>0.51635424156580934</c:v>
                </c:pt>
                <c:pt idx="363">
                  <c:v>0.51766258089107486</c:v>
                </c:pt>
                <c:pt idx="364">
                  <c:v>0.5189709202163405</c:v>
                </c:pt>
                <c:pt idx="365">
                  <c:v>0.52027925954160614</c:v>
                </c:pt>
                <c:pt idx="366">
                  <c:v>0.52158759886687167</c:v>
                </c:pt>
                <c:pt idx="367">
                  <c:v>0.52289593819213731</c:v>
                </c:pt>
                <c:pt idx="368">
                  <c:v>0.52420427751740284</c:v>
                </c:pt>
                <c:pt idx="369">
                  <c:v>0.52551261684266848</c:v>
                </c:pt>
                <c:pt idx="370">
                  <c:v>0.52682095616793412</c:v>
                </c:pt>
                <c:pt idx="371">
                  <c:v>0.52812929549319965</c:v>
                </c:pt>
                <c:pt idx="372">
                  <c:v>0.52943763481846529</c:v>
                </c:pt>
                <c:pt idx="373">
                  <c:v>0.53074597414373093</c:v>
                </c:pt>
                <c:pt idx="374">
                  <c:v>0.53205431346899645</c:v>
                </c:pt>
                <c:pt idx="375">
                  <c:v>0.53336265279426209</c:v>
                </c:pt>
                <c:pt idx="376">
                  <c:v>0.53467099211952773</c:v>
                </c:pt>
                <c:pt idx="377">
                  <c:v>0.53597933144479326</c:v>
                </c:pt>
                <c:pt idx="378">
                  <c:v>0.5372876707700589</c:v>
                </c:pt>
                <c:pt idx="379">
                  <c:v>0.53859601009532454</c:v>
                </c:pt>
                <c:pt idx="380">
                  <c:v>0.53990434942059007</c:v>
                </c:pt>
                <c:pt idx="381">
                  <c:v>0.54121268874585571</c:v>
                </c:pt>
                <c:pt idx="382">
                  <c:v>0.54252102807112124</c:v>
                </c:pt>
                <c:pt idx="383">
                  <c:v>0.54382936739638688</c:v>
                </c:pt>
                <c:pt idx="384">
                  <c:v>0.54513770672165252</c:v>
                </c:pt>
                <c:pt idx="385">
                  <c:v>0.54644604604691804</c:v>
                </c:pt>
                <c:pt idx="386">
                  <c:v>0.54775438537218368</c:v>
                </c:pt>
                <c:pt idx="387">
                  <c:v>0.54906272469744921</c:v>
                </c:pt>
                <c:pt idx="388">
                  <c:v>0.55037106402271485</c:v>
                </c:pt>
                <c:pt idx="389">
                  <c:v>0.55167940334798049</c:v>
                </c:pt>
                <c:pt idx="390">
                  <c:v>0.55298774267324602</c:v>
                </c:pt>
                <c:pt idx="391">
                  <c:v>0.55429608199851166</c:v>
                </c:pt>
                <c:pt idx="392">
                  <c:v>0.5556044213237773</c:v>
                </c:pt>
                <c:pt idx="393">
                  <c:v>0.55691276064904283</c:v>
                </c:pt>
                <c:pt idx="394">
                  <c:v>0.55822109997430847</c:v>
                </c:pt>
                <c:pt idx="395">
                  <c:v>0.55952943929957411</c:v>
                </c:pt>
                <c:pt idx="396">
                  <c:v>0.56083777862483963</c:v>
                </c:pt>
                <c:pt idx="397">
                  <c:v>0.56214611795010527</c:v>
                </c:pt>
                <c:pt idx="398">
                  <c:v>0.56345445727537091</c:v>
                </c:pt>
                <c:pt idx="399">
                  <c:v>0.56476279660063644</c:v>
                </c:pt>
                <c:pt idx="400">
                  <c:v>0.56607113592590208</c:v>
                </c:pt>
                <c:pt idx="401">
                  <c:v>0.56737947525116761</c:v>
                </c:pt>
                <c:pt idx="402">
                  <c:v>0.56868781457643325</c:v>
                </c:pt>
                <c:pt idx="403">
                  <c:v>0.56999615390169889</c:v>
                </c:pt>
                <c:pt idx="404">
                  <c:v>0.57130449322696442</c:v>
                </c:pt>
                <c:pt idx="405">
                  <c:v>0.57261283255223006</c:v>
                </c:pt>
                <c:pt idx="406">
                  <c:v>0.57392117187749569</c:v>
                </c:pt>
                <c:pt idx="407">
                  <c:v>0.57522951120276122</c:v>
                </c:pt>
                <c:pt idx="408">
                  <c:v>0.57653785052802686</c:v>
                </c:pt>
                <c:pt idx="409">
                  <c:v>0.5778461898532925</c:v>
                </c:pt>
                <c:pt idx="410">
                  <c:v>0.57915452917855803</c:v>
                </c:pt>
                <c:pt idx="411">
                  <c:v>0.58046286850382367</c:v>
                </c:pt>
                <c:pt idx="412">
                  <c:v>0.58177120782908931</c:v>
                </c:pt>
                <c:pt idx="413">
                  <c:v>0.58307954715435484</c:v>
                </c:pt>
                <c:pt idx="414">
                  <c:v>0.58438788647962048</c:v>
                </c:pt>
                <c:pt idx="415">
                  <c:v>0.58569622580488601</c:v>
                </c:pt>
                <c:pt idx="416">
                  <c:v>0.58700456513015165</c:v>
                </c:pt>
                <c:pt idx="417">
                  <c:v>0.58831290445541728</c:v>
                </c:pt>
                <c:pt idx="418">
                  <c:v>0.58962124378068281</c:v>
                </c:pt>
                <c:pt idx="419">
                  <c:v>0.59092958310594845</c:v>
                </c:pt>
                <c:pt idx="420">
                  <c:v>0.59223792243121409</c:v>
                </c:pt>
                <c:pt idx="421">
                  <c:v>0.59354626175647962</c:v>
                </c:pt>
                <c:pt idx="422">
                  <c:v>0.59485460108174526</c:v>
                </c:pt>
                <c:pt idx="423">
                  <c:v>0.5961629404070109</c:v>
                </c:pt>
                <c:pt idx="424">
                  <c:v>0.59747127973227643</c:v>
                </c:pt>
                <c:pt idx="425">
                  <c:v>0.59877961905754207</c:v>
                </c:pt>
                <c:pt idx="426">
                  <c:v>0.60008795838280771</c:v>
                </c:pt>
                <c:pt idx="427">
                  <c:v>0.60139629770807324</c:v>
                </c:pt>
                <c:pt idx="428">
                  <c:v>0.60270463703333887</c:v>
                </c:pt>
                <c:pt idx="429">
                  <c:v>0.60401297635860451</c:v>
                </c:pt>
                <c:pt idx="430">
                  <c:v>0.60532131568387004</c:v>
                </c:pt>
                <c:pt idx="431">
                  <c:v>0.60662965500913568</c:v>
                </c:pt>
                <c:pt idx="432">
                  <c:v>0.60793799433440121</c:v>
                </c:pt>
                <c:pt idx="433">
                  <c:v>0.60924633365966685</c:v>
                </c:pt>
                <c:pt idx="434">
                  <c:v>0.61055467298493249</c:v>
                </c:pt>
                <c:pt idx="435">
                  <c:v>0.61186301231019802</c:v>
                </c:pt>
                <c:pt idx="436">
                  <c:v>0.61317135163546366</c:v>
                </c:pt>
                <c:pt idx="437">
                  <c:v>0.6144796909607293</c:v>
                </c:pt>
                <c:pt idx="438">
                  <c:v>0.61578803028599483</c:v>
                </c:pt>
                <c:pt idx="439">
                  <c:v>0.61709636961126046</c:v>
                </c:pt>
                <c:pt idx="440">
                  <c:v>0.6184047089365261</c:v>
                </c:pt>
                <c:pt idx="441">
                  <c:v>0.61971304826179163</c:v>
                </c:pt>
                <c:pt idx="442">
                  <c:v>0.62102138758705727</c:v>
                </c:pt>
                <c:pt idx="443">
                  <c:v>0.62232972691232291</c:v>
                </c:pt>
                <c:pt idx="444">
                  <c:v>0.62363806623758844</c:v>
                </c:pt>
                <c:pt idx="445">
                  <c:v>0.62494640556285408</c:v>
                </c:pt>
                <c:pt idx="446">
                  <c:v>0.62625474488811961</c:v>
                </c:pt>
                <c:pt idx="447">
                  <c:v>0.62756308421338525</c:v>
                </c:pt>
                <c:pt idx="448">
                  <c:v>0.62887142353865089</c:v>
                </c:pt>
                <c:pt idx="449">
                  <c:v>0.63017976286391642</c:v>
                </c:pt>
                <c:pt idx="450">
                  <c:v>0.63148810218918205</c:v>
                </c:pt>
                <c:pt idx="451">
                  <c:v>0.63279644151444769</c:v>
                </c:pt>
                <c:pt idx="452">
                  <c:v>0.63410478083971322</c:v>
                </c:pt>
                <c:pt idx="453">
                  <c:v>0.63541312016497886</c:v>
                </c:pt>
                <c:pt idx="454">
                  <c:v>0.6367214594902445</c:v>
                </c:pt>
                <c:pt idx="455">
                  <c:v>0.63802979881551003</c:v>
                </c:pt>
                <c:pt idx="456">
                  <c:v>0.63933813814077567</c:v>
                </c:pt>
                <c:pt idx="457">
                  <c:v>0.64064647746604131</c:v>
                </c:pt>
                <c:pt idx="458">
                  <c:v>0.64195481679130684</c:v>
                </c:pt>
                <c:pt idx="459">
                  <c:v>0.64326315611657248</c:v>
                </c:pt>
                <c:pt idx="460">
                  <c:v>0.644571495441838</c:v>
                </c:pt>
                <c:pt idx="461">
                  <c:v>0.64587983476710364</c:v>
                </c:pt>
                <c:pt idx="462">
                  <c:v>0.64718817409236928</c:v>
                </c:pt>
                <c:pt idx="463">
                  <c:v>0.64849651341763481</c:v>
                </c:pt>
                <c:pt idx="464">
                  <c:v>0.64980485274290045</c:v>
                </c:pt>
                <c:pt idx="465">
                  <c:v>0.65111319206816609</c:v>
                </c:pt>
                <c:pt idx="466">
                  <c:v>0.65242153139343162</c:v>
                </c:pt>
                <c:pt idx="467">
                  <c:v>0.65372987071869726</c:v>
                </c:pt>
                <c:pt idx="468">
                  <c:v>0.6550382100439629</c:v>
                </c:pt>
                <c:pt idx="469">
                  <c:v>0.65634654936922843</c:v>
                </c:pt>
                <c:pt idx="470">
                  <c:v>0.65765488869449407</c:v>
                </c:pt>
                <c:pt idx="471">
                  <c:v>0.65896322801975971</c:v>
                </c:pt>
                <c:pt idx="472">
                  <c:v>0.66027156734502523</c:v>
                </c:pt>
                <c:pt idx="473">
                  <c:v>0.66157990667029087</c:v>
                </c:pt>
                <c:pt idx="474">
                  <c:v>0.66288824599555651</c:v>
                </c:pt>
                <c:pt idx="475">
                  <c:v>0.66419658532082204</c:v>
                </c:pt>
                <c:pt idx="476">
                  <c:v>0.66550492464608768</c:v>
                </c:pt>
                <c:pt idx="477">
                  <c:v>0.66681326397135321</c:v>
                </c:pt>
                <c:pt idx="478">
                  <c:v>0.66812160329661885</c:v>
                </c:pt>
                <c:pt idx="479">
                  <c:v>0.66942994262188449</c:v>
                </c:pt>
                <c:pt idx="480">
                  <c:v>0.67073828194715002</c:v>
                </c:pt>
                <c:pt idx="481">
                  <c:v>0.67204662127241566</c:v>
                </c:pt>
                <c:pt idx="482">
                  <c:v>0.6733549605976813</c:v>
                </c:pt>
                <c:pt idx="483">
                  <c:v>0.67466329992294682</c:v>
                </c:pt>
                <c:pt idx="484">
                  <c:v>0.67597163924821246</c:v>
                </c:pt>
                <c:pt idx="485">
                  <c:v>0.6772799785734781</c:v>
                </c:pt>
                <c:pt idx="486">
                  <c:v>0.67858831789874363</c:v>
                </c:pt>
                <c:pt idx="487">
                  <c:v>0.67989665722400927</c:v>
                </c:pt>
                <c:pt idx="488">
                  <c:v>0.68120499654927491</c:v>
                </c:pt>
                <c:pt idx="489">
                  <c:v>0.68251333587454044</c:v>
                </c:pt>
                <c:pt idx="490">
                  <c:v>0.68382167519980608</c:v>
                </c:pt>
                <c:pt idx="491">
                  <c:v>0.68513001452507161</c:v>
                </c:pt>
                <c:pt idx="492">
                  <c:v>0.68643835385033725</c:v>
                </c:pt>
                <c:pt idx="493">
                  <c:v>0.68774669317560289</c:v>
                </c:pt>
                <c:pt idx="494">
                  <c:v>0.68905503250086841</c:v>
                </c:pt>
                <c:pt idx="495">
                  <c:v>0.69036337182613405</c:v>
                </c:pt>
                <c:pt idx="496">
                  <c:v>0.69167171115139969</c:v>
                </c:pt>
                <c:pt idx="497">
                  <c:v>0.69298005047666522</c:v>
                </c:pt>
                <c:pt idx="498">
                  <c:v>0.69428838980193086</c:v>
                </c:pt>
                <c:pt idx="499">
                  <c:v>0.6955967291271965</c:v>
                </c:pt>
                <c:pt idx="500">
                  <c:v>0.69690506845246203</c:v>
                </c:pt>
                <c:pt idx="501">
                  <c:v>0.69821340777772767</c:v>
                </c:pt>
                <c:pt idx="502">
                  <c:v>0.69952174710299331</c:v>
                </c:pt>
                <c:pt idx="503">
                  <c:v>0.70083008642825884</c:v>
                </c:pt>
                <c:pt idx="504">
                  <c:v>0.70213842575352448</c:v>
                </c:pt>
                <c:pt idx="505">
                  <c:v>0.70344676507879</c:v>
                </c:pt>
                <c:pt idx="506">
                  <c:v>0.70475510440405564</c:v>
                </c:pt>
                <c:pt idx="507">
                  <c:v>0.70606344372932128</c:v>
                </c:pt>
                <c:pt idx="508">
                  <c:v>0.70737178305458681</c:v>
                </c:pt>
                <c:pt idx="509">
                  <c:v>0.70868012237985245</c:v>
                </c:pt>
                <c:pt idx="510">
                  <c:v>0.70998846170511809</c:v>
                </c:pt>
                <c:pt idx="511">
                  <c:v>0.71129680103038362</c:v>
                </c:pt>
                <c:pt idx="512">
                  <c:v>0.71260514035564926</c:v>
                </c:pt>
                <c:pt idx="513">
                  <c:v>0.7139134796809149</c:v>
                </c:pt>
                <c:pt idx="514">
                  <c:v>0.71522181900618043</c:v>
                </c:pt>
                <c:pt idx="515">
                  <c:v>0.71653015833144607</c:v>
                </c:pt>
                <c:pt idx="516">
                  <c:v>0.7178384976567117</c:v>
                </c:pt>
                <c:pt idx="517">
                  <c:v>0.71914683698197723</c:v>
                </c:pt>
                <c:pt idx="518">
                  <c:v>0.72045517630724287</c:v>
                </c:pt>
                <c:pt idx="519">
                  <c:v>0.72176351563250851</c:v>
                </c:pt>
                <c:pt idx="520">
                  <c:v>0.72307185495777404</c:v>
                </c:pt>
                <c:pt idx="521">
                  <c:v>0.72438019428303968</c:v>
                </c:pt>
                <c:pt idx="522">
                  <c:v>0.72568853360830521</c:v>
                </c:pt>
                <c:pt idx="523">
                  <c:v>0.72699687293357085</c:v>
                </c:pt>
                <c:pt idx="524">
                  <c:v>0.72830521225883649</c:v>
                </c:pt>
                <c:pt idx="525">
                  <c:v>0.72961355158410202</c:v>
                </c:pt>
                <c:pt idx="526">
                  <c:v>0.73092189090936766</c:v>
                </c:pt>
                <c:pt idx="527">
                  <c:v>0.73223023023463329</c:v>
                </c:pt>
                <c:pt idx="528">
                  <c:v>0.73353856955989882</c:v>
                </c:pt>
                <c:pt idx="529">
                  <c:v>0.73484690888516446</c:v>
                </c:pt>
                <c:pt idx="530">
                  <c:v>0.7361552482104301</c:v>
                </c:pt>
                <c:pt idx="531">
                  <c:v>0.73746358753569563</c:v>
                </c:pt>
                <c:pt idx="532">
                  <c:v>0.73877192686096127</c:v>
                </c:pt>
                <c:pt idx="533">
                  <c:v>0.74008026618622691</c:v>
                </c:pt>
                <c:pt idx="534">
                  <c:v>0.74138860551149244</c:v>
                </c:pt>
                <c:pt idx="535">
                  <c:v>0.74269694483675808</c:v>
                </c:pt>
                <c:pt idx="536">
                  <c:v>0.74400528416202361</c:v>
                </c:pt>
                <c:pt idx="537">
                  <c:v>0.74531362348728925</c:v>
                </c:pt>
                <c:pt idx="538">
                  <c:v>0.74662196281255488</c:v>
                </c:pt>
                <c:pt idx="539">
                  <c:v>0.74793030213782041</c:v>
                </c:pt>
                <c:pt idx="540">
                  <c:v>0.74923864146308605</c:v>
                </c:pt>
                <c:pt idx="541">
                  <c:v>0.75054698078835169</c:v>
                </c:pt>
                <c:pt idx="542">
                  <c:v>0.75185532011361722</c:v>
                </c:pt>
                <c:pt idx="543">
                  <c:v>0.75316365943888286</c:v>
                </c:pt>
                <c:pt idx="544">
                  <c:v>0.7544719987641485</c:v>
                </c:pt>
                <c:pt idx="545">
                  <c:v>0.75578033808941403</c:v>
                </c:pt>
                <c:pt idx="546">
                  <c:v>0.75708867741467967</c:v>
                </c:pt>
                <c:pt idx="547">
                  <c:v>0.75839701673994531</c:v>
                </c:pt>
                <c:pt idx="548">
                  <c:v>0.75970535606521084</c:v>
                </c:pt>
                <c:pt idx="549">
                  <c:v>0.76101369539047647</c:v>
                </c:pt>
                <c:pt idx="550">
                  <c:v>0.762322034715742</c:v>
                </c:pt>
                <c:pt idx="551">
                  <c:v>0.76363037404100764</c:v>
                </c:pt>
                <c:pt idx="552">
                  <c:v>0.76493871336627328</c:v>
                </c:pt>
                <c:pt idx="553">
                  <c:v>0.76624705269153881</c:v>
                </c:pt>
                <c:pt idx="554">
                  <c:v>0.76755539201680445</c:v>
                </c:pt>
                <c:pt idx="555">
                  <c:v>0.76886373134207009</c:v>
                </c:pt>
                <c:pt idx="556">
                  <c:v>0.77017207066733562</c:v>
                </c:pt>
                <c:pt idx="557">
                  <c:v>0.77148040999260126</c:v>
                </c:pt>
                <c:pt idx="558">
                  <c:v>0.7727887493178669</c:v>
                </c:pt>
                <c:pt idx="559">
                  <c:v>0.77409708864313242</c:v>
                </c:pt>
                <c:pt idx="560">
                  <c:v>0.77540542796839806</c:v>
                </c:pt>
                <c:pt idx="561">
                  <c:v>0.7767137672936637</c:v>
                </c:pt>
                <c:pt idx="562">
                  <c:v>0.77802210661892923</c:v>
                </c:pt>
                <c:pt idx="563">
                  <c:v>0.77933044594419487</c:v>
                </c:pt>
                <c:pt idx="564">
                  <c:v>0.78063878526946051</c:v>
                </c:pt>
                <c:pt idx="565">
                  <c:v>0.78194712459472604</c:v>
                </c:pt>
                <c:pt idx="566">
                  <c:v>0.78325546391999168</c:v>
                </c:pt>
                <c:pt idx="567">
                  <c:v>0.78456380324525721</c:v>
                </c:pt>
                <c:pt idx="568">
                  <c:v>0.78587214257052285</c:v>
                </c:pt>
                <c:pt idx="569">
                  <c:v>0.78718048189578849</c:v>
                </c:pt>
                <c:pt idx="570">
                  <c:v>0.78848882122105401</c:v>
                </c:pt>
                <c:pt idx="571">
                  <c:v>0.78979716054631965</c:v>
                </c:pt>
                <c:pt idx="572">
                  <c:v>0.79110549987158529</c:v>
                </c:pt>
                <c:pt idx="573">
                  <c:v>0.79241383919685082</c:v>
                </c:pt>
                <c:pt idx="574">
                  <c:v>0.79372217852211646</c:v>
                </c:pt>
                <c:pt idx="575">
                  <c:v>0.7950305178473821</c:v>
                </c:pt>
                <c:pt idx="576">
                  <c:v>0.79633885717264763</c:v>
                </c:pt>
                <c:pt idx="577">
                  <c:v>0.79764719649791327</c:v>
                </c:pt>
                <c:pt idx="578">
                  <c:v>0.79895553582317891</c:v>
                </c:pt>
                <c:pt idx="579">
                  <c:v>0.80026387514844444</c:v>
                </c:pt>
                <c:pt idx="580">
                  <c:v>0.80157221447371008</c:v>
                </c:pt>
                <c:pt idx="581">
                  <c:v>0.8028805537989756</c:v>
                </c:pt>
                <c:pt idx="582">
                  <c:v>0.80418889312424124</c:v>
                </c:pt>
                <c:pt idx="583">
                  <c:v>0.80549723244950688</c:v>
                </c:pt>
                <c:pt idx="584">
                  <c:v>0.80680557177477241</c:v>
                </c:pt>
                <c:pt idx="585">
                  <c:v>0.80811391110003805</c:v>
                </c:pt>
                <c:pt idx="586">
                  <c:v>0.80942225042530369</c:v>
                </c:pt>
                <c:pt idx="587">
                  <c:v>0.81073058975056922</c:v>
                </c:pt>
                <c:pt idx="588">
                  <c:v>0.81203892907583486</c:v>
                </c:pt>
                <c:pt idx="589">
                  <c:v>0.8133472684011005</c:v>
                </c:pt>
                <c:pt idx="590">
                  <c:v>0.81465560772636603</c:v>
                </c:pt>
                <c:pt idx="591">
                  <c:v>0.81596394705163167</c:v>
                </c:pt>
                <c:pt idx="592">
                  <c:v>0.81727228637689731</c:v>
                </c:pt>
                <c:pt idx="593">
                  <c:v>0.81858062570216283</c:v>
                </c:pt>
                <c:pt idx="594">
                  <c:v>0.81988896502742847</c:v>
                </c:pt>
                <c:pt idx="595">
                  <c:v>0.821197304352694</c:v>
                </c:pt>
                <c:pt idx="596">
                  <c:v>0.82250564367795964</c:v>
                </c:pt>
                <c:pt idx="597">
                  <c:v>0.82381398300322528</c:v>
                </c:pt>
                <c:pt idx="598">
                  <c:v>0.82512232232849081</c:v>
                </c:pt>
                <c:pt idx="599">
                  <c:v>0.82643066165375645</c:v>
                </c:pt>
                <c:pt idx="600">
                  <c:v>0.82773900097902209</c:v>
                </c:pt>
                <c:pt idx="601">
                  <c:v>0.82904734030428762</c:v>
                </c:pt>
                <c:pt idx="602">
                  <c:v>0.83035567962955326</c:v>
                </c:pt>
                <c:pt idx="603">
                  <c:v>0.8316640189548189</c:v>
                </c:pt>
                <c:pt idx="604">
                  <c:v>0.83297235828008442</c:v>
                </c:pt>
                <c:pt idx="605">
                  <c:v>0.83428069760535006</c:v>
                </c:pt>
                <c:pt idx="606">
                  <c:v>0.8355890369306157</c:v>
                </c:pt>
                <c:pt idx="607">
                  <c:v>0.83689737625588123</c:v>
                </c:pt>
                <c:pt idx="608">
                  <c:v>0.83820571558114687</c:v>
                </c:pt>
                <c:pt idx="609">
                  <c:v>0.83951405490641251</c:v>
                </c:pt>
                <c:pt idx="610">
                  <c:v>0.84082239423167804</c:v>
                </c:pt>
                <c:pt idx="611">
                  <c:v>0.84213073355694368</c:v>
                </c:pt>
                <c:pt idx="612">
                  <c:v>0.84343907288220921</c:v>
                </c:pt>
                <c:pt idx="613">
                  <c:v>0.84474741220747485</c:v>
                </c:pt>
                <c:pt idx="614">
                  <c:v>0.84605575153274049</c:v>
                </c:pt>
                <c:pt idx="615">
                  <c:v>0.84736409085800601</c:v>
                </c:pt>
                <c:pt idx="616">
                  <c:v>0.84867243018327165</c:v>
                </c:pt>
                <c:pt idx="617">
                  <c:v>0.84998076950853729</c:v>
                </c:pt>
                <c:pt idx="618">
                  <c:v>0.85128910883380282</c:v>
                </c:pt>
                <c:pt idx="619">
                  <c:v>0.85259744815906846</c:v>
                </c:pt>
                <c:pt idx="620">
                  <c:v>0.8539057874843341</c:v>
                </c:pt>
                <c:pt idx="621">
                  <c:v>0.85521412680959963</c:v>
                </c:pt>
                <c:pt idx="622">
                  <c:v>0.85652246613486527</c:v>
                </c:pt>
                <c:pt idx="623">
                  <c:v>0.85783080546013091</c:v>
                </c:pt>
                <c:pt idx="624">
                  <c:v>0.85913914478539644</c:v>
                </c:pt>
                <c:pt idx="625">
                  <c:v>0.86044748411066208</c:v>
                </c:pt>
                <c:pt idx="626">
                  <c:v>0.8617558234359276</c:v>
                </c:pt>
                <c:pt idx="627">
                  <c:v>0.86306416276119324</c:v>
                </c:pt>
                <c:pt idx="628">
                  <c:v>0.86437250208645888</c:v>
                </c:pt>
                <c:pt idx="629">
                  <c:v>0.86568084141172441</c:v>
                </c:pt>
                <c:pt idx="630">
                  <c:v>0.86698918073699005</c:v>
                </c:pt>
                <c:pt idx="631">
                  <c:v>0.86829752006225569</c:v>
                </c:pt>
                <c:pt idx="632">
                  <c:v>0.86960585938752122</c:v>
                </c:pt>
                <c:pt idx="633">
                  <c:v>0.87091419871278686</c:v>
                </c:pt>
                <c:pt idx="634">
                  <c:v>0.8722225380380525</c:v>
                </c:pt>
                <c:pt idx="635">
                  <c:v>0.87353087736331803</c:v>
                </c:pt>
                <c:pt idx="636">
                  <c:v>0.87483921668858367</c:v>
                </c:pt>
                <c:pt idx="637">
                  <c:v>0.8761475560138493</c:v>
                </c:pt>
                <c:pt idx="638">
                  <c:v>0.87745589533911483</c:v>
                </c:pt>
                <c:pt idx="639">
                  <c:v>0.87876423466438047</c:v>
                </c:pt>
                <c:pt idx="640">
                  <c:v>0.880072573989646</c:v>
                </c:pt>
                <c:pt idx="641">
                  <c:v>0.88138091331491164</c:v>
                </c:pt>
                <c:pt idx="642">
                  <c:v>0.88268925264017728</c:v>
                </c:pt>
                <c:pt idx="643">
                  <c:v>0.88399759196544281</c:v>
                </c:pt>
                <c:pt idx="644">
                  <c:v>0.88530593129070845</c:v>
                </c:pt>
                <c:pt idx="645">
                  <c:v>0.88661427061597409</c:v>
                </c:pt>
                <c:pt idx="646">
                  <c:v>0.88792260994123962</c:v>
                </c:pt>
                <c:pt idx="647">
                  <c:v>0.88923094926650526</c:v>
                </c:pt>
                <c:pt idx="648">
                  <c:v>0.89053928859177089</c:v>
                </c:pt>
                <c:pt idx="649">
                  <c:v>0.89184762791703642</c:v>
                </c:pt>
                <c:pt idx="650">
                  <c:v>0.89315596724230206</c:v>
                </c:pt>
                <c:pt idx="651">
                  <c:v>0.8944643065675677</c:v>
                </c:pt>
                <c:pt idx="652">
                  <c:v>0.89577264589283323</c:v>
                </c:pt>
                <c:pt idx="653">
                  <c:v>0.89708098521809887</c:v>
                </c:pt>
                <c:pt idx="654">
                  <c:v>0.89838932454336451</c:v>
                </c:pt>
                <c:pt idx="655">
                  <c:v>0.89969766386863004</c:v>
                </c:pt>
                <c:pt idx="656">
                  <c:v>0.90100600319389568</c:v>
                </c:pt>
                <c:pt idx="657">
                  <c:v>0.90231434251916121</c:v>
                </c:pt>
                <c:pt idx="658">
                  <c:v>0.90362268184442684</c:v>
                </c:pt>
                <c:pt idx="659">
                  <c:v>0.90493102116969248</c:v>
                </c:pt>
                <c:pt idx="660">
                  <c:v>0.90623936049495801</c:v>
                </c:pt>
                <c:pt idx="661">
                  <c:v>0.90754769982022365</c:v>
                </c:pt>
                <c:pt idx="662">
                  <c:v>0.90885603914548929</c:v>
                </c:pt>
                <c:pt idx="663">
                  <c:v>0.91016437847075482</c:v>
                </c:pt>
                <c:pt idx="664">
                  <c:v>0.91147271779602046</c:v>
                </c:pt>
                <c:pt idx="665">
                  <c:v>0.9127810571212861</c:v>
                </c:pt>
                <c:pt idx="666">
                  <c:v>0.91408939644655163</c:v>
                </c:pt>
                <c:pt idx="667">
                  <c:v>0.91539773577181727</c:v>
                </c:pt>
                <c:pt idx="668">
                  <c:v>0.91670607509708291</c:v>
                </c:pt>
                <c:pt idx="669">
                  <c:v>0.91801441442234843</c:v>
                </c:pt>
                <c:pt idx="670">
                  <c:v>0.91932275374761407</c:v>
                </c:pt>
                <c:pt idx="671">
                  <c:v>0.9206310930728796</c:v>
                </c:pt>
                <c:pt idx="672">
                  <c:v>0.92193943239814524</c:v>
                </c:pt>
                <c:pt idx="673">
                  <c:v>0.92324777172341088</c:v>
                </c:pt>
                <c:pt idx="674">
                  <c:v>0.92455611104867641</c:v>
                </c:pt>
                <c:pt idx="675">
                  <c:v>0.92586445037394205</c:v>
                </c:pt>
                <c:pt idx="676">
                  <c:v>0.92717278969920769</c:v>
                </c:pt>
                <c:pt idx="677">
                  <c:v>0.92848112902447322</c:v>
                </c:pt>
                <c:pt idx="678">
                  <c:v>0.92978946834973886</c:v>
                </c:pt>
                <c:pt idx="679">
                  <c:v>0.9310978076750045</c:v>
                </c:pt>
                <c:pt idx="680">
                  <c:v>0.93240614700027002</c:v>
                </c:pt>
                <c:pt idx="681">
                  <c:v>0.93371448632553566</c:v>
                </c:pt>
                <c:pt idx="682">
                  <c:v>0.9350228256508013</c:v>
                </c:pt>
                <c:pt idx="683">
                  <c:v>0.93633116497606683</c:v>
                </c:pt>
                <c:pt idx="684">
                  <c:v>0.93763950430133247</c:v>
                </c:pt>
                <c:pt idx="685">
                  <c:v>0.93894784362659811</c:v>
                </c:pt>
                <c:pt idx="686">
                  <c:v>0.94025618295186364</c:v>
                </c:pt>
                <c:pt idx="687">
                  <c:v>0.94156452227712928</c:v>
                </c:pt>
                <c:pt idx="688">
                  <c:v>0.94287286160239481</c:v>
                </c:pt>
                <c:pt idx="689">
                  <c:v>0.94418120092766045</c:v>
                </c:pt>
                <c:pt idx="690">
                  <c:v>0.94548954025292609</c:v>
                </c:pt>
                <c:pt idx="691">
                  <c:v>0.94679787957819161</c:v>
                </c:pt>
                <c:pt idx="692">
                  <c:v>0.94810621890345725</c:v>
                </c:pt>
                <c:pt idx="693">
                  <c:v>0.94941455822872289</c:v>
                </c:pt>
                <c:pt idx="694">
                  <c:v>0.95072289755398842</c:v>
                </c:pt>
                <c:pt idx="695">
                  <c:v>0.95203123687925406</c:v>
                </c:pt>
                <c:pt idx="696">
                  <c:v>0.9533395762045197</c:v>
                </c:pt>
                <c:pt idx="697">
                  <c:v>0.95464791552978523</c:v>
                </c:pt>
                <c:pt idx="698">
                  <c:v>0.95595625485505087</c:v>
                </c:pt>
                <c:pt idx="699">
                  <c:v>0.95726459418031651</c:v>
                </c:pt>
              </c:numCache>
            </c:numRef>
          </c:xVal>
          <c:yVal>
            <c:numRef>
              <c:f>Sheet5_HID!ydata1</c:f>
              <c:numCache>
                <c:formatCode>General</c:formatCode>
                <c:ptCount val="700"/>
                <c:pt idx="0">
                  <c:v>1.0427354058196601</c:v>
                </c:pt>
                <c:pt idx="1">
                  <c:v>1.9572645941803399</c:v>
                </c:pt>
                <c:pt idx="2">
                  <c:v>1.0427354058196601</c:v>
                </c:pt>
                <c:pt idx="3">
                  <c:v>1.9572645941803399</c:v>
                </c:pt>
                <c:pt idx="4">
                  <c:v>1.0427354058196601</c:v>
                </c:pt>
                <c:pt idx="5">
                  <c:v>1.9572645941803399</c:v>
                </c:pt>
                <c:pt idx="6">
                  <c:v>1.0427354058196601</c:v>
                </c:pt>
                <c:pt idx="7">
                  <c:v>1.9572645941803399</c:v>
                </c:pt>
                <c:pt idx="8">
                  <c:v>1.0427354058196601</c:v>
                </c:pt>
                <c:pt idx="9">
                  <c:v>1.9572645941803399</c:v>
                </c:pt>
                <c:pt idx="10">
                  <c:v>1.0427354058196601</c:v>
                </c:pt>
                <c:pt idx="11">
                  <c:v>1.9572645941803399</c:v>
                </c:pt>
                <c:pt idx="12">
                  <c:v>1.0427354058196601</c:v>
                </c:pt>
                <c:pt idx="13">
                  <c:v>1.9572645941803399</c:v>
                </c:pt>
                <c:pt idx="14">
                  <c:v>1.0427354058196601</c:v>
                </c:pt>
                <c:pt idx="15">
                  <c:v>1.9572645941803399</c:v>
                </c:pt>
                <c:pt idx="16">
                  <c:v>1.0427354058196601</c:v>
                </c:pt>
                <c:pt idx="17">
                  <c:v>1.9572645941803399</c:v>
                </c:pt>
                <c:pt idx="18">
                  <c:v>1.0427354058196601</c:v>
                </c:pt>
                <c:pt idx="19">
                  <c:v>1.9572645941803399</c:v>
                </c:pt>
                <c:pt idx="20">
                  <c:v>1.0427354058196601</c:v>
                </c:pt>
                <c:pt idx="21">
                  <c:v>1.9572645941803399</c:v>
                </c:pt>
                <c:pt idx="22">
                  <c:v>1.0427354058196601</c:v>
                </c:pt>
                <c:pt idx="23">
                  <c:v>1.9572645941803399</c:v>
                </c:pt>
                <c:pt idx="24">
                  <c:v>1.0427354058196601</c:v>
                </c:pt>
                <c:pt idx="25">
                  <c:v>1.9572645941803399</c:v>
                </c:pt>
                <c:pt idx="26">
                  <c:v>1.0427354058196601</c:v>
                </c:pt>
                <c:pt idx="27">
                  <c:v>1.9572645941803399</c:v>
                </c:pt>
                <c:pt idx="28">
                  <c:v>1.0427354058196601</c:v>
                </c:pt>
                <c:pt idx="29">
                  <c:v>1.9572645941803399</c:v>
                </c:pt>
                <c:pt idx="30">
                  <c:v>1.0427354058196601</c:v>
                </c:pt>
                <c:pt idx="31">
                  <c:v>1.9572645941803399</c:v>
                </c:pt>
                <c:pt idx="32">
                  <c:v>1.0427354058196601</c:v>
                </c:pt>
                <c:pt idx="33">
                  <c:v>1.9572645941803399</c:v>
                </c:pt>
                <c:pt idx="34">
                  <c:v>1.0427354058196601</c:v>
                </c:pt>
                <c:pt idx="35">
                  <c:v>1.9572645941803399</c:v>
                </c:pt>
                <c:pt idx="36">
                  <c:v>1.0427354058196601</c:v>
                </c:pt>
                <c:pt idx="37">
                  <c:v>1.9572645941803399</c:v>
                </c:pt>
                <c:pt idx="38">
                  <c:v>1.0427354058196601</c:v>
                </c:pt>
                <c:pt idx="39">
                  <c:v>1.9572645941803399</c:v>
                </c:pt>
                <c:pt idx="40">
                  <c:v>1.0427354058196601</c:v>
                </c:pt>
                <c:pt idx="41">
                  <c:v>1.9572645941803399</c:v>
                </c:pt>
                <c:pt idx="42">
                  <c:v>1.0427354058196601</c:v>
                </c:pt>
                <c:pt idx="43">
                  <c:v>1.9572645941803399</c:v>
                </c:pt>
                <c:pt idx="44">
                  <c:v>1.0427354058196601</c:v>
                </c:pt>
                <c:pt idx="45">
                  <c:v>1.9572645941803399</c:v>
                </c:pt>
                <c:pt idx="46">
                  <c:v>1.0427354058196601</c:v>
                </c:pt>
                <c:pt idx="47">
                  <c:v>1.9572645941803399</c:v>
                </c:pt>
                <c:pt idx="48">
                  <c:v>1.0427354058196601</c:v>
                </c:pt>
                <c:pt idx="49">
                  <c:v>1.9572645941803399</c:v>
                </c:pt>
                <c:pt idx="50">
                  <c:v>1.0427354058196601</c:v>
                </c:pt>
                <c:pt idx="51">
                  <c:v>1.9572645941803399</c:v>
                </c:pt>
                <c:pt idx="52">
                  <c:v>1.0427354058196601</c:v>
                </c:pt>
                <c:pt idx="53">
                  <c:v>1.9572645941803399</c:v>
                </c:pt>
                <c:pt idx="54">
                  <c:v>1.0427354058196601</c:v>
                </c:pt>
                <c:pt idx="55">
                  <c:v>1.9572645941803399</c:v>
                </c:pt>
                <c:pt idx="56">
                  <c:v>1.0427354058196601</c:v>
                </c:pt>
                <c:pt idx="57">
                  <c:v>1.9572645941803399</c:v>
                </c:pt>
                <c:pt idx="58">
                  <c:v>1.0427354058196601</c:v>
                </c:pt>
                <c:pt idx="59">
                  <c:v>1.9572645941803399</c:v>
                </c:pt>
                <c:pt idx="60">
                  <c:v>1.0427354058196601</c:v>
                </c:pt>
                <c:pt idx="61">
                  <c:v>1.9572645941803399</c:v>
                </c:pt>
                <c:pt idx="62">
                  <c:v>1.0427354058196601</c:v>
                </c:pt>
                <c:pt idx="63">
                  <c:v>1.9572645941803399</c:v>
                </c:pt>
                <c:pt idx="64">
                  <c:v>1.0427354058196601</c:v>
                </c:pt>
                <c:pt idx="65">
                  <c:v>1.9572645941803399</c:v>
                </c:pt>
                <c:pt idx="66">
                  <c:v>1.0427354058196601</c:v>
                </c:pt>
                <c:pt idx="67">
                  <c:v>1.9572645941803399</c:v>
                </c:pt>
                <c:pt idx="68">
                  <c:v>1.0427354058196601</c:v>
                </c:pt>
                <c:pt idx="69">
                  <c:v>1.9572645941803399</c:v>
                </c:pt>
                <c:pt idx="70">
                  <c:v>1.0427354058196601</c:v>
                </c:pt>
                <c:pt idx="71">
                  <c:v>1.9572645941803399</c:v>
                </c:pt>
                <c:pt idx="72">
                  <c:v>1.0427354058196601</c:v>
                </c:pt>
                <c:pt idx="73">
                  <c:v>1.9572645941803399</c:v>
                </c:pt>
                <c:pt idx="74">
                  <c:v>1.0427354058196601</c:v>
                </c:pt>
                <c:pt idx="75">
                  <c:v>1.9572645941803399</c:v>
                </c:pt>
                <c:pt idx="76">
                  <c:v>1.0427354058196601</c:v>
                </c:pt>
                <c:pt idx="77">
                  <c:v>1.9572645941803399</c:v>
                </c:pt>
                <c:pt idx="78">
                  <c:v>1.0427354058196601</c:v>
                </c:pt>
                <c:pt idx="79">
                  <c:v>1.9572645941803399</c:v>
                </c:pt>
                <c:pt idx="80">
                  <c:v>1.0427354058196601</c:v>
                </c:pt>
                <c:pt idx="81">
                  <c:v>1.9572645941803399</c:v>
                </c:pt>
                <c:pt idx="82">
                  <c:v>1.0427354058196601</c:v>
                </c:pt>
                <c:pt idx="83">
                  <c:v>1.9572645941803399</c:v>
                </c:pt>
                <c:pt idx="84">
                  <c:v>1.0427354058196601</c:v>
                </c:pt>
                <c:pt idx="85">
                  <c:v>1.9572645941803399</c:v>
                </c:pt>
                <c:pt idx="86">
                  <c:v>1.0427354058196601</c:v>
                </c:pt>
                <c:pt idx="87">
                  <c:v>1.9572645941803399</c:v>
                </c:pt>
                <c:pt idx="88">
                  <c:v>1.0427354058196601</c:v>
                </c:pt>
                <c:pt idx="89">
                  <c:v>1.9572645941803399</c:v>
                </c:pt>
                <c:pt idx="90">
                  <c:v>1.0427354058196601</c:v>
                </c:pt>
                <c:pt idx="91">
                  <c:v>1.9572645941803399</c:v>
                </c:pt>
                <c:pt idx="92">
                  <c:v>1.0427354058196601</c:v>
                </c:pt>
                <c:pt idx="93">
                  <c:v>1.9572645941803399</c:v>
                </c:pt>
                <c:pt idx="94">
                  <c:v>1.0427354058196601</c:v>
                </c:pt>
                <c:pt idx="95">
                  <c:v>1.9572645941803399</c:v>
                </c:pt>
                <c:pt idx="96">
                  <c:v>1.0427354058196601</c:v>
                </c:pt>
                <c:pt idx="97">
                  <c:v>1.9572645941803399</c:v>
                </c:pt>
                <c:pt idx="98">
                  <c:v>1.0427354058196601</c:v>
                </c:pt>
                <c:pt idx="99">
                  <c:v>1.9572645941803399</c:v>
                </c:pt>
                <c:pt idx="100">
                  <c:v>1.0427354058196601</c:v>
                </c:pt>
                <c:pt idx="101">
                  <c:v>1.9572645941803399</c:v>
                </c:pt>
                <c:pt idx="102">
                  <c:v>1.0427354058196601</c:v>
                </c:pt>
                <c:pt idx="103">
                  <c:v>1.9572645941803399</c:v>
                </c:pt>
                <c:pt idx="104">
                  <c:v>1.0427354058196601</c:v>
                </c:pt>
                <c:pt idx="105">
                  <c:v>1.9572645941803399</c:v>
                </c:pt>
                <c:pt idx="106">
                  <c:v>1.0427354058196601</c:v>
                </c:pt>
                <c:pt idx="107">
                  <c:v>1.9572645941803399</c:v>
                </c:pt>
                <c:pt idx="108">
                  <c:v>1.0427354058196601</c:v>
                </c:pt>
                <c:pt idx="109">
                  <c:v>1.9572645941803399</c:v>
                </c:pt>
                <c:pt idx="110">
                  <c:v>1.0427354058196601</c:v>
                </c:pt>
                <c:pt idx="111">
                  <c:v>1.9572645941803399</c:v>
                </c:pt>
                <c:pt idx="112">
                  <c:v>1.0427354058196601</c:v>
                </c:pt>
                <c:pt idx="113">
                  <c:v>1.9572645941803399</c:v>
                </c:pt>
                <c:pt idx="114">
                  <c:v>1.0427354058196601</c:v>
                </c:pt>
                <c:pt idx="115">
                  <c:v>1.9572645941803399</c:v>
                </c:pt>
                <c:pt idx="116">
                  <c:v>1.0427354058196601</c:v>
                </c:pt>
                <c:pt idx="117">
                  <c:v>1.9572645941803399</c:v>
                </c:pt>
                <c:pt idx="118">
                  <c:v>1.0427354058196601</c:v>
                </c:pt>
                <c:pt idx="119">
                  <c:v>1.9572645941803399</c:v>
                </c:pt>
                <c:pt idx="120">
                  <c:v>1.0427354058196601</c:v>
                </c:pt>
                <c:pt idx="121">
                  <c:v>1.9572645941803399</c:v>
                </c:pt>
                <c:pt idx="122">
                  <c:v>1.0427354058196601</c:v>
                </c:pt>
                <c:pt idx="123">
                  <c:v>1.9572645941803399</c:v>
                </c:pt>
                <c:pt idx="124">
                  <c:v>1.0427354058196601</c:v>
                </c:pt>
                <c:pt idx="125">
                  <c:v>1.9572645941803399</c:v>
                </c:pt>
                <c:pt idx="126">
                  <c:v>1.0427354058196601</c:v>
                </c:pt>
                <c:pt idx="127">
                  <c:v>1.9572645941803399</c:v>
                </c:pt>
                <c:pt idx="128">
                  <c:v>1.0427354058196601</c:v>
                </c:pt>
                <c:pt idx="129">
                  <c:v>1.9572645941803399</c:v>
                </c:pt>
                <c:pt idx="130">
                  <c:v>1.0427354058196601</c:v>
                </c:pt>
                <c:pt idx="131">
                  <c:v>1.9572645941803399</c:v>
                </c:pt>
                <c:pt idx="132">
                  <c:v>1.0427354058196601</c:v>
                </c:pt>
                <c:pt idx="133">
                  <c:v>1.9572645941803399</c:v>
                </c:pt>
                <c:pt idx="134">
                  <c:v>1.0427354058196601</c:v>
                </c:pt>
                <c:pt idx="135">
                  <c:v>1.9572645941803399</c:v>
                </c:pt>
                <c:pt idx="136">
                  <c:v>1.0427354058196601</c:v>
                </c:pt>
                <c:pt idx="137">
                  <c:v>1.9572645941803399</c:v>
                </c:pt>
                <c:pt idx="138">
                  <c:v>1.0427354058196601</c:v>
                </c:pt>
                <c:pt idx="139">
                  <c:v>1.9572645941803399</c:v>
                </c:pt>
                <c:pt idx="140">
                  <c:v>1.0427354058196601</c:v>
                </c:pt>
                <c:pt idx="141">
                  <c:v>1.9572645941803399</c:v>
                </c:pt>
                <c:pt idx="142">
                  <c:v>1.0427354058196601</c:v>
                </c:pt>
                <c:pt idx="143">
                  <c:v>1.9572645941803399</c:v>
                </c:pt>
                <c:pt idx="144">
                  <c:v>1.0427354058196601</c:v>
                </c:pt>
                <c:pt idx="145">
                  <c:v>1.9572645941803399</c:v>
                </c:pt>
                <c:pt idx="146">
                  <c:v>1.0427354058196601</c:v>
                </c:pt>
                <c:pt idx="147">
                  <c:v>1.9572645941803399</c:v>
                </c:pt>
                <c:pt idx="148">
                  <c:v>1.0427354058196601</c:v>
                </c:pt>
                <c:pt idx="149">
                  <c:v>1.9572645941803399</c:v>
                </c:pt>
                <c:pt idx="150">
                  <c:v>1.0427354058196601</c:v>
                </c:pt>
                <c:pt idx="151">
                  <c:v>1.9572645941803399</c:v>
                </c:pt>
                <c:pt idx="152">
                  <c:v>1.0427354058196601</c:v>
                </c:pt>
                <c:pt idx="153">
                  <c:v>1.9572645941803399</c:v>
                </c:pt>
                <c:pt idx="154">
                  <c:v>1.0427354058196601</c:v>
                </c:pt>
                <c:pt idx="155">
                  <c:v>1.9572645941803399</c:v>
                </c:pt>
                <c:pt idx="156">
                  <c:v>1.0427354058196601</c:v>
                </c:pt>
                <c:pt idx="157">
                  <c:v>1.9572645941803399</c:v>
                </c:pt>
                <c:pt idx="158">
                  <c:v>1.0427354058196601</c:v>
                </c:pt>
                <c:pt idx="159">
                  <c:v>1.9572645941803399</c:v>
                </c:pt>
                <c:pt idx="160">
                  <c:v>1.0427354058196601</c:v>
                </c:pt>
                <c:pt idx="161">
                  <c:v>1.9572645941803399</c:v>
                </c:pt>
                <c:pt idx="162">
                  <c:v>1.0427354058196601</c:v>
                </c:pt>
                <c:pt idx="163">
                  <c:v>1.9572645941803399</c:v>
                </c:pt>
                <c:pt idx="164">
                  <c:v>1.0427354058196601</c:v>
                </c:pt>
                <c:pt idx="165">
                  <c:v>1.9572645941803399</c:v>
                </c:pt>
                <c:pt idx="166">
                  <c:v>1.0427354058196601</c:v>
                </c:pt>
                <c:pt idx="167">
                  <c:v>1.9572645941803399</c:v>
                </c:pt>
                <c:pt idx="168">
                  <c:v>1.0427354058196601</c:v>
                </c:pt>
                <c:pt idx="169">
                  <c:v>1.9572645941803399</c:v>
                </c:pt>
                <c:pt idx="170">
                  <c:v>1.0427354058196601</c:v>
                </c:pt>
                <c:pt idx="171">
                  <c:v>1.9572645941803399</c:v>
                </c:pt>
                <c:pt idx="172">
                  <c:v>1.0427354058196601</c:v>
                </c:pt>
                <c:pt idx="173">
                  <c:v>1.9572645941803399</c:v>
                </c:pt>
                <c:pt idx="174">
                  <c:v>1.0427354058196601</c:v>
                </c:pt>
                <c:pt idx="175">
                  <c:v>1.9572645941803399</c:v>
                </c:pt>
                <c:pt idx="176">
                  <c:v>1.0427354058196601</c:v>
                </c:pt>
                <c:pt idx="177">
                  <c:v>1.9572645941803399</c:v>
                </c:pt>
                <c:pt idx="178">
                  <c:v>1.0427354058196601</c:v>
                </c:pt>
                <c:pt idx="179">
                  <c:v>1.9572645941803399</c:v>
                </c:pt>
                <c:pt idx="180">
                  <c:v>1.0427354058196601</c:v>
                </c:pt>
                <c:pt idx="181">
                  <c:v>1.9572645941803399</c:v>
                </c:pt>
                <c:pt idx="182">
                  <c:v>1.0427354058196601</c:v>
                </c:pt>
                <c:pt idx="183">
                  <c:v>1.9572645941803399</c:v>
                </c:pt>
                <c:pt idx="184">
                  <c:v>1.0427354058196601</c:v>
                </c:pt>
                <c:pt idx="185">
                  <c:v>1.9572645941803399</c:v>
                </c:pt>
                <c:pt idx="186">
                  <c:v>1.0427354058196601</c:v>
                </c:pt>
                <c:pt idx="187">
                  <c:v>1.9572645941803399</c:v>
                </c:pt>
                <c:pt idx="188">
                  <c:v>1.0427354058196601</c:v>
                </c:pt>
                <c:pt idx="189">
                  <c:v>1.9572645941803399</c:v>
                </c:pt>
                <c:pt idx="190">
                  <c:v>1.0427354058196601</c:v>
                </c:pt>
                <c:pt idx="191">
                  <c:v>1.9572645941803399</c:v>
                </c:pt>
                <c:pt idx="192">
                  <c:v>1.0427354058196601</c:v>
                </c:pt>
                <c:pt idx="193">
                  <c:v>1.9572645941803399</c:v>
                </c:pt>
                <c:pt idx="194">
                  <c:v>1.0427354058196601</c:v>
                </c:pt>
                <c:pt idx="195">
                  <c:v>1.9572645941803399</c:v>
                </c:pt>
                <c:pt idx="196">
                  <c:v>1.0427354058196601</c:v>
                </c:pt>
                <c:pt idx="197">
                  <c:v>1.9572645941803399</c:v>
                </c:pt>
                <c:pt idx="198">
                  <c:v>1.0427354058196601</c:v>
                </c:pt>
                <c:pt idx="199">
                  <c:v>1.9572645941803399</c:v>
                </c:pt>
                <c:pt idx="200">
                  <c:v>1.0427354058196601</c:v>
                </c:pt>
                <c:pt idx="201">
                  <c:v>1.9572645941803399</c:v>
                </c:pt>
                <c:pt idx="202">
                  <c:v>1.0427354058196601</c:v>
                </c:pt>
                <c:pt idx="203">
                  <c:v>1.9572645941803399</c:v>
                </c:pt>
                <c:pt idx="204">
                  <c:v>1.0427354058196601</c:v>
                </c:pt>
                <c:pt idx="205">
                  <c:v>1.9572645941803399</c:v>
                </c:pt>
                <c:pt idx="206">
                  <c:v>1.0427354058196601</c:v>
                </c:pt>
                <c:pt idx="207">
                  <c:v>1.9572645941803399</c:v>
                </c:pt>
                <c:pt idx="208">
                  <c:v>1.0427354058196601</c:v>
                </c:pt>
                <c:pt idx="209">
                  <c:v>1.9572645941803399</c:v>
                </c:pt>
                <c:pt idx="210">
                  <c:v>1.0427354058196601</c:v>
                </c:pt>
                <c:pt idx="211">
                  <c:v>1.9572645941803399</c:v>
                </c:pt>
                <c:pt idx="212">
                  <c:v>1.0427354058196601</c:v>
                </c:pt>
                <c:pt idx="213">
                  <c:v>1.9572645941803399</c:v>
                </c:pt>
                <c:pt idx="214">
                  <c:v>1.0427354058196601</c:v>
                </c:pt>
                <c:pt idx="215">
                  <c:v>1.9572645941803399</c:v>
                </c:pt>
                <c:pt idx="216">
                  <c:v>1.0427354058196601</c:v>
                </c:pt>
                <c:pt idx="217">
                  <c:v>1.9572645941803399</c:v>
                </c:pt>
                <c:pt idx="218">
                  <c:v>1.0427354058196601</c:v>
                </c:pt>
                <c:pt idx="219">
                  <c:v>1.9572645941803399</c:v>
                </c:pt>
                <c:pt idx="220">
                  <c:v>1.0427354058196601</c:v>
                </c:pt>
                <c:pt idx="221">
                  <c:v>1.9572645941803399</c:v>
                </c:pt>
                <c:pt idx="222">
                  <c:v>1.0427354058196601</c:v>
                </c:pt>
                <c:pt idx="223">
                  <c:v>1.9572645941803399</c:v>
                </c:pt>
                <c:pt idx="224">
                  <c:v>1.0427354058196601</c:v>
                </c:pt>
                <c:pt idx="225">
                  <c:v>1.9572645941803399</c:v>
                </c:pt>
                <c:pt idx="226">
                  <c:v>1.0427354058196601</c:v>
                </c:pt>
                <c:pt idx="227">
                  <c:v>1.9572645941803399</c:v>
                </c:pt>
                <c:pt idx="228">
                  <c:v>1.0427354058196601</c:v>
                </c:pt>
                <c:pt idx="229">
                  <c:v>1.9572645941803399</c:v>
                </c:pt>
                <c:pt idx="230">
                  <c:v>1.0427354058196601</c:v>
                </c:pt>
                <c:pt idx="231">
                  <c:v>1.9572645941803399</c:v>
                </c:pt>
                <c:pt idx="232">
                  <c:v>1.0427354058196601</c:v>
                </c:pt>
                <c:pt idx="233">
                  <c:v>1.9572645941803399</c:v>
                </c:pt>
                <c:pt idx="234">
                  <c:v>1.0427354058196601</c:v>
                </c:pt>
                <c:pt idx="235">
                  <c:v>1.9572645941803399</c:v>
                </c:pt>
                <c:pt idx="236">
                  <c:v>1.0427354058196601</c:v>
                </c:pt>
                <c:pt idx="237">
                  <c:v>1.9572645941803399</c:v>
                </c:pt>
                <c:pt idx="238">
                  <c:v>1.0427354058196601</c:v>
                </c:pt>
                <c:pt idx="239">
                  <c:v>1.9572645941803399</c:v>
                </c:pt>
                <c:pt idx="240">
                  <c:v>1.0427354058196601</c:v>
                </c:pt>
                <c:pt idx="241">
                  <c:v>1.9572645941803399</c:v>
                </c:pt>
                <c:pt idx="242">
                  <c:v>1.0427354058196601</c:v>
                </c:pt>
                <c:pt idx="243">
                  <c:v>1.9572645941803399</c:v>
                </c:pt>
                <c:pt idx="244">
                  <c:v>1.0427354058196601</c:v>
                </c:pt>
                <c:pt idx="245">
                  <c:v>1.9572645941803399</c:v>
                </c:pt>
                <c:pt idx="246">
                  <c:v>1.0427354058196601</c:v>
                </c:pt>
                <c:pt idx="247">
                  <c:v>1.9572645941803399</c:v>
                </c:pt>
                <c:pt idx="248">
                  <c:v>1.0427354058196601</c:v>
                </c:pt>
                <c:pt idx="249">
                  <c:v>1.9572645941803399</c:v>
                </c:pt>
                <c:pt idx="250">
                  <c:v>1.0427354058196601</c:v>
                </c:pt>
                <c:pt idx="251">
                  <c:v>1.9572645941803399</c:v>
                </c:pt>
                <c:pt idx="252">
                  <c:v>1.0427354058196601</c:v>
                </c:pt>
                <c:pt idx="253">
                  <c:v>1.9572645941803399</c:v>
                </c:pt>
                <c:pt idx="254">
                  <c:v>1.0427354058196601</c:v>
                </c:pt>
                <c:pt idx="255">
                  <c:v>1.9572645941803399</c:v>
                </c:pt>
                <c:pt idx="256">
                  <c:v>1.0427354058196601</c:v>
                </c:pt>
                <c:pt idx="257">
                  <c:v>1.9572645941803399</c:v>
                </c:pt>
                <c:pt idx="258">
                  <c:v>1.0427354058196601</c:v>
                </c:pt>
                <c:pt idx="259">
                  <c:v>1.9572645941803399</c:v>
                </c:pt>
                <c:pt idx="260">
                  <c:v>1.0427354058196601</c:v>
                </c:pt>
                <c:pt idx="261">
                  <c:v>1.9572645941803399</c:v>
                </c:pt>
                <c:pt idx="262">
                  <c:v>1.0427354058196601</c:v>
                </c:pt>
                <c:pt idx="263">
                  <c:v>1.9572645941803399</c:v>
                </c:pt>
                <c:pt idx="264">
                  <c:v>1.0427354058196601</c:v>
                </c:pt>
                <c:pt idx="265">
                  <c:v>1.9572645941803399</c:v>
                </c:pt>
                <c:pt idx="266">
                  <c:v>1.0427354058196601</c:v>
                </c:pt>
                <c:pt idx="267">
                  <c:v>1.9572645941803399</c:v>
                </c:pt>
                <c:pt idx="268">
                  <c:v>1.0427354058196601</c:v>
                </c:pt>
                <c:pt idx="269">
                  <c:v>1.9572645941803399</c:v>
                </c:pt>
                <c:pt idx="270">
                  <c:v>1.0427354058196601</c:v>
                </c:pt>
                <c:pt idx="271">
                  <c:v>1.9572645941803399</c:v>
                </c:pt>
                <c:pt idx="272">
                  <c:v>1.0427354058196601</c:v>
                </c:pt>
                <c:pt idx="273">
                  <c:v>1.9572645941803399</c:v>
                </c:pt>
                <c:pt idx="274">
                  <c:v>1.0427354058196601</c:v>
                </c:pt>
                <c:pt idx="275">
                  <c:v>1.9572645941803399</c:v>
                </c:pt>
                <c:pt idx="276">
                  <c:v>1.0427354058196601</c:v>
                </c:pt>
                <c:pt idx="277">
                  <c:v>1.9572645941803399</c:v>
                </c:pt>
                <c:pt idx="278">
                  <c:v>1.0427354058196601</c:v>
                </c:pt>
                <c:pt idx="279">
                  <c:v>1.9572645941803399</c:v>
                </c:pt>
                <c:pt idx="280">
                  <c:v>1.0427354058196601</c:v>
                </c:pt>
                <c:pt idx="281">
                  <c:v>1.9572645941803399</c:v>
                </c:pt>
                <c:pt idx="282">
                  <c:v>1.0427354058196601</c:v>
                </c:pt>
                <c:pt idx="283">
                  <c:v>1.9572645941803399</c:v>
                </c:pt>
                <c:pt idx="284">
                  <c:v>1.0427354058196601</c:v>
                </c:pt>
                <c:pt idx="285">
                  <c:v>1.9572645941803399</c:v>
                </c:pt>
                <c:pt idx="286">
                  <c:v>1.0427354058196601</c:v>
                </c:pt>
                <c:pt idx="287">
                  <c:v>1.9572645941803399</c:v>
                </c:pt>
                <c:pt idx="288">
                  <c:v>1.0427354058196601</c:v>
                </c:pt>
                <c:pt idx="289">
                  <c:v>1.9572645941803399</c:v>
                </c:pt>
                <c:pt idx="290">
                  <c:v>1.0427354058196601</c:v>
                </c:pt>
                <c:pt idx="291">
                  <c:v>1.9572645941803399</c:v>
                </c:pt>
                <c:pt idx="292">
                  <c:v>1.0427354058196601</c:v>
                </c:pt>
                <c:pt idx="293">
                  <c:v>1.9572645941803399</c:v>
                </c:pt>
                <c:pt idx="294">
                  <c:v>1.0427354058196601</c:v>
                </c:pt>
                <c:pt idx="295">
                  <c:v>1.9572645941803399</c:v>
                </c:pt>
                <c:pt idx="296">
                  <c:v>1.0427354058196601</c:v>
                </c:pt>
                <c:pt idx="297">
                  <c:v>1.9572645941803399</c:v>
                </c:pt>
                <c:pt idx="298">
                  <c:v>1.0427354058196601</c:v>
                </c:pt>
                <c:pt idx="299">
                  <c:v>1.9572645941803399</c:v>
                </c:pt>
                <c:pt idx="300">
                  <c:v>1.0427354058196601</c:v>
                </c:pt>
                <c:pt idx="301">
                  <c:v>1.9572645941803399</c:v>
                </c:pt>
                <c:pt idx="302">
                  <c:v>1.0427354058196601</c:v>
                </c:pt>
                <c:pt idx="303">
                  <c:v>1.9572645941803399</c:v>
                </c:pt>
                <c:pt idx="304">
                  <c:v>1.0427354058196601</c:v>
                </c:pt>
                <c:pt idx="305">
                  <c:v>1.9572645941803399</c:v>
                </c:pt>
                <c:pt idx="306">
                  <c:v>1.0427354058196601</c:v>
                </c:pt>
                <c:pt idx="307">
                  <c:v>1.9572645941803399</c:v>
                </c:pt>
                <c:pt idx="308">
                  <c:v>1.0427354058196601</c:v>
                </c:pt>
                <c:pt idx="309">
                  <c:v>1.9572645941803399</c:v>
                </c:pt>
                <c:pt idx="310">
                  <c:v>1.0427354058196601</c:v>
                </c:pt>
                <c:pt idx="311">
                  <c:v>1.9572645941803399</c:v>
                </c:pt>
                <c:pt idx="312">
                  <c:v>1.0427354058196601</c:v>
                </c:pt>
                <c:pt idx="313">
                  <c:v>1.9572645941803399</c:v>
                </c:pt>
                <c:pt idx="314">
                  <c:v>1.0427354058196601</c:v>
                </c:pt>
                <c:pt idx="315">
                  <c:v>1.9572645941803399</c:v>
                </c:pt>
                <c:pt idx="316">
                  <c:v>1.0427354058196601</c:v>
                </c:pt>
                <c:pt idx="317">
                  <c:v>1.9572645941803399</c:v>
                </c:pt>
                <c:pt idx="318">
                  <c:v>1.0427354058196601</c:v>
                </c:pt>
                <c:pt idx="319">
                  <c:v>1.9572645941803399</c:v>
                </c:pt>
                <c:pt idx="320">
                  <c:v>1.0427354058196601</c:v>
                </c:pt>
                <c:pt idx="321">
                  <c:v>1.9572645941803399</c:v>
                </c:pt>
                <c:pt idx="322">
                  <c:v>1.0427354058196601</c:v>
                </c:pt>
                <c:pt idx="323">
                  <c:v>1.9572645941803399</c:v>
                </c:pt>
                <c:pt idx="324">
                  <c:v>1.0427354058196601</c:v>
                </c:pt>
                <c:pt idx="325">
                  <c:v>1.9572645941803399</c:v>
                </c:pt>
                <c:pt idx="326">
                  <c:v>1.0427354058196601</c:v>
                </c:pt>
                <c:pt idx="327">
                  <c:v>1.9572645941803399</c:v>
                </c:pt>
                <c:pt idx="328">
                  <c:v>1.0427354058196601</c:v>
                </c:pt>
                <c:pt idx="329">
                  <c:v>1.9572645941803399</c:v>
                </c:pt>
                <c:pt idx="330">
                  <c:v>1.0427354058196601</c:v>
                </c:pt>
                <c:pt idx="331">
                  <c:v>1.9572645941803399</c:v>
                </c:pt>
                <c:pt idx="332">
                  <c:v>1.0427354058196601</c:v>
                </c:pt>
                <c:pt idx="333">
                  <c:v>1.9572645941803399</c:v>
                </c:pt>
                <c:pt idx="334">
                  <c:v>1.0427354058196601</c:v>
                </c:pt>
                <c:pt idx="335">
                  <c:v>1.9572645941803399</c:v>
                </c:pt>
                <c:pt idx="336">
                  <c:v>1.0427354058196601</c:v>
                </c:pt>
                <c:pt idx="337">
                  <c:v>1.9572645941803399</c:v>
                </c:pt>
                <c:pt idx="338">
                  <c:v>1.0427354058196601</c:v>
                </c:pt>
                <c:pt idx="339">
                  <c:v>1.9572645941803399</c:v>
                </c:pt>
                <c:pt idx="340">
                  <c:v>1.0427354058196601</c:v>
                </c:pt>
                <c:pt idx="341">
                  <c:v>1.9572645941803399</c:v>
                </c:pt>
                <c:pt idx="342">
                  <c:v>1.0427354058196601</c:v>
                </c:pt>
                <c:pt idx="343">
                  <c:v>1.9572645941803399</c:v>
                </c:pt>
                <c:pt idx="344">
                  <c:v>1.0427354058196601</c:v>
                </c:pt>
                <c:pt idx="345">
                  <c:v>1.9572645941803399</c:v>
                </c:pt>
                <c:pt idx="346">
                  <c:v>1.0427354058196601</c:v>
                </c:pt>
                <c:pt idx="347">
                  <c:v>1.9572645941803399</c:v>
                </c:pt>
                <c:pt idx="348">
                  <c:v>1.0427354058196601</c:v>
                </c:pt>
                <c:pt idx="349">
                  <c:v>1.9572645941803399</c:v>
                </c:pt>
                <c:pt idx="350">
                  <c:v>1.0427354058196601</c:v>
                </c:pt>
                <c:pt idx="351">
                  <c:v>1.9572645941803399</c:v>
                </c:pt>
                <c:pt idx="352">
                  <c:v>1.0427354058196601</c:v>
                </c:pt>
                <c:pt idx="353">
                  <c:v>1.9572645941803399</c:v>
                </c:pt>
                <c:pt idx="354">
                  <c:v>1.0427354058196601</c:v>
                </c:pt>
                <c:pt idx="355">
                  <c:v>1.9572645941803399</c:v>
                </c:pt>
                <c:pt idx="356">
                  <c:v>1.0427354058196601</c:v>
                </c:pt>
                <c:pt idx="357">
                  <c:v>1.9572645941803399</c:v>
                </c:pt>
                <c:pt idx="358">
                  <c:v>1.0427354058196601</c:v>
                </c:pt>
                <c:pt idx="359">
                  <c:v>1.9572645941803399</c:v>
                </c:pt>
                <c:pt idx="360">
                  <c:v>1.0427354058196601</c:v>
                </c:pt>
                <c:pt idx="361">
                  <c:v>1.9572645941803399</c:v>
                </c:pt>
                <c:pt idx="362">
                  <c:v>1.0427354058196601</c:v>
                </c:pt>
                <c:pt idx="363">
                  <c:v>1.9572645941803399</c:v>
                </c:pt>
                <c:pt idx="364">
                  <c:v>1.0427354058196601</c:v>
                </c:pt>
                <c:pt idx="365">
                  <c:v>1.9572645941803399</c:v>
                </c:pt>
                <c:pt idx="366">
                  <c:v>1.0427354058196601</c:v>
                </c:pt>
                <c:pt idx="367">
                  <c:v>1.9572645941803399</c:v>
                </c:pt>
                <c:pt idx="368">
                  <c:v>1.0427354058196601</c:v>
                </c:pt>
                <c:pt idx="369">
                  <c:v>1.9572645941803399</c:v>
                </c:pt>
                <c:pt idx="370">
                  <c:v>1.0427354058196601</c:v>
                </c:pt>
                <c:pt idx="371">
                  <c:v>1.9572645941803399</c:v>
                </c:pt>
                <c:pt idx="372">
                  <c:v>1.0427354058196601</c:v>
                </c:pt>
                <c:pt idx="373">
                  <c:v>1.9572645941803399</c:v>
                </c:pt>
                <c:pt idx="374">
                  <c:v>1.0427354058196601</c:v>
                </c:pt>
                <c:pt idx="375">
                  <c:v>1.9572645941803399</c:v>
                </c:pt>
                <c:pt idx="376">
                  <c:v>1.0427354058196601</c:v>
                </c:pt>
                <c:pt idx="377">
                  <c:v>1.9572645941803399</c:v>
                </c:pt>
                <c:pt idx="378">
                  <c:v>1.0427354058196601</c:v>
                </c:pt>
                <c:pt idx="379">
                  <c:v>1.9572645941803399</c:v>
                </c:pt>
                <c:pt idx="380">
                  <c:v>1.0427354058196601</c:v>
                </c:pt>
                <c:pt idx="381">
                  <c:v>1.9572645941803399</c:v>
                </c:pt>
                <c:pt idx="382">
                  <c:v>1.0427354058196601</c:v>
                </c:pt>
                <c:pt idx="383">
                  <c:v>1.9572645941803399</c:v>
                </c:pt>
                <c:pt idx="384">
                  <c:v>1.0427354058196601</c:v>
                </c:pt>
                <c:pt idx="385">
                  <c:v>1.9572645941803399</c:v>
                </c:pt>
                <c:pt idx="386">
                  <c:v>1.0427354058196601</c:v>
                </c:pt>
                <c:pt idx="387">
                  <c:v>1.9572645941803399</c:v>
                </c:pt>
                <c:pt idx="388">
                  <c:v>1.0427354058196601</c:v>
                </c:pt>
                <c:pt idx="389">
                  <c:v>1.9572645941803399</c:v>
                </c:pt>
                <c:pt idx="390">
                  <c:v>1.0427354058196601</c:v>
                </c:pt>
                <c:pt idx="391">
                  <c:v>1.9572645941803399</c:v>
                </c:pt>
                <c:pt idx="392">
                  <c:v>1.0427354058196601</c:v>
                </c:pt>
                <c:pt idx="393">
                  <c:v>1.9572645941803399</c:v>
                </c:pt>
                <c:pt idx="394">
                  <c:v>1.0427354058196601</c:v>
                </c:pt>
                <c:pt idx="395">
                  <c:v>1.9572645941803399</c:v>
                </c:pt>
                <c:pt idx="396">
                  <c:v>1.0427354058196601</c:v>
                </c:pt>
                <c:pt idx="397">
                  <c:v>1.9572645941803399</c:v>
                </c:pt>
                <c:pt idx="398">
                  <c:v>1.0427354058196601</c:v>
                </c:pt>
                <c:pt idx="399">
                  <c:v>1.9572645941803399</c:v>
                </c:pt>
                <c:pt idx="400">
                  <c:v>1.0427354058196601</c:v>
                </c:pt>
                <c:pt idx="401">
                  <c:v>1.9572645941803399</c:v>
                </c:pt>
                <c:pt idx="402">
                  <c:v>1.0427354058196601</c:v>
                </c:pt>
                <c:pt idx="403">
                  <c:v>1.9572645941803399</c:v>
                </c:pt>
                <c:pt idx="404">
                  <c:v>1.0427354058196601</c:v>
                </c:pt>
                <c:pt idx="405">
                  <c:v>1.9572645941803399</c:v>
                </c:pt>
                <c:pt idx="406">
                  <c:v>1.0427354058196601</c:v>
                </c:pt>
                <c:pt idx="407">
                  <c:v>1.9572645941803399</c:v>
                </c:pt>
                <c:pt idx="408">
                  <c:v>1.0427354058196601</c:v>
                </c:pt>
                <c:pt idx="409">
                  <c:v>1.9572645941803399</c:v>
                </c:pt>
                <c:pt idx="410">
                  <c:v>1.0427354058196601</c:v>
                </c:pt>
                <c:pt idx="411">
                  <c:v>1.9572645941803399</c:v>
                </c:pt>
                <c:pt idx="412">
                  <c:v>1.0427354058196601</c:v>
                </c:pt>
                <c:pt idx="413">
                  <c:v>1.9572645941803399</c:v>
                </c:pt>
                <c:pt idx="414">
                  <c:v>1.0427354058196601</c:v>
                </c:pt>
                <c:pt idx="415">
                  <c:v>1.9572645941803399</c:v>
                </c:pt>
                <c:pt idx="416">
                  <c:v>1.0427354058196601</c:v>
                </c:pt>
                <c:pt idx="417">
                  <c:v>1.9572645941803399</c:v>
                </c:pt>
                <c:pt idx="418">
                  <c:v>1.0427354058196601</c:v>
                </c:pt>
                <c:pt idx="419">
                  <c:v>1.9572645941803399</c:v>
                </c:pt>
                <c:pt idx="420">
                  <c:v>1.0427354058196601</c:v>
                </c:pt>
                <c:pt idx="421">
                  <c:v>1.9572645941803399</c:v>
                </c:pt>
                <c:pt idx="422">
                  <c:v>1.0427354058196601</c:v>
                </c:pt>
                <c:pt idx="423">
                  <c:v>1.9572645941803399</c:v>
                </c:pt>
                <c:pt idx="424">
                  <c:v>1.0427354058196601</c:v>
                </c:pt>
                <c:pt idx="425">
                  <c:v>1.9572645941803399</c:v>
                </c:pt>
                <c:pt idx="426">
                  <c:v>1.0427354058196601</c:v>
                </c:pt>
                <c:pt idx="427">
                  <c:v>1.9572645941803399</c:v>
                </c:pt>
                <c:pt idx="428">
                  <c:v>1.0427354058196601</c:v>
                </c:pt>
                <c:pt idx="429">
                  <c:v>1.9572645941803399</c:v>
                </c:pt>
                <c:pt idx="430">
                  <c:v>1.0427354058196601</c:v>
                </c:pt>
                <c:pt idx="431">
                  <c:v>1.9572645941803399</c:v>
                </c:pt>
                <c:pt idx="432">
                  <c:v>1.0427354058196601</c:v>
                </c:pt>
                <c:pt idx="433">
                  <c:v>1.9572645941803399</c:v>
                </c:pt>
                <c:pt idx="434">
                  <c:v>1.0427354058196601</c:v>
                </c:pt>
                <c:pt idx="435">
                  <c:v>1.9572645941803399</c:v>
                </c:pt>
                <c:pt idx="436">
                  <c:v>1.0427354058196601</c:v>
                </c:pt>
                <c:pt idx="437">
                  <c:v>1.9572645941803399</c:v>
                </c:pt>
                <c:pt idx="438">
                  <c:v>1.0427354058196601</c:v>
                </c:pt>
                <c:pt idx="439">
                  <c:v>1.9572645941803399</c:v>
                </c:pt>
                <c:pt idx="440">
                  <c:v>1.0427354058196601</c:v>
                </c:pt>
                <c:pt idx="441">
                  <c:v>1.9572645941803399</c:v>
                </c:pt>
                <c:pt idx="442">
                  <c:v>1.0427354058196601</c:v>
                </c:pt>
                <c:pt idx="443">
                  <c:v>1.9572645941803399</c:v>
                </c:pt>
                <c:pt idx="444">
                  <c:v>1.0427354058196601</c:v>
                </c:pt>
                <c:pt idx="445">
                  <c:v>1.9572645941803399</c:v>
                </c:pt>
                <c:pt idx="446">
                  <c:v>1.0427354058196601</c:v>
                </c:pt>
                <c:pt idx="447">
                  <c:v>1.9572645941803399</c:v>
                </c:pt>
                <c:pt idx="448">
                  <c:v>1.0427354058196601</c:v>
                </c:pt>
                <c:pt idx="449">
                  <c:v>1.9572645941803399</c:v>
                </c:pt>
                <c:pt idx="450">
                  <c:v>1.0427354058196601</c:v>
                </c:pt>
                <c:pt idx="451">
                  <c:v>1.9572645941803399</c:v>
                </c:pt>
                <c:pt idx="452">
                  <c:v>1.0427354058196601</c:v>
                </c:pt>
                <c:pt idx="453">
                  <c:v>1.9572645941803399</c:v>
                </c:pt>
                <c:pt idx="454">
                  <c:v>1.0427354058196601</c:v>
                </c:pt>
                <c:pt idx="455">
                  <c:v>1.9572645941803399</c:v>
                </c:pt>
                <c:pt idx="456">
                  <c:v>1.0427354058196601</c:v>
                </c:pt>
                <c:pt idx="457">
                  <c:v>1.9572645941803399</c:v>
                </c:pt>
                <c:pt idx="458">
                  <c:v>1.0427354058196601</c:v>
                </c:pt>
                <c:pt idx="459">
                  <c:v>1.9572645941803399</c:v>
                </c:pt>
                <c:pt idx="460">
                  <c:v>1.0427354058196601</c:v>
                </c:pt>
                <c:pt idx="461">
                  <c:v>1.9572645941803399</c:v>
                </c:pt>
                <c:pt idx="462">
                  <c:v>1.0427354058196601</c:v>
                </c:pt>
                <c:pt idx="463">
                  <c:v>1.9572645941803399</c:v>
                </c:pt>
                <c:pt idx="464">
                  <c:v>1.0427354058196601</c:v>
                </c:pt>
                <c:pt idx="465">
                  <c:v>1.9572645941803399</c:v>
                </c:pt>
                <c:pt idx="466">
                  <c:v>1.0427354058196601</c:v>
                </c:pt>
                <c:pt idx="467">
                  <c:v>1.9572645941803399</c:v>
                </c:pt>
                <c:pt idx="468">
                  <c:v>1.0427354058196601</c:v>
                </c:pt>
                <c:pt idx="469">
                  <c:v>1.9572645941803399</c:v>
                </c:pt>
                <c:pt idx="470">
                  <c:v>1.0427354058196601</c:v>
                </c:pt>
                <c:pt idx="471">
                  <c:v>1.9572645941803399</c:v>
                </c:pt>
                <c:pt idx="472">
                  <c:v>1.0427354058196601</c:v>
                </c:pt>
                <c:pt idx="473">
                  <c:v>1.9572645941803399</c:v>
                </c:pt>
                <c:pt idx="474">
                  <c:v>1.0427354058196601</c:v>
                </c:pt>
                <c:pt idx="475">
                  <c:v>1.9572645941803399</c:v>
                </c:pt>
                <c:pt idx="476">
                  <c:v>1.0427354058196601</c:v>
                </c:pt>
                <c:pt idx="477">
                  <c:v>1.9572645941803399</c:v>
                </c:pt>
                <c:pt idx="478">
                  <c:v>1.0427354058196601</c:v>
                </c:pt>
                <c:pt idx="479">
                  <c:v>1.9572645941803399</c:v>
                </c:pt>
                <c:pt idx="480">
                  <c:v>1.0427354058196601</c:v>
                </c:pt>
                <c:pt idx="481">
                  <c:v>1.9572645941803399</c:v>
                </c:pt>
                <c:pt idx="482">
                  <c:v>1.0427354058196601</c:v>
                </c:pt>
                <c:pt idx="483">
                  <c:v>1.9572645941803399</c:v>
                </c:pt>
                <c:pt idx="484">
                  <c:v>1.0427354058196601</c:v>
                </c:pt>
                <c:pt idx="485">
                  <c:v>1.9572645941803399</c:v>
                </c:pt>
                <c:pt idx="486">
                  <c:v>1.0427354058196601</c:v>
                </c:pt>
                <c:pt idx="487">
                  <c:v>1.9572645941803399</c:v>
                </c:pt>
                <c:pt idx="488">
                  <c:v>1.0427354058196601</c:v>
                </c:pt>
                <c:pt idx="489">
                  <c:v>1.9572645941803399</c:v>
                </c:pt>
                <c:pt idx="490">
                  <c:v>1.0427354058196601</c:v>
                </c:pt>
                <c:pt idx="491">
                  <c:v>1.9572645941803399</c:v>
                </c:pt>
                <c:pt idx="492">
                  <c:v>1.0427354058196601</c:v>
                </c:pt>
                <c:pt idx="493">
                  <c:v>1.9572645941803399</c:v>
                </c:pt>
                <c:pt idx="494">
                  <c:v>1.0427354058196601</c:v>
                </c:pt>
                <c:pt idx="495">
                  <c:v>1.9572645941803399</c:v>
                </c:pt>
                <c:pt idx="496">
                  <c:v>1.0427354058196601</c:v>
                </c:pt>
                <c:pt idx="497">
                  <c:v>1.9572645941803399</c:v>
                </c:pt>
                <c:pt idx="498">
                  <c:v>1.0427354058196601</c:v>
                </c:pt>
                <c:pt idx="499">
                  <c:v>1.9572645941803399</c:v>
                </c:pt>
                <c:pt idx="500">
                  <c:v>1.0427354058196601</c:v>
                </c:pt>
                <c:pt idx="501">
                  <c:v>1.9572645941803399</c:v>
                </c:pt>
                <c:pt idx="502">
                  <c:v>1.0427354058196601</c:v>
                </c:pt>
                <c:pt idx="503">
                  <c:v>1.9572645941803399</c:v>
                </c:pt>
                <c:pt idx="504">
                  <c:v>1.0427354058196601</c:v>
                </c:pt>
                <c:pt idx="505">
                  <c:v>1.9572645941803399</c:v>
                </c:pt>
                <c:pt idx="506">
                  <c:v>1.0427354058196601</c:v>
                </c:pt>
                <c:pt idx="507">
                  <c:v>1.9572645941803399</c:v>
                </c:pt>
                <c:pt idx="508">
                  <c:v>1.0427354058196601</c:v>
                </c:pt>
                <c:pt idx="509">
                  <c:v>1.9572645941803399</c:v>
                </c:pt>
                <c:pt idx="510">
                  <c:v>1.0427354058196601</c:v>
                </c:pt>
                <c:pt idx="511">
                  <c:v>1.9572645941803399</c:v>
                </c:pt>
                <c:pt idx="512">
                  <c:v>1.0427354058196601</c:v>
                </c:pt>
                <c:pt idx="513">
                  <c:v>1.9572645941803399</c:v>
                </c:pt>
                <c:pt idx="514">
                  <c:v>1.0427354058196601</c:v>
                </c:pt>
                <c:pt idx="515">
                  <c:v>1.9572645941803399</c:v>
                </c:pt>
                <c:pt idx="516">
                  <c:v>1.0427354058196601</c:v>
                </c:pt>
                <c:pt idx="517">
                  <c:v>1.9572645941803399</c:v>
                </c:pt>
                <c:pt idx="518">
                  <c:v>1.0427354058196601</c:v>
                </c:pt>
                <c:pt idx="519">
                  <c:v>1.9572645941803399</c:v>
                </c:pt>
                <c:pt idx="520">
                  <c:v>1.0427354058196601</c:v>
                </c:pt>
                <c:pt idx="521">
                  <c:v>1.9572645941803399</c:v>
                </c:pt>
                <c:pt idx="522">
                  <c:v>1.0427354058196601</c:v>
                </c:pt>
                <c:pt idx="523">
                  <c:v>1.9572645941803399</c:v>
                </c:pt>
                <c:pt idx="524">
                  <c:v>1.0427354058196601</c:v>
                </c:pt>
                <c:pt idx="525">
                  <c:v>1.9572645941803399</c:v>
                </c:pt>
                <c:pt idx="526">
                  <c:v>1.0427354058196601</c:v>
                </c:pt>
                <c:pt idx="527">
                  <c:v>1.9572645941803399</c:v>
                </c:pt>
                <c:pt idx="528">
                  <c:v>1.0427354058196601</c:v>
                </c:pt>
                <c:pt idx="529">
                  <c:v>1.9572645941803399</c:v>
                </c:pt>
                <c:pt idx="530">
                  <c:v>1.0427354058196601</c:v>
                </c:pt>
                <c:pt idx="531">
                  <c:v>1.9572645941803399</c:v>
                </c:pt>
                <c:pt idx="532">
                  <c:v>1.0427354058196601</c:v>
                </c:pt>
                <c:pt idx="533">
                  <c:v>1.9572645941803399</c:v>
                </c:pt>
                <c:pt idx="534">
                  <c:v>1.0427354058196601</c:v>
                </c:pt>
                <c:pt idx="535">
                  <c:v>1.9572645941803399</c:v>
                </c:pt>
                <c:pt idx="536">
                  <c:v>1.0427354058196601</c:v>
                </c:pt>
                <c:pt idx="537">
                  <c:v>1.9572645941803399</c:v>
                </c:pt>
                <c:pt idx="538">
                  <c:v>1.0427354058196601</c:v>
                </c:pt>
                <c:pt idx="539">
                  <c:v>1.9572645941803399</c:v>
                </c:pt>
                <c:pt idx="540">
                  <c:v>1.0427354058196601</c:v>
                </c:pt>
                <c:pt idx="541">
                  <c:v>1.9572645941803399</c:v>
                </c:pt>
                <c:pt idx="542">
                  <c:v>1.0427354058196601</c:v>
                </c:pt>
                <c:pt idx="543">
                  <c:v>1.9572645941803399</c:v>
                </c:pt>
                <c:pt idx="544">
                  <c:v>1.0427354058196601</c:v>
                </c:pt>
                <c:pt idx="545">
                  <c:v>1.9572645941803399</c:v>
                </c:pt>
                <c:pt idx="546">
                  <c:v>1.0427354058196601</c:v>
                </c:pt>
                <c:pt idx="547">
                  <c:v>1.9572645941803399</c:v>
                </c:pt>
                <c:pt idx="548">
                  <c:v>1.0427354058196601</c:v>
                </c:pt>
                <c:pt idx="549">
                  <c:v>1.9572645941803399</c:v>
                </c:pt>
                <c:pt idx="550">
                  <c:v>1.0427354058196601</c:v>
                </c:pt>
                <c:pt idx="551">
                  <c:v>1.9572645941803399</c:v>
                </c:pt>
                <c:pt idx="552">
                  <c:v>1.0427354058196601</c:v>
                </c:pt>
                <c:pt idx="553">
                  <c:v>1.9572645941803399</c:v>
                </c:pt>
                <c:pt idx="554">
                  <c:v>1.0427354058196601</c:v>
                </c:pt>
                <c:pt idx="555">
                  <c:v>1.9572645941803399</c:v>
                </c:pt>
                <c:pt idx="556">
                  <c:v>1.0427354058196601</c:v>
                </c:pt>
                <c:pt idx="557">
                  <c:v>1.9572645941803399</c:v>
                </c:pt>
                <c:pt idx="558">
                  <c:v>1.0427354058196601</c:v>
                </c:pt>
                <c:pt idx="559">
                  <c:v>1.9572645941803399</c:v>
                </c:pt>
                <c:pt idx="560">
                  <c:v>1.0427354058196601</c:v>
                </c:pt>
                <c:pt idx="561">
                  <c:v>1.9572645941803399</c:v>
                </c:pt>
                <c:pt idx="562">
                  <c:v>1.0427354058196601</c:v>
                </c:pt>
                <c:pt idx="563">
                  <c:v>1.9572645941803399</c:v>
                </c:pt>
                <c:pt idx="564">
                  <c:v>1.0427354058196601</c:v>
                </c:pt>
                <c:pt idx="565">
                  <c:v>1.9572645941803399</c:v>
                </c:pt>
                <c:pt idx="566">
                  <c:v>1.0427354058196601</c:v>
                </c:pt>
                <c:pt idx="567">
                  <c:v>1.9572645941803399</c:v>
                </c:pt>
                <c:pt idx="568">
                  <c:v>1.0427354058196601</c:v>
                </c:pt>
                <c:pt idx="569">
                  <c:v>1.9572645941803399</c:v>
                </c:pt>
                <c:pt idx="570">
                  <c:v>1.0427354058196601</c:v>
                </c:pt>
                <c:pt idx="571">
                  <c:v>1.9572645941803399</c:v>
                </c:pt>
                <c:pt idx="572">
                  <c:v>1.0427354058196601</c:v>
                </c:pt>
                <c:pt idx="573">
                  <c:v>1.9572645941803399</c:v>
                </c:pt>
                <c:pt idx="574">
                  <c:v>1.0427354058196601</c:v>
                </c:pt>
                <c:pt idx="575">
                  <c:v>1.9572645941803399</c:v>
                </c:pt>
                <c:pt idx="576">
                  <c:v>1.0427354058196601</c:v>
                </c:pt>
                <c:pt idx="577">
                  <c:v>1.9572645941803399</c:v>
                </c:pt>
                <c:pt idx="578">
                  <c:v>1.0427354058196601</c:v>
                </c:pt>
                <c:pt idx="579">
                  <c:v>1.9572645941803399</c:v>
                </c:pt>
                <c:pt idx="580">
                  <c:v>1.0427354058196601</c:v>
                </c:pt>
                <c:pt idx="581">
                  <c:v>1.9572645941803399</c:v>
                </c:pt>
                <c:pt idx="582">
                  <c:v>1.0427354058196601</c:v>
                </c:pt>
                <c:pt idx="583">
                  <c:v>1.9572645941803399</c:v>
                </c:pt>
                <c:pt idx="584">
                  <c:v>1.0427354058196601</c:v>
                </c:pt>
                <c:pt idx="585">
                  <c:v>1.9572645941803399</c:v>
                </c:pt>
                <c:pt idx="586">
                  <c:v>1.0427354058196601</c:v>
                </c:pt>
                <c:pt idx="587">
                  <c:v>1.9572645941803399</c:v>
                </c:pt>
                <c:pt idx="588">
                  <c:v>1.0427354058196601</c:v>
                </c:pt>
                <c:pt idx="589">
                  <c:v>1.9572645941803399</c:v>
                </c:pt>
                <c:pt idx="590">
                  <c:v>1.0427354058196601</c:v>
                </c:pt>
                <c:pt idx="591">
                  <c:v>1.9572645941803399</c:v>
                </c:pt>
                <c:pt idx="592">
                  <c:v>1.0427354058196601</c:v>
                </c:pt>
                <c:pt idx="593">
                  <c:v>1.9572645941803399</c:v>
                </c:pt>
                <c:pt idx="594">
                  <c:v>1.0427354058196601</c:v>
                </c:pt>
                <c:pt idx="595">
                  <c:v>1.9572645941803399</c:v>
                </c:pt>
                <c:pt idx="596">
                  <c:v>1.0427354058196601</c:v>
                </c:pt>
                <c:pt idx="597">
                  <c:v>1.9572645941803399</c:v>
                </c:pt>
                <c:pt idx="598">
                  <c:v>1.0427354058196601</c:v>
                </c:pt>
                <c:pt idx="599">
                  <c:v>1.9572645941803399</c:v>
                </c:pt>
                <c:pt idx="600">
                  <c:v>1.0427354058196601</c:v>
                </c:pt>
                <c:pt idx="601">
                  <c:v>1.9572645941803399</c:v>
                </c:pt>
                <c:pt idx="602">
                  <c:v>1.0427354058196601</c:v>
                </c:pt>
                <c:pt idx="603">
                  <c:v>1.9572645941803399</c:v>
                </c:pt>
                <c:pt idx="604">
                  <c:v>1.0427354058196601</c:v>
                </c:pt>
                <c:pt idx="605">
                  <c:v>1.9572645941803399</c:v>
                </c:pt>
                <c:pt idx="606">
                  <c:v>1.0427354058196601</c:v>
                </c:pt>
                <c:pt idx="607">
                  <c:v>1.9572645941803399</c:v>
                </c:pt>
                <c:pt idx="608">
                  <c:v>1.0427354058196601</c:v>
                </c:pt>
                <c:pt idx="609">
                  <c:v>1.9572645941803399</c:v>
                </c:pt>
                <c:pt idx="610">
                  <c:v>1.0427354058196601</c:v>
                </c:pt>
                <c:pt idx="611">
                  <c:v>1.9572645941803399</c:v>
                </c:pt>
                <c:pt idx="612">
                  <c:v>1.0427354058196601</c:v>
                </c:pt>
                <c:pt idx="613">
                  <c:v>1.9572645941803399</c:v>
                </c:pt>
                <c:pt idx="614">
                  <c:v>1.0427354058196601</c:v>
                </c:pt>
                <c:pt idx="615">
                  <c:v>1.9572645941803399</c:v>
                </c:pt>
                <c:pt idx="616">
                  <c:v>1.0427354058196601</c:v>
                </c:pt>
                <c:pt idx="617">
                  <c:v>1.9572645941803399</c:v>
                </c:pt>
                <c:pt idx="618">
                  <c:v>1.0427354058196601</c:v>
                </c:pt>
                <c:pt idx="619">
                  <c:v>1.9572645941803399</c:v>
                </c:pt>
                <c:pt idx="620">
                  <c:v>1.0427354058196601</c:v>
                </c:pt>
                <c:pt idx="621">
                  <c:v>1.9572645941803399</c:v>
                </c:pt>
                <c:pt idx="622">
                  <c:v>1.0427354058196601</c:v>
                </c:pt>
                <c:pt idx="623">
                  <c:v>1.9572645941803399</c:v>
                </c:pt>
                <c:pt idx="624">
                  <c:v>1.0427354058196601</c:v>
                </c:pt>
                <c:pt idx="625">
                  <c:v>1.9572645941803399</c:v>
                </c:pt>
                <c:pt idx="626">
                  <c:v>1.0427354058196601</c:v>
                </c:pt>
                <c:pt idx="627">
                  <c:v>1.9572645941803399</c:v>
                </c:pt>
                <c:pt idx="628">
                  <c:v>1.0427354058196601</c:v>
                </c:pt>
                <c:pt idx="629">
                  <c:v>1.9572645941803399</c:v>
                </c:pt>
                <c:pt idx="630">
                  <c:v>1.0427354058196601</c:v>
                </c:pt>
                <c:pt idx="631">
                  <c:v>1.9572645941803399</c:v>
                </c:pt>
                <c:pt idx="632">
                  <c:v>1.0427354058196601</c:v>
                </c:pt>
                <c:pt idx="633">
                  <c:v>1.9572645941803399</c:v>
                </c:pt>
                <c:pt idx="634">
                  <c:v>1.0427354058196601</c:v>
                </c:pt>
                <c:pt idx="635">
                  <c:v>1.9572645941803399</c:v>
                </c:pt>
                <c:pt idx="636">
                  <c:v>1.0427354058196601</c:v>
                </c:pt>
                <c:pt idx="637">
                  <c:v>1.9572645941803399</c:v>
                </c:pt>
                <c:pt idx="638">
                  <c:v>1.0427354058196601</c:v>
                </c:pt>
                <c:pt idx="639">
                  <c:v>1.9572645941803399</c:v>
                </c:pt>
                <c:pt idx="640">
                  <c:v>1.0427354058196601</c:v>
                </c:pt>
                <c:pt idx="641">
                  <c:v>1.9572645941803399</c:v>
                </c:pt>
                <c:pt idx="642">
                  <c:v>1.0427354058196601</c:v>
                </c:pt>
                <c:pt idx="643">
                  <c:v>1.9572645941803399</c:v>
                </c:pt>
                <c:pt idx="644">
                  <c:v>1.0427354058196601</c:v>
                </c:pt>
                <c:pt idx="645">
                  <c:v>1.9572645941803399</c:v>
                </c:pt>
                <c:pt idx="646">
                  <c:v>1.0427354058196601</c:v>
                </c:pt>
                <c:pt idx="647">
                  <c:v>1.9572645941803399</c:v>
                </c:pt>
                <c:pt idx="648">
                  <c:v>1.0427354058196601</c:v>
                </c:pt>
                <c:pt idx="649">
                  <c:v>1.9572645941803399</c:v>
                </c:pt>
                <c:pt idx="650">
                  <c:v>1.0427354058196601</c:v>
                </c:pt>
                <c:pt idx="651">
                  <c:v>1.9572645941803399</c:v>
                </c:pt>
                <c:pt idx="652">
                  <c:v>1.0427354058196601</c:v>
                </c:pt>
                <c:pt idx="653">
                  <c:v>1.9572645941803399</c:v>
                </c:pt>
                <c:pt idx="654">
                  <c:v>1.0427354058196601</c:v>
                </c:pt>
                <c:pt idx="655">
                  <c:v>1.9572645941803399</c:v>
                </c:pt>
                <c:pt idx="656">
                  <c:v>1.0427354058196601</c:v>
                </c:pt>
                <c:pt idx="657">
                  <c:v>1.9572645941803399</c:v>
                </c:pt>
                <c:pt idx="658">
                  <c:v>1.0427354058196601</c:v>
                </c:pt>
                <c:pt idx="659">
                  <c:v>1.9572645941803399</c:v>
                </c:pt>
                <c:pt idx="660">
                  <c:v>1.0427354058196601</c:v>
                </c:pt>
                <c:pt idx="661">
                  <c:v>1.9572645941803399</c:v>
                </c:pt>
                <c:pt idx="662">
                  <c:v>1.0427354058196601</c:v>
                </c:pt>
                <c:pt idx="663">
                  <c:v>1.9572645941803399</c:v>
                </c:pt>
                <c:pt idx="664">
                  <c:v>1.0427354058196601</c:v>
                </c:pt>
                <c:pt idx="665">
                  <c:v>1.9572645941803399</c:v>
                </c:pt>
                <c:pt idx="666">
                  <c:v>1.0427354058196601</c:v>
                </c:pt>
                <c:pt idx="667">
                  <c:v>1.9572645941803399</c:v>
                </c:pt>
                <c:pt idx="668">
                  <c:v>1.0427354058196601</c:v>
                </c:pt>
                <c:pt idx="669">
                  <c:v>1.9572645941803399</c:v>
                </c:pt>
                <c:pt idx="670">
                  <c:v>1.0427354058196601</c:v>
                </c:pt>
                <c:pt idx="671">
                  <c:v>1.9572645941803399</c:v>
                </c:pt>
                <c:pt idx="672">
                  <c:v>1.0427354058196601</c:v>
                </c:pt>
                <c:pt idx="673">
                  <c:v>1.9572645941803399</c:v>
                </c:pt>
                <c:pt idx="674">
                  <c:v>1.0427354058196601</c:v>
                </c:pt>
                <c:pt idx="675">
                  <c:v>1.9572645941803399</c:v>
                </c:pt>
                <c:pt idx="676">
                  <c:v>1.0427354058196601</c:v>
                </c:pt>
                <c:pt idx="677">
                  <c:v>1.9572645941803399</c:v>
                </c:pt>
                <c:pt idx="678">
                  <c:v>1.0427354058196601</c:v>
                </c:pt>
                <c:pt idx="679">
                  <c:v>1.9572645941803399</c:v>
                </c:pt>
                <c:pt idx="680">
                  <c:v>1.0427354058196601</c:v>
                </c:pt>
                <c:pt idx="681">
                  <c:v>1.9572645941803399</c:v>
                </c:pt>
                <c:pt idx="682">
                  <c:v>1.0427354058196601</c:v>
                </c:pt>
                <c:pt idx="683">
                  <c:v>1.9572645941803399</c:v>
                </c:pt>
                <c:pt idx="684">
                  <c:v>1.0427354058196601</c:v>
                </c:pt>
                <c:pt idx="685">
                  <c:v>1.9572645941803399</c:v>
                </c:pt>
                <c:pt idx="686">
                  <c:v>1.0427354058196601</c:v>
                </c:pt>
                <c:pt idx="687">
                  <c:v>1.9572645941803399</c:v>
                </c:pt>
                <c:pt idx="688">
                  <c:v>1.0427354058196601</c:v>
                </c:pt>
                <c:pt idx="689">
                  <c:v>1.9572645941803399</c:v>
                </c:pt>
                <c:pt idx="690">
                  <c:v>1.0427354058196601</c:v>
                </c:pt>
                <c:pt idx="691">
                  <c:v>1.9572645941803399</c:v>
                </c:pt>
                <c:pt idx="692">
                  <c:v>1.0427354058196601</c:v>
                </c:pt>
                <c:pt idx="693">
                  <c:v>1.9572645941803399</c:v>
                </c:pt>
                <c:pt idx="694">
                  <c:v>1.0427354058196601</c:v>
                </c:pt>
                <c:pt idx="695">
                  <c:v>1.9572645941803399</c:v>
                </c:pt>
                <c:pt idx="696">
                  <c:v>1.0427354058196601</c:v>
                </c:pt>
                <c:pt idx="697">
                  <c:v>1.9572645941803399</c:v>
                </c:pt>
                <c:pt idx="698">
                  <c:v>1.0427354058196601</c:v>
                </c:pt>
                <c:pt idx="699">
                  <c:v>1.9572645941803399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7B-4F18-A070-1087D06E2B5A}"/>
            </c:ext>
          </c:extLst>
        </c:ser>
        <c:ser>
          <c:idx val="1"/>
          <c:order val="1"/>
          <c:tx>
            <c:v/>
          </c:tx>
          <c:spPr>
            <a:ln w="6350">
              <a:solidFill>
                <a:srgbClr val="C95217"/>
              </a:solidFill>
              <a:prstDash val="solid"/>
            </a:ln>
            <a:effectLst/>
          </c:spPr>
          <c:marker>
            <c:symbol val="none"/>
          </c:marker>
          <c:xVal>
            <c:numRef>
              <c:f>Sheet5_HID!xdata2</c:f>
              <c:numCache>
                <c:formatCode>General</c:formatCode>
                <c:ptCount val="700"/>
                <c:pt idx="0">
                  <c:v>0.106877303446552</c:v>
                </c:pt>
                <c:pt idx="1">
                  <c:v>0.1080021180289653</c:v>
                </c:pt>
                <c:pt idx="2">
                  <c:v>0.1091269326113786</c:v>
                </c:pt>
                <c:pt idx="3">
                  <c:v>0.1102517471937919</c:v>
                </c:pt>
                <c:pt idx="4">
                  <c:v>0.1113765617762052</c:v>
                </c:pt>
                <c:pt idx="5">
                  <c:v>0.1125013763586185</c:v>
                </c:pt>
                <c:pt idx="6">
                  <c:v>0.1136261909410318</c:v>
                </c:pt>
                <c:pt idx="7">
                  <c:v>0.1147510055234451</c:v>
                </c:pt>
                <c:pt idx="8">
                  <c:v>0.1158758201058584</c:v>
                </c:pt>
                <c:pt idx="9">
                  <c:v>0.1170006346882717</c:v>
                </c:pt>
                <c:pt idx="10">
                  <c:v>0.118125449270685</c:v>
                </c:pt>
                <c:pt idx="11">
                  <c:v>0.1192502638530983</c:v>
                </c:pt>
                <c:pt idx="12">
                  <c:v>0.1203750784355116</c:v>
                </c:pt>
                <c:pt idx="13">
                  <c:v>0.1214998930179249</c:v>
                </c:pt>
                <c:pt idx="14">
                  <c:v>0.1226247076003382</c:v>
                </c:pt>
                <c:pt idx="15">
                  <c:v>0.1237495221827515</c:v>
                </c:pt>
                <c:pt idx="16">
                  <c:v>0.1248743367651648</c:v>
                </c:pt>
                <c:pt idx="17">
                  <c:v>0.12599915134757811</c:v>
                </c:pt>
                <c:pt idx="18">
                  <c:v>0.12712396592999139</c:v>
                </c:pt>
                <c:pt idx="19">
                  <c:v>0.12824878051240468</c:v>
                </c:pt>
                <c:pt idx="20">
                  <c:v>0.12937359509481799</c:v>
                </c:pt>
                <c:pt idx="21">
                  <c:v>0.13049840967723131</c:v>
                </c:pt>
                <c:pt idx="22">
                  <c:v>0.13162322425964459</c:v>
                </c:pt>
                <c:pt idx="23">
                  <c:v>0.13274803884205788</c:v>
                </c:pt>
                <c:pt idx="24">
                  <c:v>0.13387285342447119</c:v>
                </c:pt>
                <c:pt idx="25">
                  <c:v>0.13499766800688451</c:v>
                </c:pt>
                <c:pt idx="26">
                  <c:v>0.13612248258929779</c:v>
                </c:pt>
                <c:pt idx="27">
                  <c:v>0.13724729717171108</c:v>
                </c:pt>
                <c:pt idx="28">
                  <c:v>0.13837211175412439</c:v>
                </c:pt>
                <c:pt idx="29">
                  <c:v>0.13949692633653771</c:v>
                </c:pt>
                <c:pt idx="30">
                  <c:v>0.14062174091895099</c:v>
                </c:pt>
                <c:pt idx="31">
                  <c:v>0.14174655550136428</c:v>
                </c:pt>
                <c:pt idx="32">
                  <c:v>0.14287137008377759</c:v>
                </c:pt>
                <c:pt idx="33">
                  <c:v>0.14399618466619091</c:v>
                </c:pt>
                <c:pt idx="34">
                  <c:v>0.14512099924860419</c:v>
                </c:pt>
                <c:pt idx="35">
                  <c:v>0.14624581383101748</c:v>
                </c:pt>
                <c:pt idx="36">
                  <c:v>0.14737062841343079</c:v>
                </c:pt>
                <c:pt idx="37">
                  <c:v>0.14849544299584411</c:v>
                </c:pt>
                <c:pt idx="38">
                  <c:v>0.14962025757825739</c:v>
                </c:pt>
                <c:pt idx="39">
                  <c:v>0.15074507216067068</c:v>
                </c:pt>
                <c:pt idx="40">
                  <c:v>0.15186988674308399</c:v>
                </c:pt>
                <c:pt idx="41">
                  <c:v>0.15299470132549731</c:v>
                </c:pt>
                <c:pt idx="42">
                  <c:v>0.15411951590791059</c:v>
                </c:pt>
                <c:pt idx="43">
                  <c:v>0.15524433049032388</c:v>
                </c:pt>
                <c:pt idx="44">
                  <c:v>0.15636914507273719</c:v>
                </c:pt>
                <c:pt idx="45">
                  <c:v>0.15749395965515051</c:v>
                </c:pt>
                <c:pt idx="46">
                  <c:v>0.15861877423756379</c:v>
                </c:pt>
                <c:pt idx="47">
                  <c:v>0.15974358881997708</c:v>
                </c:pt>
                <c:pt idx="48">
                  <c:v>0.16086840340239039</c:v>
                </c:pt>
                <c:pt idx="49">
                  <c:v>0.16199321798480371</c:v>
                </c:pt>
                <c:pt idx="50">
                  <c:v>0.16311803256721699</c:v>
                </c:pt>
                <c:pt idx="51">
                  <c:v>0.16424284714963028</c:v>
                </c:pt>
                <c:pt idx="52">
                  <c:v>0.16536766173204359</c:v>
                </c:pt>
                <c:pt idx="53">
                  <c:v>0.16649247631445691</c:v>
                </c:pt>
                <c:pt idx="54">
                  <c:v>0.16761729089687019</c:v>
                </c:pt>
                <c:pt idx="55">
                  <c:v>0.16874210547928348</c:v>
                </c:pt>
                <c:pt idx="56">
                  <c:v>0.16986692006169679</c:v>
                </c:pt>
                <c:pt idx="57">
                  <c:v>0.1709917346441101</c:v>
                </c:pt>
                <c:pt idx="58">
                  <c:v>0.17211654922652339</c:v>
                </c:pt>
                <c:pt idx="59">
                  <c:v>0.17324136380893668</c:v>
                </c:pt>
                <c:pt idx="60">
                  <c:v>0.17436617839134999</c:v>
                </c:pt>
                <c:pt idx="61">
                  <c:v>0.1754909929737633</c:v>
                </c:pt>
                <c:pt idx="62">
                  <c:v>0.17661580755617659</c:v>
                </c:pt>
                <c:pt idx="63">
                  <c:v>0.17774062213858988</c:v>
                </c:pt>
                <c:pt idx="64">
                  <c:v>0.17886543672100319</c:v>
                </c:pt>
                <c:pt idx="65">
                  <c:v>0.1799902513034165</c:v>
                </c:pt>
                <c:pt idx="66">
                  <c:v>0.18111506588582979</c:v>
                </c:pt>
                <c:pt idx="67">
                  <c:v>0.18223988046824308</c:v>
                </c:pt>
                <c:pt idx="68">
                  <c:v>0.18336469505065639</c:v>
                </c:pt>
                <c:pt idx="69">
                  <c:v>0.1844895096330697</c:v>
                </c:pt>
                <c:pt idx="70">
                  <c:v>0.18561432421548299</c:v>
                </c:pt>
                <c:pt idx="71">
                  <c:v>0.18673913879789628</c:v>
                </c:pt>
                <c:pt idx="72">
                  <c:v>0.18786395338030959</c:v>
                </c:pt>
                <c:pt idx="73">
                  <c:v>0.1889887679627229</c:v>
                </c:pt>
                <c:pt idx="74">
                  <c:v>0.19011358254513619</c:v>
                </c:pt>
                <c:pt idx="75">
                  <c:v>0.19123839712754948</c:v>
                </c:pt>
                <c:pt idx="76">
                  <c:v>0.19236321170996279</c:v>
                </c:pt>
                <c:pt idx="77">
                  <c:v>0.1934880262923761</c:v>
                </c:pt>
                <c:pt idx="78">
                  <c:v>0.19461284087478939</c:v>
                </c:pt>
                <c:pt idx="79">
                  <c:v>0.19573765545720268</c:v>
                </c:pt>
                <c:pt idx="80">
                  <c:v>0.19686247003961599</c:v>
                </c:pt>
                <c:pt idx="81">
                  <c:v>0.1979872846220293</c:v>
                </c:pt>
                <c:pt idx="82">
                  <c:v>0.19911209920444259</c:v>
                </c:pt>
                <c:pt idx="83">
                  <c:v>0.20023691378685587</c:v>
                </c:pt>
                <c:pt idx="84">
                  <c:v>0.20136172836926919</c:v>
                </c:pt>
                <c:pt idx="85">
                  <c:v>0.2024865429516825</c:v>
                </c:pt>
                <c:pt idx="86">
                  <c:v>0.20361135753409579</c:v>
                </c:pt>
                <c:pt idx="87">
                  <c:v>0.20473617211650907</c:v>
                </c:pt>
                <c:pt idx="88">
                  <c:v>0.20586098669892239</c:v>
                </c:pt>
                <c:pt idx="89">
                  <c:v>0.2069858012813357</c:v>
                </c:pt>
                <c:pt idx="90">
                  <c:v>0.20811061586374899</c:v>
                </c:pt>
                <c:pt idx="91">
                  <c:v>0.20923543044616227</c:v>
                </c:pt>
                <c:pt idx="92">
                  <c:v>0.21036024502857559</c:v>
                </c:pt>
                <c:pt idx="93">
                  <c:v>0.2114850596109889</c:v>
                </c:pt>
                <c:pt idx="94">
                  <c:v>0.21260987419340219</c:v>
                </c:pt>
                <c:pt idx="95">
                  <c:v>0.21373468877581547</c:v>
                </c:pt>
                <c:pt idx="96">
                  <c:v>0.21485950335822879</c:v>
                </c:pt>
                <c:pt idx="97">
                  <c:v>0.2159843179406421</c:v>
                </c:pt>
                <c:pt idx="98">
                  <c:v>0.21710913252305539</c:v>
                </c:pt>
                <c:pt idx="99">
                  <c:v>0.21823394710546867</c:v>
                </c:pt>
                <c:pt idx="100">
                  <c:v>0.21935876168788199</c:v>
                </c:pt>
                <c:pt idx="101">
                  <c:v>0.2204835762702953</c:v>
                </c:pt>
                <c:pt idx="102">
                  <c:v>0.22160839085270859</c:v>
                </c:pt>
                <c:pt idx="103">
                  <c:v>0.22273320543512187</c:v>
                </c:pt>
                <c:pt idx="104">
                  <c:v>0.22385802001753519</c:v>
                </c:pt>
                <c:pt idx="105">
                  <c:v>0.2249828345999485</c:v>
                </c:pt>
                <c:pt idx="106">
                  <c:v>0.22610764918236179</c:v>
                </c:pt>
                <c:pt idx="107">
                  <c:v>0.22723246376477507</c:v>
                </c:pt>
                <c:pt idx="108">
                  <c:v>0.22835727834718839</c:v>
                </c:pt>
                <c:pt idx="109">
                  <c:v>0.2294820929296017</c:v>
                </c:pt>
                <c:pt idx="110">
                  <c:v>0.23060690751201499</c:v>
                </c:pt>
                <c:pt idx="111">
                  <c:v>0.23173172209442827</c:v>
                </c:pt>
                <c:pt idx="112">
                  <c:v>0.23285653667684159</c:v>
                </c:pt>
                <c:pt idx="113">
                  <c:v>0.2339813512592549</c:v>
                </c:pt>
                <c:pt idx="114">
                  <c:v>0.23510616584166819</c:v>
                </c:pt>
                <c:pt idx="115">
                  <c:v>0.23623098042408147</c:v>
                </c:pt>
                <c:pt idx="116">
                  <c:v>0.23735579500649479</c:v>
                </c:pt>
                <c:pt idx="117">
                  <c:v>0.2384806095889081</c:v>
                </c:pt>
                <c:pt idx="118">
                  <c:v>0.23960542417132139</c:v>
                </c:pt>
                <c:pt idx="119">
                  <c:v>0.24073023875373467</c:v>
                </c:pt>
                <c:pt idx="120">
                  <c:v>0.24185505333614798</c:v>
                </c:pt>
                <c:pt idx="121">
                  <c:v>0.2429798679185613</c:v>
                </c:pt>
                <c:pt idx="122">
                  <c:v>0.24410468250097458</c:v>
                </c:pt>
                <c:pt idx="123">
                  <c:v>0.24522949708338787</c:v>
                </c:pt>
                <c:pt idx="124">
                  <c:v>0.24635431166580118</c:v>
                </c:pt>
                <c:pt idx="125">
                  <c:v>0.2474791262482145</c:v>
                </c:pt>
                <c:pt idx="126">
                  <c:v>0.24860394083062778</c:v>
                </c:pt>
                <c:pt idx="127">
                  <c:v>0.24972875541304107</c:v>
                </c:pt>
                <c:pt idx="128">
                  <c:v>0.25085356999545438</c:v>
                </c:pt>
                <c:pt idx="129">
                  <c:v>0.2519783845778677</c:v>
                </c:pt>
                <c:pt idx="130">
                  <c:v>0.25310319916028101</c:v>
                </c:pt>
                <c:pt idx="131">
                  <c:v>0.25422801374269427</c:v>
                </c:pt>
                <c:pt idx="132">
                  <c:v>0.25535282832510758</c:v>
                </c:pt>
                <c:pt idx="133">
                  <c:v>0.2564776429075209</c:v>
                </c:pt>
                <c:pt idx="134">
                  <c:v>0.25760245748993416</c:v>
                </c:pt>
                <c:pt idx="135">
                  <c:v>0.25872727207234747</c:v>
                </c:pt>
                <c:pt idx="136">
                  <c:v>0.25985208665476078</c:v>
                </c:pt>
                <c:pt idx="137">
                  <c:v>0.2609769012371741</c:v>
                </c:pt>
                <c:pt idx="138">
                  <c:v>0.26210171581958741</c:v>
                </c:pt>
                <c:pt idx="139">
                  <c:v>0.26322653040200067</c:v>
                </c:pt>
                <c:pt idx="140">
                  <c:v>0.26435134498441398</c:v>
                </c:pt>
                <c:pt idx="141">
                  <c:v>0.2654761595668273</c:v>
                </c:pt>
                <c:pt idx="142">
                  <c:v>0.26660097414924055</c:v>
                </c:pt>
                <c:pt idx="143">
                  <c:v>0.26772578873165387</c:v>
                </c:pt>
                <c:pt idx="144">
                  <c:v>0.26885060331406718</c:v>
                </c:pt>
                <c:pt idx="145">
                  <c:v>0.2699754178964805</c:v>
                </c:pt>
                <c:pt idx="146">
                  <c:v>0.27110023247889381</c:v>
                </c:pt>
                <c:pt idx="147">
                  <c:v>0.27222504706130707</c:v>
                </c:pt>
                <c:pt idx="148">
                  <c:v>0.27334986164372038</c:v>
                </c:pt>
                <c:pt idx="149">
                  <c:v>0.2744746762261337</c:v>
                </c:pt>
                <c:pt idx="150">
                  <c:v>0.27559949080854695</c:v>
                </c:pt>
                <c:pt idx="151">
                  <c:v>0.27672430539096027</c:v>
                </c:pt>
                <c:pt idx="152">
                  <c:v>0.27784911997337358</c:v>
                </c:pt>
                <c:pt idx="153">
                  <c:v>0.2789739345557869</c:v>
                </c:pt>
                <c:pt idx="154">
                  <c:v>0.28009874913820021</c:v>
                </c:pt>
                <c:pt idx="155">
                  <c:v>0.28122356372061347</c:v>
                </c:pt>
                <c:pt idx="156">
                  <c:v>0.28234837830302678</c:v>
                </c:pt>
                <c:pt idx="157">
                  <c:v>0.2834731928854401</c:v>
                </c:pt>
                <c:pt idx="158">
                  <c:v>0.28459800746785335</c:v>
                </c:pt>
                <c:pt idx="159">
                  <c:v>0.28572282205026667</c:v>
                </c:pt>
                <c:pt idx="160">
                  <c:v>0.28684763663267998</c:v>
                </c:pt>
                <c:pt idx="161">
                  <c:v>0.28797245121509329</c:v>
                </c:pt>
                <c:pt idx="162">
                  <c:v>0.28909726579750661</c:v>
                </c:pt>
                <c:pt idx="163">
                  <c:v>0.29022208037991987</c:v>
                </c:pt>
                <c:pt idx="164">
                  <c:v>0.29134689496233318</c:v>
                </c:pt>
                <c:pt idx="165">
                  <c:v>0.29247170954474649</c:v>
                </c:pt>
                <c:pt idx="166">
                  <c:v>0.29359652412715975</c:v>
                </c:pt>
                <c:pt idx="167">
                  <c:v>0.29472133870957307</c:v>
                </c:pt>
                <c:pt idx="168">
                  <c:v>0.29584615329198638</c:v>
                </c:pt>
                <c:pt idx="169">
                  <c:v>0.29697096787439969</c:v>
                </c:pt>
                <c:pt idx="170">
                  <c:v>0.29809578245681301</c:v>
                </c:pt>
                <c:pt idx="171">
                  <c:v>0.29922059703922627</c:v>
                </c:pt>
                <c:pt idx="172">
                  <c:v>0.30034541162163958</c:v>
                </c:pt>
                <c:pt idx="173">
                  <c:v>0.30147022620405289</c:v>
                </c:pt>
                <c:pt idx="174">
                  <c:v>0.30259504078646615</c:v>
                </c:pt>
                <c:pt idx="175">
                  <c:v>0.30371985536887947</c:v>
                </c:pt>
                <c:pt idx="176">
                  <c:v>0.30484466995129278</c:v>
                </c:pt>
                <c:pt idx="177">
                  <c:v>0.30596948453370609</c:v>
                </c:pt>
                <c:pt idx="178">
                  <c:v>0.30709429911611941</c:v>
                </c:pt>
                <c:pt idx="179">
                  <c:v>0.30821911369853267</c:v>
                </c:pt>
                <c:pt idx="180">
                  <c:v>0.30934392828094598</c:v>
                </c:pt>
                <c:pt idx="181">
                  <c:v>0.31046874286335929</c:v>
                </c:pt>
                <c:pt idx="182">
                  <c:v>0.31159355744577255</c:v>
                </c:pt>
                <c:pt idx="183">
                  <c:v>0.31271837202818586</c:v>
                </c:pt>
                <c:pt idx="184">
                  <c:v>0.31384318661059918</c:v>
                </c:pt>
                <c:pt idx="185">
                  <c:v>0.31496800119301249</c:v>
                </c:pt>
                <c:pt idx="186">
                  <c:v>0.31609281577542581</c:v>
                </c:pt>
                <c:pt idx="187">
                  <c:v>0.31721763035783906</c:v>
                </c:pt>
                <c:pt idx="188">
                  <c:v>0.31834244494025238</c:v>
                </c:pt>
                <c:pt idx="189">
                  <c:v>0.31946725952266569</c:v>
                </c:pt>
                <c:pt idx="190">
                  <c:v>0.32059207410507895</c:v>
                </c:pt>
                <c:pt idx="191">
                  <c:v>0.32171688868749226</c:v>
                </c:pt>
                <c:pt idx="192">
                  <c:v>0.32284170326990558</c:v>
                </c:pt>
                <c:pt idx="193">
                  <c:v>0.32396651785231889</c:v>
                </c:pt>
                <c:pt idx="194">
                  <c:v>0.32509133243473221</c:v>
                </c:pt>
                <c:pt idx="195">
                  <c:v>0.32621614701714546</c:v>
                </c:pt>
                <c:pt idx="196">
                  <c:v>0.32734096159955878</c:v>
                </c:pt>
                <c:pt idx="197">
                  <c:v>0.32846577618197209</c:v>
                </c:pt>
                <c:pt idx="198">
                  <c:v>0.32959059076438535</c:v>
                </c:pt>
                <c:pt idx="199">
                  <c:v>0.33071540534679866</c:v>
                </c:pt>
                <c:pt idx="200">
                  <c:v>0.33184021992921198</c:v>
                </c:pt>
                <c:pt idx="201">
                  <c:v>0.33296503451162529</c:v>
                </c:pt>
                <c:pt idx="202">
                  <c:v>0.3340898490940386</c:v>
                </c:pt>
                <c:pt idx="203">
                  <c:v>0.33521466367645186</c:v>
                </c:pt>
                <c:pt idx="204">
                  <c:v>0.33633947825886518</c:v>
                </c:pt>
                <c:pt idx="205">
                  <c:v>0.33746429284127849</c:v>
                </c:pt>
                <c:pt idx="206">
                  <c:v>0.33858910742369175</c:v>
                </c:pt>
                <c:pt idx="207">
                  <c:v>0.33971392200610506</c:v>
                </c:pt>
                <c:pt idx="208">
                  <c:v>0.34083873658851838</c:v>
                </c:pt>
                <c:pt idx="209">
                  <c:v>0.34196355117093169</c:v>
                </c:pt>
                <c:pt idx="210">
                  <c:v>0.343088365753345</c:v>
                </c:pt>
                <c:pt idx="211">
                  <c:v>0.34421318033575826</c:v>
                </c:pt>
                <c:pt idx="212">
                  <c:v>0.34533799491817158</c:v>
                </c:pt>
                <c:pt idx="213">
                  <c:v>0.34646280950058489</c:v>
                </c:pt>
                <c:pt idx="214">
                  <c:v>0.34758762408299815</c:v>
                </c:pt>
                <c:pt idx="215">
                  <c:v>0.34871243866541146</c:v>
                </c:pt>
                <c:pt idx="216">
                  <c:v>0.34983725324782478</c:v>
                </c:pt>
                <c:pt idx="217">
                  <c:v>0.35096206783023809</c:v>
                </c:pt>
                <c:pt idx="218">
                  <c:v>0.3520868824126514</c:v>
                </c:pt>
                <c:pt idx="219">
                  <c:v>0.35321169699506466</c:v>
                </c:pt>
                <c:pt idx="220">
                  <c:v>0.35433651157747797</c:v>
                </c:pt>
                <c:pt idx="221">
                  <c:v>0.35546132615989129</c:v>
                </c:pt>
                <c:pt idx="222">
                  <c:v>0.35658614074230455</c:v>
                </c:pt>
                <c:pt idx="223">
                  <c:v>0.35771095532471786</c:v>
                </c:pt>
                <c:pt idx="224">
                  <c:v>0.35883576990713117</c:v>
                </c:pt>
                <c:pt idx="225">
                  <c:v>0.35996058448954449</c:v>
                </c:pt>
                <c:pt idx="226">
                  <c:v>0.3610853990719578</c:v>
                </c:pt>
                <c:pt idx="227">
                  <c:v>0.36221021365437106</c:v>
                </c:pt>
                <c:pt idx="228">
                  <c:v>0.36333502823678437</c:v>
                </c:pt>
                <c:pt idx="229">
                  <c:v>0.36445984281919769</c:v>
                </c:pt>
                <c:pt idx="230">
                  <c:v>0.36558465740161095</c:v>
                </c:pt>
                <c:pt idx="231">
                  <c:v>0.36670947198402426</c:v>
                </c:pt>
                <c:pt idx="232">
                  <c:v>0.36783428656643757</c:v>
                </c:pt>
                <c:pt idx="233">
                  <c:v>0.36895910114885089</c:v>
                </c:pt>
                <c:pt idx="234">
                  <c:v>0.3700839157312642</c:v>
                </c:pt>
                <c:pt idx="235">
                  <c:v>0.37120873031367746</c:v>
                </c:pt>
                <c:pt idx="236">
                  <c:v>0.37233354489609077</c:v>
                </c:pt>
                <c:pt idx="237">
                  <c:v>0.37345835947850409</c:v>
                </c:pt>
                <c:pt idx="238">
                  <c:v>0.37458317406091735</c:v>
                </c:pt>
                <c:pt idx="239">
                  <c:v>0.37570798864333066</c:v>
                </c:pt>
                <c:pt idx="240">
                  <c:v>0.37683280322574397</c:v>
                </c:pt>
                <c:pt idx="241">
                  <c:v>0.37795761780815729</c:v>
                </c:pt>
                <c:pt idx="242">
                  <c:v>0.3790824323905706</c:v>
                </c:pt>
                <c:pt idx="243">
                  <c:v>0.38020724697298386</c:v>
                </c:pt>
                <c:pt idx="244">
                  <c:v>0.38133206155539717</c:v>
                </c:pt>
                <c:pt idx="245">
                  <c:v>0.38245687613781049</c:v>
                </c:pt>
                <c:pt idx="246">
                  <c:v>0.38358169072022374</c:v>
                </c:pt>
                <c:pt idx="247">
                  <c:v>0.38470650530263706</c:v>
                </c:pt>
                <c:pt idx="248">
                  <c:v>0.38583131988505037</c:v>
                </c:pt>
                <c:pt idx="249">
                  <c:v>0.38695613446746369</c:v>
                </c:pt>
                <c:pt idx="250">
                  <c:v>0.388080949049877</c:v>
                </c:pt>
                <c:pt idx="251">
                  <c:v>0.38920576363229026</c:v>
                </c:pt>
                <c:pt idx="252">
                  <c:v>0.39033057821470357</c:v>
                </c:pt>
                <c:pt idx="253">
                  <c:v>0.39145539279711689</c:v>
                </c:pt>
                <c:pt idx="254">
                  <c:v>0.39258020737953014</c:v>
                </c:pt>
                <c:pt idx="255">
                  <c:v>0.39370502196194346</c:v>
                </c:pt>
                <c:pt idx="256">
                  <c:v>0.39482983654435677</c:v>
                </c:pt>
                <c:pt idx="257">
                  <c:v>0.39595465112677009</c:v>
                </c:pt>
                <c:pt idx="258">
                  <c:v>0.3970794657091834</c:v>
                </c:pt>
                <c:pt idx="259">
                  <c:v>0.39820428029159666</c:v>
                </c:pt>
                <c:pt idx="260">
                  <c:v>0.39932909487400997</c:v>
                </c:pt>
                <c:pt idx="261">
                  <c:v>0.40045390945642328</c:v>
                </c:pt>
                <c:pt idx="262">
                  <c:v>0.40157872403883654</c:v>
                </c:pt>
                <c:pt idx="263">
                  <c:v>0.40270353862124986</c:v>
                </c:pt>
                <c:pt idx="264">
                  <c:v>0.40382835320366317</c:v>
                </c:pt>
                <c:pt idx="265">
                  <c:v>0.40495316778607648</c:v>
                </c:pt>
                <c:pt idx="266">
                  <c:v>0.4060779823684898</c:v>
                </c:pt>
                <c:pt idx="267">
                  <c:v>0.40720279695090306</c:v>
                </c:pt>
                <c:pt idx="268">
                  <c:v>0.40832761153331637</c:v>
                </c:pt>
                <c:pt idx="269">
                  <c:v>0.40945242611572968</c:v>
                </c:pt>
                <c:pt idx="270">
                  <c:v>0.41057724069814294</c:v>
                </c:pt>
                <c:pt idx="271">
                  <c:v>0.41170205528055626</c:v>
                </c:pt>
                <c:pt idx="272">
                  <c:v>0.41282686986296957</c:v>
                </c:pt>
                <c:pt idx="273">
                  <c:v>0.41395168444538288</c:v>
                </c:pt>
                <c:pt idx="274">
                  <c:v>0.4150764990277962</c:v>
                </c:pt>
                <c:pt idx="275">
                  <c:v>0.41620131361020946</c:v>
                </c:pt>
                <c:pt idx="276">
                  <c:v>0.41732612819262277</c:v>
                </c:pt>
                <c:pt idx="277">
                  <c:v>0.41845094277503608</c:v>
                </c:pt>
                <c:pt idx="278">
                  <c:v>0.41957575735744934</c:v>
                </c:pt>
                <c:pt idx="279">
                  <c:v>0.42070057193986266</c:v>
                </c:pt>
                <c:pt idx="280">
                  <c:v>0.42182538652227597</c:v>
                </c:pt>
                <c:pt idx="281">
                  <c:v>0.42295020110468928</c:v>
                </c:pt>
                <c:pt idx="282">
                  <c:v>0.4240750156871026</c:v>
                </c:pt>
                <c:pt idx="283">
                  <c:v>0.42519983026951585</c:v>
                </c:pt>
                <c:pt idx="284">
                  <c:v>0.42632464485192917</c:v>
                </c:pt>
                <c:pt idx="285">
                  <c:v>0.42744945943434248</c:v>
                </c:pt>
                <c:pt idx="286">
                  <c:v>0.42857427401675574</c:v>
                </c:pt>
                <c:pt idx="287">
                  <c:v>0.42969908859916905</c:v>
                </c:pt>
                <c:pt idx="288">
                  <c:v>0.43082390318158237</c:v>
                </c:pt>
                <c:pt idx="289">
                  <c:v>0.43194871776399568</c:v>
                </c:pt>
                <c:pt idx="290">
                  <c:v>0.433073532346409</c:v>
                </c:pt>
                <c:pt idx="291">
                  <c:v>0.43419834692882225</c:v>
                </c:pt>
                <c:pt idx="292">
                  <c:v>0.43532316151123557</c:v>
                </c:pt>
                <c:pt idx="293">
                  <c:v>0.43644797609364888</c:v>
                </c:pt>
                <c:pt idx="294">
                  <c:v>0.43757279067606214</c:v>
                </c:pt>
                <c:pt idx="295">
                  <c:v>0.43869760525847545</c:v>
                </c:pt>
                <c:pt idx="296">
                  <c:v>0.43982241984088877</c:v>
                </c:pt>
                <c:pt idx="297">
                  <c:v>0.44094723442330208</c:v>
                </c:pt>
                <c:pt idx="298">
                  <c:v>0.4420720490057154</c:v>
                </c:pt>
                <c:pt idx="299">
                  <c:v>0.44319686358812865</c:v>
                </c:pt>
                <c:pt idx="300">
                  <c:v>0.44432167817054197</c:v>
                </c:pt>
                <c:pt idx="301">
                  <c:v>0.44544649275295528</c:v>
                </c:pt>
                <c:pt idx="302">
                  <c:v>0.44657130733536854</c:v>
                </c:pt>
                <c:pt idx="303">
                  <c:v>0.44769612191778185</c:v>
                </c:pt>
                <c:pt idx="304">
                  <c:v>0.44882093650019517</c:v>
                </c:pt>
                <c:pt idx="305">
                  <c:v>0.44994575108260848</c:v>
                </c:pt>
                <c:pt idx="306">
                  <c:v>0.45107056566502179</c:v>
                </c:pt>
                <c:pt idx="307">
                  <c:v>0.45219538024743505</c:v>
                </c:pt>
                <c:pt idx="308">
                  <c:v>0.45332019482984837</c:v>
                </c:pt>
                <c:pt idx="309">
                  <c:v>0.45444500941226168</c:v>
                </c:pt>
                <c:pt idx="310">
                  <c:v>0.45556982399467494</c:v>
                </c:pt>
                <c:pt idx="311">
                  <c:v>0.45669463857708825</c:v>
                </c:pt>
                <c:pt idx="312">
                  <c:v>0.45781945315950157</c:v>
                </c:pt>
                <c:pt idx="313">
                  <c:v>0.45894426774191488</c:v>
                </c:pt>
                <c:pt idx="314">
                  <c:v>0.46006908232432819</c:v>
                </c:pt>
                <c:pt idx="315">
                  <c:v>0.46119389690674145</c:v>
                </c:pt>
                <c:pt idx="316">
                  <c:v>0.46231871148915477</c:v>
                </c:pt>
                <c:pt idx="317">
                  <c:v>0.46344352607156808</c:v>
                </c:pt>
                <c:pt idx="318">
                  <c:v>0.46456834065398134</c:v>
                </c:pt>
                <c:pt idx="319">
                  <c:v>0.46569315523639465</c:v>
                </c:pt>
                <c:pt idx="320">
                  <c:v>0.46681796981880797</c:v>
                </c:pt>
                <c:pt idx="321">
                  <c:v>0.46794278440122128</c:v>
                </c:pt>
                <c:pt idx="322">
                  <c:v>0.46906759898363459</c:v>
                </c:pt>
                <c:pt idx="323">
                  <c:v>0.47019241356604785</c:v>
                </c:pt>
                <c:pt idx="324">
                  <c:v>0.47131722814846116</c:v>
                </c:pt>
                <c:pt idx="325">
                  <c:v>0.47244204273087448</c:v>
                </c:pt>
                <c:pt idx="326">
                  <c:v>0.47356685731328774</c:v>
                </c:pt>
                <c:pt idx="327">
                  <c:v>0.47469167189570105</c:v>
                </c:pt>
                <c:pt idx="328">
                  <c:v>0.47581648647811436</c:v>
                </c:pt>
                <c:pt idx="329">
                  <c:v>0.47694130106052768</c:v>
                </c:pt>
                <c:pt idx="330">
                  <c:v>0.47806611564294099</c:v>
                </c:pt>
                <c:pt idx="331">
                  <c:v>0.47919093022535425</c:v>
                </c:pt>
                <c:pt idx="332">
                  <c:v>0.48031574480776756</c:v>
                </c:pt>
                <c:pt idx="333">
                  <c:v>0.48144055939018088</c:v>
                </c:pt>
                <c:pt idx="334">
                  <c:v>0.48256537397259414</c:v>
                </c:pt>
                <c:pt idx="335">
                  <c:v>0.48369018855500745</c:v>
                </c:pt>
                <c:pt idx="336">
                  <c:v>0.48481500313742076</c:v>
                </c:pt>
                <c:pt idx="337">
                  <c:v>0.48593981771983408</c:v>
                </c:pt>
                <c:pt idx="338">
                  <c:v>0.48706463230224739</c:v>
                </c:pt>
                <c:pt idx="339">
                  <c:v>0.48818944688466065</c:v>
                </c:pt>
                <c:pt idx="340">
                  <c:v>0.48931426146707396</c:v>
                </c:pt>
                <c:pt idx="341">
                  <c:v>0.49043907604948728</c:v>
                </c:pt>
                <c:pt idx="342">
                  <c:v>0.49156389063190054</c:v>
                </c:pt>
                <c:pt idx="343">
                  <c:v>0.49268870521431385</c:v>
                </c:pt>
                <c:pt idx="344">
                  <c:v>0.49381351979672716</c:v>
                </c:pt>
                <c:pt idx="345">
                  <c:v>0.49493833437914048</c:v>
                </c:pt>
                <c:pt idx="346">
                  <c:v>0.49606314896155379</c:v>
                </c:pt>
                <c:pt idx="347">
                  <c:v>0.49718796354396705</c:v>
                </c:pt>
                <c:pt idx="348">
                  <c:v>0.49831277812638036</c:v>
                </c:pt>
                <c:pt idx="349">
                  <c:v>0.49943759270879368</c:v>
                </c:pt>
                <c:pt idx="350">
                  <c:v>0.50056240729120693</c:v>
                </c:pt>
                <c:pt idx="351">
                  <c:v>0.50168722187362025</c:v>
                </c:pt>
                <c:pt idx="352">
                  <c:v>0.50281203645603356</c:v>
                </c:pt>
                <c:pt idx="353">
                  <c:v>0.50393685103844688</c:v>
                </c:pt>
                <c:pt idx="354">
                  <c:v>0.50506166562086019</c:v>
                </c:pt>
                <c:pt idx="355">
                  <c:v>0.50618648020327339</c:v>
                </c:pt>
                <c:pt idx="356">
                  <c:v>0.50731129478568682</c:v>
                </c:pt>
                <c:pt idx="357">
                  <c:v>0.50843610936810002</c:v>
                </c:pt>
                <c:pt idx="358">
                  <c:v>0.50956092395051333</c:v>
                </c:pt>
                <c:pt idx="359">
                  <c:v>0.51068573853292665</c:v>
                </c:pt>
                <c:pt idx="360">
                  <c:v>0.51181055311533996</c:v>
                </c:pt>
                <c:pt idx="361">
                  <c:v>0.51293536769775327</c:v>
                </c:pt>
                <c:pt idx="362">
                  <c:v>0.51406018228016659</c:v>
                </c:pt>
                <c:pt idx="363">
                  <c:v>0.5151849968625799</c:v>
                </c:pt>
                <c:pt idx="364">
                  <c:v>0.51630981144499311</c:v>
                </c:pt>
                <c:pt idx="365">
                  <c:v>0.51743462602740653</c:v>
                </c:pt>
                <c:pt idx="366">
                  <c:v>0.51855944060981973</c:v>
                </c:pt>
                <c:pt idx="367">
                  <c:v>0.51968425519223305</c:v>
                </c:pt>
                <c:pt idx="368">
                  <c:v>0.52080906977464636</c:v>
                </c:pt>
                <c:pt idx="369">
                  <c:v>0.52193388435705967</c:v>
                </c:pt>
                <c:pt idx="370">
                  <c:v>0.52305869893947299</c:v>
                </c:pt>
                <c:pt idx="371">
                  <c:v>0.52418351352188619</c:v>
                </c:pt>
                <c:pt idx="372">
                  <c:v>0.52530832810429962</c:v>
                </c:pt>
                <c:pt idx="373">
                  <c:v>0.52643314268671282</c:v>
                </c:pt>
                <c:pt idx="374">
                  <c:v>0.52755795726912613</c:v>
                </c:pt>
                <c:pt idx="375">
                  <c:v>0.52868277185153945</c:v>
                </c:pt>
                <c:pt idx="376">
                  <c:v>0.52980758643395276</c:v>
                </c:pt>
                <c:pt idx="377">
                  <c:v>0.53093240101636607</c:v>
                </c:pt>
                <c:pt idx="378">
                  <c:v>0.53205721559877939</c:v>
                </c:pt>
                <c:pt idx="379">
                  <c:v>0.5331820301811927</c:v>
                </c:pt>
                <c:pt idx="380">
                  <c:v>0.5343068447636059</c:v>
                </c:pt>
                <c:pt idx="381">
                  <c:v>0.53543165934601933</c:v>
                </c:pt>
                <c:pt idx="382">
                  <c:v>0.53655647392843253</c:v>
                </c:pt>
                <c:pt idx="383">
                  <c:v>0.53768128851084585</c:v>
                </c:pt>
                <c:pt idx="384">
                  <c:v>0.53880610309325916</c:v>
                </c:pt>
                <c:pt idx="385">
                  <c:v>0.53993091767567247</c:v>
                </c:pt>
                <c:pt idx="386">
                  <c:v>0.54105573225808579</c:v>
                </c:pt>
                <c:pt idx="387">
                  <c:v>0.54218054684049899</c:v>
                </c:pt>
                <c:pt idx="388">
                  <c:v>0.54330536142291241</c:v>
                </c:pt>
                <c:pt idx="389">
                  <c:v>0.54443017600532562</c:v>
                </c:pt>
                <c:pt idx="390">
                  <c:v>0.54555499058773893</c:v>
                </c:pt>
                <c:pt idx="391">
                  <c:v>0.54667980517015224</c:v>
                </c:pt>
                <c:pt idx="392">
                  <c:v>0.54780461975256556</c:v>
                </c:pt>
                <c:pt idx="393">
                  <c:v>0.54892943433497887</c:v>
                </c:pt>
                <c:pt idx="394">
                  <c:v>0.55005424891739219</c:v>
                </c:pt>
                <c:pt idx="395">
                  <c:v>0.5511790634998055</c:v>
                </c:pt>
                <c:pt idx="396">
                  <c:v>0.5523038780822187</c:v>
                </c:pt>
                <c:pt idx="397">
                  <c:v>0.55342869266463213</c:v>
                </c:pt>
                <c:pt idx="398">
                  <c:v>0.55455350724704533</c:v>
                </c:pt>
                <c:pt idx="399">
                  <c:v>0.55567832182945864</c:v>
                </c:pt>
                <c:pt idx="400">
                  <c:v>0.55680313641187196</c:v>
                </c:pt>
                <c:pt idx="401">
                  <c:v>0.55792795099428527</c:v>
                </c:pt>
                <c:pt idx="402">
                  <c:v>0.55905276557669858</c:v>
                </c:pt>
                <c:pt idx="403">
                  <c:v>0.56017758015911179</c:v>
                </c:pt>
                <c:pt idx="404">
                  <c:v>0.56130239474152521</c:v>
                </c:pt>
                <c:pt idx="405">
                  <c:v>0.56242720932393842</c:v>
                </c:pt>
                <c:pt idx="406">
                  <c:v>0.56355202390635173</c:v>
                </c:pt>
                <c:pt idx="407">
                  <c:v>0.56467683848876504</c:v>
                </c:pt>
                <c:pt idx="408">
                  <c:v>0.56580165307117836</c:v>
                </c:pt>
                <c:pt idx="409">
                  <c:v>0.56692646765359167</c:v>
                </c:pt>
                <c:pt idx="410">
                  <c:v>0.56805128223600498</c:v>
                </c:pt>
                <c:pt idx="411">
                  <c:v>0.5691760968184183</c:v>
                </c:pt>
                <c:pt idx="412">
                  <c:v>0.5703009114008315</c:v>
                </c:pt>
                <c:pt idx="413">
                  <c:v>0.57142572598324493</c:v>
                </c:pt>
                <c:pt idx="414">
                  <c:v>0.57255054056565813</c:v>
                </c:pt>
                <c:pt idx="415">
                  <c:v>0.57367535514807144</c:v>
                </c:pt>
                <c:pt idx="416">
                  <c:v>0.57480016973048476</c:v>
                </c:pt>
                <c:pt idx="417">
                  <c:v>0.57592498431289807</c:v>
                </c:pt>
                <c:pt idx="418">
                  <c:v>0.57704979889531138</c:v>
                </c:pt>
                <c:pt idx="419">
                  <c:v>0.57817461347772459</c:v>
                </c:pt>
                <c:pt idx="420">
                  <c:v>0.57929942806013801</c:v>
                </c:pt>
                <c:pt idx="421">
                  <c:v>0.58042424264255121</c:v>
                </c:pt>
                <c:pt idx="422">
                  <c:v>0.58154905722496453</c:v>
                </c:pt>
                <c:pt idx="423">
                  <c:v>0.58267387180737784</c:v>
                </c:pt>
                <c:pt idx="424">
                  <c:v>0.58379868638979115</c:v>
                </c:pt>
                <c:pt idx="425">
                  <c:v>0.58492350097220447</c:v>
                </c:pt>
                <c:pt idx="426">
                  <c:v>0.58604831555461778</c:v>
                </c:pt>
                <c:pt idx="427">
                  <c:v>0.5871731301370311</c:v>
                </c:pt>
                <c:pt idx="428">
                  <c:v>0.5882979447194443</c:v>
                </c:pt>
                <c:pt idx="429">
                  <c:v>0.58942275930185772</c:v>
                </c:pt>
                <c:pt idx="430">
                  <c:v>0.59054757388427093</c:v>
                </c:pt>
                <c:pt idx="431">
                  <c:v>0.59167238846668424</c:v>
                </c:pt>
                <c:pt idx="432">
                  <c:v>0.59279720304909755</c:v>
                </c:pt>
                <c:pt idx="433">
                  <c:v>0.59392201763151087</c:v>
                </c:pt>
                <c:pt idx="434">
                  <c:v>0.59504683221392418</c:v>
                </c:pt>
                <c:pt idx="435">
                  <c:v>0.59617164679633738</c:v>
                </c:pt>
                <c:pt idx="436">
                  <c:v>0.59729646137875081</c:v>
                </c:pt>
                <c:pt idx="437">
                  <c:v>0.59842127596116401</c:v>
                </c:pt>
                <c:pt idx="438">
                  <c:v>0.59954609054357733</c:v>
                </c:pt>
                <c:pt idx="439">
                  <c:v>0.60067090512599064</c:v>
                </c:pt>
                <c:pt idx="440">
                  <c:v>0.60179571970840395</c:v>
                </c:pt>
                <c:pt idx="441">
                  <c:v>0.60292053429081727</c:v>
                </c:pt>
                <c:pt idx="442">
                  <c:v>0.60404534887323058</c:v>
                </c:pt>
                <c:pt idx="443">
                  <c:v>0.60517016345564389</c:v>
                </c:pt>
                <c:pt idx="444">
                  <c:v>0.6062949780380571</c:v>
                </c:pt>
                <c:pt idx="445">
                  <c:v>0.60741979262047041</c:v>
                </c:pt>
                <c:pt idx="446">
                  <c:v>0.60854460720288372</c:v>
                </c:pt>
                <c:pt idx="447">
                  <c:v>0.60966942178529704</c:v>
                </c:pt>
                <c:pt idx="448">
                  <c:v>0.61079423636771035</c:v>
                </c:pt>
                <c:pt idx="449">
                  <c:v>0.61191905095012367</c:v>
                </c:pt>
                <c:pt idx="450">
                  <c:v>0.61304386553253698</c:v>
                </c:pt>
                <c:pt idx="451">
                  <c:v>0.61416868011495029</c:v>
                </c:pt>
                <c:pt idx="452">
                  <c:v>0.61529349469736361</c:v>
                </c:pt>
                <c:pt idx="453">
                  <c:v>0.61641830927977681</c:v>
                </c:pt>
                <c:pt idx="454">
                  <c:v>0.61754312386219012</c:v>
                </c:pt>
                <c:pt idx="455">
                  <c:v>0.61866793844460344</c:v>
                </c:pt>
                <c:pt idx="456">
                  <c:v>0.61979275302701675</c:v>
                </c:pt>
                <c:pt idx="457">
                  <c:v>0.62091756760943007</c:v>
                </c:pt>
                <c:pt idx="458">
                  <c:v>0.62204238219184338</c:v>
                </c:pt>
                <c:pt idx="459">
                  <c:v>0.62316719677425669</c:v>
                </c:pt>
                <c:pt idx="460">
                  <c:v>0.6242920113566699</c:v>
                </c:pt>
                <c:pt idx="461">
                  <c:v>0.62541682593908321</c:v>
                </c:pt>
                <c:pt idx="462">
                  <c:v>0.62654164052149652</c:v>
                </c:pt>
                <c:pt idx="463">
                  <c:v>0.62766645510390984</c:v>
                </c:pt>
                <c:pt idx="464">
                  <c:v>0.62879126968632315</c:v>
                </c:pt>
                <c:pt idx="465">
                  <c:v>0.62991608426873646</c:v>
                </c:pt>
                <c:pt idx="466">
                  <c:v>0.63104089885114978</c:v>
                </c:pt>
                <c:pt idx="467">
                  <c:v>0.63216571343356309</c:v>
                </c:pt>
                <c:pt idx="468">
                  <c:v>0.63329052801597641</c:v>
                </c:pt>
                <c:pt idx="469">
                  <c:v>0.63441534259838961</c:v>
                </c:pt>
                <c:pt idx="470">
                  <c:v>0.63554015718080292</c:v>
                </c:pt>
                <c:pt idx="471">
                  <c:v>0.63666497176321624</c:v>
                </c:pt>
                <c:pt idx="472">
                  <c:v>0.63778978634562955</c:v>
                </c:pt>
                <c:pt idx="473">
                  <c:v>0.63891460092804286</c:v>
                </c:pt>
                <c:pt idx="474">
                  <c:v>0.64003941551045618</c:v>
                </c:pt>
                <c:pt idx="475">
                  <c:v>0.64116423009286949</c:v>
                </c:pt>
                <c:pt idx="476">
                  <c:v>0.64228904467528269</c:v>
                </c:pt>
                <c:pt idx="477">
                  <c:v>0.64341385925769601</c:v>
                </c:pt>
                <c:pt idx="478">
                  <c:v>0.64453867384010932</c:v>
                </c:pt>
                <c:pt idx="479">
                  <c:v>0.64566348842252264</c:v>
                </c:pt>
                <c:pt idx="480">
                  <c:v>0.64678830300493595</c:v>
                </c:pt>
                <c:pt idx="481">
                  <c:v>0.64791311758734926</c:v>
                </c:pt>
                <c:pt idx="482">
                  <c:v>0.64903793216976258</c:v>
                </c:pt>
                <c:pt idx="483">
                  <c:v>0.65016274675217589</c:v>
                </c:pt>
                <c:pt idx="484">
                  <c:v>0.6512875613345892</c:v>
                </c:pt>
                <c:pt idx="485">
                  <c:v>0.65241237591700241</c:v>
                </c:pt>
                <c:pt idx="486">
                  <c:v>0.65353719049941572</c:v>
                </c:pt>
                <c:pt idx="487">
                  <c:v>0.65466200508182903</c:v>
                </c:pt>
                <c:pt idx="488">
                  <c:v>0.65578681966424235</c:v>
                </c:pt>
                <c:pt idx="489">
                  <c:v>0.65691163424665566</c:v>
                </c:pt>
                <c:pt idx="490">
                  <c:v>0.65803644882906898</c:v>
                </c:pt>
                <c:pt idx="491">
                  <c:v>0.65916126341148229</c:v>
                </c:pt>
                <c:pt idx="492">
                  <c:v>0.66028607799389549</c:v>
                </c:pt>
                <c:pt idx="493">
                  <c:v>0.66141089257630881</c:v>
                </c:pt>
                <c:pt idx="494">
                  <c:v>0.66253570715872212</c:v>
                </c:pt>
                <c:pt idx="495">
                  <c:v>0.66366052174113543</c:v>
                </c:pt>
                <c:pt idx="496">
                  <c:v>0.66478533632354875</c:v>
                </c:pt>
                <c:pt idx="497">
                  <c:v>0.66591015090596206</c:v>
                </c:pt>
                <c:pt idx="498">
                  <c:v>0.66703496548837538</c:v>
                </c:pt>
                <c:pt idx="499">
                  <c:v>0.66815978007078869</c:v>
                </c:pt>
                <c:pt idx="500">
                  <c:v>0.669284594653202</c:v>
                </c:pt>
                <c:pt idx="501">
                  <c:v>0.67040940923561521</c:v>
                </c:pt>
                <c:pt idx="502">
                  <c:v>0.67153422381802852</c:v>
                </c:pt>
                <c:pt idx="503">
                  <c:v>0.67265903840044183</c:v>
                </c:pt>
                <c:pt idx="504">
                  <c:v>0.67378385298285515</c:v>
                </c:pt>
                <c:pt idx="505">
                  <c:v>0.67490866756526846</c:v>
                </c:pt>
                <c:pt idx="506">
                  <c:v>0.67603348214768177</c:v>
                </c:pt>
                <c:pt idx="507">
                  <c:v>0.67715829673009509</c:v>
                </c:pt>
                <c:pt idx="508">
                  <c:v>0.67828311131250829</c:v>
                </c:pt>
                <c:pt idx="509">
                  <c:v>0.6794079258949216</c:v>
                </c:pt>
                <c:pt idx="510">
                  <c:v>0.68053274047733492</c:v>
                </c:pt>
                <c:pt idx="511">
                  <c:v>0.68165755505974823</c:v>
                </c:pt>
                <c:pt idx="512">
                  <c:v>0.68278236964216155</c:v>
                </c:pt>
                <c:pt idx="513">
                  <c:v>0.68390718422457486</c:v>
                </c:pt>
                <c:pt idx="514">
                  <c:v>0.68503199880698817</c:v>
                </c:pt>
                <c:pt idx="515">
                  <c:v>0.68615681338940149</c:v>
                </c:pt>
                <c:pt idx="516">
                  <c:v>0.6872816279718148</c:v>
                </c:pt>
                <c:pt idx="517">
                  <c:v>0.688406442554228</c:v>
                </c:pt>
                <c:pt idx="518">
                  <c:v>0.68953125713664132</c:v>
                </c:pt>
                <c:pt idx="519">
                  <c:v>0.69065607171905463</c:v>
                </c:pt>
                <c:pt idx="520">
                  <c:v>0.69178088630146795</c:v>
                </c:pt>
                <c:pt idx="521">
                  <c:v>0.69290570088388126</c:v>
                </c:pt>
                <c:pt idx="522">
                  <c:v>0.69403051546629457</c:v>
                </c:pt>
                <c:pt idx="523">
                  <c:v>0.69515533004870789</c:v>
                </c:pt>
                <c:pt idx="524">
                  <c:v>0.69628014463112109</c:v>
                </c:pt>
                <c:pt idx="525">
                  <c:v>0.6974049592135344</c:v>
                </c:pt>
                <c:pt idx="526">
                  <c:v>0.69852977379594772</c:v>
                </c:pt>
                <c:pt idx="527">
                  <c:v>0.69965458837836103</c:v>
                </c:pt>
                <c:pt idx="528">
                  <c:v>0.70077940296077434</c:v>
                </c:pt>
                <c:pt idx="529">
                  <c:v>0.70190421754318766</c:v>
                </c:pt>
                <c:pt idx="530">
                  <c:v>0.70302903212560097</c:v>
                </c:pt>
                <c:pt idx="531">
                  <c:v>0.70415384670801429</c:v>
                </c:pt>
                <c:pt idx="532">
                  <c:v>0.7052786612904276</c:v>
                </c:pt>
                <c:pt idx="533">
                  <c:v>0.7064034758728408</c:v>
                </c:pt>
                <c:pt idx="534">
                  <c:v>0.70752829045525412</c:v>
                </c:pt>
                <c:pt idx="535">
                  <c:v>0.70865310503766743</c:v>
                </c:pt>
                <c:pt idx="536">
                  <c:v>0.70977791962008074</c:v>
                </c:pt>
                <c:pt idx="537">
                  <c:v>0.71090273420249406</c:v>
                </c:pt>
                <c:pt idx="538">
                  <c:v>0.71202754878490737</c:v>
                </c:pt>
                <c:pt idx="539">
                  <c:v>0.71315236336732069</c:v>
                </c:pt>
                <c:pt idx="540">
                  <c:v>0.71427717794973389</c:v>
                </c:pt>
                <c:pt idx="541">
                  <c:v>0.7154019925321472</c:v>
                </c:pt>
                <c:pt idx="542">
                  <c:v>0.71652680711456052</c:v>
                </c:pt>
                <c:pt idx="543">
                  <c:v>0.71765162169697383</c:v>
                </c:pt>
                <c:pt idx="544">
                  <c:v>0.71877643627938714</c:v>
                </c:pt>
                <c:pt idx="545">
                  <c:v>0.71990125086180046</c:v>
                </c:pt>
                <c:pt idx="546">
                  <c:v>0.72102606544421377</c:v>
                </c:pt>
                <c:pt idx="547">
                  <c:v>0.72215088002662708</c:v>
                </c:pt>
                <c:pt idx="548">
                  <c:v>0.7232756946090404</c:v>
                </c:pt>
                <c:pt idx="549">
                  <c:v>0.7244005091914536</c:v>
                </c:pt>
                <c:pt idx="550">
                  <c:v>0.72552532377386691</c:v>
                </c:pt>
                <c:pt idx="551">
                  <c:v>0.72665013835628023</c:v>
                </c:pt>
                <c:pt idx="552">
                  <c:v>0.72777495293869354</c:v>
                </c:pt>
                <c:pt idx="553">
                  <c:v>0.72889976752110686</c:v>
                </c:pt>
                <c:pt idx="554">
                  <c:v>0.73002458210352017</c:v>
                </c:pt>
                <c:pt idx="555">
                  <c:v>0.73114939668593348</c:v>
                </c:pt>
                <c:pt idx="556">
                  <c:v>0.73227421126834669</c:v>
                </c:pt>
                <c:pt idx="557">
                  <c:v>0.73339902585076</c:v>
                </c:pt>
                <c:pt idx="558">
                  <c:v>0.73452384043317331</c:v>
                </c:pt>
                <c:pt idx="559">
                  <c:v>0.73564865501558663</c:v>
                </c:pt>
                <c:pt idx="560">
                  <c:v>0.73677346959799994</c:v>
                </c:pt>
                <c:pt idx="561">
                  <c:v>0.73789828418041326</c:v>
                </c:pt>
                <c:pt idx="562">
                  <c:v>0.73902309876282657</c:v>
                </c:pt>
                <c:pt idx="563">
                  <c:v>0.74014791334523988</c:v>
                </c:pt>
                <c:pt idx="564">
                  <c:v>0.7412727279276532</c:v>
                </c:pt>
                <c:pt idx="565">
                  <c:v>0.7423975425100664</c:v>
                </c:pt>
                <c:pt idx="566">
                  <c:v>0.74352235709247971</c:v>
                </c:pt>
                <c:pt idx="567">
                  <c:v>0.74464717167489303</c:v>
                </c:pt>
                <c:pt idx="568">
                  <c:v>0.74577198625730634</c:v>
                </c:pt>
                <c:pt idx="569">
                  <c:v>0.74689680083971965</c:v>
                </c:pt>
                <c:pt idx="570">
                  <c:v>0.74802161542213297</c:v>
                </c:pt>
                <c:pt idx="571">
                  <c:v>0.74914643000454628</c:v>
                </c:pt>
                <c:pt idx="572">
                  <c:v>0.75027124458695948</c:v>
                </c:pt>
                <c:pt idx="573">
                  <c:v>0.7513960591693728</c:v>
                </c:pt>
                <c:pt idx="574">
                  <c:v>0.75252087375178611</c:v>
                </c:pt>
                <c:pt idx="575">
                  <c:v>0.75364568833419943</c:v>
                </c:pt>
                <c:pt idx="576">
                  <c:v>0.75477050291661274</c:v>
                </c:pt>
                <c:pt idx="577">
                  <c:v>0.75589531749902605</c:v>
                </c:pt>
                <c:pt idx="578">
                  <c:v>0.75702013208143937</c:v>
                </c:pt>
                <c:pt idx="579">
                  <c:v>0.75814494666385268</c:v>
                </c:pt>
                <c:pt idx="580">
                  <c:v>0.759269761246266</c:v>
                </c:pt>
                <c:pt idx="581">
                  <c:v>0.7603945758286792</c:v>
                </c:pt>
                <c:pt idx="582">
                  <c:v>0.76151939041109251</c:v>
                </c:pt>
                <c:pt idx="583">
                  <c:v>0.76264420499350583</c:v>
                </c:pt>
                <c:pt idx="584">
                  <c:v>0.76376901957591914</c:v>
                </c:pt>
                <c:pt idx="585">
                  <c:v>0.76489383415833245</c:v>
                </c:pt>
                <c:pt idx="586">
                  <c:v>0.76601864874074577</c:v>
                </c:pt>
                <c:pt idx="587">
                  <c:v>0.76714346332315908</c:v>
                </c:pt>
                <c:pt idx="588">
                  <c:v>0.76826827790557228</c:v>
                </c:pt>
                <c:pt idx="589">
                  <c:v>0.7693930924879856</c:v>
                </c:pt>
                <c:pt idx="590">
                  <c:v>0.77051790707039891</c:v>
                </c:pt>
                <c:pt idx="591">
                  <c:v>0.77164272165281222</c:v>
                </c:pt>
                <c:pt idx="592">
                  <c:v>0.77276753623522554</c:v>
                </c:pt>
                <c:pt idx="593">
                  <c:v>0.77389235081763885</c:v>
                </c:pt>
                <c:pt idx="594">
                  <c:v>0.77501716540005217</c:v>
                </c:pt>
                <c:pt idx="595">
                  <c:v>0.77614197998246548</c:v>
                </c:pt>
                <c:pt idx="596">
                  <c:v>0.77726679456487879</c:v>
                </c:pt>
                <c:pt idx="597">
                  <c:v>0.778391609147292</c:v>
                </c:pt>
                <c:pt idx="598">
                  <c:v>0.77951642372970531</c:v>
                </c:pt>
                <c:pt idx="599">
                  <c:v>0.78064123831211862</c:v>
                </c:pt>
                <c:pt idx="600">
                  <c:v>0.78176605289453194</c:v>
                </c:pt>
                <c:pt idx="601">
                  <c:v>0.78289086747694525</c:v>
                </c:pt>
                <c:pt idx="602">
                  <c:v>0.78401568205935857</c:v>
                </c:pt>
                <c:pt idx="603">
                  <c:v>0.78514049664177188</c:v>
                </c:pt>
                <c:pt idx="604">
                  <c:v>0.78626531122418508</c:v>
                </c:pt>
                <c:pt idx="605">
                  <c:v>0.7873901258065984</c:v>
                </c:pt>
                <c:pt idx="606">
                  <c:v>0.78851494038901171</c:v>
                </c:pt>
                <c:pt idx="607">
                  <c:v>0.78963975497142502</c:v>
                </c:pt>
                <c:pt idx="608">
                  <c:v>0.79076456955383834</c:v>
                </c:pt>
                <c:pt idx="609">
                  <c:v>0.79188938413625165</c:v>
                </c:pt>
                <c:pt idx="610">
                  <c:v>0.79301419871866496</c:v>
                </c:pt>
                <c:pt idx="611">
                  <c:v>0.79413901330107828</c:v>
                </c:pt>
                <c:pt idx="612">
                  <c:v>0.79526382788349159</c:v>
                </c:pt>
                <c:pt idx="613">
                  <c:v>0.79638864246590479</c:v>
                </c:pt>
                <c:pt idx="614">
                  <c:v>0.79751345704831811</c:v>
                </c:pt>
                <c:pt idx="615">
                  <c:v>0.79863827163073142</c:v>
                </c:pt>
                <c:pt idx="616">
                  <c:v>0.79976308621314474</c:v>
                </c:pt>
                <c:pt idx="617">
                  <c:v>0.80088790079555805</c:v>
                </c:pt>
                <c:pt idx="618">
                  <c:v>0.80201271537797136</c:v>
                </c:pt>
                <c:pt idx="619">
                  <c:v>0.80313752996038468</c:v>
                </c:pt>
                <c:pt idx="620">
                  <c:v>0.80426234454279788</c:v>
                </c:pt>
                <c:pt idx="621">
                  <c:v>0.80538715912521119</c:v>
                </c:pt>
                <c:pt idx="622">
                  <c:v>0.80651197370762451</c:v>
                </c:pt>
                <c:pt idx="623">
                  <c:v>0.80763678829003782</c:v>
                </c:pt>
                <c:pt idx="624">
                  <c:v>0.80876160287245114</c:v>
                </c:pt>
                <c:pt idx="625">
                  <c:v>0.80988641745486445</c:v>
                </c:pt>
                <c:pt idx="626">
                  <c:v>0.81101123203727776</c:v>
                </c:pt>
                <c:pt idx="627">
                  <c:v>0.81213604661969108</c:v>
                </c:pt>
                <c:pt idx="628">
                  <c:v>0.81326086120210439</c:v>
                </c:pt>
                <c:pt idx="629">
                  <c:v>0.81438567578451759</c:v>
                </c:pt>
                <c:pt idx="630">
                  <c:v>0.81551049036693091</c:v>
                </c:pt>
                <c:pt idx="631">
                  <c:v>0.81663530494934422</c:v>
                </c:pt>
                <c:pt idx="632">
                  <c:v>0.81776011953175753</c:v>
                </c:pt>
                <c:pt idx="633">
                  <c:v>0.81888493411417085</c:v>
                </c:pt>
                <c:pt idx="634">
                  <c:v>0.82000974869658416</c:v>
                </c:pt>
                <c:pt idx="635">
                  <c:v>0.82113456327899748</c:v>
                </c:pt>
                <c:pt idx="636">
                  <c:v>0.82225937786141068</c:v>
                </c:pt>
                <c:pt idx="637">
                  <c:v>0.82338419244382399</c:v>
                </c:pt>
                <c:pt idx="638">
                  <c:v>0.82450900702623731</c:v>
                </c:pt>
                <c:pt idx="639">
                  <c:v>0.82563382160865062</c:v>
                </c:pt>
                <c:pt idx="640">
                  <c:v>0.82675863619106393</c:v>
                </c:pt>
                <c:pt idx="641">
                  <c:v>0.82788345077347725</c:v>
                </c:pt>
                <c:pt idx="642">
                  <c:v>0.82900826535589056</c:v>
                </c:pt>
                <c:pt idx="643">
                  <c:v>0.83013307993830387</c:v>
                </c:pt>
                <c:pt idx="644">
                  <c:v>0.83125789452071719</c:v>
                </c:pt>
                <c:pt idx="645">
                  <c:v>0.83238270910313039</c:v>
                </c:pt>
                <c:pt idx="646">
                  <c:v>0.83350752368554371</c:v>
                </c:pt>
                <c:pt idx="647">
                  <c:v>0.83463233826795702</c:v>
                </c:pt>
                <c:pt idx="648">
                  <c:v>0.83575715285037033</c:v>
                </c:pt>
                <c:pt idx="649">
                  <c:v>0.83688196743278365</c:v>
                </c:pt>
                <c:pt idx="650">
                  <c:v>0.83800678201519696</c:v>
                </c:pt>
                <c:pt idx="651">
                  <c:v>0.83913159659761027</c:v>
                </c:pt>
                <c:pt idx="652">
                  <c:v>0.84025641118002348</c:v>
                </c:pt>
                <c:pt idx="653">
                  <c:v>0.84138122576243679</c:v>
                </c:pt>
                <c:pt idx="654">
                  <c:v>0.8425060403448501</c:v>
                </c:pt>
                <c:pt idx="655">
                  <c:v>0.84363085492726342</c:v>
                </c:pt>
                <c:pt idx="656">
                  <c:v>0.84475566950967673</c:v>
                </c:pt>
                <c:pt idx="657">
                  <c:v>0.84588048409209005</c:v>
                </c:pt>
                <c:pt idx="658">
                  <c:v>0.84700529867450336</c:v>
                </c:pt>
                <c:pt idx="659">
                  <c:v>0.84813011325691667</c:v>
                </c:pt>
                <c:pt idx="660">
                  <c:v>0.84925492783932999</c:v>
                </c:pt>
                <c:pt idx="661">
                  <c:v>0.85037974242174319</c:v>
                </c:pt>
                <c:pt idx="662">
                  <c:v>0.8515045570041565</c:v>
                </c:pt>
                <c:pt idx="663">
                  <c:v>0.85262937158656982</c:v>
                </c:pt>
                <c:pt idx="664">
                  <c:v>0.85375418616898313</c:v>
                </c:pt>
                <c:pt idx="665">
                  <c:v>0.85487900075139645</c:v>
                </c:pt>
                <c:pt idx="666">
                  <c:v>0.85600381533380976</c:v>
                </c:pt>
                <c:pt idx="667">
                  <c:v>0.85712862991622307</c:v>
                </c:pt>
                <c:pt idx="668">
                  <c:v>0.85825344449863628</c:v>
                </c:pt>
                <c:pt idx="669">
                  <c:v>0.85937825908104959</c:v>
                </c:pt>
                <c:pt idx="670">
                  <c:v>0.8605030736634629</c:v>
                </c:pt>
                <c:pt idx="671">
                  <c:v>0.86162788824587622</c:v>
                </c:pt>
                <c:pt idx="672">
                  <c:v>0.86275270282828953</c:v>
                </c:pt>
                <c:pt idx="673">
                  <c:v>0.86387751741070284</c:v>
                </c:pt>
                <c:pt idx="674">
                  <c:v>0.86500233199311616</c:v>
                </c:pt>
                <c:pt idx="675">
                  <c:v>0.86612714657552947</c:v>
                </c:pt>
                <c:pt idx="676">
                  <c:v>0.86725196115794279</c:v>
                </c:pt>
                <c:pt idx="677">
                  <c:v>0.86837677574035599</c:v>
                </c:pt>
                <c:pt idx="678">
                  <c:v>0.8695015903227693</c:v>
                </c:pt>
                <c:pt idx="679">
                  <c:v>0.87062640490518262</c:v>
                </c:pt>
                <c:pt idx="680">
                  <c:v>0.87175121948759593</c:v>
                </c:pt>
                <c:pt idx="681">
                  <c:v>0.87287603407000924</c:v>
                </c:pt>
                <c:pt idx="682">
                  <c:v>0.87400084865242256</c:v>
                </c:pt>
                <c:pt idx="683">
                  <c:v>0.87512566323483587</c:v>
                </c:pt>
                <c:pt idx="684">
                  <c:v>0.87625047781724907</c:v>
                </c:pt>
                <c:pt idx="685">
                  <c:v>0.87737529239966239</c:v>
                </c:pt>
                <c:pt idx="686">
                  <c:v>0.8785001069820757</c:v>
                </c:pt>
                <c:pt idx="687">
                  <c:v>0.87962492156448902</c:v>
                </c:pt>
                <c:pt idx="688">
                  <c:v>0.88074973614690233</c:v>
                </c:pt>
                <c:pt idx="689">
                  <c:v>0.88187455072931564</c:v>
                </c:pt>
                <c:pt idx="690">
                  <c:v>0.88299936531172896</c:v>
                </c:pt>
                <c:pt idx="691">
                  <c:v>0.88412417989414227</c:v>
                </c:pt>
                <c:pt idx="692">
                  <c:v>0.88524899447655558</c:v>
                </c:pt>
                <c:pt idx="693">
                  <c:v>0.88637380905896879</c:v>
                </c:pt>
                <c:pt idx="694">
                  <c:v>0.8874986236413821</c:v>
                </c:pt>
                <c:pt idx="695">
                  <c:v>0.88862343822379541</c:v>
                </c:pt>
                <c:pt idx="696">
                  <c:v>0.88974825280620873</c:v>
                </c:pt>
                <c:pt idx="697">
                  <c:v>0.89087306738862204</c:v>
                </c:pt>
                <c:pt idx="698">
                  <c:v>0.89199788197103536</c:v>
                </c:pt>
                <c:pt idx="699">
                  <c:v>0.89312269655344867</c:v>
                </c:pt>
              </c:numCache>
            </c:numRef>
          </c:xVal>
          <c:yVal>
            <c:numRef>
              <c:f>Sheet5_HID!ydata2</c:f>
              <c:numCache>
                <c:formatCode>General</c:formatCode>
                <c:ptCount val="700"/>
                <c:pt idx="0">
                  <c:v>1.10687730344655</c:v>
                </c:pt>
                <c:pt idx="1">
                  <c:v>1.89312269655345</c:v>
                </c:pt>
                <c:pt idx="2">
                  <c:v>1.10687730344655</c:v>
                </c:pt>
                <c:pt idx="3">
                  <c:v>1.89312269655345</c:v>
                </c:pt>
                <c:pt idx="4">
                  <c:v>1.10687730344655</c:v>
                </c:pt>
                <c:pt idx="5">
                  <c:v>1.89312269655345</c:v>
                </c:pt>
                <c:pt idx="6">
                  <c:v>1.10687730344655</c:v>
                </c:pt>
                <c:pt idx="7">
                  <c:v>1.89312269655345</c:v>
                </c:pt>
                <c:pt idx="8">
                  <c:v>1.10687730344655</c:v>
                </c:pt>
                <c:pt idx="9">
                  <c:v>1.89312269655345</c:v>
                </c:pt>
                <c:pt idx="10">
                  <c:v>1.10687730344655</c:v>
                </c:pt>
                <c:pt idx="11">
                  <c:v>1.89312269655345</c:v>
                </c:pt>
                <c:pt idx="12">
                  <c:v>1.10687730344655</c:v>
                </c:pt>
                <c:pt idx="13">
                  <c:v>1.89312269655345</c:v>
                </c:pt>
                <c:pt idx="14">
                  <c:v>1.10687730344655</c:v>
                </c:pt>
                <c:pt idx="15">
                  <c:v>1.89312269655345</c:v>
                </c:pt>
                <c:pt idx="16">
                  <c:v>1.10687730344655</c:v>
                </c:pt>
                <c:pt idx="17">
                  <c:v>1.89312269655345</c:v>
                </c:pt>
                <c:pt idx="18">
                  <c:v>1.10687730344655</c:v>
                </c:pt>
                <c:pt idx="19">
                  <c:v>1.89312269655345</c:v>
                </c:pt>
                <c:pt idx="20">
                  <c:v>1.10687730344655</c:v>
                </c:pt>
                <c:pt idx="21">
                  <c:v>1.89312269655345</c:v>
                </c:pt>
                <c:pt idx="22">
                  <c:v>1.10687730344655</c:v>
                </c:pt>
                <c:pt idx="23">
                  <c:v>1.89312269655345</c:v>
                </c:pt>
                <c:pt idx="24">
                  <c:v>1.10687730344655</c:v>
                </c:pt>
                <c:pt idx="25">
                  <c:v>1.89312269655345</c:v>
                </c:pt>
                <c:pt idx="26">
                  <c:v>1.10687730344655</c:v>
                </c:pt>
                <c:pt idx="27">
                  <c:v>1.89312269655345</c:v>
                </c:pt>
                <c:pt idx="28">
                  <c:v>1.10687730344655</c:v>
                </c:pt>
                <c:pt idx="29">
                  <c:v>1.89312269655345</c:v>
                </c:pt>
                <c:pt idx="30">
                  <c:v>1.10687730344655</c:v>
                </c:pt>
                <c:pt idx="31">
                  <c:v>1.89312269655345</c:v>
                </c:pt>
                <c:pt idx="32">
                  <c:v>1.10687730344655</c:v>
                </c:pt>
                <c:pt idx="33">
                  <c:v>1.89312269655345</c:v>
                </c:pt>
                <c:pt idx="34">
                  <c:v>1.10687730344655</c:v>
                </c:pt>
                <c:pt idx="35">
                  <c:v>1.89312269655345</c:v>
                </c:pt>
                <c:pt idx="36">
                  <c:v>1.10687730344655</c:v>
                </c:pt>
                <c:pt idx="37">
                  <c:v>1.89312269655345</c:v>
                </c:pt>
                <c:pt idx="38">
                  <c:v>1.10687730344655</c:v>
                </c:pt>
                <c:pt idx="39">
                  <c:v>1.89312269655345</c:v>
                </c:pt>
                <c:pt idx="40">
                  <c:v>1.10687730344655</c:v>
                </c:pt>
                <c:pt idx="41">
                  <c:v>1.89312269655345</c:v>
                </c:pt>
                <c:pt idx="42">
                  <c:v>1.10687730344655</c:v>
                </c:pt>
                <c:pt idx="43">
                  <c:v>1.89312269655345</c:v>
                </c:pt>
                <c:pt idx="44">
                  <c:v>1.10687730344655</c:v>
                </c:pt>
                <c:pt idx="45">
                  <c:v>1.89312269655345</c:v>
                </c:pt>
                <c:pt idx="46">
                  <c:v>1.10687730344655</c:v>
                </c:pt>
                <c:pt idx="47">
                  <c:v>1.89312269655345</c:v>
                </c:pt>
                <c:pt idx="48">
                  <c:v>1.10687730344655</c:v>
                </c:pt>
                <c:pt idx="49">
                  <c:v>1.89312269655345</c:v>
                </c:pt>
                <c:pt idx="50">
                  <c:v>1.10687730344655</c:v>
                </c:pt>
                <c:pt idx="51">
                  <c:v>1.89312269655345</c:v>
                </c:pt>
                <c:pt idx="52">
                  <c:v>1.10687730344655</c:v>
                </c:pt>
                <c:pt idx="53">
                  <c:v>1.89312269655345</c:v>
                </c:pt>
                <c:pt idx="54">
                  <c:v>1.10687730344655</c:v>
                </c:pt>
                <c:pt idx="55">
                  <c:v>1.89312269655345</c:v>
                </c:pt>
                <c:pt idx="56">
                  <c:v>1.10687730344655</c:v>
                </c:pt>
                <c:pt idx="57">
                  <c:v>1.89312269655345</c:v>
                </c:pt>
                <c:pt idx="58">
                  <c:v>1.10687730344655</c:v>
                </c:pt>
                <c:pt idx="59">
                  <c:v>1.89312269655345</c:v>
                </c:pt>
                <c:pt idx="60">
                  <c:v>1.10687730344655</c:v>
                </c:pt>
                <c:pt idx="61">
                  <c:v>1.89312269655345</c:v>
                </c:pt>
                <c:pt idx="62">
                  <c:v>1.10687730344655</c:v>
                </c:pt>
                <c:pt idx="63">
                  <c:v>1.89312269655345</c:v>
                </c:pt>
                <c:pt idx="64">
                  <c:v>1.10687730344655</c:v>
                </c:pt>
                <c:pt idx="65">
                  <c:v>1.89312269655345</c:v>
                </c:pt>
                <c:pt idx="66">
                  <c:v>1.10687730344655</c:v>
                </c:pt>
                <c:pt idx="67">
                  <c:v>1.89312269655345</c:v>
                </c:pt>
                <c:pt idx="68">
                  <c:v>1.10687730344655</c:v>
                </c:pt>
                <c:pt idx="69">
                  <c:v>1.89312269655345</c:v>
                </c:pt>
                <c:pt idx="70">
                  <c:v>1.10687730344655</c:v>
                </c:pt>
                <c:pt idx="71">
                  <c:v>1.89312269655345</c:v>
                </c:pt>
                <c:pt idx="72">
                  <c:v>1.10687730344655</c:v>
                </c:pt>
                <c:pt idx="73">
                  <c:v>1.89312269655345</c:v>
                </c:pt>
                <c:pt idx="74">
                  <c:v>1.10687730344655</c:v>
                </c:pt>
                <c:pt idx="75">
                  <c:v>1.89312269655345</c:v>
                </c:pt>
                <c:pt idx="76">
                  <c:v>1.10687730344655</c:v>
                </c:pt>
                <c:pt idx="77">
                  <c:v>1.89312269655345</c:v>
                </c:pt>
                <c:pt idx="78">
                  <c:v>1.10687730344655</c:v>
                </c:pt>
                <c:pt idx="79">
                  <c:v>1.89312269655345</c:v>
                </c:pt>
                <c:pt idx="80">
                  <c:v>1.10687730344655</c:v>
                </c:pt>
                <c:pt idx="81">
                  <c:v>1.89312269655345</c:v>
                </c:pt>
                <c:pt idx="82">
                  <c:v>1.10687730344655</c:v>
                </c:pt>
                <c:pt idx="83">
                  <c:v>1.89312269655345</c:v>
                </c:pt>
                <c:pt idx="84">
                  <c:v>1.10687730344655</c:v>
                </c:pt>
                <c:pt idx="85">
                  <c:v>1.89312269655345</c:v>
                </c:pt>
                <c:pt idx="86">
                  <c:v>1.10687730344655</c:v>
                </c:pt>
                <c:pt idx="87">
                  <c:v>1.89312269655345</c:v>
                </c:pt>
                <c:pt idx="88">
                  <c:v>1.10687730344655</c:v>
                </c:pt>
                <c:pt idx="89">
                  <c:v>1.89312269655345</c:v>
                </c:pt>
                <c:pt idx="90">
                  <c:v>1.10687730344655</c:v>
                </c:pt>
                <c:pt idx="91">
                  <c:v>1.89312269655345</c:v>
                </c:pt>
                <c:pt idx="92">
                  <c:v>1.10687730344655</c:v>
                </c:pt>
                <c:pt idx="93">
                  <c:v>1.89312269655345</c:v>
                </c:pt>
                <c:pt idx="94">
                  <c:v>1.10687730344655</c:v>
                </c:pt>
                <c:pt idx="95">
                  <c:v>1.89312269655345</c:v>
                </c:pt>
                <c:pt idx="96">
                  <c:v>1.10687730344655</c:v>
                </c:pt>
                <c:pt idx="97">
                  <c:v>1.89312269655345</c:v>
                </c:pt>
                <c:pt idx="98">
                  <c:v>1.10687730344655</c:v>
                </c:pt>
                <c:pt idx="99">
                  <c:v>1.89312269655345</c:v>
                </c:pt>
                <c:pt idx="100">
                  <c:v>1.10687730344655</c:v>
                </c:pt>
                <c:pt idx="101">
                  <c:v>1.89312269655345</c:v>
                </c:pt>
                <c:pt idx="102">
                  <c:v>1.10687730344655</c:v>
                </c:pt>
                <c:pt idx="103">
                  <c:v>1.89312269655345</c:v>
                </c:pt>
                <c:pt idx="104">
                  <c:v>1.10687730344655</c:v>
                </c:pt>
                <c:pt idx="105">
                  <c:v>1.89312269655345</c:v>
                </c:pt>
                <c:pt idx="106">
                  <c:v>1.10687730344655</c:v>
                </c:pt>
                <c:pt idx="107">
                  <c:v>1.89312269655345</c:v>
                </c:pt>
                <c:pt idx="108">
                  <c:v>1.10687730344655</c:v>
                </c:pt>
                <c:pt idx="109">
                  <c:v>1.89312269655345</c:v>
                </c:pt>
                <c:pt idx="110">
                  <c:v>1.10687730344655</c:v>
                </c:pt>
                <c:pt idx="111">
                  <c:v>1.89312269655345</c:v>
                </c:pt>
                <c:pt idx="112">
                  <c:v>1.10687730344655</c:v>
                </c:pt>
                <c:pt idx="113">
                  <c:v>1.89312269655345</c:v>
                </c:pt>
                <c:pt idx="114">
                  <c:v>1.10687730344655</c:v>
                </c:pt>
                <c:pt idx="115">
                  <c:v>1.89312269655345</c:v>
                </c:pt>
                <c:pt idx="116">
                  <c:v>1.10687730344655</c:v>
                </c:pt>
                <c:pt idx="117">
                  <c:v>1.89312269655345</c:v>
                </c:pt>
                <c:pt idx="118">
                  <c:v>1.10687730344655</c:v>
                </c:pt>
                <c:pt idx="119">
                  <c:v>1.89312269655345</c:v>
                </c:pt>
                <c:pt idx="120">
                  <c:v>1.10687730344655</c:v>
                </c:pt>
                <c:pt idx="121">
                  <c:v>1.89312269655345</c:v>
                </c:pt>
                <c:pt idx="122">
                  <c:v>1.10687730344655</c:v>
                </c:pt>
                <c:pt idx="123">
                  <c:v>1.89312269655345</c:v>
                </c:pt>
                <c:pt idx="124">
                  <c:v>1.10687730344655</c:v>
                </c:pt>
                <c:pt idx="125">
                  <c:v>1.89312269655345</c:v>
                </c:pt>
                <c:pt idx="126">
                  <c:v>1.10687730344655</c:v>
                </c:pt>
                <c:pt idx="127">
                  <c:v>1.89312269655345</c:v>
                </c:pt>
                <c:pt idx="128">
                  <c:v>1.10687730344655</c:v>
                </c:pt>
                <c:pt idx="129">
                  <c:v>1.89312269655345</c:v>
                </c:pt>
                <c:pt idx="130">
                  <c:v>1.10687730344655</c:v>
                </c:pt>
                <c:pt idx="131">
                  <c:v>1.89312269655345</c:v>
                </c:pt>
                <c:pt idx="132">
                  <c:v>1.10687730344655</c:v>
                </c:pt>
                <c:pt idx="133">
                  <c:v>1.89312269655345</c:v>
                </c:pt>
                <c:pt idx="134">
                  <c:v>1.10687730344655</c:v>
                </c:pt>
                <c:pt idx="135">
                  <c:v>1.89312269655345</c:v>
                </c:pt>
                <c:pt idx="136">
                  <c:v>1.10687730344655</c:v>
                </c:pt>
                <c:pt idx="137">
                  <c:v>1.89312269655345</c:v>
                </c:pt>
                <c:pt idx="138">
                  <c:v>1.10687730344655</c:v>
                </c:pt>
                <c:pt idx="139">
                  <c:v>1.89312269655345</c:v>
                </c:pt>
                <c:pt idx="140">
                  <c:v>1.10687730344655</c:v>
                </c:pt>
                <c:pt idx="141">
                  <c:v>1.89312269655345</c:v>
                </c:pt>
                <c:pt idx="142">
                  <c:v>1.10687730344655</c:v>
                </c:pt>
                <c:pt idx="143">
                  <c:v>1.89312269655345</c:v>
                </c:pt>
                <c:pt idx="144">
                  <c:v>1.10687730344655</c:v>
                </c:pt>
                <c:pt idx="145">
                  <c:v>1.89312269655345</c:v>
                </c:pt>
                <c:pt idx="146">
                  <c:v>1.10687730344655</c:v>
                </c:pt>
                <c:pt idx="147">
                  <c:v>1.89312269655345</c:v>
                </c:pt>
                <c:pt idx="148">
                  <c:v>1.10687730344655</c:v>
                </c:pt>
                <c:pt idx="149">
                  <c:v>1.89312269655345</c:v>
                </c:pt>
                <c:pt idx="150">
                  <c:v>1.10687730344655</c:v>
                </c:pt>
                <c:pt idx="151">
                  <c:v>1.89312269655345</c:v>
                </c:pt>
                <c:pt idx="152">
                  <c:v>1.10687730344655</c:v>
                </c:pt>
                <c:pt idx="153">
                  <c:v>1.89312269655345</c:v>
                </c:pt>
                <c:pt idx="154">
                  <c:v>1.10687730344655</c:v>
                </c:pt>
                <c:pt idx="155">
                  <c:v>1.89312269655345</c:v>
                </c:pt>
                <c:pt idx="156">
                  <c:v>1.10687730344655</c:v>
                </c:pt>
                <c:pt idx="157">
                  <c:v>1.89312269655345</c:v>
                </c:pt>
                <c:pt idx="158">
                  <c:v>1.10687730344655</c:v>
                </c:pt>
                <c:pt idx="159">
                  <c:v>1.89312269655345</c:v>
                </c:pt>
                <c:pt idx="160">
                  <c:v>1.10687730344655</c:v>
                </c:pt>
                <c:pt idx="161">
                  <c:v>1.89312269655345</c:v>
                </c:pt>
                <c:pt idx="162">
                  <c:v>1.10687730344655</c:v>
                </c:pt>
                <c:pt idx="163">
                  <c:v>1.89312269655345</c:v>
                </c:pt>
                <c:pt idx="164">
                  <c:v>1.10687730344655</c:v>
                </c:pt>
                <c:pt idx="165">
                  <c:v>1.89312269655345</c:v>
                </c:pt>
                <c:pt idx="166">
                  <c:v>1.10687730344655</c:v>
                </c:pt>
                <c:pt idx="167">
                  <c:v>1.89312269655345</c:v>
                </c:pt>
                <c:pt idx="168">
                  <c:v>1.10687730344655</c:v>
                </c:pt>
                <c:pt idx="169">
                  <c:v>1.89312269655345</c:v>
                </c:pt>
                <c:pt idx="170">
                  <c:v>1.10687730344655</c:v>
                </c:pt>
                <c:pt idx="171">
                  <c:v>1.89312269655345</c:v>
                </c:pt>
                <c:pt idx="172">
                  <c:v>1.10687730344655</c:v>
                </c:pt>
                <c:pt idx="173">
                  <c:v>1.89312269655345</c:v>
                </c:pt>
                <c:pt idx="174">
                  <c:v>1.10687730344655</c:v>
                </c:pt>
                <c:pt idx="175">
                  <c:v>1.89312269655345</c:v>
                </c:pt>
                <c:pt idx="176">
                  <c:v>1.10687730344655</c:v>
                </c:pt>
                <c:pt idx="177">
                  <c:v>1.89312269655345</c:v>
                </c:pt>
                <c:pt idx="178">
                  <c:v>1.10687730344655</c:v>
                </c:pt>
                <c:pt idx="179">
                  <c:v>1.89312269655345</c:v>
                </c:pt>
                <c:pt idx="180">
                  <c:v>1.10687730344655</c:v>
                </c:pt>
                <c:pt idx="181">
                  <c:v>1.89312269655345</c:v>
                </c:pt>
                <c:pt idx="182">
                  <c:v>1.10687730344655</c:v>
                </c:pt>
                <c:pt idx="183">
                  <c:v>1.89312269655345</c:v>
                </c:pt>
                <c:pt idx="184">
                  <c:v>1.10687730344655</c:v>
                </c:pt>
                <c:pt idx="185">
                  <c:v>1.89312269655345</c:v>
                </c:pt>
                <c:pt idx="186">
                  <c:v>1.10687730344655</c:v>
                </c:pt>
                <c:pt idx="187">
                  <c:v>1.89312269655345</c:v>
                </c:pt>
                <c:pt idx="188">
                  <c:v>1.10687730344655</c:v>
                </c:pt>
                <c:pt idx="189">
                  <c:v>1.89312269655345</c:v>
                </c:pt>
                <c:pt idx="190">
                  <c:v>1.10687730344655</c:v>
                </c:pt>
                <c:pt idx="191">
                  <c:v>1.89312269655345</c:v>
                </c:pt>
                <c:pt idx="192">
                  <c:v>1.10687730344655</c:v>
                </c:pt>
                <c:pt idx="193">
                  <c:v>1.89312269655345</c:v>
                </c:pt>
                <c:pt idx="194">
                  <c:v>1.10687730344655</c:v>
                </c:pt>
                <c:pt idx="195">
                  <c:v>1.89312269655345</c:v>
                </c:pt>
                <c:pt idx="196">
                  <c:v>1.10687730344655</c:v>
                </c:pt>
                <c:pt idx="197">
                  <c:v>1.89312269655345</c:v>
                </c:pt>
                <c:pt idx="198">
                  <c:v>1.10687730344655</c:v>
                </c:pt>
                <c:pt idx="199">
                  <c:v>1.89312269655345</c:v>
                </c:pt>
                <c:pt idx="200">
                  <c:v>1.10687730344655</c:v>
                </c:pt>
                <c:pt idx="201">
                  <c:v>1.89312269655345</c:v>
                </c:pt>
                <c:pt idx="202">
                  <c:v>1.10687730344655</c:v>
                </c:pt>
                <c:pt idx="203">
                  <c:v>1.89312269655345</c:v>
                </c:pt>
                <c:pt idx="204">
                  <c:v>1.10687730344655</c:v>
                </c:pt>
                <c:pt idx="205">
                  <c:v>1.89312269655345</c:v>
                </c:pt>
                <c:pt idx="206">
                  <c:v>1.10687730344655</c:v>
                </c:pt>
                <c:pt idx="207">
                  <c:v>1.89312269655345</c:v>
                </c:pt>
                <c:pt idx="208">
                  <c:v>1.10687730344655</c:v>
                </c:pt>
                <c:pt idx="209">
                  <c:v>1.89312269655345</c:v>
                </c:pt>
                <c:pt idx="210">
                  <c:v>1.10687730344655</c:v>
                </c:pt>
                <c:pt idx="211">
                  <c:v>1.89312269655345</c:v>
                </c:pt>
                <c:pt idx="212">
                  <c:v>1.10687730344655</c:v>
                </c:pt>
                <c:pt idx="213">
                  <c:v>1.89312269655345</c:v>
                </c:pt>
                <c:pt idx="214">
                  <c:v>1.10687730344655</c:v>
                </c:pt>
                <c:pt idx="215">
                  <c:v>1.89312269655345</c:v>
                </c:pt>
                <c:pt idx="216">
                  <c:v>1.10687730344655</c:v>
                </c:pt>
                <c:pt idx="217">
                  <c:v>1.89312269655345</c:v>
                </c:pt>
                <c:pt idx="218">
                  <c:v>1.10687730344655</c:v>
                </c:pt>
                <c:pt idx="219">
                  <c:v>1.89312269655345</c:v>
                </c:pt>
                <c:pt idx="220">
                  <c:v>1.10687730344655</c:v>
                </c:pt>
                <c:pt idx="221">
                  <c:v>1.89312269655345</c:v>
                </c:pt>
                <c:pt idx="222">
                  <c:v>1.10687730344655</c:v>
                </c:pt>
                <c:pt idx="223">
                  <c:v>1.89312269655345</c:v>
                </c:pt>
                <c:pt idx="224">
                  <c:v>1.10687730344655</c:v>
                </c:pt>
                <c:pt idx="225">
                  <c:v>1.89312269655345</c:v>
                </c:pt>
                <c:pt idx="226">
                  <c:v>1.10687730344655</c:v>
                </c:pt>
                <c:pt idx="227">
                  <c:v>1.89312269655345</c:v>
                </c:pt>
                <c:pt idx="228">
                  <c:v>1.10687730344655</c:v>
                </c:pt>
                <c:pt idx="229">
                  <c:v>1.89312269655345</c:v>
                </c:pt>
                <c:pt idx="230">
                  <c:v>1.10687730344655</c:v>
                </c:pt>
                <c:pt idx="231">
                  <c:v>1.89312269655345</c:v>
                </c:pt>
                <c:pt idx="232">
                  <c:v>1.10687730344655</c:v>
                </c:pt>
                <c:pt idx="233">
                  <c:v>1.89312269655345</c:v>
                </c:pt>
                <c:pt idx="234">
                  <c:v>1.10687730344655</c:v>
                </c:pt>
                <c:pt idx="235">
                  <c:v>1.89312269655345</c:v>
                </c:pt>
                <c:pt idx="236">
                  <c:v>1.10687730344655</c:v>
                </c:pt>
                <c:pt idx="237">
                  <c:v>1.89312269655345</c:v>
                </c:pt>
                <c:pt idx="238">
                  <c:v>1.10687730344655</c:v>
                </c:pt>
                <c:pt idx="239">
                  <c:v>1.89312269655345</c:v>
                </c:pt>
                <c:pt idx="240">
                  <c:v>1.10687730344655</c:v>
                </c:pt>
                <c:pt idx="241">
                  <c:v>1.89312269655345</c:v>
                </c:pt>
                <c:pt idx="242">
                  <c:v>1.10687730344655</c:v>
                </c:pt>
                <c:pt idx="243">
                  <c:v>1.89312269655345</c:v>
                </c:pt>
                <c:pt idx="244">
                  <c:v>1.10687730344655</c:v>
                </c:pt>
                <c:pt idx="245">
                  <c:v>1.89312269655345</c:v>
                </c:pt>
                <c:pt idx="246">
                  <c:v>1.10687730344655</c:v>
                </c:pt>
                <c:pt idx="247">
                  <c:v>1.89312269655345</c:v>
                </c:pt>
                <c:pt idx="248">
                  <c:v>1.10687730344655</c:v>
                </c:pt>
                <c:pt idx="249">
                  <c:v>1.89312269655345</c:v>
                </c:pt>
                <c:pt idx="250">
                  <c:v>1.10687730344655</c:v>
                </c:pt>
                <c:pt idx="251">
                  <c:v>1.89312269655345</c:v>
                </c:pt>
                <c:pt idx="252">
                  <c:v>1.10687730344655</c:v>
                </c:pt>
                <c:pt idx="253">
                  <c:v>1.89312269655345</c:v>
                </c:pt>
                <c:pt idx="254">
                  <c:v>1.10687730344655</c:v>
                </c:pt>
                <c:pt idx="255">
                  <c:v>1.89312269655345</c:v>
                </c:pt>
                <c:pt idx="256">
                  <c:v>1.10687730344655</c:v>
                </c:pt>
                <c:pt idx="257">
                  <c:v>1.89312269655345</c:v>
                </c:pt>
                <c:pt idx="258">
                  <c:v>1.10687730344655</c:v>
                </c:pt>
                <c:pt idx="259">
                  <c:v>1.89312269655345</c:v>
                </c:pt>
                <c:pt idx="260">
                  <c:v>1.10687730344655</c:v>
                </c:pt>
                <c:pt idx="261">
                  <c:v>1.89312269655345</c:v>
                </c:pt>
                <c:pt idx="262">
                  <c:v>1.10687730344655</c:v>
                </c:pt>
                <c:pt idx="263">
                  <c:v>1.89312269655345</c:v>
                </c:pt>
                <c:pt idx="264">
                  <c:v>1.10687730344655</c:v>
                </c:pt>
                <c:pt idx="265">
                  <c:v>1.89312269655345</c:v>
                </c:pt>
                <c:pt idx="266">
                  <c:v>1.10687730344655</c:v>
                </c:pt>
                <c:pt idx="267">
                  <c:v>1.89312269655345</c:v>
                </c:pt>
                <c:pt idx="268">
                  <c:v>1.10687730344655</c:v>
                </c:pt>
                <c:pt idx="269">
                  <c:v>1.89312269655345</c:v>
                </c:pt>
                <c:pt idx="270">
                  <c:v>1.10687730344655</c:v>
                </c:pt>
                <c:pt idx="271">
                  <c:v>1.89312269655345</c:v>
                </c:pt>
                <c:pt idx="272">
                  <c:v>1.10687730344655</c:v>
                </c:pt>
                <c:pt idx="273">
                  <c:v>1.89312269655345</c:v>
                </c:pt>
                <c:pt idx="274">
                  <c:v>1.10687730344655</c:v>
                </c:pt>
                <c:pt idx="275">
                  <c:v>1.89312269655345</c:v>
                </c:pt>
                <c:pt idx="276">
                  <c:v>1.10687730344655</c:v>
                </c:pt>
                <c:pt idx="277">
                  <c:v>1.89312269655345</c:v>
                </c:pt>
                <c:pt idx="278">
                  <c:v>1.10687730344655</c:v>
                </c:pt>
                <c:pt idx="279">
                  <c:v>1.89312269655345</c:v>
                </c:pt>
                <c:pt idx="280">
                  <c:v>1.10687730344655</c:v>
                </c:pt>
                <c:pt idx="281">
                  <c:v>1.89312269655345</c:v>
                </c:pt>
                <c:pt idx="282">
                  <c:v>1.10687730344655</c:v>
                </c:pt>
                <c:pt idx="283">
                  <c:v>1.89312269655345</c:v>
                </c:pt>
                <c:pt idx="284">
                  <c:v>1.10687730344655</c:v>
                </c:pt>
                <c:pt idx="285">
                  <c:v>1.89312269655345</c:v>
                </c:pt>
                <c:pt idx="286">
                  <c:v>1.10687730344655</c:v>
                </c:pt>
                <c:pt idx="287">
                  <c:v>1.89312269655345</c:v>
                </c:pt>
                <c:pt idx="288">
                  <c:v>1.10687730344655</c:v>
                </c:pt>
                <c:pt idx="289">
                  <c:v>1.89312269655345</c:v>
                </c:pt>
                <c:pt idx="290">
                  <c:v>1.10687730344655</c:v>
                </c:pt>
                <c:pt idx="291">
                  <c:v>1.89312269655345</c:v>
                </c:pt>
                <c:pt idx="292">
                  <c:v>1.10687730344655</c:v>
                </c:pt>
                <c:pt idx="293">
                  <c:v>1.89312269655345</c:v>
                </c:pt>
                <c:pt idx="294">
                  <c:v>1.10687730344655</c:v>
                </c:pt>
                <c:pt idx="295">
                  <c:v>1.89312269655345</c:v>
                </c:pt>
                <c:pt idx="296">
                  <c:v>1.10687730344655</c:v>
                </c:pt>
                <c:pt idx="297">
                  <c:v>1.89312269655345</c:v>
                </c:pt>
                <c:pt idx="298">
                  <c:v>1.10687730344655</c:v>
                </c:pt>
                <c:pt idx="299">
                  <c:v>1.89312269655345</c:v>
                </c:pt>
                <c:pt idx="300">
                  <c:v>1.10687730344655</c:v>
                </c:pt>
                <c:pt idx="301">
                  <c:v>1.89312269655345</c:v>
                </c:pt>
                <c:pt idx="302">
                  <c:v>1.10687730344655</c:v>
                </c:pt>
                <c:pt idx="303">
                  <c:v>1.89312269655345</c:v>
                </c:pt>
                <c:pt idx="304">
                  <c:v>1.10687730344655</c:v>
                </c:pt>
                <c:pt idx="305">
                  <c:v>1.89312269655345</c:v>
                </c:pt>
                <c:pt idx="306">
                  <c:v>1.10687730344655</c:v>
                </c:pt>
                <c:pt idx="307">
                  <c:v>1.89312269655345</c:v>
                </c:pt>
                <c:pt idx="308">
                  <c:v>1.10687730344655</c:v>
                </c:pt>
                <c:pt idx="309">
                  <c:v>1.89312269655345</c:v>
                </c:pt>
                <c:pt idx="310">
                  <c:v>1.10687730344655</c:v>
                </c:pt>
                <c:pt idx="311">
                  <c:v>1.89312269655345</c:v>
                </c:pt>
                <c:pt idx="312">
                  <c:v>1.10687730344655</c:v>
                </c:pt>
                <c:pt idx="313">
                  <c:v>1.89312269655345</c:v>
                </c:pt>
                <c:pt idx="314">
                  <c:v>1.10687730344655</c:v>
                </c:pt>
                <c:pt idx="315">
                  <c:v>1.89312269655345</c:v>
                </c:pt>
                <c:pt idx="316">
                  <c:v>1.10687730344655</c:v>
                </c:pt>
                <c:pt idx="317">
                  <c:v>1.89312269655345</c:v>
                </c:pt>
                <c:pt idx="318">
                  <c:v>1.10687730344655</c:v>
                </c:pt>
                <c:pt idx="319">
                  <c:v>1.89312269655345</c:v>
                </c:pt>
                <c:pt idx="320">
                  <c:v>1.10687730344655</c:v>
                </c:pt>
                <c:pt idx="321">
                  <c:v>1.89312269655345</c:v>
                </c:pt>
                <c:pt idx="322">
                  <c:v>1.10687730344655</c:v>
                </c:pt>
                <c:pt idx="323">
                  <c:v>1.89312269655345</c:v>
                </c:pt>
                <c:pt idx="324">
                  <c:v>1.10687730344655</c:v>
                </c:pt>
                <c:pt idx="325">
                  <c:v>1.89312269655345</c:v>
                </c:pt>
                <c:pt idx="326">
                  <c:v>1.10687730344655</c:v>
                </c:pt>
                <c:pt idx="327">
                  <c:v>1.89312269655345</c:v>
                </c:pt>
                <c:pt idx="328">
                  <c:v>1.10687730344655</c:v>
                </c:pt>
                <c:pt idx="329">
                  <c:v>1.89312269655345</c:v>
                </c:pt>
                <c:pt idx="330">
                  <c:v>1.10687730344655</c:v>
                </c:pt>
                <c:pt idx="331">
                  <c:v>1.89312269655345</c:v>
                </c:pt>
                <c:pt idx="332">
                  <c:v>1.10687730344655</c:v>
                </c:pt>
                <c:pt idx="333">
                  <c:v>1.89312269655345</c:v>
                </c:pt>
                <c:pt idx="334">
                  <c:v>1.10687730344655</c:v>
                </c:pt>
                <c:pt idx="335">
                  <c:v>1.89312269655345</c:v>
                </c:pt>
                <c:pt idx="336">
                  <c:v>1.10687730344655</c:v>
                </c:pt>
                <c:pt idx="337">
                  <c:v>1.89312269655345</c:v>
                </c:pt>
                <c:pt idx="338">
                  <c:v>1.10687730344655</c:v>
                </c:pt>
                <c:pt idx="339">
                  <c:v>1.89312269655345</c:v>
                </c:pt>
                <c:pt idx="340">
                  <c:v>1.10687730344655</c:v>
                </c:pt>
                <c:pt idx="341">
                  <c:v>1.89312269655345</c:v>
                </c:pt>
                <c:pt idx="342">
                  <c:v>1.10687730344655</c:v>
                </c:pt>
                <c:pt idx="343">
                  <c:v>1.89312269655345</c:v>
                </c:pt>
                <c:pt idx="344">
                  <c:v>1.10687730344655</c:v>
                </c:pt>
                <c:pt idx="345">
                  <c:v>1.89312269655345</c:v>
                </c:pt>
                <c:pt idx="346">
                  <c:v>1.10687730344655</c:v>
                </c:pt>
                <c:pt idx="347">
                  <c:v>1.89312269655345</c:v>
                </c:pt>
                <c:pt idx="348">
                  <c:v>1.10687730344655</c:v>
                </c:pt>
                <c:pt idx="349">
                  <c:v>1.89312269655345</c:v>
                </c:pt>
                <c:pt idx="350">
                  <c:v>1.10687730344655</c:v>
                </c:pt>
                <c:pt idx="351">
                  <c:v>1.89312269655345</c:v>
                </c:pt>
                <c:pt idx="352">
                  <c:v>1.10687730344655</c:v>
                </c:pt>
                <c:pt idx="353">
                  <c:v>1.89312269655345</c:v>
                </c:pt>
                <c:pt idx="354">
                  <c:v>1.10687730344655</c:v>
                </c:pt>
                <c:pt idx="355">
                  <c:v>1.89312269655345</c:v>
                </c:pt>
                <c:pt idx="356">
                  <c:v>1.10687730344655</c:v>
                </c:pt>
                <c:pt idx="357">
                  <c:v>1.89312269655345</c:v>
                </c:pt>
                <c:pt idx="358">
                  <c:v>1.10687730344655</c:v>
                </c:pt>
                <c:pt idx="359">
                  <c:v>1.89312269655345</c:v>
                </c:pt>
                <c:pt idx="360">
                  <c:v>1.10687730344655</c:v>
                </c:pt>
                <c:pt idx="361">
                  <c:v>1.89312269655345</c:v>
                </c:pt>
                <c:pt idx="362">
                  <c:v>1.10687730344655</c:v>
                </c:pt>
                <c:pt idx="363">
                  <c:v>1.89312269655345</c:v>
                </c:pt>
                <c:pt idx="364">
                  <c:v>1.10687730344655</c:v>
                </c:pt>
                <c:pt idx="365">
                  <c:v>1.89312269655345</c:v>
                </c:pt>
                <c:pt idx="366">
                  <c:v>1.10687730344655</c:v>
                </c:pt>
                <c:pt idx="367">
                  <c:v>1.89312269655345</c:v>
                </c:pt>
                <c:pt idx="368">
                  <c:v>1.10687730344655</c:v>
                </c:pt>
                <c:pt idx="369">
                  <c:v>1.89312269655345</c:v>
                </c:pt>
                <c:pt idx="370">
                  <c:v>1.10687730344655</c:v>
                </c:pt>
                <c:pt idx="371">
                  <c:v>1.89312269655345</c:v>
                </c:pt>
                <c:pt idx="372">
                  <c:v>1.10687730344655</c:v>
                </c:pt>
                <c:pt idx="373">
                  <c:v>1.89312269655345</c:v>
                </c:pt>
                <c:pt idx="374">
                  <c:v>1.10687730344655</c:v>
                </c:pt>
                <c:pt idx="375">
                  <c:v>1.89312269655345</c:v>
                </c:pt>
                <c:pt idx="376">
                  <c:v>1.10687730344655</c:v>
                </c:pt>
                <c:pt idx="377">
                  <c:v>1.89312269655345</c:v>
                </c:pt>
                <c:pt idx="378">
                  <c:v>1.10687730344655</c:v>
                </c:pt>
                <c:pt idx="379">
                  <c:v>1.89312269655345</c:v>
                </c:pt>
                <c:pt idx="380">
                  <c:v>1.10687730344655</c:v>
                </c:pt>
                <c:pt idx="381">
                  <c:v>1.89312269655345</c:v>
                </c:pt>
                <c:pt idx="382">
                  <c:v>1.10687730344655</c:v>
                </c:pt>
                <c:pt idx="383">
                  <c:v>1.89312269655345</c:v>
                </c:pt>
                <c:pt idx="384">
                  <c:v>1.10687730344655</c:v>
                </c:pt>
                <c:pt idx="385">
                  <c:v>1.89312269655345</c:v>
                </c:pt>
                <c:pt idx="386">
                  <c:v>1.10687730344655</c:v>
                </c:pt>
                <c:pt idx="387">
                  <c:v>1.89312269655345</c:v>
                </c:pt>
                <c:pt idx="388">
                  <c:v>1.10687730344655</c:v>
                </c:pt>
                <c:pt idx="389">
                  <c:v>1.89312269655345</c:v>
                </c:pt>
                <c:pt idx="390">
                  <c:v>1.10687730344655</c:v>
                </c:pt>
                <c:pt idx="391">
                  <c:v>1.89312269655345</c:v>
                </c:pt>
                <c:pt idx="392">
                  <c:v>1.10687730344655</c:v>
                </c:pt>
                <c:pt idx="393">
                  <c:v>1.89312269655345</c:v>
                </c:pt>
                <c:pt idx="394">
                  <c:v>1.10687730344655</c:v>
                </c:pt>
                <c:pt idx="395">
                  <c:v>1.89312269655345</c:v>
                </c:pt>
                <c:pt idx="396">
                  <c:v>1.10687730344655</c:v>
                </c:pt>
                <c:pt idx="397">
                  <c:v>1.89312269655345</c:v>
                </c:pt>
                <c:pt idx="398">
                  <c:v>1.10687730344655</c:v>
                </c:pt>
                <c:pt idx="399">
                  <c:v>1.89312269655345</c:v>
                </c:pt>
                <c:pt idx="400">
                  <c:v>1.10687730344655</c:v>
                </c:pt>
                <c:pt idx="401">
                  <c:v>1.89312269655345</c:v>
                </c:pt>
                <c:pt idx="402">
                  <c:v>1.10687730344655</c:v>
                </c:pt>
                <c:pt idx="403">
                  <c:v>1.89312269655345</c:v>
                </c:pt>
                <c:pt idx="404">
                  <c:v>1.10687730344655</c:v>
                </c:pt>
                <c:pt idx="405">
                  <c:v>1.89312269655345</c:v>
                </c:pt>
                <c:pt idx="406">
                  <c:v>1.10687730344655</c:v>
                </c:pt>
                <c:pt idx="407">
                  <c:v>1.89312269655345</c:v>
                </c:pt>
                <c:pt idx="408">
                  <c:v>1.10687730344655</c:v>
                </c:pt>
                <c:pt idx="409">
                  <c:v>1.89312269655345</c:v>
                </c:pt>
                <c:pt idx="410">
                  <c:v>1.10687730344655</c:v>
                </c:pt>
                <c:pt idx="411">
                  <c:v>1.89312269655345</c:v>
                </c:pt>
                <c:pt idx="412">
                  <c:v>1.10687730344655</c:v>
                </c:pt>
                <c:pt idx="413">
                  <c:v>1.89312269655345</c:v>
                </c:pt>
                <c:pt idx="414">
                  <c:v>1.10687730344655</c:v>
                </c:pt>
                <c:pt idx="415">
                  <c:v>1.89312269655345</c:v>
                </c:pt>
                <c:pt idx="416">
                  <c:v>1.10687730344655</c:v>
                </c:pt>
                <c:pt idx="417">
                  <c:v>1.89312269655345</c:v>
                </c:pt>
                <c:pt idx="418">
                  <c:v>1.10687730344655</c:v>
                </c:pt>
                <c:pt idx="419">
                  <c:v>1.89312269655345</c:v>
                </c:pt>
                <c:pt idx="420">
                  <c:v>1.10687730344655</c:v>
                </c:pt>
                <c:pt idx="421">
                  <c:v>1.89312269655345</c:v>
                </c:pt>
                <c:pt idx="422">
                  <c:v>1.10687730344655</c:v>
                </c:pt>
                <c:pt idx="423">
                  <c:v>1.89312269655345</c:v>
                </c:pt>
                <c:pt idx="424">
                  <c:v>1.10687730344655</c:v>
                </c:pt>
                <c:pt idx="425">
                  <c:v>1.89312269655345</c:v>
                </c:pt>
                <c:pt idx="426">
                  <c:v>1.10687730344655</c:v>
                </c:pt>
                <c:pt idx="427">
                  <c:v>1.89312269655345</c:v>
                </c:pt>
                <c:pt idx="428">
                  <c:v>1.10687730344655</c:v>
                </c:pt>
                <c:pt idx="429">
                  <c:v>1.89312269655345</c:v>
                </c:pt>
                <c:pt idx="430">
                  <c:v>1.10687730344655</c:v>
                </c:pt>
                <c:pt idx="431">
                  <c:v>1.89312269655345</c:v>
                </c:pt>
                <c:pt idx="432">
                  <c:v>1.10687730344655</c:v>
                </c:pt>
                <c:pt idx="433">
                  <c:v>1.89312269655345</c:v>
                </c:pt>
                <c:pt idx="434">
                  <c:v>1.10687730344655</c:v>
                </c:pt>
                <c:pt idx="435">
                  <c:v>1.89312269655345</c:v>
                </c:pt>
                <c:pt idx="436">
                  <c:v>1.10687730344655</c:v>
                </c:pt>
                <c:pt idx="437">
                  <c:v>1.89312269655345</c:v>
                </c:pt>
                <c:pt idx="438">
                  <c:v>1.10687730344655</c:v>
                </c:pt>
                <c:pt idx="439">
                  <c:v>1.89312269655345</c:v>
                </c:pt>
                <c:pt idx="440">
                  <c:v>1.10687730344655</c:v>
                </c:pt>
                <c:pt idx="441">
                  <c:v>1.89312269655345</c:v>
                </c:pt>
                <c:pt idx="442">
                  <c:v>1.10687730344655</c:v>
                </c:pt>
                <c:pt idx="443">
                  <c:v>1.89312269655345</c:v>
                </c:pt>
                <c:pt idx="444">
                  <c:v>1.10687730344655</c:v>
                </c:pt>
                <c:pt idx="445">
                  <c:v>1.89312269655345</c:v>
                </c:pt>
                <c:pt idx="446">
                  <c:v>1.10687730344655</c:v>
                </c:pt>
                <c:pt idx="447">
                  <c:v>1.89312269655345</c:v>
                </c:pt>
                <c:pt idx="448">
                  <c:v>1.10687730344655</c:v>
                </c:pt>
                <c:pt idx="449">
                  <c:v>1.89312269655345</c:v>
                </c:pt>
                <c:pt idx="450">
                  <c:v>1.10687730344655</c:v>
                </c:pt>
                <c:pt idx="451">
                  <c:v>1.89312269655345</c:v>
                </c:pt>
                <c:pt idx="452">
                  <c:v>1.10687730344655</c:v>
                </c:pt>
                <c:pt idx="453">
                  <c:v>1.89312269655345</c:v>
                </c:pt>
                <c:pt idx="454">
                  <c:v>1.10687730344655</c:v>
                </c:pt>
                <c:pt idx="455">
                  <c:v>1.89312269655345</c:v>
                </c:pt>
                <c:pt idx="456">
                  <c:v>1.10687730344655</c:v>
                </c:pt>
                <c:pt idx="457">
                  <c:v>1.89312269655345</c:v>
                </c:pt>
                <c:pt idx="458">
                  <c:v>1.10687730344655</c:v>
                </c:pt>
                <c:pt idx="459">
                  <c:v>1.89312269655345</c:v>
                </c:pt>
                <c:pt idx="460">
                  <c:v>1.10687730344655</c:v>
                </c:pt>
                <c:pt idx="461">
                  <c:v>1.89312269655345</c:v>
                </c:pt>
                <c:pt idx="462">
                  <c:v>1.10687730344655</c:v>
                </c:pt>
                <c:pt idx="463">
                  <c:v>1.89312269655345</c:v>
                </c:pt>
                <c:pt idx="464">
                  <c:v>1.10687730344655</c:v>
                </c:pt>
                <c:pt idx="465">
                  <c:v>1.89312269655345</c:v>
                </c:pt>
                <c:pt idx="466">
                  <c:v>1.10687730344655</c:v>
                </c:pt>
                <c:pt idx="467">
                  <c:v>1.89312269655345</c:v>
                </c:pt>
                <c:pt idx="468">
                  <c:v>1.10687730344655</c:v>
                </c:pt>
                <c:pt idx="469">
                  <c:v>1.89312269655345</c:v>
                </c:pt>
                <c:pt idx="470">
                  <c:v>1.10687730344655</c:v>
                </c:pt>
                <c:pt idx="471">
                  <c:v>1.89312269655345</c:v>
                </c:pt>
                <c:pt idx="472">
                  <c:v>1.10687730344655</c:v>
                </c:pt>
                <c:pt idx="473">
                  <c:v>1.89312269655345</c:v>
                </c:pt>
                <c:pt idx="474">
                  <c:v>1.10687730344655</c:v>
                </c:pt>
                <c:pt idx="475">
                  <c:v>1.89312269655345</c:v>
                </c:pt>
                <c:pt idx="476">
                  <c:v>1.10687730344655</c:v>
                </c:pt>
                <c:pt idx="477">
                  <c:v>1.89312269655345</c:v>
                </c:pt>
                <c:pt idx="478">
                  <c:v>1.10687730344655</c:v>
                </c:pt>
                <c:pt idx="479">
                  <c:v>1.89312269655345</c:v>
                </c:pt>
                <c:pt idx="480">
                  <c:v>1.10687730344655</c:v>
                </c:pt>
                <c:pt idx="481">
                  <c:v>1.89312269655345</c:v>
                </c:pt>
                <c:pt idx="482">
                  <c:v>1.10687730344655</c:v>
                </c:pt>
                <c:pt idx="483">
                  <c:v>1.89312269655345</c:v>
                </c:pt>
                <c:pt idx="484">
                  <c:v>1.10687730344655</c:v>
                </c:pt>
                <c:pt idx="485">
                  <c:v>1.89312269655345</c:v>
                </c:pt>
                <c:pt idx="486">
                  <c:v>1.10687730344655</c:v>
                </c:pt>
                <c:pt idx="487">
                  <c:v>1.89312269655345</c:v>
                </c:pt>
                <c:pt idx="488">
                  <c:v>1.10687730344655</c:v>
                </c:pt>
                <c:pt idx="489">
                  <c:v>1.89312269655345</c:v>
                </c:pt>
                <c:pt idx="490">
                  <c:v>1.10687730344655</c:v>
                </c:pt>
                <c:pt idx="491">
                  <c:v>1.89312269655345</c:v>
                </c:pt>
                <c:pt idx="492">
                  <c:v>1.10687730344655</c:v>
                </c:pt>
                <c:pt idx="493">
                  <c:v>1.89312269655345</c:v>
                </c:pt>
                <c:pt idx="494">
                  <c:v>1.10687730344655</c:v>
                </c:pt>
                <c:pt idx="495">
                  <c:v>1.89312269655345</c:v>
                </c:pt>
                <c:pt idx="496">
                  <c:v>1.10687730344655</c:v>
                </c:pt>
                <c:pt idx="497">
                  <c:v>1.89312269655345</c:v>
                </c:pt>
                <c:pt idx="498">
                  <c:v>1.10687730344655</c:v>
                </c:pt>
                <c:pt idx="499">
                  <c:v>1.89312269655345</c:v>
                </c:pt>
                <c:pt idx="500">
                  <c:v>1.10687730344655</c:v>
                </c:pt>
                <c:pt idx="501">
                  <c:v>1.89312269655345</c:v>
                </c:pt>
                <c:pt idx="502">
                  <c:v>1.10687730344655</c:v>
                </c:pt>
                <c:pt idx="503">
                  <c:v>1.89312269655345</c:v>
                </c:pt>
                <c:pt idx="504">
                  <c:v>1.10687730344655</c:v>
                </c:pt>
                <c:pt idx="505">
                  <c:v>1.89312269655345</c:v>
                </c:pt>
                <c:pt idx="506">
                  <c:v>1.10687730344655</c:v>
                </c:pt>
                <c:pt idx="507">
                  <c:v>1.89312269655345</c:v>
                </c:pt>
                <c:pt idx="508">
                  <c:v>1.10687730344655</c:v>
                </c:pt>
                <c:pt idx="509">
                  <c:v>1.89312269655345</c:v>
                </c:pt>
                <c:pt idx="510">
                  <c:v>1.10687730344655</c:v>
                </c:pt>
                <c:pt idx="511">
                  <c:v>1.89312269655345</c:v>
                </c:pt>
                <c:pt idx="512">
                  <c:v>1.10687730344655</c:v>
                </c:pt>
                <c:pt idx="513">
                  <c:v>1.89312269655345</c:v>
                </c:pt>
                <c:pt idx="514">
                  <c:v>1.10687730344655</c:v>
                </c:pt>
                <c:pt idx="515">
                  <c:v>1.89312269655345</c:v>
                </c:pt>
                <c:pt idx="516">
                  <c:v>1.10687730344655</c:v>
                </c:pt>
                <c:pt idx="517">
                  <c:v>1.89312269655345</c:v>
                </c:pt>
                <c:pt idx="518">
                  <c:v>1.10687730344655</c:v>
                </c:pt>
                <c:pt idx="519">
                  <c:v>1.89312269655345</c:v>
                </c:pt>
                <c:pt idx="520">
                  <c:v>1.10687730344655</c:v>
                </c:pt>
                <c:pt idx="521">
                  <c:v>1.89312269655345</c:v>
                </c:pt>
                <c:pt idx="522">
                  <c:v>1.10687730344655</c:v>
                </c:pt>
                <c:pt idx="523">
                  <c:v>1.89312269655345</c:v>
                </c:pt>
                <c:pt idx="524">
                  <c:v>1.10687730344655</c:v>
                </c:pt>
                <c:pt idx="525">
                  <c:v>1.89312269655345</c:v>
                </c:pt>
                <c:pt idx="526">
                  <c:v>1.10687730344655</c:v>
                </c:pt>
                <c:pt idx="527">
                  <c:v>1.89312269655345</c:v>
                </c:pt>
                <c:pt idx="528">
                  <c:v>1.10687730344655</c:v>
                </c:pt>
                <c:pt idx="529">
                  <c:v>1.89312269655345</c:v>
                </c:pt>
                <c:pt idx="530">
                  <c:v>1.10687730344655</c:v>
                </c:pt>
                <c:pt idx="531">
                  <c:v>1.89312269655345</c:v>
                </c:pt>
                <c:pt idx="532">
                  <c:v>1.10687730344655</c:v>
                </c:pt>
                <c:pt idx="533">
                  <c:v>1.89312269655345</c:v>
                </c:pt>
                <c:pt idx="534">
                  <c:v>1.10687730344655</c:v>
                </c:pt>
                <c:pt idx="535">
                  <c:v>1.89312269655345</c:v>
                </c:pt>
                <c:pt idx="536">
                  <c:v>1.10687730344655</c:v>
                </c:pt>
                <c:pt idx="537">
                  <c:v>1.89312269655345</c:v>
                </c:pt>
                <c:pt idx="538">
                  <c:v>1.10687730344655</c:v>
                </c:pt>
                <c:pt idx="539">
                  <c:v>1.89312269655345</c:v>
                </c:pt>
                <c:pt idx="540">
                  <c:v>1.10687730344655</c:v>
                </c:pt>
                <c:pt idx="541">
                  <c:v>1.89312269655345</c:v>
                </c:pt>
                <c:pt idx="542">
                  <c:v>1.10687730344655</c:v>
                </c:pt>
                <c:pt idx="543">
                  <c:v>1.89312269655345</c:v>
                </c:pt>
                <c:pt idx="544">
                  <c:v>1.10687730344655</c:v>
                </c:pt>
                <c:pt idx="545">
                  <c:v>1.89312269655345</c:v>
                </c:pt>
                <c:pt idx="546">
                  <c:v>1.10687730344655</c:v>
                </c:pt>
                <c:pt idx="547">
                  <c:v>1.89312269655345</c:v>
                </c:pt>
                <c:pt idx="548">
                  <c:v>1.10687730344655</c:v>
                </c:pt>
                <c:pt idx="549">
                  <c:v>1.89312269655345</c:v>
                </c:pt>
                <c:pt idx="550">
                  <c:v>1.10687730344655</c:v>
                </c:pt>
                <c:pt idx="551">
                  <c:v>1.89312269655345</c:v>
                </c:pt>
                <c:pt idx="552">
                  <c:v>1.10687730344655</c:v>
                </c:pt>
                <c:pt idx="553">
                  <c:v>1.89312269655345</c:v>
                </c:pt>
                <c:pt idx="554">
                  <c:v>1.10687730344655</c:v>
                </c:pt>
                <c:pt idx="555">
                  <c:v>1.89312269655345</c:v>
                </c:pt>
                <c:pt idx="556">
                  <c:v>1.10687730344655</c:v>
                </c:pt>
                <c:pt idx="557">
                  <c:v>1.89312269655345</c:v>
                </c:pt>
                <c:pt idx="558">
                  <c:v>1.10687730344655</c:v>
                </c:pt>
                <c:pt idx="559">
                  <c:v>1.89312269655345</c:v>
                </c:pt>
                <c:pt idx="560">
                  <c:v>1.10687730344655</c:v>
                </c:pt>
                <c:pt idx="561">
                  <c:v>1.89312269655345</c:v>
                </c:pt>
                <c:pt idx="562">
                  <c:v>1.10687730344655</c:v>
                </c:pt>
                <c:pt idx="563">
                  <c:v>1.89312269655345</c:v>
                </c:pt>
                <c:pt idx="564">
                  <c:v>1.10687730344655</c:v>
                </c:pt>
                <c:pt idx="565">
                  <c:v>1.89312269655345</c:v>
                </c:pt>
                <c:pt idx="566">
                  <c:v>1.10687730344655</c:v>
                </c:pt>
                <c:pt idx="567">
                  <c:v>1.89312269655345</c:v>
                </c:pt>
                <c:pt idx="568">
                  <c:v>1.10687730344655</c:v>
                </c:pt>
                <c:pt idx="569">
                  <c:v>1.89312269655345</c:v>
                </c:pt>
                <c:pt idx="570">
                  <c:v>1.10687730344655</c:v>
                </c:pt>
                <c:pt idx="571">
                  <c:v>1.89312269655345</c:v>
                </c:pt>
                <c:pt idx="572">
                  <c:v>1.10687730344655</c:v>
                </c:pt>
                <c:pt idx="573">
                  <c:v>1.89312269655345</c:v>
                </c:pt>
                <c:pt idx="574">
                  <c:v>1.10687730344655</c:v>
                </c:pt>
                <c:pt idx="575">
                  <c:v>1.89312269655345</c:v>
                </c:pt>
                <c:pt idx="576">
                  <c:v>1.10687730344655</c:v>
                </c:pt>
                <c:pt idx="577">
                  <c:v>1.89312269655345</c:v>
                </c:pt>
                <c:pt idx="578">
                  <c:v>1.10687730344655</c:v>
                </c:pt>
                <c:pt idx="579">
                  <c:v>1.89312269655345</c:v>
                </c:pt>
                <c:pt idx="580">
                  <c:v>1.10687730344655</c:v>
                </c:pt>
                <c:pt idx="581">
                  <c:v>1.89312269655345</c:v>
                </c:pt>
                <c:pt idx="582">
                  <c:v>1.10687730344655</c:v>
                </c:pt>
                <c:pt idx="583">
                  <c:v>1.89312269655345</c:v>
                </c:pt>
                <c:pt idx="584">
                  <c:v>1.10687730344655</c:v>
                </c:pt>
                <c:pt idx="585">
                  <c:v>1.89312269655345</c:v>
                </c:pt>
                <c:pt idx="586">
                  <c:v>1.10687730344655</c:v>
                </c:pt>
                <c:pt idx="587">
                  <c:v>1.89312269655345</c:v>
                </c:pt>
                <c:pt idx="588">
                  <c:v>1.10687730344655</c:v>
                </c:pt>
                <c:pt idx="589">
                  <c:v>1.89312269655345</c:v>
                </c:pt>
                <c:pt idx="590">
                  <c:v>1.10687730344655</c:v>
                </c:pt>
                <c:pt idx="591">
                  <c:v>1.89312269655345</c:v>
                </c:pt>
                <c:pt idx="592">
                  <c:v>1.10687730344655</c:v>
                </c:pt>
                <c:pt idx="593">
                  <c:v>1.89312269655345</c:v>
                </c:pt>
                <c:pt idx="594">
                  <c:v>1.10687730344655</c:v>
                </c:pt>
                <c:pt idx="595">
                  <c:v>1.89312269655345</c:v>
                </c:pt>
                <c:pt idx="596">
                  <c:v>1.10687730344655</c:v>
                </c:pt>
                <c:pt idx="597">
                  <c:v>1.89312269655345</c:v>
                </c:pt>
                <c:pt idx="598">
                  <c:v>1.10687730344655</c:v>
                </c:pt>
                <c:pt idx="599">
                  <c:v>1.89312269655345</c:v>
                </c:pt>
                <c:pt idx="600">
                  <c:v>1.10687730344655</c:v>
                </c:pt>
                <c:pt idx="601">
                  <c:v>1.89312269655345</c:v>
                </c:pt>
                <c:pt idx="602">
                  <c:v>1.10687730344655</c:v>
                </c:pt>
                <c:pt idx="603">
                  <c:v>1.89312269655345</c:v>
                </c:pt>
                <c:pt idx="604">
                  <c:v>1.10687730344655</c:v>
                </c:pt>
                <c:pt idx="605">
                  <c:v>1.89312269655345</c:v>
                </c:pt>
                <c:pt idx="606">
                  <c:v>1.10687730344655</c:v>
                </c:pt>
                <c:pt idx="607">
                  <c:v>1.89312269655345</c:v>
                </c:pt>
                <c:pt idx="608">
                  <c:v>1.10687730344655</c:v>
                </c:pt>
                <c:pt idx="609">
                  <c:v>1.89312269655345</c:v>
                </c:pt>
                <c:pt idx="610">
                  <c:v>1.10687730344655</c:v>
                </c:pt>
                <c:pt idx="611">
                  <c:v>1.89312269655345</c:v>
                </c:pt>
                <c:pt idx="612">
                  <c:v>1.10687730344655</c:v>
                </c:pt>
                <c:pt idx="613">
                  <c:v>1.89312269655345</c:v>
                </c:pt>
                <c:pt idx="614">
                  <c:v>1.10687730344655</c:v>
                </c:pt>
                <c:pt idx="615">
                  <c:v>1.89312269655345</c:v>
                </c:pt>
                <c:pt idx="616">
                  <c:v>1.10687730344655</c:v>
                </c:pt>
                <c:pt idx="617">
                  <c:v>1.89312269655345</c:v>
                </c:pt>
                <c:pt idx="618">
                  <c:v>1.10687730344655</c:v>
                </c:pt>
                <c:pt idx="619">
                  <c:v>1.89312269655345</c:v>
                </c:pt>
                <c:pt idx="620">
                  <c:v>1.10687730344655</c:v>
                </c:pt>
                <c:pt idx="621">
                  <c:v>1.89312269655345</c:v>
                </c:pt>
                <c:pt idx="622">
                  <c:v>1.10687730344655</c:v>
                </c:pt>
                <c:pt idx="623">
                  <c:v>1.89312269655345</c:v>
                </c:pt>
                <c:pt idx="624">
                  <c:v>1.10687730344655</c:v>
                </c:pt>
                <c:pt idx="625">
                  <c:v>1.89312269655345</c:v>
                </c:pt>
                <c:pt idx="626">
                  <c:v>1.10687730344655</c:v>
                </c:pt>
                <c:pt idx="627">
                  <c:v>1.89312269655345</c:v>
                </c:pt>
                <c:pt idx="628">
                  <c:v>1.10687730344655</c:v>
                </c:pt>
                <c:pt idx="629">
                  <c:v>1.89312269655345</c:v>
                </c:pt>
                <c:pt idx="630">
                  <c:v>1.10687730344655</c:v>
                </c:pt>
                <c:pt idx="631">
                  <c:v>1.89312269655345</c:v>
                </c:pt>
                <c:pt idx="632">
                  <c:v>1.10687730344655</c:v>
                </c:pt>
                <c:pt idx="633">
                  <c:v>1.89312269655345</c:v>
                </c:pt>
                <c:pt idx="634">
                  <c:v>1.10687730344655</c:v>
                </c:pt>
                <c:pt idx="635">
                  <c:v>1.89312269655345</c:v>
                </c:pt>
                <c:pt idx="636">
                  <c:v>1.10687730344655</c:v>
                </c:pt>
                <c:pt idx="637">
                  <c:v>1.89312269655345</c:v>
                </c:pt>
                <c:pt idx="638">
                  <c:v>1.10687730344655</c:v>
                </c:pt>
                <c:pt idx="639">
                  <c:v>1.89312269655345</c:v>
                </c:pt>
                <c:pt idx="640">
                  <c:v>1.10687730344655</c:v>
                </c:pt>
                <c:pt idx="641">
                  <c:v>1.89312269655345</c:v>
                </c:pt>
                <c:pt idx="642">
                  <c:v>1.10687730344655</c:v>
                </c:pt>
                <c:pt idx="643">
                  <c:v>1.89312269655345</c:v>
                </c:pt>
                <c:pt idx="644">
                  <c:v>1.10687730344655</c:v>
                </c:pt>
                <c:pt idx="645">
                  <c:v>1.89312269655345</c:v>
                </c:pt>
                <c:pt idx="646">
                  <c:v>1.10687730344655</c:v>
                </c:pt>
                <c:pt idx="647">
                  <c:v>1.89312269655345</c:v>
                </c:pt>
                <c:pt idx="648">
                  <c:v>1.10687730344655</c:v>
                </c:pt>
                <c:pt idx="649">
                  <c:v>1.89312269655345</c:v>
                </c:pt>
                <c:pt idx="650">
                  <c:v>1.10687730344655</c:v>
                </c:pt>
                <c:pt idx="651">
                  <c:v>1.89312269655345</c:v>
                </c:pt>
                <c:pt idx="652">
                  <c:v>1.10687730344655</c:v>
                </c:pt>
                <c:pt idx="653">
                  <c:v>1.89312269655345</c:v>
                </c:pt>
                <c:pt idx="654">
                  <c:v>1.10687730344655</c:v>
                </c:pt>
                <c:pt idx="655">
                  <c:v>1.89312269655345</c:v>
                </c:pt>
                <c:pt idx="656">
                  <c:v>1.10687730344655</c:v>
                </c:pt>
                <c:pt idx="657">
                  <c:v>1.89312269655345</c:v>
                </c:pt>
                <c:pt idx="658">
                  <c:v>1.10687730344655</c:v>
                </c:pt>
                <c:pt idx="659">
                  <c:v>1.89312269655345</c:v>
                </c:pt>
                <c:pt idx="660">
                  <c:v>1.10687730344655</c:v>
                </c:pt>
                <c:pt idx="661">
                  <c:v>1.89312269655345</c:v>
                </c:pt>
                <c:pt idx="662">
                  <c:v>1.10687730344655</c:v>
                </c:pt>
                <c:pt idx="663">
                  <c:v>1.89312269655345</c:v>
                </c:pt>
                <c:pt idx="664">
                  <c:v>1.10687730344655</c:v>
                </c:pt>
                <c:pt idx="665">
                  <c:v>1.89312269655345</c:v>
                </c:pt>
                <c:pt idx="666">
                  <c:v>1.10687730344655</c:v>
                </c:pt>
                <c:pt idx="667">
                  <c:v>1.89312269655345</c:v>
                </c:pt>
                <c:pt idx="668">
                  <c:v>1.10687730344655</c:v>
                </c:pt>
                <c:pt idx="669">
                  <c:v>1.89312269655345</c:v>
                </c:pt>
                <c:pt idx="670">
                  <c:v>1.10687730344655</c:v>
                </c:pt>
                <c:pt idx="671">
                  <c:v>1.89312269655345</c:v>
                </c:pt>
                <c:pt idx="672">
                  <c:v>1.10687730344655</c:v>
                </c:pt>
                <c:pt idx="673">
                  <c:v>1.89312269655345</c:v>
                </c:pt>
                <c:pt idx="674">
                  <c:v>1.10687730344655</c:v>
                </c:pt>
                <c:pt idx="675">
                  <c:v>1.89312269655345</c:v>
                </c:pt>
                <c:pt idx="676">
                  <c:v>1.10687730344655</c:v>
                </c:pt>
                <c:pt idx="677">
                  <c:v>1.89312269655345</c:v>
                </c:pt>
                <c:pt idx="678">
                  <c:v>1.10687730344655</c:v>
                </c:pt>
                <c:pt idx="679">
                  <c:v>1.89312269655345</c:v>
                </c:pt>
                <c:pt idx="680">
                  <c:v>1.10687730344655</c:v>
                </c:pt>
                <c:pt idx="681">
                  <c:v>1.89312269655345</c:v>
                </c:pt>
                <c:pt idx="682">
                  <c:v>1.10687730344655</c:v>
                </c:pt>
                <c:pt idx="683">
                  <c:v>1.89312269655345</c:v>
                </c:pt>
                <c:pt idx="684">
                  <c:v>1.10687730344655</c:v>
                </c:pt>
                <c:pt idx="685">
                  <c:v>1.89312269655345</c:v>
                </c:pt>
                <c:pt idx="686">
                  <c:v>1.10687730344655</c:v>
                </c:pt>
                <c:pt idx="687">
                  <c:v>1.89312269655345</c:v>
                </c:pt>
                <c:pt idx="688">
                  <c:v>1.10687730344655</c:v>
                </c:pt>
                <c:pt idx="689">
                  <c:v>1.89312269655345</c:v>
                </c:pt>
                <c:pt idx="690">
                  <c:v>1.10687730344655</c:v>
                </c:pt>
                <c:pt idx="691">
                  <c:v>1.89312269655345</c:v>
                </c:pt>
                <c:pt idx="692">
                  <c:v>1.10687730344655</c:v>
                </c:pt>
                <c:pt idx="693">
                  <c:v>1.89312269655345</c:v>
                </c:pt>
                <c:pt idx="694">
                  <c:v>1.10687730344655</c:v>
                </c:pt>
                <c:pt idx="695">
                  <c:v>1.89312269655345</c:v>
                </c:pt>
                <c:pt idx="696">
                  <c:v>1.10687730344655</c:v>
                </c:pt>
                <c:pt idx="697">
                  <c:v>1.89312269655345</c:v>
                </c:pt>
                <c:pt idx="698">
                  <c:v>1.10687730344655</c:v>
                </c:pt>
                <c:pt idx="699">
                  <c:v>1.89312269655345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7B-4F18-A070-1087D06E2B5A}"/>
            </c:ext>
          </c:extLst>
        </c:ser>
        <c:ser>
          <c:idx val="2"/>
          <c:order val="2"/>
          <c:tx>
            <c:v/>
          </c:tx>
          <c:spPr>
            <a:ln w="6350">
              <a:solidFill>
                <a:srgbClr val="C95217"/>
              </a:solidFill>
              <a:prstDash val="solid"/>
            </a:ln>
            <a:effectLst/>
          </c:spPr>
          <c:marker>
            <c:symbol val="none"/>
          </c:marker>
          <c:xVal>
            <c:numRef>
              <c:f>Sheet5_HID!xdata3</c:f>
              <c:numCache>
                <c:formatCode>General</c:formatCode>
                <c:ptCount val="700"/>
                <c:pt idx="0">
                  <c:v>1.26645031675154</c:v>
                </c:pt>
                <c:pt idx="1">
                  <c:v>1.2671185561885885</c:v>
                </c:pt>
                <c:pt idx="2">
                  <c:v>1.267786795625637</c:v>
                </c:pt>
                <c:pt idx="3">
                  <c:v>1.2684550350626855</c:v>
                </c:pt>
                <c:pt idx="4">
                  <c:v>1.2691232744997341</c:v>
                </c:pt>
                <c:pt idx="5">
                  <c:v>1.2697915139367824</c:v>
                </c:pt>
                <c:pt idx="6">
                  <c:v>1.2704597533738309</c:v>
                </c:pt>
                <c:pt idx="7">
                  <c:v>1.2711279928108794</c:v>
                </c:pt>
                <c:pt idx="8">
                  <c:v>1.2717962322479279</c:v>
                </c:pt>
                <c:pt idx="9">
                  <c:v>1.2724644716849765</c:v>
                </c:pt>
                <c:pt idx="10">
                  <c:v>1.273132711122025</c:v>
                </c:pt>
                <c:pt idx="11">
                  <c:v>1.2738009505590735</c:v>
                </c:pt>
                <c:pt idx="12">
                  <c:v>1.274469189996122</c:v>
                </c:pt>
                <c:pt idx="13">
                  <c:v>1.2751374294331705</c:v>
                </c:pt>
                <c:pt idx="14">
                  <c:v>1.2758056688702191</c:v>
                </c:pt>
                <c:pt idx="15">
                  <c:v>1.2764739083072674</c:v>
                </c:pt>
                <c:pt idx="16">
                  <c:v>1.2771421477443159</c:v>
                </c:pt>
                <c:pt idx="17">
                  <c:v>1.2778103871813644</c:v>
                </c:pt>
                <c:pt idx="18">
                  <c:v>1.2784786266184129</c:v>
                </c:pt>
                <c:pt idx="19">
                  <c:v>1.2791468660554615</c:v>
                </c:pt>
                <c:pt idx="20">
                  <c:v>1.27981510549251</c:v>
                </c:pt>
                <c:pt idx="21">
                  <c:v>1.2804833449295585</c:v>
                </c:pt>
                <c:pt idx="22">
                  <c:v>1.281151584366607</c:v>
                </c:pt>
                <c:pt idx="23">
                  <c:v>1.2818198238036556</c:v>
                </c:pt>
                <c:pt idx="24">
                  <c:v>1.2824880632407039</c:v>
                </c:pt>
                <c:pt idx="25">
                  <c:v>1.2831563026777524</c:v>
                </c:pt>
                <c:pt idx="26">
                  <c:v>1.2838245421148009</c:v>
                </c:pt>
                <c:pt idx="27">
                  <c:v>1.2844927815518494</c:v>
                </c:pt>
                <c:pt idx="28">
                  <c:v>1.285161020988898</c:v>
                </c:pt>
                <c:pt idx="29">
                  <c:v>1.2858292604259465</c:v>
                </c:pt>
                <c:pt idx="30">
                  <c:v>1.286497499862995</c:v>
                </c:pt>
                <c:pt idx="31">
                  <c:v>1.2871657393000435</c:v>
                </c:pt>
                <c:pt idx="32">
                  <c:v>1.287833978737092</c:v>
                </c:pt>
                <c:pt idx="33">
                  <c:v>1.2885022181741406</c:v>
                </c:pt>
                <c:pt idx="34">
                  <c:v>1.2891704576111889</c:v>
                </c:pt>
                <c:pt idx="35">
                  <c:v>1.2898386970482374</c:v>
                </c:pt>
                <c:pt idx="36">
                  <c:v>1.2905069364852859</c:v>
                </c:pt>
                <c:pt idx="37">
                  <c:v>1.2911751759223344</c:v>
                </c:pt>
                <c:pt idx="38">
                  <c:v>1.291843415359383</c:v>
                </c:pt>
                <c:pt idx="39">
                  <c:v>1.2925116547964315</c:v>
                </c:pt>
                <c:pt idx="40">
                  <c:v>1.29317989423348</c:v>
                </c:pt>
                <c:pt idx="41">
                  <c:v>1.2938481336705285</c:v>
                </c:pt>
                <c:pt idx="42">
                  <c:v>1.2945163731075771</c:v>
                </c:pt>
                <c:pt idx="43">
                  <c:v>1.2951846125446254</c:v>
                </c:pt>
                <c:pt idx="44">
                  <c:v>1.2958528519816739</c:v>
                </c:pt>
                <c:pt idx="45">
                  <c:v>1.2965210914187224</c:v>
                </c:pt>
                <c:pt idx="46">
                  <c:v>1.2971893308557709</c:v>
                </c:pt>
                <c:pt idx="47">
                  <c:v>1.2978575702928195</c:v>
                </c:pt>
                <c:pt idx="48">
                  <c:v>1.298525809729868</c:v>
                </c:pt>
                <c:pt idx="49">
                  <c:v>1.2991940491669165</c:v>
                </c:pt>
                <c:pt idx="50">
                  <c:v>1.299862288603965</c:v>
                </c:pt>
                <c:pt idx="51">
                  <c:v>1.3005305280410135</c:v>
                </c:pt>
                <c:pt idx="52">
                  <c:v>1.3011987674780618</c:v>
                </c:pt>
                <c:pt idx="53">
                  <c:v>1.3018670069151104</c:v>
                </c:pt>
                <c:pt idx="54">
                  <c:v>1.3025352463521589</c:v>
                </c:pt>
                <c:pt idx="55">
                  <c:v>1.3032034857892074</c:v>
                </c:pt>
                <c:pt idx="56">
                  <c:v>1.3038717252262559</c:v>
                </c:pt>
                <c:pt idx="57">
                  <c:v>1.3045399646633045</c:v>
                </c:pt>
                <c:pt idx="58">
                  <c:v>1.305208204100353</c:v>
                </c:pt>
                <c:pt idx="59">
                  <c:v>1.3058764435374015</c:v>
                </c:pt>
                <c:pt idx="60">
                  <c:v>1.30654468297445</c:v>
                </c:pt>
                <c:pt idx="61">
                  <c:v>1.3072129224114986</c:v>
                </c:pt>
                <c:pt idx="62">
                  <c:v>1.3078811618485469</c:v>
                </c:pt>
                <c:pt idx="63">
                  <c:v>1.3085494012855954</c:v>
                </c:pt>
                <c:pt idx="64">
                  <c:v>1.3092176407226439</c:v>
                </c:pt>
                <c:pt idx="65">
                  <c:v>1.3098858801596924</c:v>
                </c:pt>
                <c:pt idx="66">
                  <c:v>1.310554119596741</c:v>
                </c:pt>
                <c:pt idx="67">
                  <c:v>1.3112223590337895</c:v>
                </c:pt>
                <c:pt idx="68">
                  <c:v>1.311890598470838</c:v>
                </c:pt>
                <c:pt idx="69">
                  <c:v>1.3125588379078865</c:v>
                </c:pt>
                <c:pt idx="70">
                  <c:v>1.313227077344935</c:v>
                </c:pt>
                <c:pt idx="71">
                  <c:v>1.3138953167819833</c:v>
                </c:pt>
                <c:pt idx="72">
                  <c:v>1.3145635562190319</c:v>
                </c:pt>
                <c:pt idx="73">
                  <c:v>1.3152317956560804</c:v>
                </c:pt>
                <c:pt idx="74">
                  <c:v>1.3159000350931289</c:v>
                </c:pt>
                <c:pt idx="75">
                  <c:v>1.3165682745301774</c:v>
                </c:pt>
                <c:pt idx="76">
                  <c:v>1.317236513967226</c:v>
                </c:pt>
                <c:pt idx="77">
                  <c:v>1.3179047534042745</c:v>
                </c:pt>
                <c:pt idx="78">
                  <c:v>1.318572992841323</c:v>
                </c:pt>
                <c:pt idx="79">
                  <c:v>1.3192412322783715</c:v>
                </c:pt>
                <c:pt idx="80">
                  <c:v>1.3199094717154201</c:v>
                </c:pt>
                <c:pt idx="81">
                  <c:v>1.3205777111524684</c:v>
                </c:pt>
                <c:pt idx="82">
                  <c:v>1.3212459505895169</c:v>
                </c:pt>
                <c:pt idx="83">
                  <c:v>1.3219141900265654</c:v>
                </c:pt>
                <c:pt idx="84">
                  <c:v>1.3225824294636139</c:v>
                </c:pt>
                <c:pt idx="85">
                  <c:v>1.3232506689006625</c:v>
                </c:pt>
                <c:pt idx="86">
                  <c:v>1.323918908337711</c:v>
                </c:pt>
                <c:pt idx="87">
                  <c:v>1.3245871477747595</c:v>
                </c:pt>
                <c:pt idx="88">
                  <c:v>1.325255387211808</c:v>
                </c:pt>
                <c:pt idx="89">
                  <c:v>1.3259236266488565</c:v>
                </c:pt>
                <c:pt idx="90">
                  <c:v>1.3265918660859048</c:v>
                </c:pt>
                <c:pt idx="91">
                  <c:v>1.3272601055229534</c:v>
                </c:pt>
                <c:pt idx="92">
                  <c:v>1.3279283449600019</c:v>
                </c:pt>
                <c:pt idx="93">
                  <c:v>1.3285965843970504</c:v>
                </c:pt>
                <c:pt idx="94">
                  <c:v>1.3292648238340989</c:v>
                </c:pt>
                <c:pt idx="95">
                  <c:v>1.3299330632711475</c:v>
                </c:pt>
                <c:pt idx="96">
                  <c:v>1.330601302708196</c:v>
                </c:pt>
                <c:pt idx="97">
                  <c:v>1.3312695421452445</c:v>
                </c:pt>
                <c:pt idx="98">
                  <c:v>1.331937781582293</c:v>
                </c:pt>
                <c:pt idx="99">
                  <c:v>1.3326060210193416</c:v>
                </c:pt>
                <c:pt idx="100">
                  <c:v>1.3332742604563899</c:v>
                </c:pt>
                <c:pt idx="101">
                  <c:v>1.3339424998934384</c:v>
                </c:pt>
                <c:pt idx="102">
                  <c:v>1.3346107393304869</c:v>
                </c:pt>
                <c:pt idx="103">
                  <c:v>1.3352789787675354</c:v>
                </c:pt>
                <c:pt idx="104">
                  <c:v>1.335947218204584</c:v>
                </c:pt>
                <c:pt idx="105">
                  <c:v>1.3366154576416325</c:v>
                </c:pt>
                <c:pt idx="106">
                  <c:v>1.337283697078681</c:v>
                </c:pt>
                <c:pt idx="107">
                  <c:v>1.3379519365157295</c:v>
                </c:pt>
                <c:pt idx="108">
                  <c:v>1.338620175952778</c:v>
                </c:pt>
                <c:pt idx="109">
                  <c:v>1.3392884153898263</c:v>
                </c:pt>
                <c:pt idx="110">
                  <c:v>1.3399566548268749</c:v>
                </c:pt>
                <c:pt idx="111">
                  <c:v>1.3406248942639234</c:v>
                </c:pt>
                <c:pt idx="112">
                  <c:v>1.3412931337009719</c:v>
                </c:pt>
                <c:pt idx="113">
                  <c:v>1.3419613731380204</c:v>
                </c:pt>
                <c:pt idx="114">
                  <c:v>1.342629612575069</c:v>
                </c:pt>
                <c:pt idx="115">
                  <c:v>1.3432978520121175</c:v>
                </c:pt>
                <c:pt idx="116">
                  <c:v>1.343966091449166</c:v>
                </c:pt>
                <c:pt idx="117">
                  <c:v>1.3446343308862145</c:v>
                </c:pt>
                <c:pt idx="118">
                  <c:v>1.3453025703232631</c:v>
                </c:pt>
                <c:pt idx="119">
                  <c:v>1.3459708097603114</c:v>
                </c:pt>
                <c:pt idx="120">
                  <c:v>1.3466390491973599</c:v>
                </c:pt>
                <c:pt idx="121">
                  <c:v>1.3473072886344084</c:v>
                </c:pt>
                <c:pt idx="122">
                  <c:v>1.3479755280714569</c:v>
                </c:pt>
                <c:pt idx="123">
                  <c:v>1.3486437675085055</c:v>
                </c:pt>
                <c:pt idx="124">
                  <c:v>1.349312006945554</c:v>
                </c:pt>
                <c:pt idx="125">
                  <c:v>1.3499802463826025</c:v>
                </c:pt>
                <c:pt idx="126">
                  <c:v>1.350648485819651</c:v>
                </c:pt>
                <c:pt idx="127">
                  <c:v>1.3513167252566995</c:v>
                </c:pt>
                <c:pt idx="128">
                  <c:v>1.3519849646937478</c:v>
                </c:pt>
                <c:pt idx="129">
                  <c:v>1.3526532041307964</c:v>
                </c:pt>
                <c:pt idx="130">
                  <c:v>1.3533214435678449</c:v>
                </c:pt>
                <c:pt idx="131">
                  <c:v>1.3539896830048934</c:v>
                </c:pt>
                <c:pt idx="132">
                  <c:v>1.3546579224419419</c:v>
                </c:pt>
                <c:pt idx="133">
                  <c:v>1.3553261618789905</c:v>
                </c:pt>
                <c:pt idx="134">
                  <c:v>1.355994401316039</c:v>
                </c:pt>
                <c:pt idx="135">
                  <c:v>1.3566626407530875</c:v>
                </c:pt>
                <c:pt idx="136">
                  <c:v>1.357330880190136</c:v>
                </c:pt>
                <c:pt idx="137">
                  <c:v>1.3579991196271846</c:v>
                </c:pt>
                <c:pt idx="138">
                  <c:v>1.3586673590642329</c:v>
                </c:pt>
                <c:pt idx="139">
                  <c:v>1.3593355985012814</c:v>
                </c:pt>
                <c:pt idx="140">
                  <c:v>1.3600038379383299</c:v>
                </c:pt>
                <c:pt idx="141">
                  <c:v>1.3606720773753784</c:v>
                </c:pt>
                <c:pt idx="142">
                  <c:v>1.361340316812427</c:v>
                </c:pt>
                <c:pt idx="143">
                  <c:v>1.3620085562494755</c:v>
                </c:pt>
                <c:pt idx="144">
                  <c:v>1.362676795686524</c:v>
                </c:pt>
                <c:pt idx="145">
                  <c:v>1.3633450351235725</c:v>
                </c:pt>
                <c:pt idx="146">
                  <c:v>1.364013274560621</c:v>
                </c:pt>
                <c:pt idx="147">
                  <c:v>1.3646815139976693</c:v>
                </c:pt>
                <c:pt idx="148">
                  <c:v>1.3653497534347179</c:v>
                </c:pt>
                <c:pt idx="149">
                  <c:v>1.3660179928717664</c:v>
                </c:pt>
                <c:pt idx="150">
                  <c:v>1.3666862323088149</c:v>
                </c:pt>
                <c:pt idx="151">
                  <c:v>1.3673544717458634</c:v>
                </c:pt>
                <c:pt idx="152">
                  <c:v>1.368022711182912</c:v>
                </c:pt>
                <c:pt idx="153">
                  <c:v>1.3686909506199605</c:v>
                </c:pt>
                <c:pt idx="154">
                  <c:v>1.369359190057009</c:v>
                </c:pt>
                <c:pt idx="155">
                  <c:v>1.3700274294940575</c:v>
                </c:pt>
                <c:pt idx="156">
                  <c:v>1.3706956689311061</c:v>
                </c:pt>
                <c:pt idx="157">
                  <c:v>1.3713639083681544</c:v>
                </c:pt>
                <c:pt idx="158">
                  <c:v>1.3720321478052029</c:v>
                </c:pt>
                <c:pt idx="159">
                  <c:v>1.3727003872422514</c:v>
                </c:pt>
                <c:pt idx="160">
                  <c:v>1.3733686266792999</c:v>
                </c:pt>
                <c:pt idx="161">
                  <c:v>1.3740368661163485</c:v>
                </c:pt>
                <c:pt idx="162">
                  <c:v>1.374705105553397</c:v>
                </c:pt>
                <c:pt idx="163">
                  <c:v>1.3753733449904455</c:v>
                </c:pt>
                <c:pt idx="164">
                  <c:v>1.376041584427494</c:v>
                </c:pt>
                <c:pt idx="165">
                  <c:v>1.3767098238645425</c:v>
                </c:pt>
                <c:pt idx="166">
                  <c:v>1.3773780633015908</c:v>
                </c:pt>
                <c:pt idx="167">
                  <c:v>1.3780463027386394</c:v>
                </c:pt>
                <c:pt idx="168">
                  <c:v>1.3787145421756879</c:v>
                </c:pt>
                <c:pt idx="169">
                  <c:v>1.3793827816127364</c:v>
                </c:pt>
                <c:pt idx="170">
                  <c:v>1.3800510210497849</c:v>
                </c:pt>
                <c:pt idx="171">
                  <c:v>1.3807192604868335</c:v>
                </c:pt>
                <c:pt idx="172">
                  <c:v>1.381387499923882</c:v>
                </c:pt>
                <c:pt idx="173">
                  <c:v>1.3820557393609305</c:v>
                </c:pt>
                <c:pt idx="174">
                  <c:v>1.382723978797979</c:v>
                </c:pt>
                <c:pt idx="175">
                  <c:v>1.3833922182350276</c:v>
                </c:pt>
                <c:pt idx="176">
                  <c:v>1.3840604576720759</c:v>
                </c:pt>
                <c:pt idx="177">
                  <c:v>1.3847286971091244</c:v>
                </c:pt>
                <c:pt idx="178">
                  <c:v>1.3853969365461729</c:v>
                </c:pt>
                <c:pt idx="179">
                  <c:v>1.3860651759832214</c:v>
                </c:pt>
                <c:pt idx="180">
                  <c:v>1.38673341542027</c:v>
                </c:pt>
                <c:pt idx="181">
                  <c:v>1.3874016548573185</c:v>
                </c:pt>
                <c:pt idx="182">
                  <c:v>1.388069894294367</c:v>
                </c:pt>
                <c:pt idx="183">
                  <c:v>1.3887381337314155</c:v>
                </c:pt>
                <c:pt idx="184">
                  <c:v>1.389406373168464</c:v>
                </c:pt>
                <c:pt idx="185">
                  <c:v>1.3900746126055123</c:v>
                </c:pt>
                <c:pt idx="186">
                  <c:v>1.3907428520425609</c:v>
                </c:pt>
                <c:pt idx="187">
                  <c:v>1.3914110914796094</c:v>
                </c:pt>
                <c:pt idx="188">
                  <c:v>1.3920793309166579</c:v>
                </c:pt>
                <c:pt idx="189">
                  <c:v>1.3927475703537064</c:v>
                </c:pt>
                <c:pt idx="190">
                  <c:v>1.393415809790755</c:v>
                </c:pt>
                <c:pt idx="191">
                  <c:v>1.3940840492278035</c:v>
                </c:pt>
                <c:pt idx="192">
                  <c:v>1.394752288664852</c:v>
                </c:pt>
                <c:pt idx="193">
                  <c:v>1.3954205281019005</c:v>
                </c:pt>
                <c:pt idx="194">
                  <c:v>1.3960887675389491</c:v>
                </c:pt>
                <c:pt idx="195">
                  <c:v>1.3967570069759974</c:v>
                </c:pt>
                <c:pt idx="196">
                  <c:v>1.3974252464130459</c:v>
                </c:pt>
                <c:pt idx="197">
                  <c:v>1.3980934858500944</c:v>
                </c:pt>
                <c:pt idx="198">
                  <c:v>1.3987617252871429</c:v>
                </c:pt>
                <c:pt idx="199">
                  <c:v>1.3994299647241915</c:v>
                </c:pt>
                <c:pt idx="200">
                  <c:v>1.40009820416124</c:v>
                </c:pt>
                <c:pt idx="201">
                  <c:v>1.4007664435982885</c:v>
                </c:pt>
                <c:pt idx="202">
                  <c:v>1.401434683035337</c:v>
                </c:pt>
                <c:pt idx="203">
                  <c:v>1.4021029224723855</c:v>
                </c:pt>
                <c:pt idx="204">
                  <c:v>1.4027711619094339</c:v>
                </c:pt>
                <c:pt idx="205">
                  <c:v>1.4034394013464824</c:v>
                </c:pt>
                <c:pt idx="206">
                  <c:v>1.4041076407835309</c:v>
                </c:pt>
                <c:pt idx="207">
                  <c:v>1.4047758802205794</c:v>
                </c:pt>
                <c:pt idx="208">
                  <c:v>1.4054441196576279</c:v>
                </c:pt>
                <c:pt idx="209">
                  <c:v>1.4061123590946765</c:v>
                </c:pt>
                <c:pt idx="210">
                  <c:v>1.406780598531725</c:v>
                </c:pt>
                <c:pt idx="211">
                  <c:v>1.4074488379687735</c:v>
                </c:pt>
                <c:pt idx="212">
                  <c:v>1.408117077405822</c:v>
                </c:pt>
                <c:pt idx="213">
                  <c:v>1.4087853168428706</c:v>
                </c:pt>
                <c:pt idx="214">
                  <c:v>1.4094535562799189</c:v>
                </c:pt>
                <c:pt idx="215">
                  <c:v>1.4101217957169674</c:v>
                </c:pt>
                <c:pt idx="216">
                  <c:v>1.4107900351540159</c:v>
                </c:pt>
                <c:pt idx="217">
                  <c:v>1.4114582745910644</c:v>
                </c:pt>
                <c:pt idx="218">
                  <c:v>1.412126514028113</c:v>
                </c:pt>
                <c:pt idx="219">
                  <c:v>1.4127947534651615</c:v>
                </c:pt>
                <c:pt idx="220">
                  <c:v>1.41346299290221</c:v>
                </c:pt>
                <c:pt idx="221">
                  <c:v>1.4141312323392585</c:v>
                </c:pt>
                <c:pt idx="222">
                  <c:v>1.414799471776307</c:v>
                </c:pt>
                <c:pt idx="223">
                  <c:v>1.4154677112133554</c:v>
                </c:pt>
                <c:pt idx="224">
                  <c:v>1.4161359506504039</c:v>
                </c:pt>
                <c:pt idx="225">
                  <c:v>1.4168041900874524</c:v>
                </c:pt>
                <c:pt idx="226">
                  <c:v>1.4174724295245009</c:v>
                </c:pt>
                <c:pt idx="227">
                  <c:v>1.4181406689615494</c:v>
                </c:pt>
                <c:pt idx="228">
                  <c:v>1.418808908398598</c:v>
                </c:pt>
                <c:pt idx="229">
                  <c:v>1.4194771478356465</c:v>
                </c:pt>
                <c:pt idx="230">
                  <c:v>1.420145387272695</c:v>
                </c:pt>
                <c:pt idx="231">
                  <c:v>1.4208136267097435</c:v>
                </c:pt>
                <c:pt idx="232">
                  <c:v>1.4214818661467921</c:v>
                </c:pt>
                <c:pt idx="233">
                  <c:v>1.4221501055838404</c:v>
                </c:pt>
                <c:pt idx="234">
                  <c:v>1.4228183450208889</c:v>
                </c:pt>
                <c:pt idx="235">
                  <c:v>1.4234865844579374</c:v>
                </c:pt>
                <c:pt idx="236">
                  <c:v>1.4241548238949859</c:v>
                </c:pt>
                <c:pt idx="237">
                  <c:v>1.4248230633320345</c:v>
                </c:pt>
                <c:pt idx="238">
                  <c:v>1.425491302769083</c:v>
                </c:pt>
                <c:pt idx="239">
                  <c:v>1.4261595422061315</c:v>
                </c:pt>
                <c:pt idx="240">
                  <c:v>1.42682778164318</c:v>
                </c:pt>
                <c:pt idx="241">
                  <c:v>1.4274960210802285</c:v>
                </c:pt>
                <c:pt idx="242">
                  <c:v>1.4281642605172769</c:v>
                </c:pt>
                <c:pt idx="243">
                  <c:v>1.4288324999543254</c:v>
                </c:pt>
                <c:pt idx="244">
                  <c:v>1.4295007393913739</c:v>
                </c:pt>
                <c:pt idx="245">
                  <c:v>1.4301689788284224</c:v>
                </c:pt>
                <c:pt idx="246">
                  <c:v>1.4308372182654709</c:v>
                </c:pt>
                <c:pt idx="247">
                  <c:v>1.4315054577025195</c:v>
                </c:pt>
                <c:pt idx="248">
                  <c:v>1.432173697139568</c:v>
                </c:pt>
                <c:pt idx="249">
                  <c:v>1.4328419365766165</c:v>
                </c:pt>
                <c:pt idx="250">
                  <c:v>1.433510176013665</c:v>
                </c:pt>
                <c:pt idx="251">
                  <c:v>1.4341784154507136</c:v>
                </c:pt>
                <c:pt idx="252">
                  <c:v>1.4348466548877619</c:v>
                </c:pt>
                <c:pt idx="253">
                  <c:v>1.4355148943248104</c:v>
                </c:pt>
                <c:pt idx="254">
                  <c:v>1.4361831337618589</c:v>
                </c:pt>
                <c:pt idx="255">
                  <c:v>1.4368513731989074</c:v>
                </c:pt>
                <c:pt idx="256">
                  <c:v>1.437519612635956</c:v>
                </c:pt>
                <c:pt idx="257">
                  <c:v>1.4381878520730045</c:v>
                </c:pt>
                <c:pt idx="258">
                  <c:v>1.438856091510053</c:v>
                </c:pt>
                <c:pt idx="259">
                  <c:v>1.4395243309471015</c:v>
                </c:pt>
                <c:pt idx="260">
                  <c:v>1.4401925703841501</c:v>
                </c:pt>
                <c:pt idx="261">
                  <c:v>1.4408608098211984</c:v>
                </c:pt>
                <c:pt idx="262">
                  <c:v>1.4415290492582469</c:v>
                </c:pt>
                <c:pt idx="263">
                  <c:v>1.4421972886952954</c:v>
                </c:pt>
                <c:pt idx="264">
                  <c:v>1.4428655281323439</c:v>
                </c:pt>
                <c:pt idx="265">
                  <c:v>1.4435337675693924</c:v>
                </c:pt>
                <c:pt idx="266">
                  <c:v>1.444202007006441</c:v>
                </c:pt>
                <c:pt idx="267">
                  <c:v>1.4448702464434895</c:v>
                </c:pt>
                <c:pt idx="268">
                  <c:v>1.445538485880538</c:v>
                </c:pt>
                <c:pt idx="269">
                  <c:v>1.4462067253175865</c:v>
                </c:pt>
                <c:pt idx="270">
                  <c:v>1.4468749647546351</c:v>
                </c:pt>
                <c:pt idx="271">
                  <c:v>1.4475432041916834</c:v>
                </c:pt>
                <c:pt idx="272">
                  <c:v>1.4482114436287319</c:v>
                </c:pt>
                <c:pt idx="273">
                  <c:v>1.4488796830657804</c:v>
                </c:pt>
                <c:pt idx="274">
                  <c:v>1.4495479225028289</c:v>
                </c:pt>
                <c:pt idx="275">
                  <c:v>1.4502161619398775</c:v>
                </c:pt>
                <c:pt idx="276">
                  <c:v>1.450884401376926</c:v>
                </c:pt>
                <c:pt idx="277">
                  <c:v>1.4515526408139745</c:v>
                </c:pt>
                <c:pt idx="278">
                  <c:v>1.452220880251023</c:v>
                </c:pt>
                <c:pt idx="279">
                  <c:v>1.4528891196880716</c:v>
                </c:pt>
                <c:pt idx="280">
                  <c:v>1.4535573591251199</c:v>
                </c:pt>
                <c:pt idx="281">
                  <c:v>1.4542255985621684</c:v>
                </c:pt>
                <c:pt idx="282">
                  <c:v>1.4548938379992169</c:v>
                </c:pt>
                <c:pt idx="283">
                  <c:v>1.4555620774362654</c:v>
                </c:pt>
                <c:pt idx="284">
                  <c:v>1.4562303168733139</c:v>
                </c:pt>
                <c:pt idx="285">
                  <c:v>1.4568985563103625</c:v>
                </c:pt>
                <c:pt idx="286">
                  <c:v>1.457566795747411</c:v>
                </c:pt>
                <c:pt idx="287">
                  <c:v>1.4582350351844595</c:v>
                </c:pt>
                <c:pt idx="288">
                  <c:v>1.458903274621508</c:v>
                </c:pt>
                <c:pt idx="289">
                  <c:v>1.4595715140585566</c:v>
                </c:pt>
                <c:pt idx="290">
                  <c:v>1.4602397534956049</c:v>
                </c:pt>
                <c:pt idx="291">
                  <c:v>1.4609079929326534</c:v>
                </c:pt>
                <c:pt idx="292">
                  <c:v>1.4615762323697019</c:v>
                </c:pt>
                <c:pt idx="293">
                  <c:v>1.4622444718067504</c:v>
                </c:pt>
                <c:pt idx="294">
                  <c:v>1.462912711243799</c:v>
                </c:pt>
                <c:pt idx="295">
                  <c:v>1.4635809506808475</c:v>
                </c:pt>
                <c:pt idx="296">
                  <c:v>1.464249190117896</c:v>
                </c:pt>
                <c:pt idx="297">
                  <c:v>1.4649174295549445</c:v>
                </c:pt>
                <c:pt idx="298">
                  <c:v>1.4655856689919931</c:v>
                </c:pt>
                <c:pt idx="299">
                  <c:v>1.4662539084290414</c:v>
                </c:pt>
                <c:pt idx="300">
                  <c:v>1.4669221478660899</c:v>
                </c:pt>
                <c:pt idx="301">
                  <c:v>1.4675903873031384</c:v>
                </c:pt>
                <c:pt idx="302">
                  <c:v>1.4682586267401869</c:v>
                </c:pt>
                <c:pt idx="303">
                  <c:v>1.4689268661772354</c:v>
                </c:pt>
                <c:pt idx="304">
                  <c:v>1.469595105614284</c:v>
                </c:pt>
                <c:pt idx="305">
                  <c:v>1.4702633450513325</c:v>
                </c:pt>
                <c:pt idx="306">
                  <c:v>1.470931584488381</c:v>
                </c:pt>
                <c:pt idx="307">
                  <c:v>1.4715998239254295</c:v>
                </c:pt>
                <c:pt idx="308">
                  <c:v>1.4722680633624781</c:v>
                </c:pt>
                <c:pt idx="309">
                  <c:v>1.4729363027995264</c:v>
                </c:pt>
                <c:pt idx="310">
                  <c:v>1.4736045422365749</c:v>
                </c:pt>
                <c:pt idx="311">
                  <c:v>1.4742727816736234</c:v>
                </c:pt>
                <c:pt idx="312">
                  <c:v>1.4749410211106719</c:v>
                </c:pt>
                <c:pt idx="313">
                  <c:v>1.4756092605477205</c:v>
                </c:pt>
                <c:pt idx="314">
                  <c:v>1.476277499984769</c:v>
                </c:pt>
                <c:pt idx="315">
                  <c:v>1.4769457394218175</c:v>
                </c:pt>
                <c:pt idx="316">
                  <c:v>1.477613978858866</c:v>
                </c:pt>
                <c:pt idx="317">
                  <c:v>1.4782822182959146</c:v>
                </c:pt>
                <c:pt idx="318">
                  <c:v>1.4789504577329629</c:v>
                </c:pt>
                <c:pt idx="319">
                  <c:v>1.4796186971700114</c:v>
                </c:pt>
                <c:pt idx="320">
                  <c:v>1.4802869366070599</c:v>
                </c:pt>
                <c:pt idx="321">
                  <c:v>1.4809551760441084</c:v>
                </c:pt>
                <c:pt idx="322">
                  <c:v>1.4816234154811569</c:v>
                </c:pt>
                <c:pt idx="323">
                  <c:v>1.4822916549182055</c:v>
                </c:pt>
                <c:pt idx="324">
                  <c:v>1.482959894355254</c:v>
                </c:pt>
                <c:pt idx="325">
                  <c:v>1.4836281337923025</c:v>
                </c:pt>
                <c:pt idx="326">
                  <c:v>1.484296373229351</c:v>
                </c:pt>
                <c:pt idx="327">
                  <c:v>1.4849646126663996</c:v>
                </c:pt>
                <c:pt idx="328">
                  <c:v>1.4856328521034479</c:v>
                </c:pt>
                <c:pt idx="329">
                  <c:v>1.4863010915404964</c:v>
                </c:pt>
                <c:pt idx="330">
                  <c:v>1.4869693309775449</c:v>
                </c:pt>
                <c:pt idx="331">
                  <c:v>1.4876375704145934</c:v>
                </c:pt>
                <c:pt idx="332">
                  <c:v>1.488305809851642</c:v>
                </c:pt>
                <c:pt idx="333">
                  <c:v>1.4889740492886905</c:v>
                </c:pt>
                <c:pt idx="334">
                  <c:v>1.489642288725739</c:v>
                </c:pt>
                <c:pt idx="335">
                  <c:v>1.4903105281627875</c:v>
                </c:pt>
                <c:pt idx="336">
                  <c:v>1.4909787675998358</c:v>
                </c:pt>
                <c:pt idx="337">
                  <c:v>1.4916470070368844</c:v>
                </c:pt>
                <c:pt idx="338">
                  <c:v>1.4923152464739329</c:v>
                </c:pt>
                <c:pt idx="339">
                  <c:v>1.4929834859109814</c:v>
                </c:pt>
                <c:pt idx="340">
                  <c:v>1.4936517253480299</c:v>
                </c:pt>
                <c:pt idx="341">
                  <c:v>1.4943199647850784</c:v>
                </c:pt>
                <c:pt idx="342">
                  <c:v>1.494988204222127</c:v>
                </c:pt>
                <c:pt idx="343">
                  <c:v>1.4956564436591755</c:v>
                </c:pt>
                <c:pt idx="344">
                  <c:v>1.496324683096224</c:v>
                </c:pt>
                <c:pt idx="345">
                  <c:v>1.4969929225332725</c:v>
                </c:pt>
                <c:pt idx="346">
                  <c:v>1.4976611619703211</c:v>
                </c:pt>
                <c:pt idx="347">
                  <c:v>1.4983294014073694</c:v>
                </c:pt>
                <c:pt idx="348">
                  <c:v>1.4989976408444179</c:v>
                </c:pt>
                <c:pt idx="349">
                  <c:v>1.4996658802814664</c:v>
                </c:pt>
                <c:pt idx="350">
                  <c:v>1.5003341197185149</c:v>
                </c:pt>
                <c:pt idx="351">
                  <c:v>1.5010023591555635</c:v>
                </c:pt>
                <c:pt idx="352">
                  <c:v>1.501670598592612</c:v>
                </c:pt>
                <c:pt idx="353">
                  <c:v>1.5023388380296605</c:v>
                </c:pt>
                <c:pt idx="354">
                  <c:v>1.503007077466709</c:v>
                </c:pt>
                <c:pt idx="355">
                  <c:v>1.5036753169037573</c:v>
                </c:pt>
                <c:pt idx="356">
                  <c:v>1.5043435563408059</c:v>
                </c:pt>
                <c:pt idx="357">
                  <c:v>1.5050117957778544</c:v>
                </c:pt>
                <c:pt idx="358">
                  <c:v>1.5056800352149029</c:v>
                </c:pt>
                <c:pt idx="359">
                  <c:v>1.5063482746519514</c:v>
                </c:pt>
                <c:pt idx="360">
                  <c:v>1.5070165140889999</c:v>
                </c:pt>
                <c:pt idx="361">
                  <c:v>1.5076847535260485</c:v>
                </c:pt>
                <c:pt idx="362">
                  <c:v>1.508352992963097</c:v>
                </c:pt>
                <c:pt idx="363">
                  <c:v>1.5090212324001455</c:v>
                </c:pt>
                <c:pt idx="364">
                  <c:v>1.509689471837194</c:v>
                </c:pt>
                <c:pt idx="365">
                  <c:v>1.5103577112742426</c:v>
                </c:pt>
                <c:pt idx="366">
                  <c:v>1.5110259507112909</c:v>
                </c:pt>
                <c:pt idx="367">
                  <c:v>1.5116941901483394</c:v>
                </c:pt>
                <c:pt idx="368">
                  <c:v>1.5123624295853879</c:v>
                </c:pt>
                <c:pt idx="369">
                  <c:v>1.5130306690224364</c:v>
                </c:pt>
                <c:pt idx="370">
                  <c:v>1.513698908459485</c:v>
                </c:pt>
                <c:pt idx="371">
                  <c:v>1.5143671478965335</c:v>
                </c:pt>
                <c:pt idx="372">
                  <c:v>1.515035387333582</c:v>
                </c:pt>
                <c:pt idx="373">
                  <c:v>1.5157036267706305</c:v>
                </c:pt>
                <c:pt idx="374">
                  <c:v>1.5163718662076788</c:v>
                </c:pt>
                <c:pt idx="375">
                  <c:v>1.5170401056447274</c:v>
                </c:pt>
                <c:pt idx="376">
                  <c:v>1.5177083450817759</c:v>
                </c:pt>
                <c:pt idx="377">
                  <c:v>1.5183765845188244</c:v>
                </c:pt>
                <c:pt idx="378">
                  <c:v>1.5190448239558729</c:v>
                </c:pt>
                <c:pt idx="379">
                  <c:v>1.5197130633929214</c:v>
                </c:pt>
                <c:pt idx="380">
                  <c:v>1.52038130282997</c:v>
                </c:pt>
                <c:pt idx="381">
                  <c:v>1.5210495422670185</c:v>
                </c:pt>
                <c:pt idx="382">
                  <c:v>1.521717781704067</c:v>
                </c:pt>
                <c:pt idx="383">
                  <c:v>1.5223860211411155</c:v>
                </c:pt>
                <c:pt idx="384">
                  <c:v>1.5230542605781641</c:v>
                </c:pt>
                <c:pt idx="385">
                  <c:v>1.5237225000152126</c:v>
                </c:pt>
                <c:pt idx="386">
                  <c:v>1.5243907394522609</c:v>
                </c:pt>
                <c:pt idx="387">
                  <c:v>1.5250589788893094</c:v>
                </c:pt>
                <c:pt idx="388">
                  <c:v>1.5257272183263579</c:v>
                </c:pt>
                <c:pt idx="389">
                  <c:v>1.5263954577634065</c:v>
                </c:pt>
                <c:pt idx="390">
                  <c:v>1.527063697200455</c:v>
                </c:pt>
                <c:pt idx="391">
                  <c:v>1.5277319366375035</c:v>
                </c:pt>
                <c:pt idx="392">
                  <c:v>1.528400176074552</c:v>
                </c:pt>
                <c:pt idx="393">
                  <c:v>1.5290684155116003</c:v>
                </c:pt>
                <c:pt idx="394">
                  <c:v>1.5297366549486489</c:v>
                </c:pt>
                <c:pt idx="395">
                  <c:v>1.5304048943856974</c:v>
                </c:pt>
                <c:pt idx="396">
                  <c:v>1.5310731338227459</c:v>
                </c:pt>
                <c:pt idx="397">
                  <c:v>1.5317413732597944</c:v>
                </c:pt>
                <c:pt idx="398">
                  <c:v>1.5324096126968429</c:v>
                </c:pt>
                <c:pt idx="399">
                  <c:v>1.5330778521338915</c:v>
                </c:pt>
                <c:pt idx="400">
                  <c:v>1.53374609157094</c:v>
                </c:pt>
                <c:pt idx="401">
                  <c:v>1.5344143310079885</c:v>
                </c:pt>
                <c:pt idx="402">
                  <c:v>1.535082570445037</c:v>
                </c:pt>
                <c:pt idx="403">
                  <c:v>1.5357508098820856</c:v>
                </c:pt>
                <c:pt idx="404">
                  <c:v>1.5364190493191341</c:v>
                </c:pt>
                <c:pt idx="405">
                  <c:v>1.5370872887561824</c:v>
                </c:pt>
                <c:pt idx="406">
                  <c:v>1.5377555281932309</c:v>
                </c:pt>
                <c:pt idx="407">
                  <c:v>1.5384237676302794</c:v>
                </c:pt>
                <c:pt idx="408">
                  <c:v>1.539092007067328</c:v>
                </c:pt>
                <c:pt idx="409">
                  <c:v>1.5397602465043765</c:v>
                </c:pt>
                <c:pt idx="410">
                  <c:v>1.540428485941425</c:v>
                </c:pt>
                <c:pt idx="411">
                  <c:v>1.5410967253784735</c:v>
                </c:pt>
                <c:pt idx="412">
                  <c:v>1.5417649648155218</c:v>
                </c:pt>
                <c:pt idx="413">
                  <c:v>1.5424332042525704</c:v>
                </c:pt>
                <c:pt idx="414">
                  <c:v>1.5431014436896189</c:v>
                </c:pt>
                <c:pt idx="415">
                  <c:v>1.5437696831266674</c:v>
                </c:pt>
                <c:pt idx="416">
                  <c:v>1.5444379225637159</c:v>
                </c:pt>
                <c:pt idx="417">
                  <c:v>1.5451061620007644</c:v>
                </c:pt>
                <c:pt idx="418">
                  <c:v>1.545774401437813</c:v>
                </c:pt>
                <c:pt idx="419">
                  <c:v>1.5464426408748615</c:v>
                </c:pt>
                <c:pt idx="420">
                  <c:v>1.54711088031191</c:v>
                </c:pt>
                <c:pt idx="421">
                  <c:v>1.5477791197489585</c:v>
                </c:pt>
                <c:pt idx="422">
                  <c:v>1.5484473591860071</c:v>
                </c:pt>
                <c:pt idx="423">
                  <c:v>1.5491155986230556</c:v>
                </c:pt>
                <c:pt idx="424">
                  <c:v>1.5497838380601039</c:v>
                </c:pt>
                <c:pt idx="425">
                  <c:v>1.5504520774971524</c:v>
                </c:pt>
                <c:pt idx="426">
                  <c:v>1.5511203169342009</c:v>
                </c:pt>
                <c:pt idx="427">
                  <c:v>1.5517885563712495</c:v>
                </c:pt>
                <c:pt idx="428">
                  <c:v>1.552456795808298</c:v>
                </c:pt>
                <c:pt idx="429">
                  <c:v>1.5531250352453465</c:v>
                </c:pt>
                <c:pt idx="430">
                  <c:v>1.553793274682395</c:v>
                </c:pt>
                <c:pt idx="431">
                  <c:v>1.5544615141194433</c:v>
                </c:pt>
                <c:pt idx="432">
                  <c:v>1.5551297535564919</c:v>
                </c:pt>
                <c:pt idx="433">
                  <c:v>1.5557979929935404</c:v>
                </c:pt>
                <c:pt idx="434">
                  <c:v>1.5564662324305889</c:v>
                </c:pt>
                <c:pt idx="435">
                  <c:v>1.5571344718676374</c:v>
                </c:pt>
                <c:pt idx="436">
                  <c:v>1.5578027113046859</c:v>
                </c:pt>
                <c:pt idx="437">
                  <c:v>1.5584709507417345</c:v>
                </c:pt>
                <c:pt idx="438">
                  <c:v>1.559139190178783</c:v>
                </c:pt>
                <c:pt idx="439">
                  <c:v>1.5598074296158315</c:v>
                </c:pt>
                <c:pt idx="440">
                  <c:v>1.56047566905288</c:v>
                </c:pt>
                <c:pt idx="441">
                  <c:v>1.5611439084899286</c:v>
                </c:pt>
                <c:pt idx="442">
                  <c:v>1.5618121479269771</c:v>
                </c:pt>
                <c:pt idx="443">
                  <c:v>1.5624803873640254</c:v>
                </c:pt>
                <c:pt idx="444">
                  <c:v>1.5631486268010739</c:v>
                </c:pt>
                <c:pt idx="445">
                  <c:v>1.5638168662381224</c:v>
                </c:pt>
                <c:pt idx="446">
                  <c:v>1.564485105675171</c:v>
                </c:pt>
                <c:pt idx="447">
                  <c:v>1.5651533451122195</c:v>
                </c:pt>
                <c:pt idx="448">
                  <c:v>1.565821584549268</c:v>
                </c:pt>
                <c:pt idx="449">
                  <c:v>1.5664898239863165</c:v>
                </c:pt>
                <c:pt idx="450">
                  <c:v>1.5671580634233648</c:v>
                </c:pt>
                <c:pt idx="451">
                  <c:v>1.5678263028604134</c:v>
                </c:pt>
                <c:pt idx="452">
                  <c:v>1.5684945422974619</c:v>
                </c:pt>
                <c:pt idx="453">
                  <c:v>1.5691627817345104</c:v>
                </c:pt>
                <c:pt idx="454">
                  <c:v>1.5698310211715589</c:v>
                </c:pt>
                <c:pt idx="455">
                  <c:v>1.5704992606086075</c:v>
                </c:pt>
                <c:pt idx="456">
                  <c:v>1.571167500045656</c:v>
                </c:pt>
                <c:pt idx="457">
                  <c:v>1.5718357394827045</c:v>
                </c:pt>
                <c:pt idx="458">
                  <c:v>1.572503978919753</c:v>
                </c:pt>
                <c:pt idx="459">
                  <c:v>1.5731722183568015</c:v>
                </c:pt>
                <c:pt idx="460">
                  <c:v>1.5738404577938501</c:v>
                </c:pt>
                <c:pt idx="461">
                  <c:v>1.5745086972308986</c:v>
                </c:pt>
                <c:pt idx="462">
                  <c:v>1.5751769366679469</c:v>
                </c:pt>
                <c:pt idx="463">
                  <c:v>1.5758451761049954</c:v>
                </c:pt>
                <c:pt idx="464">
                  <c:v>1.5765134155420439</c:v>
                </c:pt>
                <c:pt idx="465">
                  <c:v>1.5771816549790925</c:v>
                </c:pt>
                <c:pt idx="466">
                  <c:v>1.577849894416141</c:v>
                </c:pt>
                <c:pt idx="467">
                  <c:v>1.5785181338531895</c:v>
                </c:pt>
                <c:pt idx="468">
                  <c:v>1.579186373290238</c:v>
                </c:pt>
                <c:pt idx="469">
                  <c:v>1.5798546127272863</c:v>
                </c:pt>
                <c:pt idx="470">
                  <c:v>1.5805228521643349</c:v>
                </c:pt>
                <c:pt idx="471">
                  <c:v>1.5811910916013834</c:v>
                </c:pt>
                <c:pt idx="472">
                  <c:v>1.5818593310384319</c:v>
                </c:pt>
                <c:pt idx="473">
                  <c:v>1.5825275704754804</c:v>
                </c:pt>
                <c:pt idx="474">
                  <c:v>1.583195809912529</c:v>
                </c:pt>
                <c:pt idx="475">
                  <c:v>1.5838640493495775</c:v>
                </c:pt>
                <c:pt idx="476">
                  <c:v>1.584532288786626</c:v>
                </c:pt>
                <c:pt idx="477">
                  <c:v>1.5852005282236745</c:v>
                </c:pt>
                <c:pt idx="478">
                  <c:v>1.585868767660723</c:v>
                </c:pt>
                <c:pt idx="479">
                  <c:v>1.5865370070977716</c:v>
                </c:pt>
                <c:pt idx="480">
                  <c:v>1.5872052465348201</c:v>
                </c:pt>
                <c:pt idx="481">
                  <c:v>1.5878734859718684</c:v>
                </c:pt>
                <c:pt idx="482">
                  <c:v>1.5885417254089169</c:v>
                </c:pt>
                <c:pt idx="483">
                  <c:v>1.5892099648459654</c:v>
                </c:pt>
                <c:pt idx="484">
                  <c:v>1.589878204283014</c:v>
                </c:pt>
                <c:pt idx="485">
                  <c:v>1.5905464437200625</c:v>
                </c:pt>
                <c:pt idx="486">
                  <c:v>1.591214683157111</c:v>
                </c:pt>
                <c:pt idx="487">
                  <c:v>1.5918829225941595</c:v>
                </c:pt>
                <c:pt idx="488">
                  <c:v>1.5925511620312078</c:v>
                </c:pt>
                <c:pt idx="489">
                  <c:v>1.5932194014682564</c:v>
                </c:pt>
                <c:pt idx="490">
                  <c:v>1.5938876409053049</c:v>
                </c:pt>
                <c:pt idx="491">
                  <c:v>1.5945558803423534</c:v>
                </c:pt>
                <c:pt idx="492">
                  <c:v>1.5952241197794019</c:v>
                </c:pt>
                <c:pt idx="493">
                  <c:v>1.5958923592164505</c:v>
                </c:pt>
                <c:pt idx="494">
                  <c:v>1.596560598653499</c:v>
                </c:pt>
                <c:pt idx="495">
                  <c:v>1.5972288380905475</c:v>
                </c:pt>
                <c:pt idx="496">
                  <c:v>1.597897077527596</c:v>
                </c:pt>
                <c:pt idx="497">
                  <c:v>1.5985653169646445</c:v>
                </c:pt>
                <c:pt idx="498">
                  <c:v>1.5992335564016931</c:v>
                </c:pt>
                <c:pt idx="499">
                  <c:v>1.5999017958387414</c:v>
                </c:pt>
                <c:pt idx="500">
                  <c:v>1.6005700352757899</c:v>
                </c:pt>
                <c:pt idx="501">
                  <c:v>1.6012382747128384</c:v>
                </c:pt>
                <c:pt idx="502">
                  <c:v>1.6019065141498869</c:v>
                </c:pt>
                <c:pt idx="503">
                  <c:v>1.6025747535869355</c:v>
                </c:pt>
                <c:pt idx="504">
                  <c:v>1.603242993023984</c:v>
                </c:pt>
                <c:pt idx="505">
                  <c:v>1.6039112324610325</c:v>
                </c:pt>
                <c:pt idx="506">
                  <c:v>1.604579471898081</c:v>
                </c:pt>
                <c:pt idx="507">
                  <c:v>1.6052477113351293</c:v>
                </c:pt>
                <c:pt idx="508">
                  <c:v>1.6059159507721779</c:v>
                </c:pt>
                <c:pt idx="509">
                  <c:v>1.6065841902092264</c:v>
                </c:pt>
                <c:pt idx="510">
                  <c:v>1.6072524296462749</c:v>
                </c:pt>
                <c:pt idx="511">
                  <c:v>1.6079206690833234</c:v>
                </c:pt>
                <c:pt idx="512">
                  <c:v>1.608588908520372</c:v>
                </c:pt>
                <c:pt idx="513">
                  <c:v>1.6092571479574205</c:v>
                </c:pt>
                <c:pt idx="514">
                  <c:v>1.609925387394469</c:v>
                </c:pt>
                <c:pt idx="515">
                  <c:v>1.6105936268315175</c:v>
                </c:pt>
                <c:pt idx="516">
                  <c:v>1.611261866268566</c:v>
                </c:pt>
                <c:pt idx="517">
                  <c:v>1.6119301057056146</c:v>
                </c:pt>
                <c:pt idx="518">
                  <c:v>1.6125983451426629</c:v>
                </c:pt>
                <c:pt idx="519">
                  <c:v>1.6132665845797114</c:v>
                </c:pt>
                <c:pt idx="520">
                  <c:v>1.6139348240167599</c:v>
                </c:pt>
                <c:pt idx="521">
                  <c:v>1.6146030634538084</c:v>
                </c:pt>
                <c:pt idx="522">
                  <c:v>1.615271302890857</c:v>
                </c:pt>
                <c:pt idx="523">
                  <c:v>1.6159395423279055</c:v>
                </c:pt>
                <c:pt idx="524">
                  <c:v>1.616607781764954</c:v>
                </c:pt>
                <c:pt idx="525">
                  <c:v>1.6172760212020025</c:v>
                </c:pt>
                <c:pt idx="526">
                  <c:v>1.6179442606390508</c:v>
                </c:pt>
                <c:pt idx="527">
                  <c:v>1.6186125000760994</c:v>
                </c:pt>
                <c:pt idx="528">
                  <c:v>1.6192807395131479</c:v>
                </c:pt>
                <c:pt idx="529">
                  <c:v>1.6199489789501964</c:v>
                </c:pt>
                <c:pt idx="530">
                  <c:v>1.6206172183872449</c:v>
                </c:pt>
                <c:pt idx="531">
                  <c:v>1.6212854578242935</c:v>
                </c:pt>
                <c:pt idx="532">
                  <c:v>1.621953697261342</c:v>
                </c:pt>
                <c:pt idx="533">
                  <c:v>1.6226219366983905</c:v>
                </c:pt>
                <c:pt idx="534">
                  <c:v>1.623290176135439</c:v>
                </c:pt>
                <c:pt idx="535">
                  <c:v>1.6239584155724875</c:v>
                </c:pt>
                <c:pt idx="536">
                  <c:v>1.6246266550095361</c:v>
                </c:pt>
                <c:pt idx="537">
                  <c:v>1.6252948944465844</c:v>
                </c:pt>
                <c:pt idx="538">
                  <c:v>1.6259631338836329</c:v>
                </c:pt>
                <c:pt idx="539">
                  <c:v>1.6266313733206814</c:v>
                </c:pt>
                <c:pt idx="540">
                  <c:v>1.6272996127577299</c:v>
                </c:pt>
                <c:pt idx="541">
                  <c:v>1.6279678521947785</c:v>
                </c:pt>
                <c:pt idx="542">
                  <c:v>1.628636091631827</c:v>
                </c:pt>
                <c:pt idx="543">
                  <c:v>1.6293043310688755</c:v>
                </c:pt>
                <c:pt idx="544">
                  <c:v>1.6299725705059238</c:v>
                </c:pt>
                <c:pt idx="545">
                  <c:v>1.6306408099429723</c:v>
                </c:pt>
                <c:pt idx="546">
                  <c:v>1.6313090493800209</c:v>
                </c:pt>
                <c:pt idx="547">
                  <c:v>1.6319772888170694</c:v>
                </c:pt>
                <c:pt idx="548">
                  <c:v>1.6326455282541179</c:v>
                </c:pt>
                <c:pt idx="549">
                  <c:v>1.6333137676911664</c:v>
                </c:pt>
                <c:pt idx="550">
                  <c:v>1.633982007128215</c:v>
                </c:pt>
                <c:pt idx="551">
                  <c:v>1.6346502465652635</c:v>
                </c:pt>
                <c:pt idx="552">
                  <c:v>1.635318486002312</c:v>
                </c:pt>
                <c:pt idx="553">
                  <c:v>1.6359867254393605</c:v>
                </c:pt>
                <c:pt idx="554">
                  <c:v>1.636654964876409</c:v>
                </c:pt>
                <c:pt idx="555">
                  <c:v>1.6373232043134576</c:v>
                </c:pt>
                <c:pt idx="556">
                  <c:v>1.6379914437505059</c:v>
                </c:pt>
                <c:pt idx="557">
                  <c:v>1.6386596831875544</c:v>
                </c:pt>
                <c:pt idx="558">
                  <c:v>1.6393279226246029</c:v>
                </c:pt>
                <c:pt idx="559">
                  <c:v>1.6399961620616514</c:v>
                </c:pt>
                <c:pt idx="560">
                  <c:v>1.6406644014987</c:v>
                </c:pt>
                <c:pt idx="561">
                  <c:v>1.6413326409357485</c:v>
                </c:pt>
                <c:pt idx="562">
                  <c:v>1.642000880372797</c:v>
                </c:pt>
                <c:pt idx="563">
                  <c:v>1.6426691198098453</c:v>
                </c:pt>
                <c:pt idx="564">
                  <c:v>1.6433373592468938</c:v>
                </c:pt>
                <c:pt idx="565">
                  <c:v>1.6440055986839424</c:v>
                </c:pt>
                <c:pt idx="566">
                  <c:v>1.6446738381209909</c:v>
                </c:pt>
                <c:pt idx="567">
                  <c:v>1.6453420775580394</c:v>
                </c:pt>
                <c:pt idx="568">
                  <c:v>1.6460103169950879</c:v>
                </c:pt>
                <c:pt idx="569">
                  <c:v>1.6466785564321365</c:v>
                </c:pt>
                <c:pt idx="570">
                  <c:v>1.647346795869185</c:v>
                </c:pt>
                <c:pt idx="571">
                  <c:v>1.6480150353062335</c:v>
                </c:pt>
                <c:pt idx="572">
                  <c:v>1.648683274743282</c:v>
                </c:pt>
                <c:pt idx="573">
                  <c:v>1.6493515141803305</c:v>
                </c:pt>
                <c:pt idx="574">
                  <c:v>1.6500197536173791</c:v>
                </c:pt>
                <c:pt idx="575">
                  <c:v>1.6506879930544274</c:v>
                </c:pt>
                <c:pt idx="576">
                  <c:v>1.6513562324914759</c:v>
                </c:pt>
                <c:pt idx="577">
                  <c:v>1.6520244719285244</c:v>
                </c:pt>
                <c:pt idx="578">
                  <c:v>1.6526927113655729</c:v>
                </c:pt>
                <c:pt idx="579">
                  <c:v>1.6533609508026215</c:v>
                </c:pt>
                <c:pt idx="580">
                  <c:v>1.65402919023967</c:v>
                </c:pt>
                <c:pt idx="581">
                  <c:v>1.6546974296767185</c:v>
                </c:pt>
                <c:pt idx="582">
                  <c:v>1.6553656691137668</c:v>
                </c:pt>
                <c:pt idx="583">
                  <c:v>1.6560339085508153</c:v>
                </c:pt>
                <c:pt idx="584">
                  <c:v>1.6567021479878639</c:v>
                </c:pt>
                <c:pt idx="585">
                  <c:v>1.6573703874249124</c:v>
                </c:pt>
                <c:pt idx="586">
                  <c:v>1.6580386268619609</c:v>
                </c:pt>
                <c:pt idx="587">
                  <c:v>1.6587068662990094</c:v>
                </c:pt>
                <c:pt idx="588">
                  <c:v>1.659375105736058</c:v>
                </c:pt>
                <c:pt idx="589">
                  <c:v>1.6600433451731065</c:v>
                </c:pt>
                <c:pt idx="590">
                  <c:v>1.660711584610155</c:v>
                </c:pt>
                <c:pt idx="591">
                  <c:v>1.6613798240472035</c:v>
                </c:pt>
                <c:pt idx="592">
                  <c:v>1.662048063484252</c:v>
                </c:pt>
                <c:pt idx="593">
                  <c:v>1.6627163029213006</c:v>
                </c:pt>
                <c:pt idx="594">
                  <c:v>1.6633845423583489</c:v>
                </c:pt>
                <c:pt idx="595">
                  <c:v>1.6640527817953974</c:v>
                </c:pt>
                <c:pt idx="596">
                  <c:v>1.6647210212324459</c:v>
                </c:pt>
                <c:pt idx="597">
                  <c:v>1.6653892606694944</c:v>
                </c:pt>
                <c:pt idx="598">
                  <c:v>1.666057500106543</c:v>
                </c:pt>
                <c:pt idx="599">
                  <c:v>1.6667257395435915</c:v>
                </c:pt>
                <c:pt idx="600">
                  <c:v>1.66739397898064</c:v>
                </c:pt>
                <c:pt idx="601">
                  <c:v>1.6680622184176883</c:v>
                </c:pt>
                <c:pt idx="602">
                  <c:v>1.6687304578547368</c:v>
                </c:pt>
                <c:pt idx="603">
                  <c:v>1.6693986972917854</c:v>
                </c:pt>
                <c:pt idx="604">
                  <c:v>1.6700669367288339</c:v>
                </c:pt>
                <c:pt idx="605">
                  <c:v>1.6707351761658824</c:v>
                </c:pt>
                <c:pt idx="606">
                  <c:v>1.6714034156029309</c:v>
                </c:pt>
                <c:pt idx="607">
                  <c:v>1.6720716550399795</c:v>
                </c:pt>
                <c:pt idx="608">
                  <c:v>1.672739894477028</c:v>
                </c:pt>
                <c:pt idx="609">
                  <c:v>1.6734081339140765</c:v>
                </c:pt>
                <c:pt idx="610">
                  <c:v>1.674076373351125</c:v>
                </c:pt>
                <c:pt idx="611">
                  <c:v>1.6747446127881735</c:v>
                </c:pt>
                <c:pt idx="612">
                  <c:v>1.6754128522252221</c:v>
                </c:pt>
                <c:pt idx="613">
                  <c:v>1.6760810916622704</c:v>
                </c:pt>
                <c:pt idx="614">
                  <c:v>1.6767493310993189</c:v>
                </c:pt>
                <c:pt idx="615">
                  <c:v>1.6774175705363674</c:v>
                </c:pt>
                <c:pt idx="616">
                  <c:v>1.6780858099734159</c:v>
                </c:pt>
                <c:pt idx="617">
                  <c:v>1.6787540494104645</c:v>
                </c:pt>
                <c:pt idx="618">
                  <c:v>1.679422288847513</c:v>
                </c:pt>
                <c:pt idx="619">
                  <c:v>1.6800905282845615</c:v>
                </c:pt>
                <c:pt idx="620">
                  <c:v>1.6807587677216098</c:v>
                </c:pt>
                <c:pt idx="621">
                  <c:v>1.6814270071586583</c:v>
                </c:pt>
                <c:pt idx="622">
                  <c:v>1.6820952465957069</c:v>
                </c:pt>
                <c:pt idx="623">
                  <c:v>1.6827634860327554</c:v>
                </c:pt>
                <c:pt idx="624">
                  <c:v>1.6834317254698039</c:v>
                </c:pt>
                <c:pt idx="625">
                  <c:v>1.6840999649068524</c:v>
                </c:pt>
                <c:pt idx="626">
                  <c:v>1.684768204343901</c:v>
                </c:pt>
                <c:pt idx="627">
                  <c:v>1.6854364437809495</c:v>
                </c:pt>
                <c:pt idx="628">
                  <c:v>1.686104683217998</c:v>
                </c:pt>
                <c:pt idx="629">
                  <c:v>1.6867729226550465</c:v>
                </c:pt>
                <c:pt idx="630">
                  <c:v>1.687441162092095</c:v>
                </c:pt>
                <c:pt idx="631">
                  <c:v>1.6881094015291436</c:v>
                </c:pt>
                <c:pt idx="632">
                  <c:v>1.6887776409661919</c:v>
                </c:pt>
                <c:pt idx="633">
                  <c:v>1.6894458804032404</c:v>
                </c:pt>
                <c:pt idx="634">
                  <c:v>1.6901141198402889</c:v>
                </c:pt>
                <c:pt idx="635">
                  <c:v>1.6907823592773374</c:v>
                </c:pt>
                <c:pt idx="636">
                  <c:v>1.691450598714386</c:v>
                </c:pt>
                <c:pt idx="637">
                  <c:v>1.6921188381514345</c:v>
                </c:pt>
                <c:pt idx="638">
                  <c:v>1.692787077588483</c:v>
                </c:pt>
                <c:pt idx="639">
                  <c:v>1.6934553170255313</c:v>
                </c:pt>
                <c:pt idx="640">
                  <c:v>1.6941235564625798</c:v>
                </c:pt>
                <c:pt idx="641">
                  <c:v>1.6947917958996284</c:v>
                </c:pt>
                <c:pt idx="642">
                  <c:v>1.6954600353366769</c:v>
                </c:pt>
                <c:pt idx="643">
                  <c:v>1.6961282747737254</c:v>
                </c:pt>
                <c:pt idx="644">
                  <c:v>1.6967965142107739</c:v>
                </c:pt>
                <c:pt idx="645">
                  <c:v>1.6974647536478225</c:v>
                </c:pt>
                <c:pt idx="646">
                  <c:v>1.698132993084871</c:v>
                </c:pt>
                <c:pt idx="647">
                  <c:v>1.6988012325219195</c:v>
                </c:pt>
                <c:pt idx="648">
                  <c:v>1.699469471958968</c:v>
                </c:pt>
                <c:pt idx="649">
                  <c:v>1.7001377113960165</c:v>
                </c:pt>
                <c:pt idx="650">
                  <c:v>1.7008059508330651</c:v>
                </c:pt>
                <c:pt idx="651">
                  <c:v>1.7014741902701134</c:v>
                </c:pt>
                <c:pt idx="652">
                  <c:v>1.7021424297071619</c:v>
                </c:pt>
                <c:pt idx="653">
                  <c:v>1.7028106691442104</c:v>
                </c:pt>
                <c:pt idx="654">
                  <c:v>1.7034789085812589</c:v>
                </c:pt>
                <c:pt idx="655">
                  <c:v>1.7041471480183075</c:v>
                </c:pt>
                <c:pt idx="656">
                  <c:v>1.704815387455356</c:v>
                </c:pt>
                <c:pt idx="657">
                  <c:v>1.7054836268924045</c:v>
                </c:pt>
                <c:pt idx="658">
                  <c:v>1.7061518663294528</c:v>
                </c:pt>
                <c:pt idx="659">
                  <c:v>1.7068201057665013</c:v>
                </c:pt>
                <c:pt idx="660">
                  <c:v>1.7074883452035499</c:v>
                </c:pt>
                <c:pt idx="661">
                  <c:v>1.7081565846405984</c:v>
                </c:pt>
                <c:pt idx="662">
                  <c:v>1.7088248240776469</c:v>
                </c:pt>
                <c:pt idx="663">
                  <c:v>1.7094930635146954</c:v>
                </c:pt>
                <c:pt idx="664">
                  <c:v>1.710161302951744</c:v>
                </c:pt>
                <c:pt idx="665">
                  <c:v>1.7108295423887925</c:v>
                </c:pt>
                <c:pt idx="666">
                  <c:v>1.711497781825841</c:v>
                </c:pt>
                <c:pt idx="667">
                  <c:v>1.7121660212628895</c:v>
                </c:pt>
                <c:pt idx="668">
                  <c:v>1.712834260699938</c:v>
                </c:pt>
                <c:pt idx="669">
                  <c:v>1.7135025001369866</c:v>
                </c:pt>
                <c:pt idx="670">
                  <c:v>1.7141707395740349</c:v>
                </c:pt>
                <c:pt idx="671">
                  <c:v>1.7148389790110834</c:v>
                </c:pt>
                <c:pt idx="672">
                  <c:v>1.7155072184481319</c:v>
                </c:pt>
                <c:pt idx="673">
                  <c:v>1.7161754578851804</c:v>
                </c:pt>
                <c:pt idx="674">
                  <c:v>1.716843697322229</c:v>
                </c:pt>
                <c:pt idx="675">
                  <c:v>1.7175119367592775</c:v>
                </c:pt>
                <c:pt idx="676">
                  <c:v>1.718180176196326</c:v>
                </c:pt>
                <c:pt idx="677">
                  <c:v>1.7188484156333743</c:v>
                </c:pt>
                <c:pt idx="678">
                  <c:v>1.7195166550704228</c:v>
                </c:pt>
                <c:pt idx="679">
                  <c:v>1.7201848945074714</c:v>
                </c:pt>
                <c:pt idx="680">
                  <c:v>1.7208531339445199</c:v>
                </c:pt>
                <c:pt idx="681">
                  <c:v>1.7215213733815684</c:v>
                </c:pt>
                <c:pt idx="682">
                  <c:v>1.7221896128186169</c:v>
                </c:pt>
                <c:pt idx="683">
                  <c:v>1.7228578522556655</c:v>
                </c:pt>
                <c:pt idx="684">
                  <c:v>1.723526091692714</c:v>
                </c:pt>
                <c:pt idx="685">
                  <c:v>1.7241943311297625</c:v>
                </c:pt>
                <c:pt idx="686">
                  <c:v>1.724862570566811</c:v>
                </c:pt>
                <c:pt idx="687">
                  <c:v>1.7255308100038595</c:v>
                </c:pt>
                <c:pt idx="688">
                  <c:v>1.7261990494409081</c:v>
                </c:pt>
                <c:pt idx="689">
                  <c:v>1.7268672888779564</c:v>
                </c:pt>
                <c:pt idx="690">
                  <c:v>1.7275355283150049</c:v>
                </c:pt>
                <c:pt idx="691">
                  <c:v>1.7282037677520534</c:v>
                </c:pt>
                <c:pt idx="692">
                  <c:v>1.7288720071891019</c:v>
                </c:pt>
                <c:pt idx="693">
                  <c:v>1.7295402466261505</c:v>
                </c:pt>
                <c:pt idx="694">
                  <c:v>1.730208486063199</c:v>
                </c:pt>
                <c:pt idx="695">
                  <c:v>1.7308767255002475</c:v>
                </c:pt>
                <c:pt idx="696">
                  <c:v>1.7315449649372958</c:v>
                </c:pt>
                <c:pt idx="697">
                  <c:v>1.7322132043743443</c:v>
                </c:pt>
                <c:pt idx="698">
                  <c:v>1.7328814438113929</c:v>
                </c:pt>
                <c:pt idx="699">
                  <c:v>1.7335496832484414</c:v>
                </c:pt>
              </c:numCache>
            </c:numRef>
          </c:xVal>
          <c:yVal>
            <c:numRef>
              <c:f>Sheet5_HID!ydata3</c:f>
              <c:numCache>
                <c:formatCode>General</c:formatCode>
                <c:ptCount val="700"/>
                <c:pt idx="0">
                  <c:v>1.26645031675154</c:v>
                </c:pt>
                <c:pt idx="1">
                  <c:v>1.73354968324846</c:v>
                </c:pt>
                <c:pt idx="2">
                  <c:v>1.26645031675154</c:v>
                </c:pt>
                <c:pt idx="3">
                  <c:v>1.73354968324846</c:v>
                </c:pt>
                <c:pt idx="4">
                  <c:v>1.26645031675154</c:v>
                </c:pt>
                <c:pt idx="5">
                  <c:v>1.73354968324846</c:v>
                </c:pt>
                <c:pt idx="6">
                  <c:v>1.26645031675154</c:v>
                </c:pt>
                <c:pt idx="7">
                  <c:v>1.73354968324846</c:v>
                </c:pt>
                <c:pt idx="8">
                  <c:v>1.26645031675154</c:v>
                </c:pt>
                <c:pt idx="9">
                  <c:v>1.73354968324846</c:v>
                </c:pt>
                <c:pt idx="10">
                  <c:v>1.26645031675154</c:v>
                </c:pt>
                <c:pt idx="11">
                  <c:v>1.73354968324846</c:v>
                </c:pt>
                <c:pt idx="12">
                  <c:v>1.26645031675154</c:v>
                </c:pt>
                <c:pt idx="13">
                  <c:v>1.73354968324846</c:v>
                </c:pt>
                <c:pt idx="14">
                  <c:v>1.26645031675154</c:v>
                </c:pt>
                <c:pt idx="15">
                  <c:v>1.73354968324846</c:v>
                </c:pt>
                <c:pt idx="16">
                  <c:v>1.26645031675154</c:v>
                </c:pt>
                <c:pt idx="17">
                  <c:v>1.73354968324846</c:v>
                </c:pt>
                <c:pt idx="18">
                  <c:v>1.26645031675154</c:v>
                </c:pt>
                <c:pt idx="19">
                  <c:v>1.73354968324846</c:v>
                </c:pt>
                <c:pt idx="20">
                  <c:v>1.26645031675154</c:v>
                </c:pt>
                <c:pt idx="21">
                  <c:v>1.73354968324846</c:v>
                </c:pt>
                <c:pt idx="22">
                  <c:v>1.26645031675154</c:v>
                </c:pt>
                <c:pt idx="23">
                  <c:v>1.73354968324846</c:v>
                </c:pt>
                <c:pt idx="24">
                  <c:v>1.26645031675154</c:v>
                </c:pt>
                <c:pt idx="25">
                  <c:v>1.73354968324846</c:v>
                </c:pt>
                <c:pt idx="26">
                  <c:v>1.26645031675154</c:v>
                </c:pt>
                <c:pt idx="27">
                  <c:v>1.73354968324846</c:v>
                </c:pt>
                <c:pt idx="28">
                  <c:v>1.26645031675154</c:v>
                </c:pt>
                <c:pt idx="29">
                  <c:v>1.73354968324846</c:v>
                </c:pt>
                <c:pt idx="30">
                  <c:v>1.26645031675154</c:v>
                </c:pt>
                <c:pt idx="31">
                  <c:v>1.73354968324846</c:v>
                </c:pt>
                <c:pt idx="32">
                  <c:v>1.26645031675154</c:v>
                </c:pt>
                <c:pt idx="33">
                  <c:v>1.73354968324846</c:v>
                </c:pt>
                <c:pt idx="34">
                  <c:v>1.26645031675154</c:v>
                </c:pt>
                <c:pt idx="35">
                  <c:v>1.73354968324846</c:v>
                </c:pt>
                <c:pt idx="36">
                  <c:v>1.26645031675154</c:v>
                </c:pt>
                <c:pt idx="37">
                  <c:v>1.73354968324846</c:v>
                </c:pt>
                <c:pt idx="38">
                  <c:v>1.26645031675154</c:v>
                </c:pt>
                <c:pt idx="39">
                  <c:v>1.73354968324846</c:v>
                </c:pt>
                <c:pt idx="40">
                  <c:v>1.26645031675154</c:v>
                </c:pt>
                <c:pt idx="41">
                  <c:v>1.73354968324846</c:v>
                </c:pt>
                <c:pt idx="42">
                  <c:v>1.26645031675154</c:v>
                </c:pt>
                <c:pt idx="43">
                  <c:v>1.73354968324846</c:v>
                </c:pt>
                <c:pt idx="44">
                  <c:v>1.26645031675154</c:v>
                </c:pt>
                <c:pt idx="45">
                  <c:v>1.73354968324846</c:v>
                </c:pt>
                <c:pt idx="46">
                  <c:v>1.26645031675154</c:v>
                </c:pt>
                <c:pt idx="47">
                  <c:v>1.73354968324846</c:v>
                </c:pt>
                <c:pt idx="48">
                  <c:v>1.26645031675154</c:v>
                </c:pt>
                <c:pt idx="49">
                  <c:v>1.73354968324846</c:v>
                </c:pt>
                <c:pt idx="50">
                  <c:v>1.26645031675154</c:v>
                </c:pt>
                <c:pt idx="51">
                  <c:v>1.73354968324846</c:v>
                </c:pt>
                <c:pt idx="52">
                  <c:v>1.26645031675154</c:v>
                </c:pt>
                <c:pt idx="53">
                  <c:v>1.73354968324846</c:v>
                </c:pt>
                <c:pt idx="54">
                  <c:v>1.26645031675154</c:v>
                </c:pt>
                <c:pt idx="55">
                  <c:v>1.73354968324846</c:v>
                </c:pt>
                <c:pt idx="56">
                  <c:v>1.26645031675154</c:v>
                </c:pt>
                <c:pt idx="57">
                  <c:v>1.73354968324846</c:v>
                </c:pt>
                <c:pt idx="58">
                  <c:v>1.26645031675154</c:v>
                </c:pt>
                <c:pt idx="59">
                  <c:v>1.73354968324846</c:v>
                </c:pt>
                <c:pt idx="60">
                  <c:v>1.26645031675154</c:v>
                </c:pt>
                <c:pt idx="61">
                  <c:v>1.73354968324846</c:v>
                </c:pt>
                <c:pt idx="62">
                  <c:v>1.26645031675154</c:v>
                </c:pt>
                <c:pt idx="63">
                  <c:v>1.73354968324846</c:v>
                </c:pt>
                <c:pt idx="64">
                  <c:v>1.26645031675154</c:v>
                </c:pt>
                <c:pt idx="65">
                  <c:v>1.73354968324846</c:v>
                </c:pt>
                <c:pt idx="66">
                  <c:v>1.26645031675154</c:v>
                </c:pt>
                <c:pt idx="67">
                  <c:v>1.73354968324846</c:v>
                </c:pt>
                <c:pt idx="68">
                  <c:v>1.26645031675154</c:v>
                </c:pt>
                <c:pt idx="69">
                  <c:v>1.73354968324846</c:v>
                </c:pt>
                <c:pt idx="70">
                  <c:v>1.26645031675154</c:v>
                </c:pt>
                <c:pt idx="71">
                  <c:v>1.73354968324846</c:v>
                </c:pt>
                <c:pt idx="72">
                  <c:v>1.26645031675154</c:v>
                </c:pt>
                <c:pt idx="73">
                  <c:v>1.73354968324846</c:v>
                </c:pt>
                <c:pt idx="74">
                  <c:v>1.26645031675154</c:v>
                </c:pt>
                <c:pt idx="75">
                  <c:v>1.73354968324846</c:v>
                </c:pt>
                <c:pt idx="76">
                  <c:v>1.26645031675154</c:v>
                </c:pt>
                <c:pt idx="77">
                  <c:v>1.73354968324846</c:v>
                </c:pt>
                <c:pt idx="78">
                  <c:v>1.26645031675154</c:v>
                </c:pt>
                <c:pt idx="79">
                  <c:v>1.73354968324846</c:v>
                </c:pt>
                <c:pt idx="80">
                  <c:v>1.26645031675154</c:v>
                </c:pt>
                <c:pt idx="81">
                  <c:v>1.73354968324846</c:v>
                </c:pt>
                <c:pt idx="82">
                  <c:v>1.26645031675154</c:v>
                </c:pt>
                <c:pt idx="83">
                  <c:v>1.73354968324846</c:v>
                </c:pt>
                <c:pt idx="84">
                  <c:v>1.26645031675154</c:v>
                </c:pt>
                <c:pt idx="85">
                  <c:v>1.73354968324846</c:v>
                </c:pt>
                <c:pt idx="86">
                  <c:v>1.26645031675154</c:v>
                </c:pt>
                <c:pt idx="87">
                  <c:v>1.73354968324846</c:v>
                </c:pt>
                <c:pt idx="88">
                  <c:v>1.26645031675154</c:v>
                </c:pt>
                <c:pt idx="89">
                  <c:v>1.73354968324846</c:v>
                </c:pt>
                <c:pt idx="90">
                  <c:v>1.26645031675154</c:v>
                </c:pt>
                <c:pt idx="91">
                  <c:v>1.73354968324846</c:v>
                </c:pt>
                <c:pt idx="92">
                  <c:v>1.26645031675154</c:v>
                </c:pt>
                <c:pt idx="93">
                  <c:v>1.73354968324846</c:v>
                </c:pt>
                <c:pt idx="94">
                  <c:v>1.26645031675154</c:v>
                </c:pt>
                <c:pt idx="95">
                  <c:v>1.73354968324846</c:v>
                </c:pt>
                <c:pt idx="96">
                  <c:v>1.26645031675154</c:v>
                </c:pt>
                <c:pt idx="97">
                  <c:v>1.73354968324846</c:v>
                </c:pt>
                <c:pt idx="98">
                  <c:v>1.26645031675154</c:v>
                </c:pt>
                <c:pt idx="99">
                  <c:v>1.73354968324846</c:v>
                </c:pt>
                <c:pt idx="100">
                  <c:v>1.26645031675154</c:v>
                </c:pt>
                <c:pt idx="101">
                  <c:v>1.73354968324846</c:v>
                </c:pt>
                <c:pt idx="102">
                  <c:v>1.26645031675154</c:v>
                </c:pt>
                <c:pt idx="103">
                  <c:v>1.73354968324846</c:v>
                </c:pt>
                <c:pt idx="104">
                  <c:v>1.26645031675154</c:v>
                </c:pt>
                <c:pt idx="105">
                  <c:v>1.73354968324846</c:v>
                </c:pt>
                <c:pt idx="106">
                  <c:v>1.26645031675154</c:v>
                </c:pt>
                <c:pt idx="107">
                  <c:v>1.73354968324846</c:v>
                </c:pt>
                <c:pt idx="108">
                  <c:v>1.26645031675154</c:v>
                </c:pt>
                <c:pt idx="109">
                  <c:v>1.73354968324846</c:v>
                </c:pt>
                <c:pt idx="110">
                  <c:v>1.26645031675154</c:v>
                </c:pt>
                <c:pt idx="111">
                  <c:v>1.73354968324846</c:v>
                </c:pt>
                <c:pt idx="112">
                  <c:v>1.26645031675154</c:v>
                </c:pt>
                <c:pt idx="113">
                  <c:v>1.73354968324846</c:v>
                </c:pt>
                <c:pt idx="114">
                  <c:v>1.26645031675154</c:v>
                </c:pt>
                <c:pt idx="115">
                  <c:v>1.73354968324846</c:v>
                </c:pt>
                <c:pt idx="116">
                  <c:v>1.26645031675154</c:v>
                </c:pt>
                <c:pt idx="117">
                  <c:v>1.73354968324846</c:v>
                </c:pt>
                <c:pt idx="118">
                  <c:v>1.26645031675154</c:v>
                </c:pt>
                <c:pt idx="119">
                  <c:v>1.73354968324846</c:v>
                </c:pt>
                <c:pt idx="120">
                  <c:v>1.26645031675154</c:v>
                </c:pt>
                <c:pt idx="121">
                  <c:v>1.73354968324846</c:v>
                </c:pt>
                <c:pt idx="122">
                  <c:v>1.26645031675154</c:v>
                </c:pt>
                <c:pt idx="123">
                  <c:v>1.73354968324846</c:v>
                </c:pt>
                <c:pt idx="124">
                  <c:v>1.26645031675154</c:v>
                </c:pt>
                <c:pt idx="125">
                  <c:v>1.73354968324846</c:v>
                </c:pt>
                <c:pt idx="126">
                  <c:v>1.26645031675154</c:v>
                </c:pt>
                <c:pt idx="127">
                  <c:v>1.73354968324846</c:v>
                </c:pt>
                <c:pt idx="128">
                  <c:v>1.26645031675154</c:v>
                </c:pt>
                <c:pt idx="129">
                  <c:v>1.73354968324846</c:v>
                </c:pt>
                <c:pt idx="130">
                  <c:v>1.26645031675154</c:v>
                </c:pt>
                <c:pt idx="131">
                  <c:v>1.73354968324846</c:v>
                </c:pt>
                <c:pt idx="132">
                  <c:v>1.26645031675154</c:v>
                </c:pt>
                <c:pt idx="133">
                  <c:v>1.73354968324846</c:v>
                </c:pt>
                <c:pt idx="134">
                  <c:v>1.26645031675154</c:v>
                </c:pt>
                <c:pt idx="135">
                  <c:v>1.73354968324846</c:v>
                </c:pt>
                <c:pt idx="136">
                  <c:v>1.26645031675154</c:v>
                </c:pt>
                <c:pt idx="137">
                  <c:v>1.73354968324846</c:v>
                </c:pt>
                <c:pt idx="138">
                  <c:v>1.26645031675154</c:v>
                </c:pt>
                <c:pt idx="139">
                  <c:v>1.73354968324846</c:v>
                </c:pt>
                <c:pt idx="140">
                  <c:v>1.26645031675154</c:v>
                </c:pt>
                <c:pt idx="141">
                  <c:v>1.73354968324846</c:v>
                </c:pt>
                <c:pt idx="142">
                  <c:v>1.26645031675154</c:v>
                </c:pt>
                <c:pt idx="143">
                  <c:v>1.73354968324846</c:v>
                </c:pt>
                <c:pt idx="144">
                  <c:v>1.26645031675154</c:v>
                </c:pt>
                <c:pt idx="145">
                  <c:v>1.73354968324846</c:v>
                </c:pt>
                <c:pt idx="146">
                  <c:v>1.26645031675154</c:v>
                </c:pt>
                <c:pt idx="147">
                  <c:v>1.73354968324846</c:v>
                </c:pt>
                <c:pt idx="148">
                  <c:v>1.26645031675154</c:v>
                </c:pt>
                <c:pt idx="149">
                  <c:v>1.73354968324846</c:v>
                </c:pt>
                <c:pt idx="150">
                  <c:v>1.26645031675154</c:v>
                </c:pt>
                <c:pt idx="151">
                  <c:v>1.73354968324846</c:v>
                </c:pt>
                <c:pt idx="152">
                  <c:v>1.26645031675154</c:v>
                </c:pt>
                <c:pt idx="153">
                  <c:v>1.73354968324846</c:v>
                </c:pt>
                <c:pt idx="154">
                  <c:v>1.26645031675154</c:v>
                </c:pt>
                <c:pt idx="155">
                  <c:v>1.73354968324846</c:v>
                </c:pt>
                <c:pt idx="156">
                  <c:v>1.26645031675154</c:v>
                </c:pt>
                <c:pt idx="157">
                  <c:v>1.73354968324846</c:v>
                </c:pt>
                <c:pt idx="158">
                  <c:v>1.26645031675154</c:v>
                </c:pt>
                <c:pt idx="159">
                  <c:v>1.73354968324846</c:v>
                </c:pt>
                <c:pt idx="160">
                  <c:v>1.26645031675154</c:v>
                </c:pt>
                <c:pt idx="161">
                  <c:v>1.73354968324846</c:v>
                </c:pt>
                <c:pt idx="162">
                  <c:v>1.26645031675154</c:v>
                </c:pt>
                <c:pt idx="163">
                  <c:v>1.73354968324846</c:v>
                </c:pt>
                <c:pt idx="164">
                  <c:v>1.26645031675154</c:v>
                </c:pt>
                <c:pt idx="165">
                  <c:v>1.73354968324846</c:v>
                </c:pt>
                <c:pt idx="166">
                  <c:v>1.26645031675154</c:v>
                </c:pt>
                <c:pt idx="167">
                  <c:v>1.73354968324846</c:v>
                </c:pt>
                <c:pt idx="168">
                  <c:v>1.26645031675154</c:v>
                </c:pt>
                <c:pt idx="169">
                  <c:v>1.73354968324846</c:v>
                </c:pt>
                <c:pt idx="170">
                  <c:v>1.26645031675154</c:v>
                </c:pt>
                <c:pt idx="171">
                  <c:v>1.73354968324846</c:v>
                </c:pt>
                <c:pt idx="172">
                  <c:v>1.26645031675154</c:v>
                </c:pt>
                <c:pt idx="173">
                  <c:v>1.73354968324846</c:v>
                </c:pt>
                <c:pt idx="174">
                  <c:v>1.26645031675154</c:v>
                </c:pt>
                <c:pt idx="175">
                  <c:v>1.73354968324846</c:v>
                </c:pt>
                <c:pt idx="176">
                  <c:v>1.26645031675154</c:v>
                </c:pt>
                <c:pt idx="177">
                  <c:v>1.73354968324846</c:v>
                </c:pt>
                <c:pt idx="178">
                  <c:v>1.26645031675154</c:v>
                </c:pt>
                <c:pt idx="179">
                  <c:v>1.73354968324846</c:v>
                </c:pt>
                <c:pt idx="180">
                  <c:v>1.26645031675154</c:v>
                </c:pt>
                <c:pt idx="181">
                  <c:v>1.73354968324846</c:v>
                </c:pt>
                <c:pt idx="182">
                  <c:v>1.26645031675154</c:v>
                </c:pt>
                <c:pt idx="183">
                  <c:v>1.73354968324846</c:v>
                </c:pt>
                <c:pt idx="184">
                  <c:v>1.26645031675154</c:v>
                </c:pt>
                <c:pt idx="185">
                  <c:v>1.73354968324846</c:v>
                </c:pt>
                <c:pt idx="186">
                  <c:v>1.26645031675154</c:v>
                </c:pt>
                <c:pt idx="187">
                  <c:v>1.73354968324846</c:v>
                </c:pt>
                <c:pt idx="188">
                  <c:v>1.26645031675154</c:v>
                </c:pt>
                <c:pt idx="189">
                  <c:v>1.73354968324846</c:v>
                </c:pt>
                <c:pt idx="190">
                  <c:v>1.26645031675154</c:v>
                </c:pt>
                <c:pt idx="191">
                  <c:v>1.73354968324846</c:v>
                </c:pt>
                <c:pt idx="192">
                  <c:v>1.26645031675154</c:v>
                </c:pt>
                <c:pt idx="193">
                  <c:v>1.73354968324846</c:v>
                </c:pt>
                <c:pt idx="194">
                  <c:v>1.26645031675154</c:v>
                </c:pt>
                <c:pt idx="195">
                  <c:v>1.73354968324846</c:v>
                </c:pt>
                <c:pt idx="196">
                  <c:v>1.26645031675154</c:v>
                </c:pt>
                <c:pt idx="197">
                  <c:v>1.73354968324846</c:v>
                </c:pt>
                <c:pt idx="198">
                  <c:v>1.26645031675154</c:v>
                </c:pt>
                <c:pt idx="199">
                  <c:v>1.73354968324846</c:v>
                </c:pt>
                <c:pt idx="200">
                  <c:v>1.26645031675154</c:v>
                </c:pt>
                <c:pt idx="201">
                  <c:v>1.73354968324846</c:v>
                </c:pt>
                <c:pt idx="202">
                  <c:v>1.26645031675154</c:v>
                </c:pt>
                <c:pt idx="203">
                  <c:v>1.73354968324846</c:v>
                </c:pt>
                <c:pt idx="204">
                  <c:v>1.26645031675154</c:v>
                </c:pt>
                <c:pt idx="205">
                  <c:v>1.73354968324846</c:v>
                </c:pt>
                <c:pt idx="206">
                  <c:v>1.26645031675154</c:v>
                </c:pt>
                <c:pt idx="207">
                  <c:v>1.73354968324846</c:v>
                </c:pt>
                <c:pt idx="208">
                  <c:v>1.26645031675154</c:v>
                </c:pt>
                <c:pt idx="209">
                  <c:v>1.73354968324846</c:v>
                </c:pt>
                <c:pt idx="210">
                  <c:v>1.26645031675154</c:v>
                </c:pt>
                <c:pt idx="211">
                  <c:v>1.73354968324846</c:v>
                </c:pt>
                <c:pt idx="212">
                  <c:v>1.26645031675154</c:v>
                </c:pt>
                <c:pt idx="213">
                  <c:v>1.73354968324846</c:v>
                </c:pt>
                <c:pt idx="214">
                  <c:v>1.26645031675154</c:v>
                </c:pt>
                <c:pt idx="215">
                  <c:v>1.73354968324846</c:v>
                </c:pt>
                <c:pt idx="216">
                  <c:v>1.26645031675154</c:v>
                </c:pt>
                <c:pt idx="217">
                  <c:v>1.73354968324846</c:v>
                </c:pt>
                <c:pt idx="218">
                  <c:v>1.26645031675154</c:v>
                </c:pt>
                <c:pt idx="219">
                  <c:v>1.73354968324846</c:v>
                </c:pt>
                <c:pt idx="220">
                  <c:v>1.26645031675154</c:v>
                </c:pt>
                <c:pt idx="221">
                  <c:v>1.73354968324846</c:v>
                </c:pt>
                <c:pt idx="222">
                  <c:v>1.26645031675154</c:v>
                </c:pt>
                <c:pt idx="223">
                  <c:v>1.73354968324846</c:v>
                </c:pt>
                <c:pt idx="224">
                  <c:v>1.26645031675154</c:v>
                </c:pt>
                <c:pt idx="225">
                  <c:v>1.73354968324846</c:v>
                </c:pt>
                <c:pt idx="226">
                  <c:v>1.26645031675154</c:v>
                </c:pt>
                <c:pt idx="227">
                  <c:v>1.73354968324846</c:v>
                </c:pt>
                <c:pt idx="228">
                  <c:v>1.26645031675154</c:v>
                </c:pt>
                <c:pt idx="229">
                  <c:v>1.73354968324846</c:v>
                </c:pt>
                <c:pt idx="230">
                  <c:v>1.26645031675154</c:v>
                </c:pt>
                <c:pt idx="231">
                  <c:v>1.73354968324846</c:v>
                </c:pt>
                <c:pt idx="232">
                  <c:v>1.26645031675154</c:v>
                </c:pt>
                <c:pt idx="233">
                  <c:v>1.73354968324846</c:v>
                </c:pt>
                <c:pt idx="234">
                  <c:v>1.26645031675154</c:v>
                </c:pt>
                <c:pt idx="235">
                  <c:v>1.73354968324846</c:v>
                </c:pt>
                <c:pt idx="236">
                  <c:v>1.26645031675154</c:v>
                </c:pt>
                <c:pt idx="237">
                  <c:v>1.73354968324846</c:v>
                </c:pt>
                <c:pt idx="238">
                  <c:v>1.26645031675154</c:v>
                </c:pt>
                <c:pt idx="239">
                  <c:v>1.73354968324846</c:v>
                </c:pt>
                <c:pt idx="240">
                  <c:v>1.26645031675154</c:v>
                </c:pt>
                <c:pt idx="241">
                  <c:v>1.73354968324846</c:v>
                </c:pt>
                <c:pt idx="242">
                  <c:v>1.26645031675154</c:v>
                </c:pt>
                <c:pt idx="243">
                  <c:v>1.73354968324846</c:v>
                </c:pt>
                <c:pt idx="244">
                  <c:v>1.26645031675154</c:v>
                </c:pt>
                <c:pt idx="245">
                  <c:v>1.73354968324846</c:v>
                </c:pt>
                <c:pt idx="246">
                  <c:v>1.26645031675154</c:v>
                </c:pt>
                <c:pt idx="247">
                  <c:v>1.73354968324846</c:v>
                </c:pt>
                <c:pt idx="248">
                  <c:v>1.26645031675154</c:v>
                </c:pt>
                <c:pt idx="249">
                  <c:v>1.73354968324846</c:v>
                </c:pt>
                <c:pt idx="250">
                  <c:v>1.26645031675154</c:v>
                </c:pt>
                <c:pt idx="251">
                  <c:v>1.73354968324846</c:v>
                </c:pt>
                <c:pt idx="252">
                  <c:v>1.26645031675154</c:v>
                </c:pt>
                <c:pt idx="253">
                  <c:v>1.73354968324846</c:v>
                </c:pt>
                <c:pt idx="254">
                  <c:v>1.26645031675154</c:v>
                </c:pt>
                <c:pt idx="255">
                  <c:v>1.73354968324846</c:v>
                </c:pt>
                <c:pt idx="256">
                  <c:v>1.26645031675154</c:v>
                </c:pt>
                <c:pt idx="257">
                  <c:v>1.73354968324846</c:v>
                </c:pt>
                <c:pt idx="258">
                  <c:v>1.26645031675154</c:v>
                </c:pt>
                <c:pt idx="259">
                  <c:v>1.73354968324846</c:v>
                </c:pt>
                <c:pt idx="260">
                  <c:v>1.26645031675154</c:v>
                </c:pt>
                <c:pt idx="261">
                  <c:v>1.73354968324846</c:v>
                </c:pt>
                <c:pt idx="262">
                  <c:v>1.26645031675154</c:v>
                </c:pt>
                <c:pt idx="263">
                  <c:v>1.73354968324846</c:v>
                </c:pt>
                <c:pt idx="264">
                  <c:v>1.26645031675154</c:v>
                </c:pt>
                <c:pt idx="265">
                  <c:v>1.73354968324846</c:v>
                </c:pt>
                <c:pt idx="266">
                  <c:v>1.26645031675154</c:v>
                </c:pt>
                <c:pt idx="267">
                  <c:v>1.73354968324846</c:v>
                </c:pt>
                <c:pt idx="268">
                  <c:v>1.26645031675154</c:v>
                </c:pt>
                <c:pt idx="269">
                  <c:v>1.73354968324846</c:v>
                </c:pt>
                <c:pt idx="270">
                  <c:v>1.26645031675154</c:v>
                </c:pt>
                <c:pt idx="271">
                  <c:v>1.73354968324846</c:v>
                </c:pt>
                <c:pt idx="272">
                  <c:v>1.26645031675154</c:v>
                </c:pt>
                <c:pt idx="273">
                  <c:v>1.73354968324846</c:v>
                </c:pt>
                <c:pt idx="274">
                  <c:v>1.26645031675154</c:v>
                </c:pt>
                <c:pt idx="275">
                  <c:v>1.73354968324846</c:v>
                </c:pt>
                <c:pt idx="276">
                  <c:v>1.26645031675154</c:v>
                </c:pt>
                <c:pt idx="277">
                  <c:v>1.73354968324846</c:v>
                </c:pt>
                <c:pt idx="278">
                  <c:v>1.26645031675154</c:v>
                </c:pt>
                <c:pt idx="279">
                  <c:v>1.73354968324846</c:v>
                </c:pt>
                <c:pt idx="280">
                  <c:v>1.26645031675154</c:v>
                </c:pt>
                <c:pt idx="281">
                  <c:v>1.73354968324846</c:v>
                </c:pt>
                <c:pt idx="282">
                  <c:v>1.26645031675154</c:v>
                </c:pt>
                <c:pt idx="283">
                  <c:v>1.73354968324846</c:v>
                </c:pt>
                <c:pt idx="284">
                  <c:v>1.26645031675154</c:v>
                </c:pt>
                <c:pt idx="285">
                  <c:v>1.73354968324846</c:v>
                </c:pt>
                <c:pt idx="286">
                  <c:v>1.26645031675154</c:v>
                </c:pt>
                <c:pt idx="287">
                  <c:v>1.73354968324846</c:v>
                </c:pt>
                <c:pt idx="288">
                  <c:v>1.26645031675154</c:v>
                </c:pt>
                <c:pt idx="289">
                  <c:v>1.73354968324846</c:v>
                </c:pt>
                <c:pt idx="290">
                  <c:v>1.26645031675154</c:v>
                </c:pt>
                <c:pt idx="291">
                  <c:v>1.73354968324846</c:v>
                </c:pt>
                <c:pt idx="292">
                  <c:v>1.26645031675154</c:v>
                </c:pt>
                <c:pt idx="293">
                  <c:v>1.73354968324846</c:v>
                </c:pt>
                <c:pt idx="294">
                  <c:v>1.26645031675154</c:v>
                </c:pt>
                <c:pt idx="295">
                  <c:v>1.73354968324846</c:v>
                </c:pt>
                <c:pt idx="296">
                  <c:v>1.26645031675154</c:v>
                </c:pt>
                <c:pt idx="297">
                  <c:v>1.73354968324846</c:v>
                </c:pt>
                <c:pt idx="298">
                  <c:v>1.26645031675154</c:v>
                </c:pt>
                <c:pt idx="299">
                  <c:v>1.73354968324846</c:v>
                </c:pt>
                <c:pt idx="300">
                  <c:v>1.26645031675154</c:v>
                </c:pt>
                <c:pt idx="301">
                  <c:v>1.73354968324846</c:v>
                </c:pt>
                <c:pt idx="302">
                  <c:v>1.26645031675154</c:v>
                </c:pt>
                <c:pt idx="303">
                  <c:v>1.73354968324846</c:v>
                </c:pt>
                <c:pt idx="304">
                  <c:v>1.26645031675154</c:v>
                </c:pt>
                <c:pt idx="305">
                  <c:v>1.73354968324846</c:v>
                </c:pt>
                <c:pt idx="306">
                  <c:v>1.26645031675154</c:v>
                </c:pt>
                <c:pt idx="307">
                  <c:v>1.73354968324846</c:v>
                </c:pt>
                <c:pt idx="308">
                  <c:v>1.26645031675154</c:v>
                </c:pt>
                <c:pt idx="309">
                  <c:v>1.73354968324846</c:v>
                </c:pt>
                <c:pt idx="310">
                  <c:v>1.26645031675154</c:v>
                </c:pt>
                <c:pt idx="311">
                  <c:v>1.73354968324846</c:v>
                </c:pt>
                <c:pt idx="312">
                  <c:v>1.26645031675154</c:v>
                </c:pt>
                <c:pt idx="313">
                  <c:v>1.73354968324846</c:v>
                </c:pt>
                <c:pt idx="314">
                  <c:v>1.26645031675154</c:v>
                </c:pt>
                <c:pt idx="315">
                  <c:v>1.73354968324846</c:v>
                </c:pt>
                <c:pt idx="316">
                  <c:v>1.26645031675154</c:v>
                </c:pt>
                <c:pt idx="317">
                  <c:v>1.73354968324846</c:v>
                </c:pt>
                <c:pt idx="318">
                  <c:v>1.26645031675154</c:v>
                </c:pt>
                <c:pt idx="319">
                  <c:v>1.73354968324846</c:v>
                </c:pt>
                <c:pt idx="320">
                  <c:v>1.26645031675154</c:v>
                </c:pt>
                <c:pt idx="321">
                  <c:v>1.73354968324846</c:v>
                </c:pt>
                <c:pt idx="322">
                  <c:v>1.26645031675154</c:v>
                </c:pt>
                <c:pt idx="323">
                  <c:v>1.73354968324846</c:v>
                </c:pt>
                <c:pt idx="324">
                  <c:v>1.26645031675154</c:v>
                </c:pt>
                <c:pt idx="325">
                  <c:v>1.73354968324846</c:v>
                </c:pt>
                <c:pt idx="326">
                  <c:v>1.26645031675154</c:v>
                </c:pt>
                <c:pt idx="327">
                  <c:v>1.73354968324846</c:v>
                </c:pt>
                <c:pt idx="328">
                  <c:v>1.26645031675154</c:v>
                </c:pt>
                <c:pt idx="329">
                  <c:v>1.73354968324846</c:v>
                </c:pt>
                <c:pt idx="330">
                  <c:v>1.26645031675154</c:v>
                </c:pt>
                <c:pt idx="331">
                  <c:v>1.73354968324846</c:v>
                </c:pt>
                <c:pt idx="332">
                  <c:v>1.26645031675154</c:v>
                </c:pt>
                <c:pt idx="333">
                  <c:v>1.73354968324846</c:v>
                </c:pt>
                <c:pt idx="334">
                  <c:v>1.26645031675154</c:v>
                </c:pt>
                <c:pt idx="335">
                  <c:v>1.73354968324846</c:v>
                </c:pt>
                <c:pt idx="336">
                  <c:v>1.26645031675154</c:v>
                </c:pt>
                <c:pt idx="337">
                  <c:v>1.73354968324846</c:v>
                </c:pt>
                <c:pt idx="338">
                  <c:v>1.26645031675154</c:v>
                </c:pt>
                <c:pt idx="339">
                  <c:v>1.73354968324846</c:v>
                </c:pt>
                <c:pt idx="340">
                  <c:v>1.26645031675154</c:v>
                </c:pt>
                <c:pt idx="341">
                  <c:v>1.73354968324846</c:v>
                </c:pt>
                <c:pt idx="342">
                  <c:v>1.26645031675154</c:v>
                </c:pt>
                <c:pt idx="343">
                  <c:v>1.73354968324846</c:v>
                </c:pt>
                <c:pt idx="344">
                  <c:v>1.26645031675154</c:v>
                </c:pt>
                <c:pt idx="345">
                  <c:v>1.73354968324846</c:v>
                </c:pt>
                <c:pt idx="346">
                  <c:v>1.26645031675154</c:v>
                </c:pt>
                <c:pt idx="347">
                  <c:v>1.73354968324846</c:v>
                </c:pt>
                <c:pt idx="348">
                  <c:v>1.26645031675154</c:v>
                </c:pt>
                <c:pt idx="349">
                  <c:v>1.73354968324846</c:v>
                </c:pt>
                <c:pt idx="350">
                  <c:v>1.26645031675154</c:v>
                </c:pt>
                <c:pt idx="351">
                  <c:v>1.73354968324846</c:v>
                </c:pt>
                <c:pt idx="352">
                  <c:v>1.26645031675154</c:v>
                </c:pt>
                <c:pt idx="353">
                  <c:v>1.73354968324846</c:v>
                </c:pt>
                <c:pt idx="354">
                  <c:v>1.26645031675154</c:v>
                </c:pt>
                <c:pt idx="355">
                  <c:v>1.73354968324846</c:v>
                </c:pt>
                <c:pt idx="356">
                  <c:v>1.26645031675154</c:v>
                </c:pt>
                <c:pt idx="357">
                  <c:v>1.73354968324846</c:v>
                </c:pt>
                <c:pt idx="358">
                  <c:v>1.26645031675154</c:v>
                </c:pt>
                <c:pt idx="359">
                  <c:v>1.73354968324846</c:v>
                </c:pt>
                <c:pt idx="360">
                  <c:v>1.26645031675154</c:v>
                </c:pt>
                <c:pt idx="361">
                  <c:v>1.73354968324846</c:v>
                </c:pt>
                <c:pt idx="362">
                  <c:v>1.26645031675154</c:v>
                </c:pt>
                <c:pt idx="363">
                  <c:v>1.73354968324846</c:v>
                </c:pt>
                <c:pt idx="364">
                  <c:v>1.26645031675154</c:v>
                </c:pt>
                <c:pt idx="365">
                  <c:v>1.73354968324846</c:v>
                </c:pt>
                <c:pt idx="366">
                  <c:v>1.26645031675154</c:v>
                </c:pt>
                <c:pt idx="367">
                  <c:v>1.73354968324846</c:v>
                </c:pt>
                <c:pt idx="368">
                  <c:v>1.26645031675154</c:v>
                </c:pt>
                <c:pt idx="369">
                  <c:v>1.73354968324846</c:v>
                </c:pt>
                <c:pt idx="370">
                  <c:v>1.26645031675154</c:v>
                </c:pt>
                <c:pt idx="371">
                  <c:v>1.73354968324846</c:v>
                </c:pt>
                <c:pt idx="372">
                  <c:v>1.26645031675154</c:v>
                </c:pt>
                <c:pt idx="373">
                  <c:v>1.73354968324846</c:v>
                </c:pt>
                <c:pt idx="374">
                  <c:v>1.26645031675154</c:v>
                </c:pt>
                <c:pt idx="375">
                  <c:v>1.73354968324846</c:v>
                </c:pt>
                <c:pt idx="376">
                  <c:v>1.26645031675154</c:v>
                </c:pt>
                <c:pt idx="377">
                  <c:v>1.73354968324846</c:v>
                </c:pt>
                <c:pt idx="378">
                  <c:v>1.26645031675154</c:v>
                </c:pt>
                <c:pt idx="379">
                  <c:v>1.73354968324846</c:v>
                </c:pt>
                <c:pt idx="380">
                  <c:v>1.26645031675154</c:v>
                </c:pt>
                <c:pt idx="381">
                  <c:v>1.73354968324846</c:v>
                </c:pt>
                <c:pt idx="382">
                  <c:v>1.26645031675154</c:v>
                </c:pt>
                <c:pt idx="383">
                  <c:v>1.73354968324846</c:v>
                </c:pt>
                <c:pt idx="384">
                  <c:v>1.26645031675154</c:v>
                </c:pt>
                <c:pt idx="385">
                  <c:v>1.73354968324846</c:v>
                </c:pt>
                <c:pt idx="386">
                  <c:v>1.26645031675154</c:v>
                </c:pt>
                <c:pt idx="387">
                  <c:v>1.73354968324846</c:v>
                </c:pt>
                <c:pt idx="388">
                  <c:v>1.26645031675154</c:v>
                </c:pt>
                <c:pt idx="389">
                  <c:v>1.73354968324846</c:v>
                </c:pt>
                <c:pt idx="390">
                  <c:v>1.26645031675154</c:v>
                </c:pt>
                <c:pt idx="391">
                  <c:v>1.73354968324846</c:v>
                </c:pt>
                <c:pt idx="392">
                  <c:v>1.26645031675154</c:v>
                </c:pt>
                <c:pt idx="393">
                  <c:v>1.73354968324846</c:v>
                </c:pt>
                <c:pt idx="394">
                  <c:v>1.26645031675154</c:v>
                </c:pt>
                <c:pt idx="395">
                  <c:v>1.73354968324846</c:v>
                </c:pt>
                <c:pt idx="396">
                  <c:v>1.26645031675154</c:v>
                </c:pt>
                <c:pt idx="397">
                  <c:v>1.73354968324846</c:v>
                </c:pt>
                <c:pt idx="398">
                  <c:v>1.26645031675154</c:v>
                </c:pt>
                <c:pt idx="399">
                  <c:v>1.73354968324846</c:v>
                </c:pt>
                <c:pt idx="400">
                  <c:v>1.26645031675154</c:v>
                </c:pt>
                <c:pt idx="401">
                  <c:v>1.73354968324846</c:v>
                </c:pt>
                <c:pt idx="402">
                  <c:v>1.26645031675154</c:v>
                </c:pt>
                <c:pt idx="403">
                  <c:v>1.73354968324846</c:v>
                </c:pt>
                <c:pt idx="404">
                  <c:v>1.26645031675154</c:v>
                </c:pt>
                <c:pt idx="405">
                  <c:v>1.73354968324846</c:v>
                </c:pt>
                <c:pt idx="406">
                  <c:v>1.26645031675154</c:v>
                </c:pt>
                <c:pt idx="407">
                  <c:v>1.73354968324846</c:v>
                </c:pt>
                <c:pt idx="408">
                  <c:v>1.26645031675154</c:v>
                </c:pt>
                <c:pt idx="409">
                  <c:v>1.73354968324846</c:v>
                </c:pt>
                <c:pt idx="410">
                  <c:v>1.26645031675154</c:v>
                </c:pt>
                <c:pt idx="411">
                  <c:v>1.73354968324846</c:v>
                </c:pt>
                <c:pt idx="412">
                  <c:v>1.26645031675154</c:v>
                </c:pt>
                <c:pt idx="413">
                  <c:v>1.73354968324846</c:v>
                </c:pt>
                <c:pt idx="414">
                  <c:v>1.26645031675154</c:v>
                </c:pt>
                <c:pt idx="415">
                  <c:v>1.73354968324846</c:v>
                </c:pt>
                <c:pt idx="416">
                  <c:v>1.26645031675154</c:v>
                </c:pt>
                <c:pt idx="417">
                  <c:v>1.73354968324846</c:v>
                </c:pt>
                <c:pt idx="418">
                  <c:v>1.26645031675154</c:v>
                </c:pt>
                <c:pt idx="419">
                  <c:v>1.73354968324846</c:v>
                </c:pt>
                <c:pt idx="420">
                  <c:v>1.26645031675154</c:v>
                </c:pt>
                <c:pt idx="421">
                  <c:v>1.73354968324846</c:v>
                </c:pt>
                <c:pt idx="422">
                  <c:v>1.26645031675154</c:v>
                </c:pt>
                <c:pt idx="423">
                  <c:v>1.73354968324846</c:v>
                </c:pt>
                <c:pt idx="424">
                  <c:v>1.26645031675154</c:v>
                </c:pt>
                <c:pt idx="425">
                  <c:v>1.73354968324846</c:v>
                </c:pt>
                <c:pt idx="426">
                  <c:v>1.26645031675154</c:v>
                </c:pt>
                <c:pt idx="427">
                  <c:v>1.73354968324846</c:v>
                </c:pt>
                <c:pt idx="428">
                  <c:v>1.26645031675154</c:v>
                </c:pt>
                <c:pt idx="429">
                  <c:v>1.73354968324846</c:v>
                </c:pt>
                <c:pt idx="430">
                  <c:v>1.26645031675154</c:v>
                </c:pt>
                <c:pt idx="431">
                  <c:v>1.73354968324846</c:v>
                </c:pt>
                <c:pt idx="432">
                  <c:v>1.26645031675154</c:v>
                </c:pt>
                <c:pt idx="433">
                  <c:v>1.73354968324846</c:v>
                </c:pt>
                <c:pt idx="434">
                  <c:v>1.26645031675154</c:v>
                </c:pt>
                <c:pt idx="435">
                  <c:v>1.73354968324846</c:v>
                </c:pt>
                <c:pt idx="436">
                  <c:v>1.26645031675154</c:v>
                </c:pt>
                <c:pt idx="437">
                  <c:v>1.73354968324846</c:v>
                </c:pt>
                <c:pt idx="438">
                  <c:v>1.26645031675154</c:v>
                </c:pt>
                <c:pt idx="439">
                  <c:v>1.73354968324846</c:v>
                </c:pt>
                <c:pt idx="440">
                  <c:v>1.26645031675154</c:v>
                </c:pt>
                <c:pt idx="441">
                  <c:v>1.73354968324846</c:v>
                </c:pt>
                <c:pt idx="442">
                  <c:v>1.26645031675154</c:v>
                </c:pt>
                <c:pt idx="443">
                  <c:v>1.73354968324846</c:v>
                </c:pt>
                <c:pt idx="444">
                  <c:v>1.26645031675154</c:v>
                </c:pt>
                <c:pt idx="445">
                  <c:v>1.73354968324846</c:v>
                </c:pt>
                <c:pt idx="446">
                  <c:v>1.26645031675154</c:v>
                </c:pt>
                <c:pt idx="447">
                  <c:v>1.73354968324846</c:v>
                </c:pt>
                <c:pt idx="448">
                  <c:v>1.26645031675154</c:v>
                </c:pt>
                <c:pt idx="449">
                  <c:v>1.73354968324846</c:v>
                </c:pt>
                <c:pt idx="450">
                  <c:v>1.26645031675154</c:v>
                </c:pt>
                <c:pt idx="451">
                  <c:v>1.73354968324846</c:v>
                </c:pt>
                <c:pt idx="452">
                  <c:v>1.26645031675154</c:v>
                </c:pt>
                <c:pt idx="453">
                  <c:v>1.73354968324846</c:v>
                </c:pt>
                <c:pt idx="454">
                  <c:v>1.26645031675154</c:v>
                </c:pt>
                <c:pt idx="455">
                  <c:v>1.73354968324846</c:v>
                </c:pt>
                <c:pt idx="456">
                  <c:v>1.26645031675154</c:v>
                </c:pt>
                <c:pt idx="457">
                  <c:v>1.73354968324846</c:v>
                </c:pt>
                <c:pt idx="458">
                  <c:v>1.26645031675154</c:v>
                </c:pt>
                <c:pt idx="459">
                  <c:v>1.73354968324846</c:v>
                </c:pt>
                <c:pt idx="460">
                  <c:v>1.26645031675154</c:v>
                </c:pt>
                <c:pt idx="461">
                  <c:v>1.73354968324846</c:v>
                </c:pt>
                <c:pt idx="462">
                  <c:v>1.26645031675154</c:v>
                </c:pt>
                <c:pt idx="463">
                  <c:v>1.73354968324846</c:v>
                </c:pt>
                <c:pt idx="464">
                  <c:v>1.26645031675154</c:v>
                </c:pt>
                <c:pt idx="465">
                  <c:v>1.73354968324846</c:v>
                </c:pt>
                <c:pt idx="466">
                  <c:v>1.26645031675154</c:v>
                </c:pt>
                <c:pt idx="467">
                  <c:v>1.73354968324846</c:v>
                </c:pt>
                <c:pt idx="468">
                  <c:v>1.26645031675154</c:v>
                </c:pt>
                <c:pt idx="469">
                  <c:v>1.73354968324846</c:v>
                </c:pt>
                <c:pt idx="470">
                  <c:v>1.26645031675154</c:v>
                </c:pt>
                <c:pt idx="471">
                  <c:v>1.73354968324846</c:v>
                </c:pt>
                <c:pt idx="472">
                  <c:v>1.26645031675154</c:v>
                </c:pt>
                <c:pt idx="473">
                  <c:v>1.73354968324846</c:v>
                </c:pt>
                <c:pt idx="474">
                  <c:v>1.26645031675154</c:v>
                </c:pt>
                <c:pt idx="475">
                  <c:v>1.73354968324846</c:v>
                </c:pt>
                <c:pt idx="476">
                  <c:v>1.26645031675154</c:v>
                </c:pt>
                <c:pt idx="477">
                  <c:v>1.73354968324846</c:v>
                </c:pt>
                <c:pt idx="478">
                  <c:v>1.26645031675154</c:v>
                </c:pt>
                <c:pt idx="479">
                  <c:v>1.73354968324846</c:v>
                </c:pt>
                <c:pt idx="480">
                  <c:v>1.26645031675154</c:v>
                </c:pt>
                <c:pt idx="481">
                  <c:v>1.73354968324846</c:v>
                </c:pt>
                <c:pt idx="482">
                  <c:v>1.26645031675154</c:v>
                </c:pt>
                <c:pt idx="483">
                  <c:v>1.73354968324846</c:v>
                </c:pt>
                <c:pt idx="484">
                  <c:v>1.26645031675154</c:v>
                </c:pt>
                <c:pt idx="485">
                  <c:v>1.73354968324846</c:v>
                </c:pt>
                <c:pt idx="486">
                  <c:v>1.26645031675154</c:v>
                </c:pt>
                <c:pt idx="487">
                  <c:v>1.73354968324846</c:v>
                </c:pt>
                <c:pt idx="488">
                  <c:v>1.26645031675154</c:v>
                </c:pt>
                <c:pt idx="489">
                  <c:v>1.73354968324846</c:v>
                </c:pt>
                <c:pt idx="490">
                  <c:v>1.26645031675154</c:v>
                </c:pt>
                <c:pt idx="491">
                  <c:v>1.73354968324846</c:v>
                </c:pt>
                <c:pt idx="492">
                  <c:v>1.26645031675154</c:v>
                </c:pt>
                <c:pt idx="493">
                  <c:v>1.73354968324846</c:v>
                </c:pt>
                <c:pt idx="494">
                  <c:v>1.26645031675154</c:v>
                </c:pt>
                <c:pt idx="495">
                  <c:v>1.73354968324846</c:v>
                </c:pt>
                <c:pt idx="496">
                  <c:v>1.26645031675154</c:v>
                </c:pt>
                <c:pt idx="497">
                  <c:v>1.73354968324846</c:v>
                </c:pt>
                <c:pt idx="498">
                  <c:v>1.26645031675154</c:v>
                </c:pt>
                <c:pt idx="499">
                  <c:v>1.73354968324846</c:v>
                </c:pt>
                <c:pt idx="500">
                  <c:v>1.26645031675154</c:v>
                </c:pt>
                <c:pt idx="501">
                  <c:v>1.73354968324846</c:v>
                </c:pt>
                <c:pt idx="502">
                  <c:v>1.26645031675154</c:v>
                </c:pt>
                <c:pt idx="503">
                  <c:v>1.73354968324846</c:v>
                </c:pt>
                <c:pt idx="504">
                  <c:v>1.26645031675154</c:v>
                </c:pt>
                <c:pt idx="505">
                  <c:v>1.73354968324846</c:v>
                </c:pt>
                <c:pt idx="506">
                  <c:v>1.26645031675154</c:v>
                </c:pt>
                <c:pt idx="507">
                  <c:v>1.73354968324846</c:v>
                </c:pt>
                <c:pt idx="508">
                  <c:v>1.26645031675154</c:v>
                </c:pt>
                <c:pt idx="509">
                  <c:v>1.73354968324846</c:v>
                </c:pt>
                <c:pt idx="510">
                  <c:v>1.26645031675154</c:v>
                </c:pt>
                <c:pt idx="511">
                  <c:v>1.73354968324846</c:v>
                </c:pt>
                <c:pt idx="512">
                  <c:v>1.26645031675154</c:v>
                </c:pt>
                <c:pt idx="513">
                  <c:v>1.73354968324846</c:v>
                </c:pt>
                <c:pt idx="514">
                  <c:v>1.26645031675154</c:v>
                </c:pt>
                <c:pt idx="515">
                  <c:v>1.73354968324846</c:v>
                </c:pt>
                <c:pt idx="516">
                  <c:v>1.26645031675154</c:v>
                </c:pt>
                <c:pt idx="517">
                  <c:v>1.73354968324846</c:v>
                </c:pt>
                <c:pt idx="518">
                  <c:v>1.26645031675154</c:v>
                </c:pt>
                <c:pt idx="519">
                  <c:v>1.73354968324846</c:v>
                </c:pt>
                <c:pt idx="520">
                  <c:v>1.26645031675154</c:v>
                </c:pt>
                <c:pt idx="521">
                  <c:v>1.73354968324846</c:v>
                </c:pt>
                <c:pt idx="522">
                  <c:v>1.26645031675154</c:v>
                </c:pt>
                <c:pt idx="523">
                  <c:v>1.73354968324846</c:v>
                </c:pt>
                <c:pt idx="524">
                  <c:v>1.26645031675154</c:v>
                </c:pt>
                <c:pt idx="525">
                  <c:v>1.73354968324846</c:v>
                </c:pt>
                <c:pt idx="526">
                  <c:v>1.26645031675154</c:v>
                </c:pt>
                <c:pt idx="527">
                  <c:v>1.73354968324846</c:v>
                </c:pt>
                <c:pt idx="528">
                  <c:v>1.26645031675154</c:v>
                </c:pt>
                <c:pt idx="529">
                  <c:v>1.73354968324846</c:v>
                </c:pt>
                <c:pt idx="530">
                  <c:v>1.26645031675154</c:v>
                </c:pt>
                <c:pt idx="531">
                  <c:v>1.73354968324846</c:v>
                </c:pt>
                <c:pt idx="532">
                  <c:v>1.26645031675154</c:v>
                </c:pt>
                <c:pt idx="533">
                  <c:v>1.73354968324846</c:v>
                </c:pt>
                <c:pt idx="534">
                  <c:v>1.26645031675154</c:v>
                </c:pt>
                <c:pt idx="535">
                  <c:v>1.73354968324846</c:v>
                </c:pt>
                <c:pt idx="536">
                  <c:v>1.26645031675154</c:v>
                </c:pt>
                <c:pt idx="537">
                  <c:v>1.73354968324846</c:v>
                </c:pt>
                <c:pt idx="538">
                  <c:v>1.26645031675154</c:v>
                </c:pt>
                <c:pt idx="539">
                  <c:v>1.73354968324846</c:v>
                </c:pt>
                <c:pt idx="540">
                  <c:v>1.26645031675154</c:v>
                </c:pt>
                <c:pt idx="541">
                  <c:v>1.73354968324846</c:v>
                </c:pt>
                <c:pt idx="542">
                  <c:v>1.26645031675154</c:v>
                </c:pt>
                <c:pt idx="543">
                  <c:v>1.73354968324846</c:v>
                </c:pt>
                <c:pt idx="544">
                  <c:v>1.26645031675154</c:v>
                </c:pt>
                <c:pt idx="545">
                  <c:v>1.73354968324846</c:v>
                </c:pt>
                <c:pt idx="546">
                  <c:v>1.26645031675154</c:v>
                </c:pt>
                <c:pt idx="547">
                  <c:v>1.73354968324846</c:v>
                </c:pt>
                <c:pt idx="548">
                  <c:v>1.26645031675154</c:v>
                </c:pt>
                <c:pt idx="549">
                  <c:v>1.73354968324846</c:v>
                </c:pt>
                <c:pt idx="550">
                  <c:v>1.26645031675154</c:v>
                </c:pt>
                <c:pt idx="551">
                  <c:v>1.73354968324846</c:v>
                </c:pt>
                <c:pt idx="552">
                  <c:v>1.26645031675154</c:v>
                </c:pt>
                <c:pt idx="553">
                  <c:v>1.73354968324846</c:v>
                </c:pt>
                <c:pt idx="554">
                  <c:v>1.26645031675154</c:v>
                </c:pt>
                <c:pt idx="555">
                  <c:v>1.73354968324846</c:v>
                </c:pt>
                <c:pt idx="556">
                  <c:v>1.26645031675154</c:v>
                </c:pt>
                <c:pt idx="557">
                  <c:v>1.73354968324846</c:v>
                </c:pt>
                <c:pt idx="558">
                  <c:v>1.26645031675154</c:v>
                </c:pt>
                <c:pt idx="559">
                  <c:v>1.73354968324846</c:v>
                </c:pt>
                <c:pt idx="560">
                  <c:v>1.26645031675154</c:v>
                </c:pt>
                <c:pt idx="561">
                  <c:v>1.73354968324846</c:v>
                </c:pt>
                <c:pt idx="562">
                  <c:v>1.26645031675154</c:v>
                </c:pt>
                <c:pt idx="563">
                  <c:v>1.73354968324846</c:v>
                </c:pt>
                <c:pt idx="564">
                  <c:v>1.26645031675154</c:v>
                </c:pt>
                <c:pt idx="565">
                  <c:v>1.73354968324846</c:v>
                </c:pt>
                <c:pt idx="566">
                  <c:v>1.26645031675154</c:v>
                </c:pt>
                <c:pt idx="567">
                  <c:v>1.73354968324846</c:v>
                </c:pt>
                <c:pt idx="568">
                  <c:v>1.26645031675154</c:v>
                </c:pt>
                <c:pt idx="569">
                  <c:v>1.73354968324846</c:v>
                </c:pt>
                <c:pt idx="570">
                  <c:v>1.26645031675154</c:v>
                </c:pt>
                <c:pt idx="571">
                  <c:v>1.73354968324846</c:v>
                </c:pt>
                <c:pt idx="572">
                  <c:v>1.26645031675154</c:v>
                </c:pt>
                <c:pt idx="573">
                  <c:v>1.73354968324846</c:v>
                </c:pt>
                <c:pt idx="574">
                  <c:v>1.26645031675154</c:v>
                </c:pt>
                <c:pt idx="575">
                  <c:v>1.73354968324846</c:v>
                </c:pt>
                <c:pt idx="576">
                  <c:v>1.26645031675154</c:v>
                </c:pt>
                <c:pt idx="577">
                  <c:v>1.73354968324846</c:v>
                </c:pt>
                <c:pt idx="578">
                  <c:v>1.26645031675154</c:v>
                </c:pt>
                <c:pt idx="579">
                  <c:v>1.73354968324846</c:v>
                </c:pt>
                <c:pt idx="580">
                  <c:v>1.26645031675154</c:v>
                </c:pt>
                <c:pt idx="581">
                  <c:v>1.73354968324846</c:v>
                </c:pt>
                <c:pt idx="582">
                  <c:v>1.26645031675154</c:v>
                </c:pt>
                <c:pt idx="583">
                  <c:v>1.73354968324846</c:v>
                </c:pt>
                <c:pt idx="584">
                  <c:v>1.26645031675154</c:v>
                </c:pt>
                <c:pt idx="585">
                  <c:v>1.73354968324846</c:v>
                </c:pt>
                <c:pt idx="586">
                  <c:v>1.26645031675154</c:v>
                </c:pt>
                <c:pt idx="587">
                  <c:v>1.73354968324846</c:v>
                </c:pt>
                <c:pt idx="588">
                  <c:v>1.26645031675154</c:v>
                </c:pt>
                <c:pt idx="589">
                  <c:v>1.73354968324846</c:v>
                </c:pt>
                <c:pt idx="590">
                  <c:v>1.26645031675154</c:v>
                </c:pt>
                <c:pt idx="591">
                  <c:v>1.73354968324846</c:v>
                </c:pt>
                <c:pt idx="592">
                  <c:v>1.26645031675154</c:v>
                </c:pt>
                <c:pt idx="593">
                  <c:v>1.73354968324846</c:v>
                </c:pt>
                <c:pt idx="594">
                  <c:v>1.26645031675154</c:v>
                </c:pt>
                <c:pt idx="595">
                  <c:v>1.73354968324846</c:v>
                </c:pt>
                <c:pt idx="596">
                  <c:v>1.26645031675154</c:v>
                </c:pt>
                <c:pt idx="597">
                  <c:v>1.73354968324846</c:v>
                </c:pt>
                <c:pt idx="598">
                  <c:v>1.26645031675154</c:v>
                </c:pt>
                <c:pt idx="599">
                  <c:v>1.73354968324846</c:v>
                </c:pt>
                <c:pt idx="600">
                  <c:v>1.26645031675154</c:v>
                </c:pt>
                <c:pt idx="601">
                  <c:v>1.73354968324846</c:v>
                </c:pt>
                <c:pt idx="602">
                  <c:v>1.26645031675154</c:v>
                </c:pt>
                <c:pt idx="603">
                  <c:v>1.73354968324846</c:v>
                </c:pt>
                <c:pt idx="604">
                  <c:v>1.26645031675154</c:v>
                </c:pt>
                <c:pt idx="605">
                  <c:v>1.73354968324846</c:v>
                </c:pt>
                <c:pt idx="606">
                  <c:v>1.26645031675154</c:v>
                </c:pt>
                <c:pt idx="607">
                  <c:v>1.73354968324846</c:v>
                </c:pt>
                <c:pt idx="608">
                  <c:v>1.26645031675154</c:v>
                </c:pt>
                <c:pt idx="609">
                  <c:v>1.73354968324846</c:v>
                </c:pt>
                <c:pt idx="610">
                  <c:v>1.26645031675154</c:v>
                </c:pt>
                <c:pt idx="611">
                  <c:v>1.73354968324846</c:v>
                </c:pt>
                <c:pt idx="612">
                  <c:v>1.26645031675154</c:v>
                </c:pt>
                <c:pt idx="613">
                  <c:v>1.73354968324846</c:v>
                </c:pt>
                <c:pt idx="614">
                  <c:v>1.26645031675154</c:v>
                </c:pt>
                <c:pt idx="615">
                  <c:v>1.73354968324846</c:v>
                </c:pt>
                <c:pt idx="616">
                  <c:v>1.26645031675154</c:v>
                </c:pt>
                <c:pt idx="617">
                  <c:v>1.73354968324846</c:v>
                </c:pt>
                <c:pt idx="618">
                  <c:v>1.26645031675154</c:v>
                </c:pt>
                <c:pt idx="619">
                  <c:v>1.73354968324846</c:v>
                </c:pt>
                <c:pt idx="620">
                  <c:v>1.26645031675154</c:v>
                </c:pt>
                <c:pt idx="621">
                  <c:v>1.73354968324846</c:v>
                </c:pt>
                <c:pt idx="622">
                  <c:v>1.26645031675154</c:v>
                </c:pt>
                <c:pt idx="623">
                  <c:v>1.73354968324846</c:v>
                </c:pt>
                <c:pt idx="624">
                  <c:v>1.26645031675154</c:v>
                </c:pt>
                <c:pt idx="625">
                  <c:v>1.73354968324846</c:v>
                </c:pt>
                <c:pt idx="626">
                  <c:v>1.26645031675154</c:v>
                </c:pt>
                <c:pt idx="627">
                  <c:v>1.73354968324846</c:v>
                </c:pt>
                <c:pt idx="628">
                  <c:v>1.26645031675154</c:v>
                </c:pt>
                <c:pt idx="629">
                  <c:v>1.73354968324846</c:v>
                </c:pt>
                <c:pt idx="630">
                  <c:v>1.26645031675154</c:v>
                </c:pt>
                <c:pt idx="631">
                  <c:v>1.73354968324846</c:v>
                </c:pt>
                <c:pt idx="632">
                  <c:v>1.26645031675154</c:v>
                </c:pt>
                <c:pt idx="633">
                  <c:v>1.73354968324846</c:v>
                </c:pt>
                <c:pt idx="634">
                  <c:v>1.26645031675154</c:v>
                </c:pt>
                <c:pt idx="635">
                  <c:v>1.73354968324846</c:v>
                </c:pt>
                <c:pt idx="636">
                  <c:v>1.26645031675154</c:v>
                </c:pt>
                <c:pt idx="637">
                  <c:v>1.73354968324846</c:v>
                </c:pt>
                <c:pt idx="638">
                  <c:v>1.26645031675154</c:v>
                </c:pt>
                <c:pt idx="639">
                  <c:v>1.73354968324846</c:v>
                </c:pt>
                <c:pt idx="640">
                  <c:v>1.26645031675154</c:v>
                </c:pt>
                <c:pt idx="641">
                  <c:v>1.73354968324846</c:v>
                </c:pt>
                <c:pt idx="642">
                  <c:v>1.26645031675154</c:v>
                </c:pt>
                <c:pt idx="643">
                  <c:v>1.73354968324846</c:v>
                </c:pt>
                <c:pt idx="644">
                  <c:v>1.26645031675154</c:v>
                </c:pt>
                <c:pt idx="645">
                  <c:v>1.73354968324846</c:v>
                </c:pt>
                <c:pt idx="646">
                  <c:v>1.26645031675154</c:v>
                </c:pt>
                <c:pt idx="647">
                  <c:v>1.73354968324846</c:v>
                </c:pt>
                <c:pt idx="648">
                  <c:v>1.26645031675154</c:v>
                </c:pt>
                <c:pt idx="649">
                  <c:v>1.73354968324846</c:v>
                </c:pt>
                <c:pt idx="650">
                  <c:v>1.26645031675154</c:v>
                </c:pt>
                <c:pt idx="651">
                  <c:v>1.73354968324846</c:v>
                </c:pt>
                <c:pt idx="652">
                  <c:v>1.26645031675154</c:v>
                </c:pt>
                <c:pt idx="653">
                  <c:v>1.73354968324846</c:v>
                </c:pt>
                <c:pt idx="654">
                  <c:v>1.26645031675154</c:v>
                </c:pt>
                <c:pt idx="655">
                  <c:v>1.73354968324846</c:v>
                </c:pt>
                <c:pt idx="656">
                  <c:v>1.26645031675154</c:v>
                </c:pt>
                <c:pt idx="657">
                  <c:v>1.73354968324846</c:v>
                </c:pt>
                <c:pt idx="658">
                  <c:v>1.26645031675154</c:v>
                </c:pt>
                <c:pt idx="659">
                  <c:v>1.73354968324846</c:v>
                </c:pt>
                <c:pt idx="660">
                  <c:v>1.26645031675154</c:v>
                </c:pt>
                <c:pt idx="661">
                  <c:v>1.73354968324846</c:v>
                </c:pt>
                <c:pt idx="662">
                  <c:v>1.26645031675154</c:v>
                </c:pt>
                <c:pt idx="663">
                  <c:v>1.73354968324846</c:v>
                </c:pt>
                <c:pt idx="664">
                  <c:v>1.26645031675154</c:v>
                </c:pt>
                <c:pt idx="665">
                  <c:v>1.73354968324846</c:v>
                </c:pt>
                <c:pt idx="666">
                  <c:v>1.26645031675154</c:v>
                </c:pt>
                <c:pt idx="667">
                  <c:v>1.73354968324846</c:v>
                </c:pt>
                <c:pt idx="668">
                  <c:v>1.26645031675154</c:v>
                </c:pt>
                <c:pt idx="669">
                  <c:v>1.73354968324846</c:v>
                </c:pt>
                <c:pt idx="670">
                  <c:v>1.26645031675154</c:v>
                </c:pt>
                <c:pt idx="671">
                  <c:v>1.73354968324846</c:v>
                </c:pt>
                <c:pt idx="672">
                  <c:v>1.26645031675154</c:v>
                </c:pt>
                <c:pt idx="673">
                  <c:v>1.73354968324846</c:v>
                </c:pt>
                <c:pt idx="674">
                  <c:v>1.26645031675154</c:v>
                </c:pt>
                <c:pt idx="675">
                  <c:v>1.73354968324846</c:v>
                </c:pt>
                <c:pt idx="676">
                  <c:v>1.26645031675154</c:v>
                </c:pt>
                <c:pt idx="677">
                  <c:v>1.73354968324846</c:v>
                </c:pt>
                <c:pt idx="678">
                  <c:v>1.26645031675154</c:v>
                </c:pt>
                <c:pt idx="679">
                  <c:v>1.73354968324846</c:v>
                </c:pt>
                <c:pt idx="680">
                  <c:v>1.26645031675154</c:v>
                </c:pt>
                <c:pt idx="681">
                  <c:v>1.73354968324846</c:v>
                </c:pt>
                <c:pt idx="682">
                  <c:v>1.26645031675154</c:v>
                </c:pt>
                <c:pt idx="683">
                  <c:v>1.73354968324846</c:v>
                </c:pt>
                <c:pt idx="684">
                  <c:v>1.26645031675154</c:v>
                </c:pt>
                <c:pt idx="685">
                  <c:v>1.73354968324846</c:v>
                </c:pt>
                <c:pt idx="686">
                  <c:v>1.26645031675154</c:v>
                </c:pt>
                <c:pt idx="687">
                  <c:v>1.73354968324846</c:v>
                </c:pt>
                <c:pt idx="688">
                  <c:v>1.26645031675154</c:v>
                </c:pt>
                <c:pt idx="689">
                  <c:v>1.73354968324846</c:v>
                </c:pt>
                <c:pt idx="690">
                  <c:v>1.26645031675154</c:v>
                </c:pt>
                <c:pt idx="691">
                  <c:v>1.73354968324846</c:v>
                </c:pt>
                <c:pt idx="692">
                  <c:v>1.26645031675154</c:v>
                </c:pt>
                <c:pt idx="693">
                  <c:v>1.73354968324846</c:v>
                </c:pt>
                <c:pt idx="694">
                  <c:v>1.26645031675154</c:v>
                </c:pt>
                <c:pt idx="695">
                  <c:v>1.73354968324846</c:v>
                </c:pt>
                <c:pt idx="696">
                  <c:v>1.26645031675154</c:v>
                </c:pt>
                <c:pt idx="697">
                  <c:v>1.73354968324846</c:v>
                </c:pt>
                <c:pt idx="698">
                  <c:v>1.26645031675154</c:v>
                </c:pt>
                <c:pt idx="699">
                  <c:v>1.73354968324846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57B-4F18-A070-1087D06E2B5A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rgbClr val="C95217"/>
              </a:solidFill>
              <a:prstDash val="solid"/>
            </a:ln>
            <a:effectLst/>
          </c:spPr>
          <c:marker>
            <c:symbol val="none"/>
          </c:marker>
          <c:xVal>
            <c:numRef>
              <c:f>Sheet5_HID!xdata4</c:f>
              <c:numCache>
                <c:formatCode>General</c:formatCode>
                <c:ptCount val="700"/>
                <c:pt idx="0">
                  <c:v>0.253817018041334</c:v>
                </c:pt>
                <c:pt idx="1">
                  <c:v>0.25452140425580799</c:v>
                </c:pt>
                <c:pt idx="2">
                  <c:v>0.25522579047028199</c:v>
                </c:pt>
                <c:pt idx="3">
                  <c:v>0.25593017668475598</c:v>
                </c:pt>
                <c:pt idx="4">
                  <c:v>0.25663456289922998</c:v>
                </c:pt>
                <c:pt idx="5">
                  <c:v>0.25733894911370397</c:v>
                </c:pt>
                <c:pt idx="6">
                  <c:v>0.25804333532817803</c:v>
                </c:pt>
                <c:pt idx="7">
                  <c:v>0.25874772154265202</c:v>
                </c:pt>
                <c:pt idx="8">
                  <c:v>0.25945210775712602</c:v>
                </c:pt>
                <c:pt idx="9">
                  <c:v>0.26015649397160001</c:v>
                </c:pt>
                <c:pt idx="10">
                  <c:v>0.26086088018607401</c:v>
                </c:pt>
                <c:pt idx="11">
                  <c:v>0.261565266400548</c:v>
                </c:pt>
                <c:pt idx="12">
                  <c:v>0.262269652615022</c:v>
                </c:pt>
                <c:pt idx="13">
                  <c:v>0.26297403882949599</c:v>
                </c:pt>
                <c:pt idx="14">
                  <c:v>0.26367842504396999</c:v>
                </c:pt>
                <c:pt idx="15">
                  <c:v>0.26438281125844398</c:v>
                </c:pt>
                <c:pt idx="16">
                  <c:v>0.26508719747291798</c:v>
                </c:pt>
                <c:pt idx="17">
                  <c:v>0.26579158368739197</c:v>
                </c:pt>
                <c:pt idx="18">
                  <c:v>0.26649596990186597</c:v>
                </c:pt>
                <c:pt idx="19">
                  <c:v>0.26720035611634002</c:v>
                </c:pt>
                <c:pt idx="20">
                  <c:v>0.26790474233081402</c:v>
                </c:pt>
                <c:pt idx="21">
                  <c:v>0.26860912854528801</c:v>
                </c:pt>
                <c:pt idx="22">
                  <c:v>0.26931351475976201</c:v>
                </c:pt>
                <c:pt idx="23">
                  <c:v>0.270017900974236</c:v>
                </c:pt>
                <c:pt idx="24">
                  <c:v>0.27072228718871</c:v>
                </c:pt>
                <c:pt idx="25">
                  <c:v>0.27142667340318399</c:v>
                </c:pt>
                <c:pt idx="26">
                  <c:v>0.27213105961765799</c:v>
                </c:pt>
                <c:pt idx="27">
                  <c:v>0.27283544583213198</c:v>
                </c:pt>
                <c:pt idx="28">
                  <c:v>0.27353983204660598</c:v>
                </c:pt>
                <c:pt idx="29">
                  <c:v>0.27424421826107998</c:v>
                </c:pt>
                <c:pt idx="30">
                  <c:v>0.27494860447555397</c:v>
                </c:pt>
                <c:pt idx="31">
                  <c:v>0.27565299069002802</c:v>
                </c:pt>
                <c:pt idx="32">
                  <c:v>0.27635737690450202</c:v>
                </c:pt>
                <c:pt idx="33">
                  <c:v>0.27706176311897601</c:v>
                </c:pt>
                <c:pt idx="34">
                  <c:v>0.27776614933345001</c:v>
                </c:pt>
                <c:pt idx="35">
                  <c:v>0.278470535547924</c:v>
                </c:pt>
                <c:pt idx="36">
                  <c:v>0.279174921762398</c:v>
                </c:pt>
                <c:pt idx="37">
                  <c:v>0.27987930797687199</c:v>
                </c:pt>
                <c:pt idx="38">
                  <c:v>0.28058369419134599</c:v>
                </c:pt>
                <c:pt idx="39">
                  <c:v>0.28128808040581998</c:v>
                </c:pt>
                <c:pt idx="40">
                  <c:v>0.28199246662029398</c:v>
                </c:pt>
                <c:pt idx="41">
                  <c:v>0.28269685283476798</c:v>
                </c:pt>
                <c:pt idx="42">
                  <c:v>0.28340123904924197</c:v>
                </c:pt>
                <c:pt idx="43">
                  <c:v>0.28410562526371597</c:v>
                </c:pt>
                <c:pt idx="44">
                  <c:v>0.28481001147819002</c:v>
                </c:pt>
                <c:pt idx="45">
                  <c:v>0.28551439769266401</c:v>
                </c:pt>
                <c:pt idx="46">
                  <c:v>0.28621878390713801</c:v>
                </c:pt>
                <c:pt idx="47">
                  <c:v>0.286923170121612</c:v>
                </c:pt>
                <c:pt idx="48">
                  <c:v>0.287627556336086</c:v>
                </c:pt>
                <c:pt idx="49">
                  <c:v>0.28833194255055999</c:v>
                </c:pt>
                <c:pt idx="50">
                  <c:v>0.28903632876503399</c:v>
                </c:pt>
                <c:pt idx="51">
                  <c:v>0.28974071497950799</c:v>
                </c:pt>
                <c:pt idx="52">
                  <c:v>0.29044510119398198</c:v>
                </c:pt>
                <c:pt idx="53">
                  <c:v>0.29114948740845598</c:v>
                </c:pt>
                <c:pt idx="54">
                  <c:v>0.29185387362292997</c:v>
                </c:pt>
                <c:pt idx="55">
                  <c:v>0.29255825983740402</c:v>
                </c:pt>
                <c:pt idx="56">
                  <c:v>0.29326264605187802</c:v>
                </c:pt>
                <c:pt idx="57">
                  <c:v>0.29396703226635201</c:v>
                </c:pt>
                <c:pt idx="58">
                  <c:v>0.29467141848082601</c:v>
                </c:pt>
                <c:pt idx="59">
                  <c:v>0.2953758046953</c:v>
                </c:pt>
                <c:pt idx="60">
                  <c:v>0.296080190909774</c:v>
                </c:pt>
                <c:pt idx="61">
                  <c:v>0.29678457712424799</c:v>
                </c:pt>
                <c:pt idx="62">
                  <c:v>0.29748896333872199</c:v>
                </c:pt>
                <c:pt idx="63">
                  <c:v>0.29819334955319599</c:v>
                </c:pt>
                <c:pt idx="64">
                  <c:v>0.29889773576766998</c:v>
                </c:pt>
                <c:pt idx="65">
                  <c:v>0.29960212198214398</c:v>
                </c:pt>
                <c:pt idx="66">
                  <c:v>0.30030650819661797</c:v>
                </c:pt>
                <c:pt idx="67">
                  <c:v>0.30101089441109197</c:v>
                </c:pt>
                <c:pt idx="68">
                  <c:v>0.30171528062556602</c:v>
                </c:pt>
                <c:pt idx="69">
                  <c:v>0.30241966684004001</c:v>
                </c:pt>
                <c:pt idx="70">
                  <c:v>0.30312405305451401</c:v>
                </c:pt>
                <c:pt idx="71">
                  <c:v>0.303828439268988</c:v>
                </c:pt>
                <c:pt idx="72">
                  <c:v>0.304532825483462</c:v>
                </c:pt>
                <c:pt idx="73">
                  <c:v>0.305237211697936</c:v>
                </c:pt>
                <c:pt idx="74">
                  <c:v>0.30594159791240999</c:v>
                </c:pt>
                <c:pt idx="75">
                  <c:v>0.30664598412688399</c:v>
                </c:pt>
                <c:pt idx="76">
                  <c:v>0.30735037034135798</c:v>
                </c:pt>
                <c:pt idx="77">
                  <c:v>0.30805475655583198</c:v>
                </c:pt>
                <c:pt idx="78">
                  <c:v>0.30875914277030597</c:v>
                </c:pt>
                <c:pt idx="79">
                  <c:v>0.30946352898478002</c:v>
                </c:pt>
                <c:pt idx="80">
                  <c:v>0.31016791519925402</c:v>
                </c:pt>
                <c:pt idx="81">
                  <c:v>0.31087230141372801</c:v>
                </c:pt>
                <c:pt idx="82">
                  <c:v>0.31157668762820201</c:v>
                </c:pt>
                <c:pt idx="83">
                  <c:v>0.312281073842676</c:v>
                </c:pt>
                <c:pt idx="84">
                  <c:v>0.31298546005715</c:v>
                </c:pt>
                <c:pt idx="85">
                  <c:v>0.313689846271624</c:v>
                </c:pt>
                <c:pt idx="86">
                  <c:v>0.31439423248609799</c:v>
                </c:pt>
                <c:pt idx="87">
                  <c:v>0.31509861870057199</c:v>
                </c:pt>
                <c:pt idx="88">
                  <c:v>0.31580300491504598</c:v>
                </c:pt>
                <c:pt idx="89">
                  <c:v>0.31650739112951998</c:v>
                </c:pt>
                <c:pt idx="90">
                  <c:v>0.31721177734399397</c:v>
                </c:pt>
                <c:pt idx="91">
                  <c:v>0.31791616355846797</c:v>
                </c:pt>
                <c:pt idx="92">
                  <c:v>0.31862054977294196</c:v>
                </c:pt>
                <c:pt idx="93">
                  <c:v>0.31932493598741601</c:v>
                </c:pt>
                <c:pt idx="94">
                  <c:v>0.32002932220189001</c:v>
                </c:pt>
                <c:pt idx="95">
                  <c:v>0.32073370841636401</c:v>
                </c:pt>
                <c:pt idx="96">
                  <c:v>0.321438094630838</c:v>
                </c:pt>
                <c:pt idx="97">
                  <c:v>0.322142480845312</c:v>
                </c:pt>
                <c:pt idx="98">
                  <c:v>0.32284686705978599</c:v>
                </c:pt>
                <c:pt idx="99">
                  <c:v>0.32355125327425999</c:v>
                </c:pt>
                <c:pt idx="100">
                  <c:v>0.32425563948873398</c:v>
                </c:pt>
                <c:pt idx="101">
                  <c:v>0.32496002570320798</c:v>
                </c:pt>
                <c:pt idx="102">
                  <c:v>0.32566441191768197</c:v>
                </c:pt>
                <c:pt idx="103">
                  <c:v>0.32636879813215602</c:v>
                </c:pt>
                <c:pt idx="104">
                  <c:v>0.32707318434663002</c:v>
                </c:pt>
                <c:pt idx="105">
                  <c:v>0.32777757056110401</c:v>
                </c:pt>
                <c:pt idx="106">
                  <c:v>0.32848195677557801</c:v>
                </c:pt>
                <c:pt idx="107">
                  <c:v>0.32918634299005201</c:v>
                </c:pt>
                <c:pt idx="108">
                  <c:v>0.329890729204526</c:v>
                </c:pt>
                <c:pt idx="109">
                  <c:v>0.330595115419</c:v>
                </c:pt>
                <c:pt idx="110">
                  <c:v>0.33129950163347399</c:v>
                </c:pt>
                <c:pt idx="111">
                  <c:v>0.33200388784794799</c:v>
                </c:pt>
                <c:pt idx="112">
                  <c:v>0.33270827406242198</c:v>
                </c:pt>
                <c:pt idx="113">
                  <c:v>0.33341266027689598</c:v>
                </c:pt>
                <c:pt idx="114">
                  <c:v>0.33411704649136997</c:v>
                </c:pt>
                <c:pt idx="115">
                  <c:v>0.33482143270584397</c:v>
                </c:pt>
                <c:pt idx="116">
                  <c:v>0.33552581892031796</c:v>
                </c:pt>
                <c:pt idx="117">
                  <c:v>0.33623020513479196</c:v>
                </c:pt>
                <c:pt idx="118">
                  <c:v>0.33693459134926601</c:v>
                </c:pt>
                <c:pt idx="119">
                  <c:v>0.33763897756374001</c:v>
                </c:pt>
                <c:pt idx="120">
                  <c:v>0.338343363778214</c:v>
                </c:pt>
                <c:pt idx="121">
                  <c:v>0.339047749992688</c:v>
                </c:pt>
                <c:pt idx="122">
                  <c:v>0.33975213620716199</c:v>
                </c:pt>
                <c:pt idx="123">
                  <c:v>0.34045652242163599</c:v>
                </c:pt>
                <c:pt idx="124">
                  <c:v>0.34116090863610998</c:v>
                </c:pt>
                <c:pt idx="125">
                  <c:v>0.34186529485058398</c:v>
                </c:pt>
                <c:pt idx="126">
                  <c:v>0.34256968106505797</c:v>
                </c:pt>
                <c:pt idx="127">
                  <c:v>0.34327406727953202</c:v>
                </c:pt>
                <c:pt idx="128">
                  <c:v>0.34397845349400602</c:v>
                </c:pt>
                <c:pt idx="129">
                  <c:v>0.34468283970848002</c:v>
                </c:pt>
                <c:pt idx="130">
                  <c:v>0.34538722592295401</c:v>
                </c:pt>
                <c:pt idx="131">
                  <c:v>0.34609161213742801</c:v>
                </c:pt>
                <c:pt idx="132">
                  <c:v>0.346795998351902</c:v>
                </c:pt>
                <c:pt idx="133">
                  <c:v>0.347500384566376</c:v>
                </c:pt>
                <c:pt idx="134">
                  <c:v>0.34820477078084999</c:v>
                </c:pt>
                <c:pt idx="135">
                  <c:v>0.34890915699532399</c:v>
                </c:pt>
                <c:pt idx="136">
                  <c:v>0.34961354320979798</c:v>
                </c:pt>
                <c:pt idx="137">
                  <c:v>0.35031792942427198</c:v>
                </c:pt>
                <c:pt idx="138">
                  <c:v>0.35102231563874597</c:v>
                </c:pt>
                <c:pt idx="139">
                  <c:v>0.35172670185321997</c:v>
                </c:pt>
                <c:pt idx="140">
                  <c:v>0.35243108806769397</c:v>
                </c:pt>
                <c:pt idx="141">
                  <c:v>0.35313547428216796</c:v>
                </c:pt>
                <c:pt idx="142">
                  <c:v>0.35383986049664201</c:v>
                </c:pt>
                <c:pt idx="143">
                  <c:v>0.35454424671111601</c:v>
                </c:pt>
                <c:pt idx="144">
                  <c:v>0.35524863292559</c:v>
                </c:pt>
                <c:pt idx="145">
                  <c:v>0.355953019140064</c:v>
                </c:pt>
                <c:pt idx="146">
                  <c:v>0.35665740535453799</c:v>
                </c:pt>
                <c:pt idx="147">
                  <c:v>0.35736179156901199</c:v>
                </c:pt>
                <c:pt idx="148">
                  <c:v>0.35806617778348598</c:v>
                </c:pt>
                <c:pt idx="149">
                  <c:v>0.35877056399795998</c:v>
                </c:pt>
                <c:pt idx="150">
                  <c:v>0.35947495021243397</c:v>
                </c:pt>
                <c:pt idx="151">
                  <c:v>0.36017933642690803</c:v>
                </c:pt>
                <c:pt idx="152">
                  <c:v>0.36088372264138202</c:v>
                </c:pt>
                <c:pt idx="153">
                  <c:v>0.36158810885585602</c:v>
                </c:pt>
                <c:pt idx="154">
                  <c:v>0.36229249507033001</c:v>
                </c:pt>
                <c:pt idx="155">
                  <c:v>0.36299688128480401</c:v>
                </c:pt>
                <c:pt idx="156">
                  <c:v>0.363701267499278</c:v>
                </c:pt>
                <c:pt idx="157">
                  <c:v>0.364405653713752</c:v>
                </c:pt>
                <c:pt idx="158">
                  <c:v>0.36511003992822599</c:v>
                </c:pt>
                <c:pt idx="159">
                  <c:v>0.36581442614269999</c:v>
                </c:pt>
                <c:pt idx="160">
                  <c:v>0.36651881235717398</c:v>
                </c:pt>
                <c:pt idx="161">
                  <c:v>0.36722319857164798</c:v>
                </c:pt>
                <c:pt idx="162">
                  <c:v>0.36792758478612198</c:v>
                </c:pt>
                <c:pt idx="163">
                  <c:v>0.36863197100059597</c:v>
                </c:pt>
                <c:pt idx="164">
                  <c:v>0.36933635721506997</c:v>
                </c:pt>
                <c:pt idx="165">
                  <c:v>0.37004074342954396</c:v>
                </c:pt>
                <c:pt idx="166">
                  <c:v>0.37074512964401796</c:v>
                </c:pt>
                <c:pt idx="167">
                  <c:v>0.37144951585849201</c:v>
                </c:pt>
                <c:pt idx="168">
                  <c:v>0.372153902072966</c:v>
                </c:pt>
                <c:pt idx="169">
                  <c:v>0.37285828828744</c:v>
                </c:pt>
                <c:pt idx="170">
                  <c:v>0.37356267450191399</c:v>
                </c:pt>
                <c:pt idx="171">
                  <c:v>0.37426706071638799</c:v>
                </c:pt>
                <c:pt idx="172">
                  <c:v>0.37497144693086198</c:v>
                </c:pt>
                <c:pt idx="173">
                  <c:v>0.37567583314533598</c:v>
                </c:pt>
                <c:pt idx="174">
                  <c:v>0.37638021935980998</c:v>
                </c:pt>
                <c:pt idx="175">
                  <c:v>0.37708460557428397</c:v>
                </c:pt>
                <c:pt idx="176">
                  <c:v>0.37778899178875802</c:v>
                </c:pt>
                <c:pt idx="177">
                  <c:v>0.37849337800323202</c:v>
                </c:pt>
                <c:pt idx="178">
                  <c:v>0.37919776421770601</c:v>
                </c:pt>
                <c:pt idx="179">
                  <c:v>0.37990215043218001</c:v>
                </c:pt>
                <c:pt idx="180">
                  <c:v>0.380606536646654</c:v>
                </c:pt>
                <c:pt idx="181">
                  <c:v>0.381310922861128</c:v>
                </c:pt>
                <c:pt idx="182">
                  <c:v>0.38201530907560199</c:v>
                </c:pt>
                <c:pt idx="183">
                  <c:v>0.38271969529007599</c:v>
                </c:pt>
                <c:pt idx="184">
                  <c:v>0.38342408150454999</c:v>
                </c:pt>
                <c:pt idx="185">
                  <c:v>0.38412846771902398</c:v>
                </c:pt>
                <c:pt idx="186">
                  <c:v>0.38483285393349798</c:v>
                </c:pt>
                <c:pt idx="187">
                  <c:v>0.38553724014797197</c:v>
                </c:pt>
                <c:pt idx="188">
                  <c:v>0.38624162636244597</c:v>
                </c:pt>
                <c:pt idx="189">
                  <c:v>0.38694601257691996</c:v>
                </c:pt>
                <c:pt idx="190">
                  <c:v>0.38765039879139396</c:v>
                </c:pt>
                <c:pt idx="191">
                  <c:v>0.38835478500586795</c:v>
                </c:pt>
                <c:pt idx="192">
                  <c:v>0.389059171220342</c:v>
                </c:pt>
                <c:pt idx="193">
                  <c:v>0.389763557434816</c:v>
                </c:pt>
                <c:pt idx="194">
                  <c:v>0.39046794364928999</c:v>
                </c:pt>
                <c:pt idx="195">
                  <c:v>0.39117232986376399</c:v>
                </c:pt>
                <c:pt idx="196">
                  <c:v>0.39187671607823799</c:v>
                </c:pt>
                <c:pt idx="197">
                  <c:v>0.39258110229271198</c:v>
                </c:pt>
                <c:pt idx="198">
                  <c:v>0.39328548850718598</c:v>
                </c:pt>
                <c:pt idx="199">
                  <c:v>0.39398987472166003</c:v>
                </c:pt>
                <c:pt idx="200">
                  <c:v>0.39469426093613402</c:v>
                </c:pt>
                <c:pt idx="201">
                  <c:v>0.39539864715060802</c:v>
                </c:pt>
                <c:pt idx="202">
                  <c:v>0.39610303336508201</c:v>
                </c:pt>
                <c:pt idx="203">
                  <c:v>0.39680741957955601</c:v>
                </c:pt>
                <c:pt idx="204">
                  <c:v>0.39751180579403</c:v>
                </c:pt>
                <c:pt idx="205">
                  <c:v>0.398216192008504</c:v>
                </c:pt>
                <c:pt idx="206">
                  <c:v>0.398920578222978</c:v>
                </c:pt>
                <c:pt idx="207">
                  <c:v>0.39962496443745199</c:v>
                </c:pt>
                <c:pt idx="208">
                  <c:v>0.40032935065192599</c:v>
                </c:pt>
                <c:pt idx="209">
                  <c:v>0.40103373686639998</c:v>
                </c:pt>
                <c:pt idx="210">
                  <c:v>0.40173812308087398</c:v>
                </c:pt>
                <c:pt idx="211">
                  <c:v>0.40244250929534797</c:v>
                </c:pt>
                <c:pt idx="212">
                  <c:v>0.40314689550982197</c:v>
                </c:pt>
                <c:pt idx="213">
                  <c:v>0.40385128172429596</c:v>
                </c:pt>
                <c:pt idx="214">
                  <c:v>0.40455566793876996</c:v>
                </c:pt>
                <c:pt idx="215">
                  <c:v>0.40526005415324395</c:v>
                </c:pt>
                <c:pt idx="216">
                  <c:v>0.40596444036771795</c:v>
                </c:pt>
                <c:pt idx="217">
                  <c:v>0.406668826582192</c:v>
                </c:pt>
                <c:pt idx="218">
                  <c:v>0.407373212796666</c:v>
                </c:pt>
                <c:pt idx="219">
                  <c:v>0.40807759901113999</c:v>
                </c:pt>
                <c:pt idx="220">
                  <c:v>0.40878198522561399</c:v>
                </c:pt>
                <c:pt idx="221">
                  <c:v>0.40948637144008798</c:v>
                </c:pt>
                <c:pt idx="222">
                  <c:v>0.41019075765456198</c:v>
                </c:pt>
                <c:pt idx="223">
                  <c:v>0.41089514386903603</c:v>
                </c:pt>
                <c:pt idx="224">
                  <c:v>0.41159953008351002</c:v>
                </c:pt>
                <c:pt idx="225">
                  <c:v>0.41230391629798402</c:v>
                </c:pt>
                <c:pt idx="226">
                  <c:v>0.41300830251245801</c:v>
                </c:pt>
                <c:pt idx="227">
                  <c:v>0.41371268872693201</c:v>
                </c:pt>
                <c:pt idx="228">
                  <c:v>0.41441707494140601</c:v>
                </c:pt>
                <c:pt idx="229">
                  <c:v>0.41512146115588</c:v>
                </c:pt>
                <c:pt idx="230">
                  <c:v>0.415825847370354</c:v>
                </c:pt>
                <c:pt idx="231">
                  <c:v>0.41653023358482799</c:v>
                </c:pt>
                <c:pt idx="232">
                  <c:v>0.41723461979930199</c:v>
                </c:pt>
                <c:pt idx="233">
                  <c:v>0.41793900601377598</c:v>
                </c:pt>
                <c:pt idx="234">
                  <c:v>0.41864339222824998</c:v>
                </c:pt>
                <c:pt idx="235">
                  <c:v>0.41934777844272397</c:v>
                </c:pt>
                <c:pt idx="236">
                  <c:v>0.42005216465719797</c:v>
                </c:pt>
                <c:pt idx="237">
                  <c:v>0.42075655087167196</c:v>
                </c:pt>
                <c:pt idx="238">
                  <c:v>0.42146093708614596</c:v>
                </c:pt>
                <c:pt idx="239">
                  <c:v>0.42216532330061995</c:v>
                </c:pt>
                <c:pt idx="240">
                  <c:v>0.42286970951509395</c:v>
                </c:pt>
                <c:pt idx="241">
                  <c:v>0.423574095729568</c:v>
                </c:pt>
                <c:pt idx="242">
                  <c:v>0.424278481944042</c:v>
                </c:pt>
                <c:pt idx="243">
                  <c:v>0.42498286815851599</c:v>
                </c:pt>
                <c:pt idx="244">
                  <c:v>0.42568725437298999</c:v>
                </c:pt>
                <c:pt idx="245">
                  <c:v>0.42639164058746398</c:v>
                </c:pt>
                <c:pt idx="246">
                  <c:v>0.42709602680193798</c:v>
                </c:pt>
                <c:pt idx="247">
                  <c:v>0.42780041301641203</c:v>
                </c:pt>
                <c:pt idx="248">
                  <c:v>0.42850479923088602</c:v>
                </c:pt>
                <c:pt idx="249">
                  <c:v>0.42920918544536002</c:v>
                </c:pt>
                <c:pt idx="250">
                  <c:v>0.42991357165983402</c:v>
                </c:pt>
                <c:pt idx="251">
                  <c:v>0.43061795787430801</c:v>
                </c:pt>
                <c:pt idx="252">
                  <c:v>0.43132234408878201</c:v>
                </c:pt>
                <c:pt idx="253">
                  <c:v>0.432026730303256</c:v>
                </c:pt>
                <c:pt idx="254">
                  <c:v>0.43273111651773</c:v>
                </c:pt>
                <c:pt idx="255">
                  <c:v>0.43343550273220399</c:v>
                </c:pt>
                <c:pt idx="256">
                  <c:v>0.43413988894667799</c:v>
                </c:pt>
                <c:pt idx="257">
                  <c:v>0.43484427516115198</c:v>
                </c:pt>
                <c:pt idx="258">
                  <c:v>0.43554866137562598</c:v>
                </c:pt>
                <c:pt idx="259">
                  <c:v>0.43625304759009997</c:v>
                </c:pt>
                <c:pt idx="260">
                  <c:v>0.43695743380457397</c:v>
                </c:pt>
                <c:pt idx="261">
                  <c:v>0.43766182001904796</c:v>
                </c:pt>
                <c:pt idx="262">
                  <c:v>0.43836620623352196</c:v>
                </c:pt>
                <c:pt idx="263">
                  <c:v>0.43907059244799596</c:v>
                </c:pt>
                <c:pt idx="264">
                  <c:v>0.43977497866246995</c:v>
                </c:pt>
                <c:pt idx="265">
                  <c:v>0.44047936487694395</c:v>
                </c:pt>
                <c:pt idx="266">
                  <c:v>0.441183751091418</c:v>
                </c:pt>
                <c:pt idx="267">
                  <c:v>0.44188813730589199</c:v>
                </c:pt>
                <c:pt idx="268">
                  <c:v>0.44259252352036599</c:v>
                </c:pt>
                <c:pt idx="269">
                  <c:v>0.44329690973483998</c:v>
                </c:pt>
                <c:pt idx="270">
                  <c:v>0.44400129594931398</c:v>
                </c:pt>
                <c:pt idx="271">
                  <c:v>0.44470568216378797</c:v>
                </c:pt>
                <c:pt idx="272">
                  <c:v>0.44541006837826203</c:v>
                </c:pt>
                <c:pt idx="273">
                  <c:v>0.44611445459273602</c:v>
                </c:pt>
                <c:pt idx="274">
                  <c:v>0.44681884080721002</c:v>
                </c:pt>
                <c:pt idx="275">
                  <c:v>0.44752322702168401</c:v>
                </c:pt>
                <c:pt idx="276">
                  <c:v>0.44822761323615801</c:v>
                </c:pt>
                <c:pt idx="277">
                  <c:v>0.448931999450632</c:v>
                </c:pt>
                <c:pt idx="278">
                  <c:v>0.449636385665106</c:v>
                </c:pt>
                <c:pt idx="279">
                  <c:v>0.45034077187957999</c:v>
                </c:pt>
                <c:pt idx="280">
                  <c:v>0.45104515809405399</c:v>
                </c:pt>
                <c:pt idx="281">
                  <c:v>0.45174954430852798</c:v>
                </c:pt>
                <c:pt idx="282">
                  <c:v>0.45245393052300198</c:v>
                </c:pt>
                <c:pt idx="283">
                  <c:v>0.45315831673747597</c:v>
                </c:pt>
                <c:pt idx="284">
                  <c:v>0.45386270295194997</c:v>
                </c:pt>
                <c:pt idx="285">
                  <c:v>0.45456708916642397</c:v>
                </c:pt>
                <c:pt idx="286">
                  <c:v>0.45527147538089796</c:v>
                </c:pt>
                <c:pt idx="287">
                  <c:v>0.45597586159537196</c:v>
                </c:pt>
                <c:pt idx="288">
                  <c:v>0.45668024780984595</c:v>
                </c:pt>
                <c:pt idx="289">
                  <c:v>0.45738463402431995</c:v>
                </c:pt>
                <c:pt idx="290">
                  <c:v>0.458089020238794</c:v>
                </c:pt>
                <c:pt idx="291">
                  <c:v>0.45879340645326799</c:v>
                </c:pt>
                <c:pt idx="292">
                  <c:v>0.45949779266774199</c:v>
                </c:pt>
                <c:pt idx="293">
                  <c:v>0.46020217888221598</c:v>
                </c:pt>
                <c:pt idx="294">
                  <c:v>0.46090656509668998</c:v>
                </c:pt>
                <c:pt idx="295">
                  <c:v>0.46161095131116398</c:v>
                </c:pt>
                <c:pt idx="296">
                  <c:v>0.46231533752563803</c:v>
                </c:pt>
                <c:pt idx="297">
                  <c:v>0.46301972374011202</c:v>
                </c:pt>
                <c:pt idx="298">
                  <c:v>0.46372410995458602</c:v>
                </c:pt>
                <c:pt idx="299">
                  <c:v>0.46442849616906001</c:v>
                </c:pt>
                <c:pt idx="300">
                  <c:v>0.46513288238353401</c:v>
                </c:pt>
                <c:pt idx="301">
                  <c:v>0.465837268598008</c:v>
                </c:pt>
                <c:pt idx="302">
                  <c:v>0.466541654812482</c:v>
                </c:pt>
                <c:pt idx="303">
                  <c:v>0.46724604102695599</c:v>
                </c:pt>
                <c:pt idx="304">
                  <c:v>0.46795042724142999</c:v>
                </c:pt>
                <c:pt idx="305">
                  <c:v>0.46865481345590398</c:v>
                </c:pt>
                <c:pt idx="306">
                  <c:v>0.46935919967037798</c:v>
                </c:pt>
                <c:pt idx="307">
                  <c:v>0.47006358588485198</c:v>
                </c:pt>
                <c:pt idx="308">
                  <c:v>0.47076797209932597</c:v>
                </c:pt>
                <c:pt idx="309">
                  <c:v>0.47147235831379997</c:v>
                </c:pt>
                <c:pt idx="310">
                  <c:v>0.47217674452827396</c:v>
                </c:pt>
                <c:pt idx="311">
                  <c:v>0.47288113074274796</c:v>
                </c:pt>
                <c:pt idx="312">
                  <c:v>0.47358551695722195</c:v>
                </c:pt>
                <c:pt idx="313">
                  <c:v>0.47428990317169595</c:v>
                </c:pt>
                <c:pt idx="314">
                  <c:v>0.47499428938617</c:v>
                </c:pt>
                <c:pt idx="315">
                  <c:v>0.47569867560064399</c:v>
                </c:pt>
                <c:pt idx="316">
                  <c:v>0.47640306181511799</c:v>
                </c:pt>
                <c:pt idx="317">
                  <c:v>0.47710744802959199</c:v>
                </c:pt>
                <c:pt idx="318">
                  <c:v>0.47781183424406598</c:v>
                </c:pt>
                <c:pt idx="319">
                  <c:v>0.47851622045853998</c:v>
                </c:pt>
                <c:pt idx="320">
                  <c:v>0.47922060667301397</c:v>
                </c:pt>
                <c:pt idx="321">
                  <c:v>0.47992499288748802</c:v>
                </c:pt>
                <c:pt idx="322">
                  <c:v>0.48062937910196202</c:v>
                </c:pt>
                <c:pt idx="323">
                  <c:v>0.48133376531643601</c:v>
                </c:pt>
                <c:pt idx="324">
                  <c:v>0.48203815153091001</c:v>
                </c:pt>
                <c:pt idx="325">
                  <c:v>0.482742537745384</c:v>
                </c:pt>
                <c:pt idx="326">
                  <c:v>0.483446923959858</c:v>
                </c:pt>
                <c:pt idx="327">
                  <c:v>0.48415131017433199</c:v>
                </c:pt>
                <c:pt idx="328">
                  <c:v>0.48485569638880599</c:v>
                </c:pt>
                <c:pt idx="329">
                  <c:v>0.48556008260327999</c:v>
                </c:pt>
                <c:pt idx="330">
                  <c:v>0.48626446881775398</c:v>
                </c:pt>
                <c:pt idx="331">
                  <c:v>0.48696885503222798</c:v>
                </c:pt>
                <c:pt idx="332">
                  <c:v>0.48767324124670197</c:v>
                </c:pt>
                <c:pt idx="333">
                  <c:v>0.48837762746117597</c:v>
                </c:pt>
                <c:pt idx="334">
                  <c:v>0.48908201367564996</c:v>
                </c:pt>
                <c:pt idx="335">
                  <c:v>0.48978639989012396</c:v>
                </c:pt>
                <c:pt idx="336">
                  <c:v>0.49049078610459795</c:v>
                </c:pt>
                <c:pt idx="337">
                  <c:v>0.49119517231907195</c:v>
                </c:pt>
                <c:pt idx="338">
                  <c:v>0.49189955853354594</c:v>
                </c:pt>
                <c:pt idx="339">
                  <c:v>0.49260394474802</c:v>
                </c:pt>
                <c:pt idx="340">
                  <c:v>0.49330833096249399</c:v>
                </c:pt>
                <c:pt idx="341">
                  <c:v>0.49401271717696799</c:v>
                </c:pt>
                <c:pt idx="342">
                  <c:v>0.49471710339144198</c:v>
                </c:pt>
                <c:pt idx="343">
                  <c:v>0.49542148960591598</c:v>
                </c:pt>
                <c:pt idx="344">
                  <c:v>0.49612587582038997</c:v>
                </c:pt>
                <c:pt idx="345">
                  <c:v>0.49683026203486402</c:v>
                </c:pt>
                <c:pt idx="346">
                  <c:v>0.49753464824933802</c:v>
                </c:pt>
                <c:pt idx="347">
                  <c:v>0.49823903446381201</c:v>
                </c:pt>
                <c:pt idx="348">
                  <c:v>0.49894342067828601</c:v>
                </c:pt>
                <c:pt idx="349">
                  <c:v>0.49964780689276</c:v>
                </c:pt>
                <c:pt idx="350">
                  <c:v>0.500352193107234</c:v>
                </c:pt>
                <c:pt idx="351">
                  <c:v>0.501056579321708</c:v>
                </c:pt>
                <c:pt idx="352">
                  <c:v>0.50176096553618199</c:v>
                </c:pt>
                <c:pt idx="353">
                  <c:v>0.50246535175065599</c:v>
                </c:pt>
                <c:pt idx="354">
                  <c:v>0.50316973796512998</c:v>
                </c:pt>
                <c:pt idx="355">
                  <c:v>0.50387412417960398</c:v>
                </c:pt>
                <c:pt idx="356">
                  <c:v>0.50457851039407797</c:v>
                </c:pt>
                <c:pt idx="357">
                  <c:v>0.50528289660855197</c:v>
                </c:pt>
                <c:pt idx="358">
                  <c:v>0.50598728282302596</c:v>
                </c:pt>
                <c:pt idx="359">
                  <c:v>0.50669166903749996</c:v>
                </c:pt>
                <c:pt idx="360">
                  <c:v>0.50739605525197407</c:v>
                </c:pt>
                <c:pt idx="361">
                  <c:v>0.50810044146644806</c:v>
                </c:pt>
                <c:pt idx="362">
                  <c:v>0.50880482768092206</c:v>
                </c:pt>
                <c:pt idx="363">
                  <c:v>0.50950921389539605</c:v>
                </c:pt>
                <c:pt idx="364">
                  <c:v>0.51021360010987005</c:v>
                </c:pt>
                <c:pt idx="365">
                  <c:v>0.51091798632434404</c:v>
                </c:pt>
                <c:pt idx="366">
                  <c:v>0.51162237253881804</c:v>
                </c:pt>
                <c:pt idx="367">
                  <c:v>0.51232675875329203</c:v>
                </c:pt>
                <c:pt idx="368">
                  <c:v>0.51303114496776603</c:v>
                </c:pt>
                <c:pt idx="369">
                  <c:v>0.51373553118224002</c:v>
                </c:pt>
                <c:pt idx="370">
                  <c:v>0.51443991739671402</c:v>
                </c:pt>
                <c:pt idx="371">
                  <c:v>0.51514430361118801</c:v>
                </c:pt>
                <c:pt idx="372">
                  <c:v>0.51584868982566201</c:v>
                </c:pt>
                <c:pt idx="373">
                  <c:v>0.51655307604013601</c:v>
                </c:pt>
                <c:pt idx="374">
                  <c:v>0.51725746225461</c:v>
                </c:pt>
                <c:pt idx="375">
                  <c:v>0.517961848469084</c:v>
                </c:pt>
                <c:pt idx="376">
                  <c:v>0.51866623468355799</c:v>
                </c:pt>
                <c:pt idx="377">
                  <c:v>0.51937062089803199</c:v>
                </c:pt>
                <c:pt idx="378">
                  <c:v>0.52007500711250598</c:v>
                </c:pt>
                <c:pt idx="379">
                  <c:v>0.52077939332697998</c:v>
                </c:pt>
                <c:pt idx="380">
                  <c:v>0.52148377954145397</c:v>
                </c:pt>
                <c:pt idx="381">
                  <c:v>0.52218816575592797</c:v>
                </c:pt>
                <c:pt idx="382">
                  <c:v>0.52289255197040196</c:v>
                </c:pt>
                <c:pt idx="383">
                  <c:v>0.52359693818487596</c:v>
                </c:pt>
                <c:pt idx="384">
                  <c:v>0.52430132439934996</c:v>
                </c:pt>
                <c:pt idx="385">
                  <c:v>0.52500571061382395</c:v>
                </c:pt>
                <c:pt idx="386">
                  <c:v>0.52571009682829795</c:v>
                </c:pt>
                <c:pt idx="387">
                  <c:v>0.52641448304277194</c:v>
                </c:pt>
                <c:pt idx="388">
                  <c:v>0.52711886925724594</c:v>
                </c:pt>
                <c:pt idx="389">
                  <c:v>0.52782325547171993</c:v>
                </c:pt>
                <c:pt idx="390">
                  <c:v>0.52852764168619393</c:v>
                </c:pt>
                <c:pt idx="391">
                  <c:v>0.52923202790066792</c:v>
                </c:pt>
                <c:pt idx="392">
                  <c:v>0.52993641411514192</c:v>
                </c:pt>
                <c:pt idx="393">
                  <c:v>0.53064080032961591</c:v>
                </c:pt>
                <c:pt idx="394">
                  <c:v>0.53134518654408991</c:v>
                </c:pt>
                <c:pt idx="395">
                  <c:v>0.5320495727585639</c:v>
                </c:pt>
                <c:pt idx="396">
                  <c:v>0.5327539589730379</c:v>
                </c:pt>
                <c:pt idx="397">
                  <c:v>0.53345834518751201</c:v>
                </c:pt>
                <c:pt idx="398">
                  <c:v>0.534162731401986</c:v>
                </c:pt>
                <c:pt idx="399">
                  <c:v>0.53486711761646</c:v>
                </c:pt>
                <c:pt idx="400">
                  <c:v>0.53557150383093399</c:v>
                </c:pt>
                <c:pt idx="401">
                  <c:v>0.53627589004540799</c:v>
                </c:pt>
                <c:pt idx="402">
                  <c:v>0.53698027625988198</c:v>
                </c:pt>
                <c:pt idx="403">
                  <c:v>0.53768466247435598</c:v>
                </c:pt>
                <c:pt idx="404">
                  <c:v>0.53838904868882997</c:v>
                </c:pt>
                <c:pt idx="405">
                  <c:v>0.53909343490330397</c:v>
                </c:pt>
                <c:pt idx="406">
                  <c:v>0.53979782111777797</c:v>
                </c:pt>
                <c:pt idx="407">
                  <c:v>0.54050220733225196</c:v>
                </c:pt>
                <c:pt idx="408">
                  <c:v>0.54120659354672596</c:v>
                </c:pt>
                <c:pt idx="409">
                  <c:v>0.54191097976120006</c:v>
                </c:pt>
                <c:pt idx="410">
                  <c:v>0.54261536597567406</c:v>
                </c:pt>
                <c:pt idx="411">
                  <c:v>0.54331975219014805</c:v>
                </c:pt>
                <c:pt idx="412">
                  <c:v>0.54402413840462205</c:v>
                </c:pt>
                <c:pt idx="413">
                  <c:v>0.54472852461909604</c:v>
                </c:pt>
                <c:pt idx="414">
                  <c:v>0.54543291083357004</c:v>
                </c:pt>
                <c:pt idx="415">
                  <c:v>0.54613729704804403</c:v>
                </c:pt>
                <c:pt idx="416">
                  <c:v>0.54684168326251803</c:v>
                </c:pt>
                <c:pt idx="417">
                  <c:v>0.54754606947699203</c:v>
                </c:pt>
                <c:pt idx="418">
                  <c:v>0.54825045569146602</c:v>
                </c:pt>
                <c:pt idx="419">
                  <c:v>0.54895484190594002</c:v>
                </c:pt>
                <c:pt idx="420">
                  <c:v>0.54965922812041401</c:v>
                </c:pt>
                <c:pt idx="421">
                  <c:v>0.55036361433488801</c:v>
                </c:pt>
                <c:pt idx="422">
                  <c:v>0.551068000549362</c:v>
                </c:pt>
                <c:pt idx="423">
                  <c:v>0.551772386763836</c:v>
                </c:pt>
                <c:pt idx="424">
                  <c:v>0.55247677297830999</c:v>
                </c:pt>
                <c:pt idx="425">
                  <c:v>0.55318115919278399</c:v>
                </c:pt>
                <c:pt idx="426">
                  <c:v>0.55388554540725798</c:v>
                </c:pt>
                <c:pt idx="427">
                  <c:v>0.55458993162173198</c:v>
                </c:pt>
                <c:pt idx="428">
                  <c:v>0.55529431783620598</c:v>
                </c:pt>
                <c:pt idx="429">
                  <c:v>0.55599870405067997</c:v>
                </c:pt>
                <c:pt idx="430">
                  <c:v>0.55670309026515397</c:v>
                </c:pt>
                <c:pt idx="431">
                  <c:v>0.55740747647962796</c:v>
                </c:pt>
                <c:pt idx="432">
                  <c:v>0.55811186269410196</c:v>
                </c:pt>
                <c:pt idx="433">
                  <c:v>0.55881624890857595</c:v>
                </c:pt>
                <c:pt idx="434">
                  <c:v>0.55952063512304995</c:v>
                </c:pt>
                <c:pt idx="435">
                  <c:v>0.56022502133752394</c:v>
                </c:pt>
                <c:pt idx="436">
                  <c:v>0.56092940755199794</c:v>
                </c:pt>
                <c:pt idx="437">
                  <c:v>0.56163379376647193</c:v>
                </c:pt>
                <c:pt idx="438">
                  <c:v>0.56233817998094593</c:v>
                </c:pt>
                <c:pt idx="439">
                  <c:v>0.56304256619541992</c:v>
                </c:pt>
                <c:pt idx="440">
                  <c:v>0.56374695240989392</c:v>
                </c:pt>
                <c:pt idx="441">
                  <c:v>0.56445133862436792</c:v>
                </c:pt>
                <c:pt idx="442">
                  <c:v>0.56515572483884191</c:v>
                </c:pt>
                <c:pt idx="443">
                  <c:v>0.56586011105331591</c:v>
                </c:pt>
                <c:pt idx="444">
                  <c:v>0.5665644972677899</c:v>
                </c:pt>
                <c:pt idx="445">
                  <c:v>0.56726888348226401</c:v>
                </c:pt>
                <c:pt idx="446">
                  <c:v>0.567973269696738</c:v>
                </c:pt>
                <c:pt idx="447">
                  <c:v>0.568677655911212</c:v>
                </c:pt>
                <c:pt idx="448">
                  <c:v>0.56938204212568599</c:v>
                </c:pt>
                <c:pt idx="449">
                  <c:v>0.57008642834015999</c:v>
                </c:pt>
                <c:pt idx="450">
                  <c:v>0.57079081455463399</c:v>
                </c:pt>
                <c:pt idx="451">
                  <c:v>0.57149520076910798</c:v>
                </c:pt>
                <c:pt idx="452">
                  <c:v>0.57219958698358198</c:v>
                </c:pt>
                <c:pt idx="453">
                  <c:v>0.57290397319805597</c:v>
                </c:pt>
                <c:pt idx="454">
                  <c:v>0.57360835941252997</c:v>
                </c:pt>
                <c:pt idx="455">
                  <c:v>0.57431274562700396</c:v>
                </c:pt>
                <c:pt idx="456">
                  <c:v>0.57501713184147796</c:v>
                </c:pt>
                <c:pt idx="457">
                  <c:v>0.57572151805595195</c:v>
                </c:pt>
                <c:pt idx="458">
                  <c:v>0.57642590427042606</c:v>
                </c:pt>
                <c:pt idx="459">
                  <c:v>0.57713029048490005</c:v>
                </c:pt>
                <c:pt idx="460">
                  <c:v>0.57783467669937405</c:v>
                </c:pt>
                <c:pt idx="461">
                  <c:v>0.57853906291384805</c:v>
                </c:pt>
                <c:pt idx="462">
                  <c:v>0.57924344912832204</c:v>
                </c:pt>
                <c:pt idx="463">
                  <c:v>0.57994783534279604</c:v>
                </c:pt>
                <c:pt idx="464">
                  <c:v>0.58065222155727003</c:v>
                </c:pt>
                <c:pt idx="465">
                  <c:v>0.58135660777174403</c:v>
                </c:pt>
                <c:pt idx="466">
                  <c:v>0.58206099398621802</c:v>
                </c:pt>
                <c:pt idx="467">
                  <c:v>0.58276538020069202</c:v>
                </c:pt>
                <c:pt idx="468">
                  <c:v>0.58346976641516601</c:v>
                </c:pt>
                <c:pt idx="469">
                  <c:v>0.58417415262964001</c:v>
                </c:pt>
                <c:pt idx="470">
                  <c:v>0.584878538844114</c:v>
                </c:pt>
                <c:pt idx="471">
                  <c:v>0.585582925058588</c:v>
                </c:pt>
                <c:pt idx="472">
                  <c:v>0.586287311273062</c:v>
                </c:pt>
                <c:pt idx="473">
                  <c:v>0.58699169748753599</c:v>
                </c:pt>
                <c:pt idx="474">
                  <c:v>0.58769608370200999</c:v>
                </c:pt>
                <c:pt idx="475">
                  <c:v>0.58840046991648398</c:v>
                </c:pt>
                <c:pt idx="476">
                  <c:v>0.58910485613095798</c:v>
                </c:pt>
                <c:pt idx="477">
                  <c:v>0.58980924234543197</c:v>
                </c:pt>
                <c:pt idx="478">
                  <c:v>0.59051362855990597</c:v>
                </c:pt>
                <c:pt idx="479">
                  <c:v>0.59121801477437996</c:v>
                </c:pt>
                <c:pt idx="480">
                  <c:v>0.59192240098885396</c:v>
                </c:pt>
                <c:pt idx="481">
                  <c:v>0.59262678720332795</c:v>
                </c:pt>
                <c:pt idx="482">
                  <c:v>0.59333117341780195</c:v>
                </c:pt>
                <c:pt idx="483">
                  <c:v>0.59403555963227594</c:v>
                </c:pt>
                <c:pt idx="484">
                  <c:v>0.59473994584674994</c:v>
                </c:pt>
                <c:pt idx="485">
                  <c:v>0.59544433206122394</c:v>
                </c:pt>
                <c:pt idx="486">
                  <c:v>0.59614871827569793</c:v>
                </c:pt>
                <c:pt idx="487">
                  <c:v>0.59685310449017193</c:v>
                </c:pt>
                <c:pt idx="488">
                  <c:v>0.59755749070464592</c:v>
                </c:pt>
                <c:pt idx="489">
                  <c:v>0.59826187691911992</c:v>
                </c:pt>
                <c:pt idx="490">
                  <c:v>0.59896626313359391</c:v>
                </c:pt>
                <c:pt idx="491">
                  <c:v>0.59967064934806791</c:v>
                </c:pt>
                <c:pt idx="492">
                  <c:v>0.6003750355625419</c:v>
                </c:pt>
                <c:pt idx="493">
                  <c:v>0.6010794217770159</c:v>
                </c:pt>
                <c:pt idx="494">
                  <c:v>0.60178380799149001</c:v>
                </c:pt>
                <c:pt idx="495">
                  <c:v>0.602488194205964</c:v>
                </c:pt>
                <c:pt idx="496">
                  <c:v>0.603192580420438</c:v>
                </c:pt>
                <c:pt idx="497">
                  <c:v>0.60389696663491199</c:v>
                </c:pt>
                <c:pt idx="498">
                  <c:v>0.60460135284938599</c:v>
                </c:pt>
                <c:pt idx="499">
                  <c:v>0.60530573906385998</c:v>
                </c:pt>
                <c:pt idx="500">
                  <c:v>0.60601012527833398</c:v>
                </c:pt>
                <c:pt idx="501">
                  <c:v>0.60671451149280797</c:v>
                </c:pt>
                <c:pt idx="502">
                  <c:v>0.60741889770728197</c:v>
                </c:pt>
                <c:pt idx="503">
                  <c:v>0.60812328392175596</c:v>
                </c:pt>
                <c:pt idx="504">
                  <c:v>0.60882767013622996</c:v>
                </c:pt>
                <c:pt idx="505">
                  <c:v>0.60953205635070395</c:v>
                </c:pt>
                <c:pt idx="506">
                  <c:v>0.61023644256517806</c:v>
                </c:pt>
                <c:pt idx="507">
                  <c:v>0.61094082877965206</c:v>
                </c:pt>
                <c:pt idx="508">
                  <c:v>0.61164521499412605</c:v>
                </c:pt>
                <c:pt idx="509">
                  <c:v>0.61234960120860005</c:v>
                </c:pt>
                <c:pt idx="510">
                  <c:v>0.61305398742307404</c:v>
                </c:pt>
                <c:pt idx="511">
                  <c:v>0.61375837363754804</c:v>
                </c:pt>
                <c:pt idx="512">
                  <c:v>0.61446275985202203</c:v>
                </c:pt>
                <c:pt idx="513">
                  <c:v>0.61516714606649603</c:v>
                </c:pt>
                <c:pt idx="514">
                  <c:v>0.61587153228097002</c:v>
                </c:pt>
                <c:pt idx="515">
                  <c:v>0.61657591849544402</c:v>
                </c:pt>
                <c:pt idx="516">
                  <c:v>0.61728030470991802</c:v>
                </c:pt>
                <c:pt idx="517">
                  <c:v>0.61798469092439201</c:v>
                </c:pt>
                <c:pt idx="518">
                  <c:v>0.61868907713886601</c:v>
                </c:pt>
                <c:pt idx="519">
                  <c:v>0.61939346335334</c:v>
                </c:pt>
                <c:pt idx="520">
                  <c:v>0.620097849567814</c:v>
                </c:pt>
                <c:pt idx="521">
                  <c:v>0.62080223578228799</c:v>
                </c:pt>
                <c:pt idx="522">
                  <c:v>0.62150662199676199</c:v>
                </c:pt>
                <c:pt idx="523">
                  <c:v>0.62221100821123598</c:v>
                </c:pt>
                <c:pt idx="524">
                  <c:v>0.62291539442570998</c:v>
                </c:pt>
                <c:pt idx="525">
                  <c:v>0.62361978064018397</c:v>
                </c:pt>
                <c:pt idx="526">
                  <c:v>0.62432416685465797</c:v>
                </c:pt>
                <c:pt idx="527">
                  <c:v>0.62502855306913196</c:v>
                </c:pt>
                <c:pt idx="528">
                  <c:v>0.62573293928360596</c:v>
                </c:pt>
                <c:pt idx="529">
                  <c:v>0.62643732549807996</c:v>
                </c:pt>
                <c:pt idx="530">
                  <c:v>0.62714171171255395</c:v>
                </c:pt>
                <c:pt idx="531">
                  <c:v>0.62784609792702795</c:v>
                </c:pt>
                <c:pt idx="532">
                  <c:v>0.62855048414150194</c:v>
                </c:pt>
                <c:pt idx="533">
                  <c:v>0.62925487035597594</c:v>
                </c:pt>
                <c:pt idx="534">
                  <c:v>0.62995925657044993</c:v>
                </c:pt>
                <c:pt idx="535">
                  <c:v>0.63066364278492393</c:v>
                </c:pt>
                <c:pt idx="536">
                  <c:v>0.63136802899939792</c:v>
                </c:pt>
                <c:pt idx="537">
                  <c:v>0.63207241521387192</c:v>
                </c:pt>
                <c:pt idx="538">
                  <c:v>0.63277680142834591</c:v>
                </c:pt>
                <c:pt idx="539">
                  <c:v>0.63348118764281991</c:v>
                </c:pt>
                <c:pt idx="540">
                  <c:v>0.6341855738572939</c:v>
                </c:pt>
                <c:pt idx="541">
                  <c:v>0.6348899600717679</c:v>
                </c:pt>
                <c:pt idx="542">
                  <c:v>0.6355943462862419</c:v>
                </c:pt>
                <c:pt idx="543">
                  <c:v>0.636298732500716</c:v>
                </c:pt>
                <c:pt idx="544">
                  <c:v>0.63700311871519</c:v>
                </c:pt>
                <c:pt idx="545">
                  <c:v>0.63770750492966399</c:v>
                </c:pt>
                <c:pt idx="546">
                  <c:v>0.63841189114413799</c:v>
                </c:pt>
                <c:pt idx="547">
                  <c:v>0.63911627735861198</c:v>
                </c:pt>
                <c:pt idx="548">
                  <c:v>0.63982066357308598</c:v>
                </c:pt>
                <c:pt idx="549">
                  <c:v>0.64052504978755997</c:v>
                </c:pt>
                <c:pt idx="550">
                  <c:v>0.64122943600203397</c:v>
                </c:pt>
                <c:pt idx="551">
                  <c:v>0.64193382221650797</c:v>
                </c:pt>
                <c:pt idx="552">
                  <c:v>0.64263820843098196</c:v>
                </c:pt>
                <c:pt idx="553">
                  <c:v>0.64334259464545596</c:v>
                </c:pt>
                <c:pt idx="554">
                  <c:v>0.64404698085992995</c:v>
                </c:pt>
                <c:pt idx="555">
                  <c:v>0.64475136707440406</c:v>
                </c:pt>
                <c:pt idx="556">
                  <c:v>0.64545575328887805</c:v>
                </c:pt>
                <c:pt idx="557">
                  <c:v>0.64616013950335205</c:v>
                </c:pt>
                <c:pt idx="558">
                  <c:v>0.64686452571782604</c:v>
                </c:pt>
                <c:pt idx="559">
                  <c:v>0.64756891193230004</c:v>
                </c:pt>
                <c:pt idx="560">
                  <c:v>0.64827329814677404</c:v>
                </c:pt>
                <c:pt idx="561">
                  <c:v>0.64897768436124803</c:v>
                </c:pt>
                <c:pt idx="562">
                  <c:v>0.64968207057572203</c:v>
                </c:pt>
                <c:pt idx="563">
                  <c:v>0.65038645679019602</c:v>
                </c:pt>
                <c:pt idx="564">
                  <c:v>0.65109084300467002</c:v>
                </c:pt>
                <c:pt idx="565">
                  <c:v>0.65179522921914401</c:v>
                </c:pt>
                <c:pt idx="566">
                  <c:v>0.65249961543361801</c:v>
                </c:pt>
                <c:pt idx="567">
                  <c:v>0.653204001648092</c:v>
                </c:pt>
                <c:pt idx="568">
                  <c:v>0.653908387862566</c:v>
                </c:pt>
                <c:pt idx="569">
                  <c:v>0.65461277407703999</c:v>
                </c:pt>
                <c:pt idx="570">
                  <c:v>0.65531716029151399</c:v>
                </c:pt>
                <c:pt idx="571">
                  <c:v>0.65602154650598798</c:v>
                </c:pt>
                <c:pt idx="572">
                  <c:v>0.65672593272046198</c:v>
                </c:pt>
                <c:pt idx="573">
                  <c:v>0.65743031893493598</c:v>
                </c:pt>
                <c:pt idx="574">
                  <c:v>0.65813470514940997</c:v>
                </c:pt>
                <c:pt idx="575">
                  <c:v>0.65883909136388397</c:v>
                </c:pt>
                <c:pt idx="576">
                  <c:v>0.65954347757835796</c:v>
                </c:pt>
                <c:pt idx="577">
                  <c:v>0.66024786379283196</c:v>
                </c:pt>
                <c:pt idx="578">
                  <c:v>0.66095225000730595</c:v>
                </c:pt>
                <c:pt idx="579">
                  <c:v>0.66165663622177995</c:v>
                </c:pt>
                <c:pt idx="580">
                  <c:v>0.66236102243625394</c:v>
                </c:pt>
                <c:pt idx="581">
                  <c:v>0.66306540865072794</c:v>
                </c:pt>
                <c:pt idx="582">
                  <c:v>0.66376979486520193</c:v>
                </c:pt>
                <c:pt idx="583">
                  <c:v>0.66447418107967593</c:v>
                </c:pt>
                <c:pt idx="584">
                  <c:v>0.66517856729414993</c:v>
                </c:pt>
                <c:pt idx="585">
                  <c:v>0.66588295350862392</c:v>
                </c:pt>
                <c:pt idx="586">
                  <c:v>0.66658733972309792</c:v>
                </c:pt>
                <c:pt idx="587">
                  <c:v>0.66729172593757191</c:v>
                </c:pt>
                <c:pt idx="588">
                  <c:v>0.66799611215204591</c:v>
                </c:pt>
                <c:pt idx="589">
                  <c:v>0.6687004983665199</c:v>
                </c:pt>
                <c:pt idx="590">
                  <c:v>0.6694048845809939</c:v>
                </c:pt>
                <c:pt idx="591">
                  <c:v>0.67010927079546789</c:v>
                </c:pt>
                <c:pt idx="592">
                  <c:v>0.670813657009942</c:v>
                </c:pt>
                <c:pt idx="593">
                  <c:v>0.67151804322441599</c:v>
                </c:pt>
                <c:pt idx="594">
                  <c:v>0.67222242943888999</c:v>
                </c:pt>
                <c:pt idx="595">
                  <c:v>0.67292681565336399</c:v>
                </c:pt>
                <c:pt idx="596">
                  <c:v>0.67363120186783798</c:v>
                </c:pt>
                <c:pt idx="597">
                  <c:v>0.67433558808231198</c:v>
                </c:pt>
                <c:pt idx="598">
                  <c:v>0.67503997429678597</c:v>
                </c:pt>
                <c:pt idx="599">
                  <c:v>0.67574436051125997</c:v>
                </c:pt>
                <c:pt idx="600">
                  <c:v>0.67644874672573396</c:v>
                </c:pt>
                <c:pt idx="601">
                  <c:v>0.67715313294020796</c:v>
                </c:pt>
                <c:pt idx="602">
                  <c:v>0.67785751915468195</c:v>
                </c:pt>
                <c:pt idx="603">
                  <c:v>0.67856190536915595</c:v>
                </c:pt>
                <c:pt idx="604">
                  <c:v>0.67926629158363006</c:v>
                </c:pt>
                <c:pt idx="605">
                  <c:v>0.67997067779810405</c:v>
                </c:pt>
                <c:pt idx="606">
                  <c:v>0.68067506401257805</c:v>
                </c:pt>
                <c:pt idx="607">
                  <c:v>0.68137945022705204</c:v>
                </c:pt>
                <c:pt idx="608">
                  <c:v>0.68208383644152604</c:v>
                </c:pt>
                <c:pt idx="609">
                  <c:v>0.68278822265600003</c:v>
                </c:pt>
                <c:pt idx="610">
                  <c:v>0.68349260887047403</c:v>
                </c:pt>
                <c:pt idx="611">
                  <c:v>0.68419699508494802</c:v>
                </c:pt>
                <c:pt idx="612">
                  <c:v>0.68490138129942202</c:v>
                </c:pt>
                <c:pt idx="613">
                  <c:v>0.68560576751389601</c:v>
                </c:pt>
                <c:pt idx="614">
                  <c:v>0.68631015372837001</c:v>
                </c:pt>
                <c:pt idx="615">
                  <c:v>0.687014539942844</c:v>
                </c:pt>
                <c:pt idx="616">
                  <c:v>0.687718926157318</c:v>
                </c:pt>
                <c:pt idx="617">
                  <c:v>0.688423312371792</c:v>
                </c:pt>
                <c:pt idx="618">
                  <c:v>0.68912769858626599</c:v>
                </c:pt>
                <c:pt idx="619">
                  <c:v>0.68983208480073999</c:v>
                </c:pt>
                <c:pt idx="620">
                  <c:v>0.69053647101521398</c:v>
                </c:pt>
                <c:pt idx="621">
                  <c:v>0.69124085722968798</c:v>
                </c:pt>
                <c:pt idx="622">
                  <c:v>0.69194524344416197</c:v>
                </c:pt>
                <c:pt idx="623">
                  <c:v>0.69264962965863597</c:v>
                </c:pt>
                <c:pt idx="624">
                  <c:v>0.69335401587310996</c:v>
                </c:pt>
                <c:pt idx="625">
                  <c:v>0.69405840208758396</c:v>
                </c:pt>
                <c:pt idx="626">
                  <c:v>0.69476278830205795</c:v>
                </c:pt>
                <c:pt idx="627">
                  <c:v>0.69546717451653195</c:v>
                </c:pt>
                <c:pt idx="628">
                  <c:v>0.69617156073100595</c:v>
                </c:pt>
                <c:pt idx="629">
                  <c:v>0.69687594694547994</c:v>
                </c:pt>
                <c:pt idx="630">
                  <c:v>0.69758033315995394</c:v>
                </c:pt>
                <c:pt idx="631">
                  <c:v>0.69828471937442793</c:v>
                </c:pt>
                <c:pt idx="632">
                  <c:v>0.69898910558890193</c:v>
                </c:pt>
                <c:pt idx="633">
                  <c:v>0.69969349180337592</c:v>
                </c:pt>
                <c:pt idx="634">
                  <c:v>0.70039787801784992</c:v>
                </c:pt>
                <c:pt idx="635">
                  <c:v>0.70110226423232391</c:v>
                </c:pt>
                <c:pt idx="636">
                  <c:v>0.70180665044679791</c:v>
                </c:pt>
                <c:pt idx="637">
                  <c:v>0.7025110366612719</c:v>
                </c:pt>
                <c:pt idx="638">
                  <c:v>0.7032154228757459</c:v>
                </c:pt>
                <c:pt idx="639">
                  <c:v>0.70391980909021989</c:v>
                </c:pt>
                <c:pt idx="640">
                  <c:v>0.70462419530469389</c:v>
                </c:pt>
                <c:pt idx="641">
                  <c:v>0.705328581519168</c:v>
                </c:pt>
                <c:pt idx="642">
                  <c:v>0.70603296773364199</c:v>
                </c:pt>
                <c:pt idx="643">
                  <c:v>0.70673735394811599</c:v>
                </c:pt>
                <c:pt idx="644">
                  <c:v>0.70744174016258998</c:v>
                </c:pt>
                <c:pt idx="645">
                  <c:v>0.70814612637706398</c:v>
                </c:pt>
                <c:pt idx="646">
                  <c:v>0.70885051259153797</c:v>
                </c:pt>
                <c:pt idx="647">
                  <c:v>0.70955489880601197</c:v>
                </c:pt>
                <c:pt idx="648">
                  <c:v>0.71025928502048596</c:v>
                </c:pt>
                <c:pt idx="649">
                  <c:v>0.71096367123495996</c:v>
                </c:pt>
                <c:pt idx="650">
                  <c:v>0.71166805744943396</c:v>
                </c:pt>
                <c:pt idx="651">
                  <c:v>0.71237244366390795</c:v>
                </c:pt>
                <c:pt idx="652">
                  <c:v>0.71307682987838195</c:v>
                </c:pt>
                <c:pt idx="653">
                  <c:v>0.71378121609285605</c:v>
                </c:pt>
                <c:pt idx="654">
                  <c:v>0.71448560230733005</c:v>
                </c:pt>
                <c:pt idx="655">
                  <c:v>0.71518998852180404</c:v>
                </c:pt>
                <c:pt idx="656">
                  <c:v>0.71589437473627804</c:v>
                </c:pt>
                <c:pt idx="657">
                  <c:v>0.71659876095075203</c:v>
                </c:pt>
                <c:pt idx="658">
                  <c:v>0.71730314716522603</c:v>
                </c:pt>
                <c:pt idx="659">
                  <c:v>0.71800753337970002</c:v>
                </c:pt>
                <c:pt idx="660">
                  <c:v>0.71871191959417402</c:v>
                </c:pt>
                <c:pt idx="661">
                  <c:v>0.71941630580864802</c:v>
                </c:pt>
                <c:pt idx="662">
                  <c:v>0.72012069202312201</c:v>
                </c:pt>
                <c:pt idx="663">
                  <c:v>0.72082507823759601</c:v>
                </c:pt>
                <c:pt idx="664">
                  <c:v>0.72152946445207</c:v>
                </c:pt>
                <c:pt idx="665">
                  <c:v>0.722233850666544</c:v>
                </c:pt>
                <c:pt idx="666">
                  <c:v>0.72293823688101799</c:v>
                </c:pt>
                <c:pt idx="667">
                  <c:v>0.72364262309549199</c:v>
                </c:pt>
                <c:pt idx="668">
                  <c:v>0.72434700930996598</c:v>
                </c:pt>
                <c:pt idx="669">
                  <c:v>0.72505139552443998</c:v>
                </c:pt>
                <c:pt idx="670">
                  <c:v>0.72575578173891397</c:v>
                </c:pt>
                <c:pt idx="671">
                  <c:v>0.72646016795338797</c:v>
                </c:pt>
                <c:pt idx="672">
                  <c:v>0.72716455416786197</c:v>
                </c:pt>
                <c:pt idx="673">
                  <c:v>0.72786894038233596</c:v>
                </c:pt>
                <c:pt idx="674">
                  <c:v>0.72857332659680996</c:v>
                </c:pt>
                <c:pt idx="675">
                  <c:v>0.72927771281128395</c:v>
                </c:pt>
                <c:pt idx="676">
                  <c:v>0.72998209902575795</c:v>
                </c:pt>
                <c:pt idx="677">
                  <c:v>0.73068648524023194</c:v>
                </c:pt>
                <c:pt idx="678">
                  <c:v>0.73139087145470594</c:v>
                </c:pt>
                <c:pt idx="679">
                  <c:v>0.73209525766917993</c:v>
                </c:pt>
                <c:pt idx="680">
                  <c:v>0.73279964388365393</c:v>
                </c:pt>
                <c:pt idx="681">
                  <c:v>0.73350403009812792</c:v>
                </c:pt>
                <c:pt idx="682">
                  <c:v>0.73420841631260192</c:v>
                </c:pt>
                <c:pt idx="683">
                  <c:v>0.73491280252707591</c:v>
                </c:pt>
                <c:pt idx="684">
                  <c:v>0.73561718874154991</c:v>
                </c:pt>
                <c:pt idx="685">
                  <c:v>0.73632157495602391</c:v>
                </c:pt>
                <c:pt idx="686">
                  <c:v>0.7370259611704979</c:v>
                </c:pt>
                <c:pt idx="687">
                  <c:v>0.7377303473849719</c:v>
                </c:pt>
                <c:pt idx="688">
                  <c:v>0.73843473359944589</c:v>
                </c:pt>
                <c:pt idx="689">
                  <c:v>0.73913911981392</c:v>
                </c:pt>
                <c:pt idx="690">
                  <c:v>0.73984350602839399</c:v>
                </c:pt>
                <c:pt idx="691">
                  <c:v>0.74054789224286799</c:v>
                </c:pt>
                <c:pt idx="692">
                  <c:v>0.74125227845734198</c:v>
                </c:pt>
                <c:pt idx="693">
                  <c:v>0.74195666467181598</c:v>
                </c:pt>
                <c:pt idx="694">
                  <c:v>0.74266105088628998</c:v>
                </c:pt>
                <c:pt idx="695">
                  <c:v>0.74336543710076397</c:v>
                </c:pt>
                <c:pt idx="696">
                  <c:v>0.74406982331523797</c:v>
                </c:pt>
                <c:pt idx="697">
                  <c:v>0.74477420952971196</c:v>
                </c:pt>
                <c:pt idx="698">
                  <c:v>0.74547859574418596</c:v>
                </c:pt>
                <c:pt idx="699">
                  <c:v>0.74618298195865995</c:v>
                </c:pt>
              </c:numCache>
            </c:numRef>
          </c:xVal>
          <c:yVal>
            <c:numRef>
              <c:f>Sheet5_HID!ydata4</c:f>
              <c:numCache>
                <c:formatCode>General</c:formatCode>
                <c:ptCount val="700"/>
                <c:pt idx="0">
                  <c:v>0.253817018041334</c:v>
                </c:pt>
                <c:pt idx="1">
                  <c:v>0.74618298195866595</c:v>
                </c:pt>
                <c:pt idx="2">
                  <c:v>0.253817018041334</c:v>
                </c:pt>
                <c:pt idx="3">
                  <c:v>0.74618298195866595</c:v>
                </c:pt>
                <c:pt idx="4">
                  <c:v>0.253817018041334</c:v>
                </c:pt>
                <c:pt idx="5">
                  <c:v>0.74618298195866595</c:v>
                </c:pt>
                <c:pt idx="6">
                  <c:v>0.253817018041334</c:v>
                </c:pt>
                <c:pt idx="7">
                  <c:v>0.74618298195866595</c:v>
                </c:pt>
                <c:pt idx="8">
                  <c:v>0.253817018041334</c:v>
                </c:pt>
                <c:pt idx="9">
                  <c:v>0.74618298195866595</c:v>
                </c:pt>
                <c:pt idx="10">
                  <c:v>0.253817018041334</c:v>
                </c:pt>
                <c:pt idx="11">
                  <c:v>0.74618298195866595</c:v>
                </c:pt>
                <c:pt idx="12">
                  <c:v>0.253817018041334</c:v>
                </c:pt>
                <c:pt idx="13">
                  <c:v>0.74618298195866595</c:v>
                </c:pt>
                <c:pt idx="14">
                  <c:v>0.253817018041334</c:v>
                </c:pt>
                <c:pt idx="15">
                  <c:v>0.74618298195866595</c:v>
                </c:pt>
                <c:pt idx="16">
                  <c:v>0.253817018041334</c:v>
                </c:pt>
                <c:pt idx="17">
                  <c:v>0.74618298195866595</c:v>
                </c:pt>
                <c:pt idx="18">
                  <c:v>0.253817018041334</c:v>
                </c:pt>
                <c:pt idx="19">
                  <c:v>0.74618298195866595</c:v>
                </c:pt>
                <c:pt idx="20">
                  <c:v>0.253817018041334</c:v>
                </c:pt>
                <c:pt idx="21">
                  <c:v>0.74618298195866595</c:v>
                </c:pt>
                <c:pt idx="22">
                  <c:v>0.253817018041334</c:v>
                </c:pt>
                <c:pt idx="23">
                  <c:v>0.74618298195866595</c:v>
                </c:pt>
                <c:pt idx="24">
                  <c:v>0.253817018041334</c:v>
                </c:pt>
                <c:pt idx="25">
                  <c:v>0.74618298195866595</c:v>
                </c:pt>
                <c:pt idx="26">
                  <c:v>0.253817018041334</c:v>
                </c:pt>
                <c:pt idx="27">
                  <c:v>0.74618298195866595</c:v>
                </c:pt>
                <c:pt idx="28">
                  <c:v>0.253817018041334</c:v>
                </c:pt>
                <c:pt idx="29">
                  <c:v>0.74618298195866595</c:v>
                </c:pt>
                <c:pt idx="30">
                  <c:v>0.253817018041334</c:v>
                </c:pt>
                <c:pt idx="31">
                  <c:v>0.74618298195866595</c:v>
                </c:pt>
                <c:pt idx="32">
                  <c:v>0.253817018041334</c:v>
                </c:pt>
                <c:pt idx="33">
                  <c:v>0.74618298195866595</c:v>
                </c:pt>
                <c:pt idx="34">
                  <c:v>0.253817018041334</c:v>
                </c:pt>
                <c:pt idx="35">
                  <c:v>0.74618298195866595</c:v>
                </c:pt>
                <c:pt idx="36">
                  <c:v>0.253817018041334</c:v>
                </c:pt>
                <c:pt idx="37">
                  <c:v>0.74618298195866595</c:v>
                </c:pt>
                <c:pt idx="38">
                  <c:v>0.253817018041334</c:v>
                </c:pt>
                <c:pt idx="39">
                  <c:v>0.74618298195866595</c:v>
                </c:pt>
                <c:pt idx="40">
                  <c:v>0.253817018041334</c:v>
                </c:pt>
                <c:pt idx="41">
                  <c:v>0.74618298195866595</c:v>
                </c:pt>
                <c:pt idx="42">
                  <c:v>0.253817018041334</c:v>
                </c:pt>
                <c:pt idx="43">
                  <c:v>0.74618298195866595</c:v>
                </c:pt>
                <c:pt idx="44">
                  <c:v>0.253817018041334</c:v>
                </c:pt>
                <c:pt idx="45">
                  <c:v>0.74618298195866595</c:v>
                </c:pt>
                <c:pt idx="46">
                  <c:v>0.253817018041334</c:v>
                </c:pt>
                <c:pt idx="47">
                  <c:v>0.74618298195866595</c:v>
                </c:pt>
                <c:pt idx="48">
                  <c:v>0.253817018041334</c:v>
                </c:pt>
                <c:pt idx="49">
                  <c:v>0.74618298195866595</c:v>
                </c:pt>
                <c:pt idx="50">
                  <c:v>0.253817018041334</c:v>
                </c:pt>
                <c:pt idx="51">
                  <c:v>0.74618298195866595</c:v>
                </c:pt>
                <c:pt idx="52">
                  <c:v>0.253817018041334</c:v>
                </c:pt>
                <c:pt idx="53">
                  <c:v>0.74618298195866595</c:v>
                </c:pt>
                <c:pt idx="54">
                  <c:v>0.253817018041334</c:v>
                </c:pt>
                <c:pt idx="55">
                  <c:v>0.74618298195866595</c:v>
                </c:pt>
                <c:pt idx="56">
                  <c:v>0.253817018041334</c:v>
                </c:pt>
                <c:pt idx="57">
                  <c:v>0.74618298195866595</c:v>
                </c:pt>
                <c:pt idx="58">
                  <c:v>0.253817018041334</c:v>
                </c:pt>
                <c:pt idx="59">
                  <c:v>0.74618298195866595</c:v>
                </c:pt>
                <c:pt idx="60">
                  <c:v>0.253817018041334</c:v>
                </c:pt>
                <c:pt idx="61">
                  <c:v>0.74618298195866595</c:v>
                </c:pt>
                <c:pt idx="62">
                  <c:v>0.253817018041334</c:v>
                </c:pt>
                <c:pt idx="63">
                  <c:v>0.74618298195866595</c:v>
                </c:pt>
                <c:pt idx="64">
                  <c:v>0.253817018041334</c:v>
                </c:pt>
                <c:pt idx="65">
                  <c:v>0.74618298195866595</c:v>
                </c:pt>
                <c:pt idx="66">
                  <c:v>0.253817018041334</c:v>
                </c:pt>
                <c:pt idx="67">
                  <c:v>0.74618298195866595</c:v>
                </c:pt>
                <c:pt idx="68">
                  <c:v>0.253817018041334</c:v>
                </c:pt>
                <c:pt idx="69">
                  <c:v>0.74618298195866595</c:v>
                </c:pt>
                <c:pt idx="70">
                  <c:v>0.253817018041334</c:v>
                </c:pt>
                <c:pt idx="71">
                  <c:v>0.74618298195866595</c:v>
                </c:pt>
                <c:pt idx="72">
                  <c:v>0.253817018041334</c:v>
                </c:pt>
                <c:pt idx="73">
                  <c:v>0.74618298195866595</c:v>
                </c:pt>
                <c:pt idx="74">
                  <c:v>0.253817018041334</c:v>
                </c:pt>
                <c:pt idx="75">
                  <c:v>0.74618298195866595</c:v>
                </c:pt>
                <c:pt idx="76">
                  <c:v>0.253817018041334</c:v>
                </c:pt>
                <c:pt idx="77">
                  <c:v>0.74618298195866595</c:v>
                </c:pt>
                <c:pt idx="78">
                  <c:v>0.253817018041334</c:v>
                </c:pt>
                <c:pt idx="79">
                  <c:v>0.74618298195866595</c:v>
                </c:pt>
                <c:pt idx="80">
                  <c:v>0.253817018041334</c:v>
                </c:pt>
                <c:pt idx="81">
                  <c:v>0.74618298195866595</c:v>
                </c:pt>
                <c:pt idx="82">
                  <c:v>0.253817018041334</c:v>
                </c:pt>
                <c:pt idx="83">
                  <c:v>0.74618298195866595</c:v>
                </c:pt>
                <c:pt idx="84">
                  <c:v>0.253817018041334</c:v>
                </c:pt>
                <c:pt idx="85">
                  <c:v>0.74618298195866595</c:v>
                </c:pt>
                <c:pt idx="86">
                  <c:v>0.253817018041334</c:v>
                </c:pt>
                <c:pt idx="87">
                  <c:v>0.74618298195866595</c:v>
                </c:pt>
                <c:pt idx="88">
                  <c:v>0.253817018041334</c:v>
                </c:pt>
                <c:pt idx="89">
                  <c:v>0.74618298195866595</c:v>
                </c:pt>
                <c:pt idx="90">
                  <c:v>0.253817018041334</c:v>
                </c:pt>
                <c:pt idx="91">
                  <c:v>0.74618298195866595</c:v>
                </c:pt>
                <c:pt idx="92">
                  <c:v>0.253817018041334</c:v>
                </c:pt>
                <c:pt idx="93">
                  <c:v>0.74618298195866595</c:v>
                </c:pt>
                <c:pt idx="94">
                  <c:v>0.253817018041334</c:v>
                </c:pt>
                <c:pt idx="95">
                  <c:v>0.74618298195866595</c:v>
                </c:pt>
                <c:pt idx="96">
                  <c:v>0.253817018041334</c:v>
                </c:pt>
                <c:pt idx="97">
                  <c:v>0.74618298195866595</c:v>
                </c:pt>
                <c:pt idx="98">
                  <c:v>0.253817018041334</c:v>
                </c:pt>
                <c:pt idx="99">
                  <c:v>0.74618298195866595</c:v>
                </c:pt>
                <c:pt idx="100">
                  <c:v>0.253817018041334</c:v>
                </c:pt>
                <c:pt idx="101">
                  <c:v>0.74618298195866595</c:v>
                </c:pt>
                <c:pt idx="102">
                  <c:v>0.253817018041334</c:v>
                </c:pt>
                <c:pt idx="103">
                  <c:v>0.74618298195866595</c:v>
                </c:pt>
                <c:pt idx="104">
                  <c:v>0.253817018041334</c:v>
                </c:pt>
                <c:pt idx="105">
                  <c:v>0.74618298195866595</c:v>
                </c:pt>
                <c:pt idx="106">
                  <c:v>0.253817018041334</c:v>
                </c:pt>
                <c:pt idx="107">
                  <c:v>0.74618298195866595</c:v>
                </c:pt>
                <c:pt idx="108">
                  <c:v>0.253817018041334</c:v>
                </c:pt>
                <c:pt idx="109">
                  <c:v>0.74618298195866595</c:v>
                </c:pt>
                <c:pt idx="110">
                  <c:v>0.253817018041334</c:v>
                </c:pt>
                <c:pt idx="111">
                  <c:v>0.74618298195866595</c:v>
                </c:pt>
                <c:pt idx="112">
                  <c:v>0.253817018041334</c:v>
                </c:pt>
                <c:pt idx="113">
                  <c:v>0.74618298195866595</c:v>
                </c:pt>
                <c:pt idx="114">
                  <c:v>0.253817018041334</c:v>
                </c:pt>
                <c:pt idx="115">
                  <c:v>0.74618298195866595</c:v>
                </c:pt>
                <c:pt idx="116">
                  <c:v>0.253817018041334</c:v>
                </c:pt>
                <c:pt idx="117">
                  <c:v>0.74618298195866595</c:v>
                </c:pt>
                <c:pt idx="118">
                  <c:v>0.253817018041334</c:v>
                </c:pt>
                <c:pt idx="119">
                  <c:v>0.74618298195866595</c:v>
                </c:pt>
                <c:pt idx="120">
                  <c:v>0.253817018041334</c:v>
                </c:pt>
                <c:pt idx="121">
                  <c:v>0.74618298195866595</c:v>
                </c:pt>
                <c:pt idx="122">
                  <c:v>0.253817018041334</c:v>
                </c:pt>
                <c:pt idx="123">
                  <c:v>0.74618298195866595</c:v>
                </c:pt>
                <c:pt idx="124">
                  <c:v>0.253817018041334</c:v>
                </c:pt>
                <c:pt idx="125">
                  <c:v>0.74618298195866595</c:v>
                </c:pt>
                <c:pt idx="126">
                  <c:v>0.253817018041334</c:v>
                </c:pt>
                <c:pt idx="127">
                  <c:v>0.74618298195866595</c:v>
                </c:pt>
                <c:pt idx="128">
                  <c:v>0.253817018041334</c:v>
                </c:pt>
                <c:pt idx="129">
                  <c:v>0.74618298195866595</c:v>
                </c:pt>
                <c:pt idx="130">
                  <c:v>0.253817018041334</c:v>
                </c:pt>
                <c:pt idx="131">
                  <c:v>0.74618298195866595</c:v>
                </c:pt>
                <c:pt idx="132">
                  <c:v>0.253817018041334</c:v>
                </c:pt>
                <c:pt idx="133">
                  <c:v>0.74618298195866595</c:v>
                </c:pt>
                <c:pt idx="134">
                  <c:v>0.253817018041334</c:v>
                </c:pt>
                <c:pt idx="135">
                  <c:v>0.74618298195866595</c:v>
                </c:pt>
                <c:pt idx="136">
                  <c:v>0.253817018041334</c:v>
                </c:pt>
                <c:pt idx="137">
                  <c:v>0.74618298195866595</c:v>
                </c:pt>
                <c:pt idx="138">
                  <c:v>0.253817018041334</c:v>
                </c:pt>
                <c:pt idx="139">
                  <c:v>0.74618298195866595</c:v>
                </c:pt>
                <c:pt idx="140">
                  <c:v>0.253817018041334</c:v>
                </c:pt>
                <c:pt idx="141">
                  <c:v>0.74618298195866595</c:v>
                </c:pt>
                <c:pt idx="142">
                  <c:v>0.253817018041334</c:v>
                </c:pt>
                <c:pt idx="143">
                  <c:v>0.74618298195866595</c:v>
                </c:pt>
                <c:pt idx="144">
                  <c:v>0.253817018041334</c:v>
                </c:pt>
                <c:pt idx="145">
                  <c:v>0.74618298195866595</c:v>
                </c:pt>
                <c:pt idx="146">
                  <c:v>0.253817018041334</c:v>
                </c:pt>
                <c:pt idx="147">
                  <c:v>0.74618298195866595</c:v>
                </c:pt>
                <c:pt idx="148">
                  <c:v>0.253817018041334</c:v>
                </c:pt>
                <c:pt idx="149">
                  <c:v>0.74618298195866595</c:v>
                </c:pt>
                <c:pt idx="150">
                  <c:v>0.253817018041334</c:v>
                </c:pt>
                <c:pt idx="151">
                  <c:v>0.74618298195866595</c:v>
                </c:pt>
                <c:pt idx="152">
                  <c:v>0.253817018041334</c:v>
                </c:pt>
                <c:pt idx="153">
                  <c:v>0.74618298195866595</c:v>
                </c:pt>
                <c:pt idx="154">
                  <c:v>0.253817018041334</c:v>
                </c:pt>
                <c:pt idx="155">
                  <c:v>0.74618298195866595</c:v>
                </c:pt>
                <c:pt idx="156">
                  <c:v>0.253817018041334</c:v>
                </c:pt>
                <c:pt idx="157">
                  <c:v>0.74618298195866595</c:v>
                </c:pt>
                <c:pt idx="158">
                  <c:v>0.253817018041334</c:v>
                </c:pt>
                <c:pt idx="159">
                  <c:v>0.74618298195866595</c:v>
                </c:pt>
                <c:pt idx="160">
                  <c:v>0.253817018041334</c:v>
                </c:pt>
                <c:pt idx="161">
                  <c:v>0.74618298195866595</c:v>
                </c:pt>
                <c:pt idx="162">
                  <c:v>0.253817018041334</c:v>
                </c:pt>
                <c:pt idx="163">
                  <c:v>0.74618298195866595</c:v>
                </c:pt>
                <c:pt idx="164">
                  <c:v>0.253817018041334</c:v>
                </c:pt>
                <c:pt idx="165">
                  <c:v>0.74618298195866595</c:v>
                </c:pt>
                <c:pt idx="166">
                  <c:v>0.253817018041334</c:v>
                </c:pt>
                <c:pt idx="167">
                  <c:v>0.74618298195866595</c:v>
                </c:pt>
                <c:pt idx="168">
                  <c:v>0.253817018041334</c:v>
                </c:pt>
                <c:pt idx="169">
                  <c:v>0.74618298195866595</c:v>
                </c:pt>
                <c:pt idx="170">
                  <c:v>0.253817018041334</c:v>
                </c:pt>
                <c:pt idx="171">
                  <c:v>0.74618298195866595</c:v>
                </c:pt>
                <c:pt idx="172">
                  <c:v>0.253817018041334</c:v>
                </c:pt>
                <c:pt idx="173">
                  <c:v>0.74618298195866595</c:v>
                </c:pt>
                <c:pt idx="174">
                  <c:v>0.253817018041334</c:v>
                </c:pt>
                <c:pt idx="175">
                  <c:v>0.74618298195866595</c:v>
                </c:pt>
                <c:pt idx="176">
                  <c:v>0.253817018041334</c:v>
                </c:pt>
                <c:pt idx="177">
                  <c:v>0.74618298195866595</c:v>
                </c:pt>
                <c:pt idx="178">
                  <c:v>0.253817018041334</c:v>
                </c:pt>
                <c:pt idx="179">
                  <c:v>0.74618298195866595</c:v>
                </c:pt>
                <c:pt idx="180">
                  <c:v>0.253817018041334</c:v>
                </c:pt>
                <c:pt idx="181">
                  <c:v>0.74618298195866595</c:v>
                </c:pt>
                <c:pt idx="182">
                  <c:v>0.253817018041334</c:v>
                </c:pt>
                <c:pt idx="183">
                  <c:v>0.74618298195866595</c:v>
                </c:pt>
                <c:pt idx="184">
                  <c:v>0.253817018041334</c:v>
                </c:pt>
                <c:pt idx="185">
                  <c:v>0.74618298195866595</c:v>
                </c:pt>
                <c:pt idx="186">
                  <c:v>0.253817018041334</c:v>
                </c:pt>
                <c:pt idx="187">
                  <c:v>0.74618298195866595</c:v>
                </c:pt>
                <c:pt idx="188">
                  <c:v>0.253817018041334</c:v>
                </c:pt>
                <c:pt idx="189">
                  <c:v>0.74618298195866595</c:v>
                </c:pt>
                <c:pt idx="190">
                  <c:v>0.253817018041334</c:v>
                </c:pt>
                <c:pt idx="191">
                  <c:v>0.74618298195866595</c:v>
                </c:pt>
                <c:pt idx="192">
                  <c:v>0.253817018041334</c:v>
                </c:pt>
                <c:pt idx="193">
                  <c:v>0.74618298195866595</c:v>
                </c:pt>
                <c:pt idx="194">
                  <c:v>0.253817018041334</c:v>
                </c:pt>
                <c:pt idx="195">
                  <c:v>0.74618298195866595</c:v>
                </c:pt>
                <c:pt idx="196">
                  <c:v>0.253817018041334</c:v>
                </c:pt>
                <c:pt idx="197">
                  <c:v>0.74618298195866595</c:v>
                </c:pt>
                <c:pt idx="198">
                  <c:v>0.253817018041334</c:v>
                </c:pt>
                <c:pt idx="199">
                  <c:v>0.74618298195866595</c:v>
                </c:pt>
                <c:pt idx="200">
                  <c:v>0.253817018041334</c:v>
                </c:pt>
                <c:pt idx="201">
                  <c:v>0.74618298195866595</c:v>
                </c:pt>
                <c:pt idx="202">
                  <c:v>0.253817018041334</c:v>
                </c:pt>
                <c:pt idx="203">
                  <c:v>0.74618298195866595</c:v>
                </c:pt>
                <c:pt idx="204">
                  <c:v>0.253817018041334</c:v>
                </c:pt>
                <c:pt idx="205">
                  <c:v>0.74618298195866595</c:v>
                </c:pt>
                <c:pt idx="206">
                  <c:v>0.253817018041334</c:v>
                </c:pt>
                <c:pt idx="207">
                  <c:v>0.74618298195866595</c:v>
                </c:pt>
                <c:pt idx="208">
                  <c:v>0.253817018041334</c:v>
                </c:pt>
                <c:pt idx="209">
                  <c:v>0.74618298195866595</c:v>
                </c:pt>
                <c:pt idx="210">
                  <c:v>0.253817018041334</c:v>
                </c:pt>
                <c:pt idx="211">
                  <c:v>0.74618298195866595</c:v>
                </c:pt>
                <c:pt idx="212">
                  <c:v>0.253817018041334</c:v>
                </c:pt>
                <c:pt idx="213">
                  <c:v>0.74618298195866595</c:v>
                </c:pt>
                <c:pt idx="214">
                  <c:v>0.253817018041334</c:v>
                </c:pt>
                <c:pt idx="215">
                  <c:v>0.74618298195866595</c:v>
                </c:pt>
                <c:pt idx="216">
                  <c:v>0.253817018041334</c:v>
                </c:pt>
                <c:pt idx="217">
                  <c:v>0.74618298195866595</c:v>
                </c:pt>
                <c:pt idx="218">
                  <c:v>0.253817018041334</c:v>
                </c:pt>
                <c:pt idx="219">
                  <c:v>0.74618298195866595</c:v>
                </c:pt>
                <c:pt idx="220">
                  <c:v>0.253817018041334</c:v>
                </c:pt>
                <c:pt idx="221">
                  <c:v>0.74618298195866595</c:v>
                </c:pt>
                <c:pt idx="222">
                  <c:v>0.253817018041334</c:v>
                </c:pt>
                <c:pt idx="223">
                  <c:v>0.74618298195866595</c:v>
                </c:pt>
                <c:pt idx="224">
                  <c:v>0.253817018041334</c:v>
                </c:pt>
                <c:pt idx="225">
                  <c:v>0.74618298195866595</c:v>
                </c:pt>
                <c:pt idx="226">
                  <c:v>0.253817018041334</c:v>
                </c:pt>
                <c:pt idx="227">
                  <c:v>0.74618298195866595</c:v>
                </c:pt>
                <c:pt idx="228">
                  <c:v>0.253817018041334</c:v>
                </c:pt>
                <c:pt idx="229">
                  <c:v>0.74618298195866595</c:v>
                </c:pt>
                <c:pt idx="230">
                  <c:v>0.253817018041334</c:v>
                </c:pt>
                <c:pt idx="231">
                  <c:v>0.74618298195866595</c:v>
                </c:pt>
                <c:pt idx="232">
                  <c:v>0.253817018041334</c:v>
                </c:pt>
                <c:pt idx="233">
                  <c:v>0.74618298195866595</c:v>
                </c:pt>
                <c:pt idx="234">
                  <c:v>0.253817018041334</c:v>
                </c:pt>
                <c:pt idx="235">
                  <c:v>0.74618298195866595</c:v>
                </c:pt>
                <c:pt idx="236">
                  <c:v>0.253817018041334</c:v>
                </c:pt>
                <c:pt idx="237">
                  <c:v>0.74618298195866595</c:v>
                </c:pt>
                <c:pt idx="238">
                  <c:v>0.253817018041334</c:v>
                </c:pt>
                <c:pt idx="239">
                  <c:v>0.74618298195866595</c:v>
                </c:pt>
                <c:pt idx="240">
                  <c:v>0.253817018041334</c:v>
                </c:pt>
                <c:pt idx="241">
                  <c:v>0.74618298195866595</c:v>
                </c:pt>
                <c:pt idx="242">
                  <c:v>0.253817018041334</c:v>
                </c:pt>
                <c:pt idx="243">
                  <c:v>0.74618298195866595</c:v>
                </c:pt>
                <c:pt idx="244">
                  <c:v>0.253817018041334</c:v>
                </c:pt>
                <c:pt idx="245">
                  <c:v>0.74618298195866595</c:v>
                </c:pt>
                <c:pt idx="246">
                  <c:v>0.253817018041334</c:v>
                </c:pt>
                <c:pt idx="247">
                  <c:v>0.74618298195866595</c:v>
                </c:pt>
                <c:pt idx="248">
                  <c:v>0.253817018041334</c:v>
                </c:pt>
                <c:pt idx="249">
                  <c:v>0.74618298195866595</c:v>
                </c:pt>
                <c:pt idx="250">
                  <c:v>0.253817018041334</c:v>
                </c:pt>
                <c:pt idx="251">
                  <c:v>0.74618298195866595</c:v>
                </c:pt>
                <c:pt idx="252">
                  <c:v>0.253817018041334</c:v>
                </c:pt>
                <c:pt idx="253">
                  <c:v>0.74618298195866595</c:v>
                </c:pt>
                <c:pt idx="254">
                  <c:v>0.253817018041334</c:v>
                </c:pt>
                <c:pt idx="255">
                  <c:v>0.74618298195866595</c:v>
                </c:pt>
                <c:pt idx="256">
                  <c:v>0.253817018041334</c:v>
                </c:pt>
                <c:pt idx="257">
                  <c:v>0.74618298195866595</c:v>
                </c:pt>
                <c:pt idx="258">
                  <c:v>0.253817018041334</c:v>
                </c:pt>
                <c:pt idx="259">
                  <c:v>0.74618298195866595</c:v>
                </c:pt>
                <c:pt idx="260">
                  <c:v>0.253817018041334</c:v>
                </c:pt>
                <c:pt idx="261">
                  <c:v>0.74618298195866595</c:v>
                </c:pt>
                <c:pt idx="262">
                  <c:v>0.253817018041334</c:v>
                </c:pt>
                <c:pt idx="263">
                  <c:v>0.74618298195866595</c:v>
                </c:pt>
                <c:pt idx="264">
                  <c:v>0.253817018041334</c:v>
                </c:pt>
                <c:pt idx="265">
                  <c:v>0.74618298195866595</c:v>
                </c:pt>
                <c:pt idx="266">
                  <c:v>0.253817018041334</c:v>
                </c:pt>
                <c:pt idx="267">
                  <c:v>0.74618298195866595</c:v>
                </c:pt>
                <c:pt idx="268">
                  <c:v>0.253817018041334</c:v>
                </c:pt>
                <c:pt idx="269">
                  <c:v>0.74618298195866595</c:v>
                </c:pt>
                <c:pt idx="270">
                  <c:v>0.253817018041334</c:v>
                </c:pt>
                <c:pt idx="271">
                  <c:v>0.74618298195866595</c:v>
                </c:pt>
                <c:pt idx="272">
                  <c:v>0.253817018041334</c:v>
                </c:pt>
                <c:pt idx="273">
                  <c:v>0.74618298195866595</c:v>
                </c:pt>
                <c:pt idx="274">
                  <c:v>0.253817018041334</c:v>
                </c:pt>
                <c:pt idx="275">
                  <c:v>0.74618298195866595</c:v>
                </c:pt>
                <c:pt idx="276">
                  <c:v>0.253817018041334</c:v>
                </c:pt>
                <c:pt idx="277">
                  <c:v>0.74618298195866595</c:v>
                </c:pt>
                <c:pt idx="278">
                  <c:v>0.253817018041334</c:v>
                </c:pt>
                <c:pt idx="279">
                  <c:v>0.74618298195866595</c:v>
                </c:pt>
                <c:pt idx="280">
                  <c:v>0.253817018041334</c:v>
                </c:pt>
                <c:pt idx="281">
                  <c:v>0.74618298195866595</c:v>
                </c:pt>
                <c:pt idx="282">
                  <c:v>0.253817018041334</c:v>
                </c:pt>
                <c:pt idx="283">
                  <c:v>0.74618298195866595</c:v>
                </c:pt>
                <c:pt idx="284">
                  <c:v>0.253817018041334</c:v>
                </c:pt>
                <c:pt idx="285">
                  <c:v>0.74618298195866595</c:v>
                </c:pt>
                <c:pt idx="286">
                  <c:v>0.253817018041334</c:v>
                </c:pt>
                <c:pt idx="287">
                  <c:v>0.74618298195866595</c:v>
                </c:pt>
                <c:pt idx="288">
                  <c:v>0.253817018041334</c:v>
                </c:pt>
                <c:pt idx="289">
                  <c:v>0.74618298195866595</c:v>
                </c:pt>
                <c:pt idx="290">
                  <c:v>0.253817018041334</c:v>
                </c:pt>
                <c:pt idx="291">
                  <c:v>0.74618298195866595</c:v>
                </c:pt>
                <c:pt idx="292">
                  <c:v>0.253817018041334</c:v>
                </c:pt>
                <c:pt idx="293">
                  <c:v>0.74618298195866595</c:v>
                </c:pt>
                <c:pt idx="294">
                  <c:v>0.253817018041334</c:v>
                </c:pt>
                <c:pt idx="295">
                  <c:v>0.74618298195866595</c:v>
                </c:pt>
                <c:pt idx="296">
                  <c:v>0.253817018041334</c:v>
                </c:pt>
                <c:pt idx="297">
                  <c:v>0.74618298195866595</c:v>
                </c:pt>
                <c:pt idx="298">
                  <c:v>0.253817018041334</c:v>
                </c:pt>
                <c:pt idx="299">
                  <c:v>0.74618298195866595</c:v>
                </c:pt>
                <c:pt idx="300">
                  <c:v>0.253817018041334</c:v>
                </c:pt>
                <c:pt idx="301">
                  <c:v>0.74618298195866595</c:v>
                </c:pt>
                <c:pt idx="302">
                  <c:v>0.253817018041334</c:v>
                </c:pt>
                <c:pt idx="303">
                  <c:v>0.74618298195866595</c:v>
                </c:pt>
                <c:pt idx="304">
                  <c:v>0.253817018041334</c:v>
                </c:pt>
                <c:pt idx="305">
                  <c:v>0.74618298195866595</c:v>
                </c:pt>
                <c:pt idx="306">
                  <c:v>0.253817018041334</c:v>
                </c:pt>
                <c:pt idx="307">
                  <c:v>0.74618298195866595</c:v>
                </c:pt>
                <c:pt idx="308">
                  <c:v>0.253817018041334</c:v>
                </c:pt>
                <c:pt idx="309">
                  <c:v>0.74618298195866595</c:v>
                </c:pt>
                <c:pt idx="310">
                  <c:v>0.253817018041334</c:v>
                </c:pt>
                <c:pt idx="311">
                  <c:v>0.74618298195866595</c:v>
                </c:pt>
                <c:pt idx="312">
                  <c:v>0.253817018041334</c:v>
                </c:pt>
                <c:pt idx="313">
                  <c:v>0.74618298195866595</c:v>
                </c:pt>
                <c:pt idx="314">
                  <c:v>0.253817018041334</c:v>
                </c:pt>
                <c:pt idx="315">
                  <c:v>0.74618298195866595</c:v>
                </c:pt>
                <c:pt idx="316">
                  <c:v>0.253817018041334</c:v>
                </c:pt>
                <c:pt idx="317">
                  <c:v>0.74618298195866595</c:v>
                </c:pt>
                <c:pt idx="318">
                  <c:v>0.253817018041334</c:v>
                </c:pt>
                <c:pt idx="319">
                  <c:v>0.74618298195866595</c:v>
                </c:pt>
                <c:pt idx="320">
                  <c:v>0.253817018041334</c:v>
                </c:pt>
                <c:pt idx="321">
                  <c:v>0.74618298195866595</c:v>
                </c:pt>
                <c:pt idx="322">
                  <c:v>0.253817018041334</c:v>
                </c:pt>
                <c:pt idx="323">
                  <c:v>0.74618298195866595</c:v>
                </c:pt>
                <c:pt idx="324">
                  <c:v>0.253817018041334</c:v>
                </c:pt>
                <c:pt idx="325">
                  <c:v>0.74618298195866595</c:v>
                </c:pt>
                <c:pt idx="326">
                  <c:v>0.253817018041334</c:v>
                </c:pt>
                <c:pt idx="327">
                  <c:v>0.74618298195866595</c:v>
                </c:pt>
                <c:pt idx="328">
                  <c:v>0.253817018041334</c:v>
                </c:pt>
                <c:pt idx="329">
                  <c:v>0.74618298195866595</c:v>
                </c:pt>
                <c:pt idx="330">
                  <c:v>0.253817018041334</c:v>
                </c:pt>
                <c:pt idx="331">
                  <c:v>0.74618298195866595</c:v>
                </c:pt>
                <c:pt idx="332">
                  <c:v>0.253817018041334</c:v>
                </c:pt>
                <c:pt idx="333">
                  <c:v>0.74618298195866595</c:v>
                </c:pt>
                <c:pt idx="334">
                  <c:v>0.253817018041334</c:v>
                </c:pt>
                <c:pt idx="335">
                  <c:v>0.74618298195866595</c:v>
                </c:pt>
                <c:pt idx="336">
                  <c:v>0.253817018041334</c:v>
                </c:pt>
                <c:pt idx="337">
                  <c:v>0.74618298195866595</c:v>
                </c:pt>
                <c:pt idx="338">
                  <c:v>0.253817018041334</c:v>
                </c:pt>
                <c:pt idx="339">
                  <c:v>0.74618298195866595</c:v>
                </c:pt>
                <c:pt idx="340">
                  <c:v>0.253817018041334</c:v>
                </c:pt>
                <c:pt idx="341">
                  <c:v>0.74618298195866595</c:v>
                </c:pt>
                <c:pt idx="342">
                  <c:v>0.253817018041334</c:v>
                </c:pt>
                <c:pt idx="343">
                  <c:v>0.74618298195866595</c:v>
                </c:pt>
                <c:pt idx="344">
                  <c:v>0.253817018041334</c:v>
                </c:pt>
                <c:pt idx="345">
                  <c:v>0.74618298195866595</c:v>
                </c:pt>
                <c:pt idx="346">
                  <c:v>0.253817018041334</c:v>
                </c:pt>
                <c:pt idx="347">
                  <c:v>0.74618298195866595</c:v>
                </c:pt>
                <c:pt idx="348">
                  <c:v>0.253817018041334</c:v>
                </c:pt>
                <c:pt idx="349">
                  <c:v>0.74618298195866595</c:v>
                </c:pt>
                <c:pt idx="350">
                  <c:v>0.253817018041334</c:v>
                </c:pt>
                <c:pt idx="351">
                  <c:v>0.74618298195866595</c:v>
                </c:pt>
                <c:pt idx="352">
                  <c:v>0.253817018041334</c:v>
                </c:pt>
                <c:pt idx="353">
                  <c:v>0.74618298195866595</c:v>
                </c:pt>
                <c:pt idx="354">
                  <c:v>0.253817018041334</c:v>
                </c:pt>
                <c:pt idx="355">
                  <c:v>0.74618298195866595</c:v>
                </c:pt>
                <c:pt idx="356">
                  <c:v>0.253817018041334</c:v>
                </c:pt>
                <c:pt idx="357">
                  <c:v>0.74618298195866595</c:v>
                </c:pt>
                <c:pt idx="358">
                  <c:v>0.253817018041334</c:v>
                </c:pt>
                <c:pt idx="359">
                  <c:v>0.74618298195866595</c:v>
                </c:pt>
                <c:pt idx="360">
                  <c:v>0.253817018041334</c:v>
                </c:pt>
                <c:pt idx="361">
                  <c:v>0.74618298195866595</c:v>
                </c:pt>
                <c:pt idx="362">
                  <c:v>0.253817018041334</c:v>
                </c:pt>
                <c:pt idx="363">
                  <c:v>0.74618298195866595</c:v>
                </c:pt>
                <c:pt idx="364">
                  <c:v>0.253817018041334</c:v>
                </c:pt>
                <c:pt idx="365">
                  <c:v>0.74618298195866595</c:v>
                </c:pt>
                <c:pt idx="366">
                  <c:v>0.253817018041334</c:v>
                </c:pt>
                <c:pt idx="367">
                  <c:v>0.74618298195866595</c:v>
                </c:pt>
                <c:pt idx="368">
                  <c:v>0.253817018041334</c:v>
                </c:pt>
                <c:pt idx="369">
                  <c:v>0.74618298195866595</c:v>
                </c:pt>
                <c:pt idx="370">
                  <c:v>0.253817018041334</c:v>
                </c:pt>
                <c:pt idx="371">
                  <c:v>0.74618298195866595</c:v>
                </c:pt>
                <c:pt idx="372">
                  <c:v>0.253817018041334</c:v>
                </c:pt>
                <c:pt idx="373">
                  <c:v>0.74618298195866595</c:v>
                </c:pt>
                <c:pt idx="374">
                  <c:v>0.253817018041334</c:v>
                </c:pt>
                <c:pt idx="375">
                  <c:v>0.74618298195866595</c:v>
                </c:pt>
                <c:pt idx="376">
                  <c:v>0.253817018041334</c:v>
                </c:pt>
                <c:pt idx="377">
                  <c:v>0.74618298195866595</c:v>
                </c:pt>
                <c:pt idx="378">
                  <c:v>0.253817018041334</c:v>
                </c:pt>
                <c:pt idx="379">
                  <c:v>0.74618298195866595</c:v>
                </c:pt>
                <c:pt idx="380">
                  <c:v>0.253817018041334</c:v>
                </c:pt>
                <c:pt idx="381">
                  <c:v>0.74618298195866595</c:v>
                </c:pt>
                <c:pt idx="382">
                  <c:v>0.253817018041334</c:v>
                </c:pt>
                <c:pt idx="383">
                  <c:v>0.74618298195866595</c:v>
                </c:pt>
                <c:pt idx="384">
                  <c:v>0.253817018041334</c:v>
                </c:pt>
                <c:pt idx="385">
                  <c:v>0.74618298195866595</c:v>
                </c:pt>
                <c:pt idx="386">
                  <c:v>0.253817018041334</c:v>
                </c:pt>
                <c:pt idx="387">
                  <c:v>0.74618298195866595</c:v>
                </c:pt>
                <c:pt idx="388">
                  <c:v>0.253817018041334</c:v>
                </c:pt>
                <c:pt idx="389">
                  <c:v>0.74618298195866595</c:v>
                </c:pt>
                <c:pt idx="390">
                  <c:v>0.253817018041334</c:v>
                </c:pt>
                <c:pt idx="391">
                  <c:v>0.74618298195866595</c:v>
                </c:pt>
                <c:pt idx="392">
                  <c:v>0.253817018041334</c:v>
                </c:pt>
                <c:pt idx="393">
                  <c:v>0.74618298195866595</c:v>
                </c:pt>
                <c:pt idx="394">
                  <c:v>0.253817018041334</c:v>
                </c:pt>
                <c:pt idx="395">
                  <c:v>0.74618298195866595</c:v>
                </c:pt>
                <c:pt idx="396">
                  <c:v>0.253817018041334</c:v>
                </c:pt>
                <c:pt idx="397">
                  <c:v>0.74618298195866595</c:v>
                </c:pt>
                <c:pt idx="398">
                  <c:v>0.253817018041334</c:v>
                </c:pt>
                <c:pt idx="399">
                  <c:v>0.74618298195866595</c:v>
                </c:pt>
                <c:pt idx="400">
                  <c:v>0.253817018041334</c:v>
                </c:pt>
                <c:pt idx="401">
                  <c:v>0.74618298195866595</c:v>
                </c:pt>
                <c:pt idx="402">
                  <c:v>0.253817018041334</c:v>
                </c:pt>
                <c:pt idx="403">
                  <c:v>0.74618298195866595</c:v>
                </c:pt>
                <c:pt idx="404">
                  <c:v>0.253817018041334</c:v>
                </c:pt>
                <c:pt idx="405">
                  <c:v>0.74618298195866595</c:v>
                </c:pt>
                <c:pt idx="406">
                  <c:v>0.253817018041334</c:v>
                </c:pt>
                <c:pt idx="407">
                  <c:v>0.74618298195866595</c:v>
                </c:pt>
                <c:pt idx="408">
                  <c:v>0.253817018041334</c:v>
                </c:pt>
                <c:pt idx="409">
                  <c:v>0.74618298195866595</c:v>
                </c:pt>
                <c:pt idx="410">
                  <c:v>0.253817018041334</c:v>
                </c:pt>
                <c:pt idx="411">
                  <c:v>0.74618298195866595</c:v>
                </c:pt>
                <c:pt idx="412">
                  <c:v>0.253817018041334</c:v>
                </c:pt>
                <c:pt idx="413">
                  <c:v>0.74618298195866595</c:v>
                </c:pt>
                <c:pt idx="414">
                  <c:v>0.253817018041334</c:v>
                </c:pt>
                <c:pt idx="415">
                  <c:v>0.74618298195866595</c:v>
                </c:pt>
                <c:pt idx="416">
                  <c:v>0.253817018041334</c:v>
                </c:pt>
                <c:pt idx="417">
                  <c:v>0.74618298195866595</c:v>
                </c:pt>
                <c:pt idx="418">
                  <c:v>0.253817018041334</c:v>
                </c:pt>
                <c:pt idx="419">
                  <c:v>0.74618298195866595</c:v>
                </c:pt>
                <c:pt idx="420">
                  <c:v>0.253817018041334</c:v>
                </c:pt>
                <c:pt idx="421">
                  <c:v>0.74618298195866595</c:v>
                </c:pt>
                <c:pt idx="422">
                  <c:v>0.253817018041334</c:v>
                </c:pt>
                <c:pt idx="423">
                  <c:v>0.74618298195866595</c:v>
                </c:pt>
                <c:pt idx="424">
                  <c:v>0.253817018041334</c:v>
                </c:pt>
                <c:pt idx="425">
                  <c:v>0.74618298195866595</c:v>
                </c:pt>
                <c:pt idx="426">
                  <c:v>0.253817018041334</c:v>
                </c:pt>
                <c:pt idx="427">
                  <c:v>0.74618298195866595</c:v>
                </c:pt>
                <c:pt idx="428">
                  <c:v>0.253817018041334</c:v>
                </c:pt>
                <c:pt idx="429">
                  <c:v>0.74618298195866595</c:v>
                </c:pt>
                <c:pt idx="430">
                  <c:v>0.253817018041334</c:v>
                </c:pt>
                <c:pt idx="431">
                  <c:v>0.74618298195866595</c:v>
                </c:pt>
                <c:pt idx="432">
                  <c:v>0.253817018041334</c:v>
                </c:pt>
                <c:pt idx="433">
                  <c:v>0.74618298195866595</c:v>
                </c:pt>
                <c:pt idx="434">
                  <c:v>0.253817018041334</c:v>
                </c:pt>
                <c:pt idx="435">
                  <c:v>0.74618298195866595</c:v>
                </c:pt>
                <c:pt idx="436">
                  <c:v>0.253817018041334</c:v>
                </c:pt>
                <c:pt idx="437">
                  <c:v>0.74618298195866595</c:v>
                </c:pt>
                <c:pt idx="438">
                  <c:v>0.253817018041334</c:v>
                </c:pt>
                <c:pt idx="439">
                  <c:v>0.74618298195866595</c:v>
                </c:pt>
                <c:pt idx="440">
                  <c:v>0.253817018041334</c:v>
                </c:pt>
                <c:pt idx="441">
                  <c:v>0.74618298195866595</c:v>
                </c:pt>
                <c:pt idx="442">
                  <c:v>0.253817018041334</c:v>
                </c:pt>
                <c:pt idx="443">
                  <c:v>0.74618298195866595</c:v>
                </c:pt>
                <c:pt idx="444">
                  <c:v>0.253817018041334</c:v>
                </c:pt>
                <c:pt idx="445">
                  <c:v>0.74618298195866595</c:v>
                </c:pt>
                <c:pt idx="446">
                  <c:v>0.253817018041334</c:v>
                </c:pt>
                <c:pt idx="447">
                  <c:v>0.74618298195866595</c:v>
                </c:pt>
                <c:pt idx="448">
                  <c:v>0.253817018041334</c:v>
                </c:pt>
                <c:pt idx="449">
                  <c:v>0.74618298195866595</c:v>
                </c:pt>
                <c:pt idx="450">
                  <c:v>0.253817018041334</c:v>
                </c:pt>
                <c:pt idx="451">
                  <c:v>0.74618298195866595</c:v>
                </c:pt>
                <c:pt idx="452">
                  <c:v>0.253817018041334</c:v>
                </c:pt>
                <c:pt idx="453">
                  <c:v>0.74618298195866595</c:v>
                </c:pt>
                <c:pt idx="454">
                  <c:v>0.253817018041334</c:v>
                </c:pt>
                <c:pt idx="455">
                  <c:v>0.74618298195866595</c:v>
                </c:pt>
                <c:pt idx="456">
                  <c:v>0.253817018041334</c:v>
                </c:pt>
                <c:pt idx="457">
                  <c:v>0.74618298195866595</c:v>
                </c:pt>
                <c:pt idx="458">
                  <c:v>0.253817018041334</c:v>
                </c:pt>
                <c:pt idx="459">
                  <c:v>0.74618298195866595</c:v>
                </c:pt>
                <c:pt idx="460">
                  <c:v>0.253817018041334</c:v>
                </c:pt>
                <c:pt idx="461">
                  <c:v>0.74618298195866595</c:v>
                </c:pt>
                <c:pt idx="462">
                  <c:v>0.253817018041334</c:v>
                </c:pt>
                <c:pt idx="463">
                  <c:v>0.74618298195866595</c:v>
                </c:pt>
                <c:pt idx="464">
                  <c:v>0.253817018041334</c:v>
                </c:pt>
                <c:pt idx="465">
                  <c:v>0.74618298195866595</c:v>
                </c:pt>
                <c:pt idx="466">
                  <c:v>0.253817018041334</c:v>
                </c:pt>
                <c:pt idx="467">
                  <c:v>0.74618298195866595</c:v>
                </c:pt>
                <c:pt idx="468">
                  <c:v>0.253817018041334</c:v>
                </c:pt>
                <c:pt idx="469">
                  <c:v>0.74618298195866595</c:v>
                </c:pt>
                <c:pt idx="470">
                  <c:v>0.253817018041334</c:v>
                </c:pt>
                <c:pt idx="471">
                  <c:v>0.74618298195866595</c:v>
                </c:pt>
                <c:pt idx="472">
                  <c:v>0.253817018041334</c:v>
                </c:pt>
                <c:pt idx="473">
                  <c:v>0.74618298195866595</c:v>
                </c:pt>
                <c:pt idx="474">
                  <c:v>0.253817018041334</c:v>
                </c:pt>
                <c:pt idx="475">
                  <c:v>0.74618298195866595</c:v>
                </c:pt>
                <c:pt idx="476">
                  <c:v>0.253817018041334</c:v>
                </c:pt>
                <c:pt idx="477">
                  <c:v>0.74618298195866595</c:v>
                </c:pt>
                <c:pt idx="478">
                  <c:v>0.253817018041334</c:v>
                </c:pt>
                <c:pt idx="479">
                  <c:v>0.74618298195866595</c:v>
                </c:pt>
                <c:pt idx="480">
                  <c:v>0.253817018041334</c:v>
                </c:pt>
                <c:pt idx="481">
                  <c:v>0.74618298195866595</c:v>
                </c:pt>
                <c:pt idx="482">
                  <c:v>0.253817018041334</c:v>
                </c:pt>
                <c:pt idx="483">
                  <c:v>0.74618298195866595</c:v>
                </c:pt>
                <c:pt idx="484">
                  <c:v>0.253817018041334</c:v>
                </c:pt>
                <c:pt idx="485">
                  <c:v>0.74618298195866595</c:v>
                </c:pt>
                <c:pt idx="486">
                  <c:v>0.253817018041334</c:v>
                </c:pt>
                <c:pt idx="487">
                  <c:v>0.74618298195866595</c:v>
                </c:pt>
                <c:pt idx="488">
                  <c:v>0.253817018041334</c:v>
                </c:pt>
                <c:pt idx="489">
                  <c:v>0.74618298195866595</c:v>
                </c:pt>
                <c:pt idx="490">
                  <c:v>0.253817018041334</c:v>
                </c:pt>
                <c:pt idx="491">
                  <c:v>0.74618298195866595</c:v>
                </c:pt>
                <c:pt idx="492">
                  <c:v>0.253817018041334</c:v>
                </c:pt>
                <c:pt idx="493">
                  <c:v>0.74618298195866595</c:v>
                </c:pt>
                <c:pt idx="494">
                  <c:v>0.253817018041334</c:v>
                </c:pt>
                <c:pt idx="495">
                  <c:v>0.74618298195866595</c:v>
                </c:pt>
                <c:pt idx="496">
                  <c:v>0.253817018041334</c:v>
                </c:pt>
                <c:pt idx="497">
                  <c:v>0.74618298195866595</c:v>
                </c:pt>
                <c:pt idx="498">
                  <c:v>0.253817018041334</c:v>
                </c:pt>
                <c:pt idx="499">
                  <c:v>0.74618298195866595</c:v>
                </c:pt>
                <c:pt idx="500">
                  <c:v>0.253817018041334</c:v>
                </c:pt>
                <c:pt idx="501">
                  <c:v>0.74618298195866595</c:v>
                </c:pt>
                <c:pt idx="502">
                  <c:v>0.253817018041334</c:v>
                </c:pt>
                <c:pt idx="503">
                  <c:v>0.74618298195866595</c:v>
                </c:pt>
                <c:pt idx="504">
                  <c:v>0.253817018041334</c:v>
                </c:pt>
                <c:pt idx="505">
                  <c:v>0.74618298195866595</c:v>
                </c:pt>
                <c:pt idx="506">
                  <c:v>0.253817018041334</c:v>
                </c:pt>
                <c:pt idx="507">
                  <c:v>0.74618298195866595</c:v>
                </c:pt>
                <c:pt idx="508">
                  <c:v>0.253817018041334</c:v>
                </c:pt>
                <c:pt idx="509">
                  <c:v>0.74618298195866595</c:v>
                </c:pt>
                <c:pt idx="510">
                  <c:v>0.253817018041334</c:v>
                </c:pt>
                <c:pt idx="511">
                  <c:v>0.74618298195866595</c:v>
                </c:pt>
                <c:pt idx="512">
                  <c:v>0.253817018041334</c:v>
                </c:pt>
                <c:pt idx="513">
                  <c:v>0.74618298195866595</c:v>
                </c:pt>
                <c:pt idx="514">
                  <c:v>0.253817018041334</c:v>
                </c:pt>
                <c:pt idx="515">
                  <c:v>0.74618298195866595</c:v>
                </c:pt>
                <c:pt idx="516">
                  <c:v>0.253817018041334</c:v>
                </c:pt>
                <c:pt idx="517">
                  <c:v>0.74618298195866595</c:v>
                </c:pt>
                <c:pt idx="518">
                  <c:v>0.253817018041334</c:v>
                </c:pt>
                <c:pt idx="519">
                  <c:v>0.74618298195866595</c:v>
                </c:pt>
                <c:pt idx="520">
                  <c:v>0.253817018041334</c:v>
                </c:pt>
                <c:pt idx="521">
                  <c:v>0.74618298195866595</c:v>
                </c:pt>
                <c:pt idx="522">
                  <c:v>0.253817018041334</c:v>
                </c:pt>
                <c:pt idx="523">
                  <c:v>0.74618298195866595</c:v>
                </c:pt>
                <c:pt idx="524">
                  <c:v>0.253817018041334</c:v>
                </c:pt>
                <c:pt idx="525">
                  <c:v>0.74618298195866595</c:v>
                </c:pt>
                <c:pt idx="526">
                  <c:v>0.253817018041334</c:v>
                </c:pt>
                <c:pt idx="527">
                  <c:v>0.74618298195866595</c:v>
                </c:pt>
                <c:pt idx="528">
                  <c:v>0.253817018041334</c:v>
                </c:pt>
                <c:pt idx="529">
                  <c:v>0.74618298195866595</c:v>
                </c:pt>
                <c:pt idx="530">
                  <c:v>0.253817018041334</c:v>
                </c:pt>
                <c:pt idx="531">
                  <c:v>0.74618298195866595</c:v>
                </c:pt>
                <c:pt idx="532">
                  <c:v>0.253817018041334</c:v>
                </c:pt>
                <c:pt idx="533">
                  <c:v>0.74618298195866595</c:v>
                </c:pt>
                <c:pt idx="534">
                  <c:v>0.253817018041334</c:v>
                </c:pt>
                <c:pt idx="535">
                  <c:v>0.74618298195866595</c:v>
                </c:pt>
                <c:pt idx="536">
                  <c:v>0.253817018041334</c:v>
                </c:pt>
                <c:pt idx="537">
                  <c:v>0.74618298195866595</c:v>
                </c:pt>
                <c:pt idx="538">
                  <c:v>0.253817018041334</c:v>
                </c:pt>
                <c:pt idx="539">
                  <c:v>0.74618298195866595</c:v>
                </c:pt>
                <c:pt idx="540">
                  <c:v>0.253817018041334</c:v>
                </c:pt>
                <c:pt idx="541">
                  <c:v>0.74618298195866595</c:v>
                </c:pt>
                <c:pt idx="542">
                  <c:v>0.253817018041334</c:v>
                </c:pt>
                <c:pt idx="543">
                  <c:v>0.74618298195866595</c:v>
                </c:pt>
                <c:pt idx="544">
                  <c:v>0.253817018041334</c:v>
                </c:pt>
                <c:pt idx="545">
                  <c:v>0.74618298195866595</c:v>
                </c:pt>
                <c:pt idx="546">
                  <c:v>0.253817018041334</c:v>
                </c:pt>
                <c:pt idx="547">
                  <c:v>0.74618298195866595</c:v>
                </c:pt>
                <c:pt idx="548">
                  <c:v>0.253817018041334</c:v>
                </c:pt>
                <c:pt idx="549">
                  <c:v>0.74618298195866595</c:v>
                </c:pt>
                <c:pt idx="550">
                  <c:v>0.253817018041334</c:v>
                </c:pt>
                <c:pt idx="551">
                  <c:v>0.74618298195866595</c:v>
                </c:pt>
                <c:pt idx="552">
                  <c:v>0.253817018041334</c:v>
                </c:pt>
                <c:pt idx="553">
                  <c:v>0.74618298195866595</c:v>
                </c:pt>
                <c:pt idx="554">
                  <c:v>0.253817018041334</c:v>
                </c:pt>
                <c:pt idx="555">
                  <c:v>0.74618298195866595</c:v>
                </c:pt>
                <c:pt idx="556">
                  <c:v>0.253817018041334</c:v>
                </c:pt>
                <c:pt idx="557">
                  <c:v>0.74618298195866595</c:v>
                </c:pt>
                <c:pt idx="558">
                  <c:v>0.253817018041334</c:v>
                </c:pt>
                <c:pt idx="559">
                  <c:v>0.74618298195866595</c:v>
                </c:pt>
                <c:pt idx="560">
                  <c:v>0.253817018041334</c:v>
                </c:pt>
                <c:pt idx="561">
                  <c:v>0.74618298195866595</c:v>
                </c:pt>
                <c:pt idx="562">
                  <c:v>0.253817018041334</c:v>
                </c:pt>
                <c:pt idx="563">
                  <c:v>0.74618298195866595</c:v>
                </c:pt>
                <c:pt idx="564">
                  <c:v>0.253817018041334</c:v>
                </c:pt>
                <c:pt idx="565">
                  <c:v>0.74618298195866595</c:v>
                </c:pt>
                <c:pt idx="566">
                  <c:v>0.253817018041334</c:v>
                </c:pt>
                <c:pt idx="567">
                  <c:v>0.74618298195866595</c:v>
                </c:pt>
                <c:pt idx="568">
                  <c:v>0.253817018041334</c:v>
                </c:pt>
                <c:pt idx="569">
                  <c:v>0.74618298195866595</c:v>
                </c:pt>
                <c:pt idx="570">
                  <c:v>0.253817018041334</c:v>
                </c:pt>
                <c:pt idx="571">
                  <c:v>0.74618298195866595</c:v>
                </c:pt>
                <c:pt idx="572">
                  <c:v>0.253817018041334</c:v>
                </c:pt>
                <c:pt idx="573">
                  <c:v>0.74618298195866595</c:v>
                </c:pt>
                <c:pt idx="574">
                  <c:v>0.253817018041334</c:v>
                </c:pt>
                <c:pt idx="575">
                  <c:v>0.74618298195866595</c:v>
                </c:pt>
                <c:pt idx="576">
                  <c:v>0.253817018041334</c:v>
                </c:pt>
                <c:pt idx="577">
                  <c:v>0.74618298195866595</c:v>
                </c:pt>
                <c:pt idx="578">
                  <c:v>0.253817018041334</c:v>
                </c:pt>
                <c:pt idx="579">
                  <c:v>0.74618298195866595</c:v>
                </c:pt>
                <c:pt idx="580">
                  <c:v>0.253817018041334</c:v>
                </c:pt>
                <c:pt idx="581">
                  <c:v>0.74618298195866595</c:v>
                </c:pt>
                <c:pt idx="582">
                  <c:v>0.253817018041334</c:v>
                </c:pt>
                <c:pt idx="583">
                  <c:v>0.74618298195866595</c:v>
                </c:pt>
                <c:pt idx="584">
                  <c:v>0.253817018041334</c:v>
                </c:pt>
                <c:pt idx="585">
                  <c:v>0.74618298195866595</c:v>
                </c:pt>
                <c:pt idx="586">
                  <c:v>0.253817018041334</c:v>
                </c:pt>
                <c:pt idx="587">
                  <c:v>0.74618298195866595</c:v>
                </c:pt>
                <c:pt idx="588">
                  <c:v>0.253817018041334</c:v>
                </c:pt>
                <c:pt idx="589">
                  <c:v>0.74618298195866595</c:v>
                </c:pt>
                <c:pt idx="590">
                  <c:v>0.253817018041334</c:v>
                </c:pt>
                <c:pt idx="591">
                  <c:v>0.74618298195866595</c:v>
                </c:pt>
                <c:pt idx="592">
                  <c:v>0.253817018041334</c:v>
                </c:pt>
                <c:pt idx="593">
                  <c:v>0.74618298195866595</c:v>
                </c:pt>
                <c:pt idx="594">
                  <c:v>0.253817018041334</c:v>
                </c:pt>
                <c:pt idx="595">
                  <c:v>0.74618298195866595</c:v>
                </c:pt>
                <c:pt idx="596">
                  <c:v>0.253817018041334</c:v>
                </c:pt>
                <c:pt idx="597">
                  <c:v>0.74618298195866595</c:v>
                </c:pt>
                <c:pt idx="598">
                  <c:v>0.253817018041334</c:v>
                </c:pt>
                <c:pt idx="599">
                  <c:v>0.74618298195866595</c:v>
                </c:pt>
                <c:pt idx="600">
                  <c:v>0.253817018041334</c:v>
                </c:pt>
                <c:pt idx="601">
                  <c:v>0.74618298195866595</c:v>
                </c:pt>
                <c:pt idx="602">
                  <c:v>0.253817018041334</c:v>
                </c:pt>
                <c:pt idx="603">
                  <c:v>0.74618298195866595</c:v>
                </c:pt>
                <c:pt idx="604">
                  <c:v>0.253817018041334</c:v>
                </c:pt>
                <c:pt idx="605">
                  <c:v>0.74618298195866595</c:v>
                </c:pt>
                <c:pt idx="606">
                  <c:v>0.253817018041334</c:v>
                </c:pt>
                <c:pt idx="607">
                  <c:v>0.74618298195866595</c:v>
                </c:pt>
                <c:pt idx="608">
                  <c:v>0.253817018041334</c:v>
                </c:pt>
                <c:pt idx="609">
                  <c:v>0.74618298195866595</c:v>
                </c:pt>
                <c:pt idx="610">
                  <c:v>0.253817018041334</c:v>
                </c:pt>
                <c:pt idx="611">
                  <c:v>0.74618298195866595</c:v>
                </c:pt>
                <c:pt idx="612">
                  <c:v>0.253817018041334</c:v>
                </c:pt>
                <c:pt idx="613">
                  <c:v>0.74618298195866595</c:v>
                </c:pt>
                <c:pt idx="614">
                  <c:v>0.253817018041334</c:v>
                </c:pt>
                <c:pt idx="615">
                  <c:v>0.74618298195866595</c:v>
                </c:pt>
                <c:pt idx="616">
                  <c:v>0.253817018041334</c:v>
                </c:pt>
                <c:pt idx="617">
                  <c:v>0.74618298195866595</c:v>
                </c:pt>
                <c:pt idx="618">
                  <c:v>0.253817018041334</c:v>
                </c:pt>
                <c:pt idx="619">
                  <c:v>0.74618298195866595</c:v>
                </c:pt>
                <c:pt idx="620">
                  <c:v>0.253817018041334</c:v>
                </c:pt>
                <c:pt idx="621">
                  <c:v>0.74618298195866595</c:v>
                </c:pt>
                <c:pt idx="622">
                  <c:v>0.253817018041334</c:v>
                </c:pt>
                <c:pt idx="623">
                  <c:v>0.74618298195866595</c:v>
                </c:pt>
                <c:pt idx="624">
                  <c:v>0.253817018041334</c:v>
                </c:pt>
                <c:pt idx="625">
                  <c:v>0.74618298195866595</c:v>
                </c:pt>
                <c:pt idx="626">
                  <c:v>0.253817018041334</c:v>
                </c:pt>
                <c:pt idx="627">
                  <c:v>0.74618298195866595</c:v>
                </c:pt>
                <c:pt idx="628">
                  <c:v>0.253817018041334</c:v>
                </c:pt>
                <c:pt idx="629">
                  <c:v>0.74618298195866595</c:v>
                </c:pt>
                <c:pt idx="630">
                  <c:v>0.253817018041334</c:v>
                </c:pt>
                <c:pt idx="631">
                  <c:v>0.74618298195866595</c:v>
                </c:pt>
                <c:pt idx="632">
                  <c:v>0.253817018041334</c:v>
                </c:pt>
                <c:pt idx="633">
                  <c:v>0.74618298195866595</c:v>
                </c:pt>
                <c:pt idx="634">
                  <c:v>0.253817018041334</c:v>
                </c:pt>
                <c:pt idx="635">
                  <c:v>0.74618298195866595</c:v>
                </c:pt>
                <c:pt idx="636">
                  <c:v>0.253817018041334</c:v>
                </c:pt>
                <c:pt idx="637">
                  <c:v>0.74618298195866595</c:v>
                </c:pt>
                <c:pt idx="638">
                  <c:v>0.253817018041334</c:v>
                </c:pt>
                <c:pt idx="639">
                  <c:v>0.74618298195866595</c:v>
                </c:pt>
                <c:pt idx="640">
                  <c:v>0.253817018041334</c:v>
                </c:pt>
                <c:pt idx="641">
                  <c:v>0.74618298195866595</c:v>
                </c:pt>
                <c:pt idx="642">
                  <c:v>0.253817018041334</c:v>
                </c:pt>
                <c:pt idx="643">
                  <c:v>0.74618298195866595</c:v>
                </c:pt>
                <c:pt idx="644">
                  <c:v>0.253817018041334</c:v>
                </c:pt>
                <c:pt idx="645">
                  <c:v>0.74618298195866595</c:v>
                </c:pt>
                <c:pt idx="646">
                  <c:v>0.253817018041334</c:v>
                </c:pt>
                <c:pt idx="647">
                  <c:v>0.74618298195866595</c:v>
                </c:pt>
                <c:pt idx="648">
                  <c:v>0.253817018041334</c:v>
                </c:pt>
                <c:pt idx="649">
                  <c:v>0.74618298195866595</c:v>
                </c:pt>
                <c:pt idx="650">
                  <c:v>0.253817018041334</c:v>
                </c:pt>
                <c:pt idx="651">
                  <c:v>0.74618298195866595</c:v>
                </c:pt>
                <c:pt idx="652">
                  <c:v>0.253817018041334</c:v>
                </c:pt>
                <c:pt idx="653">
                  <c:v>0.74618298195866595</c:v>
                </c:pt>
                <c:pt idx="654">
                  <c:v>0.253817018041334</c:v>
                </c:pt>
                <c:pt idx="655">
                  <c:v>0.74618298195866595</c:v>
                </c:pt>
                <c:pt idx="656">
                  <c:v>0.253817018041334</c:v>
                </c:pt>
                <c:pt idx="657">
                  <c:v>0.74618298195866595</c:v>
                </c:pt>
                <c:pt idx="658">
                  <c:v>0.253817018041334</c:v>
                </c:pt>
                <c:pt idx="659">
                  <c:v>0.74618298195866595</c:v>
                </c:pt>
                <c:pt idx="660">
                  <c:v>0.253817018041334</c:v>
                </c:pt>
                <c:pt idx="661">
                  <c:v>0.74618298195866595</c:v>
                </c:pt>
                <c:pt idx="662">
                  <c:v>0.253817018041334</c:v>
                </c:pt>
                <c:pt idx="663">
                  <c:v>0.74618298195866595</c:v>
                </c:pt>
                <c:pt idx="664">
                  <c:v>0.253817018041334</c:v>
                </c:pt>
                <c:pt idx="665">
                  <c:v>0.74618298195866595</c:v>
                </c:pt>
                <c:pt idx="666">
                  <c:v>0.253817018041334</c:v>
                </c:pt>
                <c:pt idx="667">
                  <c:v>0.74618298195866595</c:v>
                </c:pt>
                <c:pt idx="668">
                  <c:v>0.253817018041334</c:v>
                </c:pt>
                <c:pt idx="669">
                  <c:v>0.74618298195866595</c:v>
                </c:pt>
                <c:pt idx="670">
                  <c:v>0.253817018041334</c:v>
                </c:pt>
                <c:pt idx="671">
                  <c:v>0.74618298195866595</c:v>
                </c:pt>
                <c:pt idx="672">
                  <c:v>0.253817018041334</c:v>
                </c:pt>
                <c:pt idx="673">
                  <c:v>0.74618298195866595</c:v>
                </c:pt>
                <c:pt idx="674">
                  <c:v>0.253817018041334</c:v>
                </c:pt>
                <c:pt idx="675">
                  <c:v>0.74618298195866595</c:v>
                </c:pt>
                <c:pt idx="676">
                  <c:v>0.253817018041334</c:v>
                </c:pt>
                <c:pt idx="677">
                  <c:v>0.74618298195866595</c:v>
                </c:pt>
                <c:pt idx="678">
                  <c:v>0.253817018041334</c:v>
                </c:pt>
                <c:pt idx="679">
                  <c:v>0.74618298195866595</c:v>
                </c:pt>
                <c:pt idx="680">
                  <c:v>0.253817018041334</c:v>
                </c:pt>
                <c:pt idx="681">
                  <c:v>0.74618298195866595</c:v>
                </c:pt>
                <c:pt idx="682">
                  <c:v>0.253817018041334</c:v>
                </c:pt>
                <c:pt idx="683">
                  <c:v>0.74618298195866595</c:v>
                </c:pt>
                <c:pt idx="684">
                  <c:v>0.253817018041334</c:v>
                </c:pt>
                <c:pt idx="685">
                  <c:v>0.74618298195866595</c:v>
                </c:pt>
                <c:pt idx="686">
                  <c:v>0.253817018041334</c:v>
                </c:pt>
                <c:pt idx="687">
                  <c:v>0.74618298195866595</c:v>
                </c:pt>
                <c:pt idx="688">
                  <c:v>0.253817018041334</c:v>
                </c:pt>
                <c:pt idx="689">
                  <c:v>0.74618298195866595</c:v>
                </c:pt>
                <c:pt idx="690">
                  <c:v>0.253817018041334</c:v>
                </c:pt>
                <c:pt idx="691">
                  <c:v>0.74618298195866595</c:v>
                </c:pt>
                <c:pt idx="692">
                  <c:v>0.253817018041334</c:v>
                </c:pt>
                <c:pt idx="693">
                  <c:v>0.74618298195866595</c:v>
                </c:pt>
                <c:pt idx="694">
                  <c:v>0.253817018041334</c:v>
                </c:pt>
                <c:pt idx="695">
                  <c:v>0.74618298195866595</c:v>
                </c:pt>
                <c:pt idx="696">
                  <c:v>0.253817018041334</c:v>
                </c:pt>
                <c:pt idx="697">
                  <c:v>0.74618298195866595</c:v>
                </c:pt>
                <c:pt idx="698">
                  <c:v>0.253817018041334</c:v>
                </c:pt>
                <c:pt idx="699">
                  <c:v>0.74618298195866595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57B-4F18-A070-1087D06E2B5A}"/>
            </c:ext>
          </c:extLst>
        </c:ser>
        <c:ser>
          <c:idx val="4"/>
          <c:order val="4"/>
          <c:tx>
            <c:v/>
          </c:tx>
          <c:spPr>
            <a:ln w="6350">
              <a:solidFill>
                <a:srgbClr val="DCDCDC"/>
              </a:solidFill>
              <a:prstDash val="solid"/>
            </a:ln>
            <a:effectLst/>
          </c:spPr>
          <c:marker>
            <c:symbol val="none"/>
          </c:marker>
          <c:xVal>
            <c:numRef>
              <c:f>Sheet5_HID!xdata5</c:f>
              <c:numCache>
                <c:formatCode>General</c:formatCode>
                <c:ptCount val="700"/>
                <c:pt idx="0">
                  <c:v>1</c:v>
                </c:pt>
                <c:pt idx="1">
                  <c:v>1.0014306151645207</c:v>
                </c:pt>
                <c:pt idx="2">
                  <c:v>1.0028612303290414</c:v>
                </c:pt>
                <c:pt idx="3">
                  <c:v>1.0042918454935621</c:v>
                </c:pt>
                <c:pt idx="4">
                  <c:v>1.0057224606580828</c:v>
                </c:pt>
                <c:pt idx="5">
                  <c:v>1.0071530758226035</c:v>
                </c:pt>
                <c:pt idx="6">
                  <c:v>1.0085836909871242</c:v>
                </c:pt>
                <c:pt idx="7">
                  <c:v>1.0100143061516449</c:v>
                </c:pt>
                <c:pt idx="8">
                  <c:v>1.0114449213161656</c:v>
                </c:pt>
                <c:pt idx="9">
                  <c:v>1.0128755364806863</c:v>
                </c:pt>
                <c:pt idx="10">
                  <c:v>1.014306151645207</c:v>
                </c:pt>
                <c:pt idx="11">
                  <c:v>1.0157367668097277</c:v>
                </c:pt>
                <c:pt idx="12">
                  <c:v>1.0171673819742484</c:v>
                </c:pt>
                <c:pt idx="13">
                  <c:v>1.0185979971387691</c:v>
                </c:pt>
                <c:pt idx="14">
                  <c:v>1.0200286123032898</c:v>
                </c:pt>
                <c:pt idx="15">
                  <c:v>1.0214592274678105</c:v>
                </c:pt>
                <c:pt idx="16">
                  <c:v>1.0228898426323312</c:v>
                </c:pt>
                <c:pt idx="17">
                  <c:v>1.0243204577968519</c:v>
                </c:pt>
                <c:pt idx="18">
                  <c:v>1.0257510729613726</c:v>
                </c:pt>
                <c:pt idx="19">
                  <c:v>1.0271816881258933</c:v>
                </c:pt>
                <c:pt idx="20">
                  <c:v>1.028612303290414</c:v>
                </c:pt>
                <c:pt idx="21">
                  <c:v>1.0300429184549347</c:v>
                </c:pt>
                <c:pt idx="22">
                  <c:v>1.0314735336194554</c:v>
                </c:pt>
                <c:pt idx="23">
                  <c:v>1.0329041487839761</c:v>
                </c:pt>
                <c:pt idx="24">
                  <c:v>1.0343347639484968</c:v>
                </c:pt>
                <c:pt idx="25">
                  <c:v>1.0357653791130175</c:v>
                </c:pt>
                <c:pt idx="26">
                  <c:v>1.0371959942775382</c:v>
                </c:pt>
                <c:pt idx="27">
                  <c:v>1.0386266094420589</c:v>
                </c:pt>
                <c:pt idx="28">
                  <c:v>1.0400572246065796</c:v>
                </c:pt>
                <c:pt idx="29">
                  <c:v>1.0414878397711003</c:v>
                </c:pt>
                <c:pt idx="30">
                  <c:v>1.042918454935621</c:v>
                </c:pt>
                <c:pt idx="31">
                  <c:v>1.0443490701001417</c:v>
                </c:pt>
                <c:pt idx="32">
                  <c:v>1.0457796852646624</c:v>
                </c:pt>
                <c:pt idx="33">
                  <c:v>1.0472103004291831</c:v>
                </c:pt>
                <c:pt idx="34">
                  <c:v>1.0486409155937038</c:v>
                </c:pt>
                <c:pt idx="35">
                  <c:v>1.0500715307582245</c:v>
                </c:pt>
                <c:pt idx="36">
                  <c:v>1.0515021459227452</c:v>
                </c:pt>
                <c:pt idx="37">
                  <c:v>1.0529327610872659</c:v>
                </c:pt>
                <c:pt idx="38">
                  <c:v>1.0543633762517866</c:v>
                </c:pt>
                <c:pt idx="39">
                  <c:v>1.0557939914163073</c:v>
                </c:pt>
                <c:pt idx="40">
                  <c:v>1.057224606580828</c:v>
                </c:pt>
                <c:pt idx="41">
                  <c:v>1.0586552217453487</c:v>
                </c:pt>
                <c:pt idx="42">
                  <c:v>1.0600858369098694</c:v>
                </c:pt>
                <c:pt idx="43">
                  <c:v>1.06151645207439</c:v>
                </c:pt>
                <c:pt idx="44">
                  <c:v>1.0629470672389107</c:v>
                </c:pt>
                <c:pt idx="45">
                  <c:v>1.0643776824034314</c:v>
                </c:pt>
                <c:pt idx="46">
                  <c:v>1.0658082975679521</c:v>
                </c:pt>
                <c:pt idx="47">
                  <c:v>1.0672389127324728</c:v>
                </c:pt>
                <c:pt idx="48">
                  <c:v>1.0686695278969935</c:v>
                </c:pt>
                <c:pt idx="49">
                  <c:v>1.0701001430615142</c:v>
                </c:pt>
                <c:pt idx="50">
                  <c:v>1.0715307582260349</c:v>
                </c:pt>
                <c:pt idx="51">
                  <c:v>1.0729613733905556</c:v>
                </c:pt>
                <c:pt idx="52">
                  <c:v>1.0743919885550763</c:v>
                </c:pt>
                <c:pt idx="53">
                  <c:v>1.075822603719597</c:v>
                </c:pt>
                <c:pt idx="54">
                  <c:v>1.0772532188841177</c:v>
                </c:pt>
                <c:pt idx="55">
                  <c:v>1.0786838340486384</c:v>
                </c:pt>
                <c:pt idx="56">
                  <c:v>1.0801144492131591</c:v>
                </c:pt>
                <c:pt idx="57">
                  <c:v>1.0815450643776798</c:v>
                </c:pt>
                <c:pt idx="58">
                  <c:v>1.0829756795422005</c:v>
                </c:pt>
                <c:pt idx="59">
                  <c:v>1.0844062947067212</c:v>
                </c:pt>
                <c:pt idx="60">
                  <c:v>1.0858369098712419</c:v>
                </c:pt>
                <c:pt idx="61">
                  <c:v>1.0872675250357626</c:v>
                </c:pt>
                <c:pt idx="62">
                  <c:v>1.0886981402002833</c:v>
                </c:pt>
                <c:pt idx="63">
                  <c:v>1.090128755364804</c:v>
                </c:pt>
                <c:pt idx="64">
                  <c:v>1.0915593705293247</c:v>
                </c:pt>
                <c:pt idx="65">
                  <c:v>1.0929899856938454</c:v>
                </c:pt>
                <c:pt idx="66">
                  <c:v>1.0944206008583661</c:v>
                </c:pt>
                <c:pt idx="67">
                  <c:v>1.0958512160228868</c:v>
                </c:pt>
                <c:pt idx="68">
                  <c:v>1.0972818311874075</c:v>
                </c:pt>
                <c:pt idx="69">
                  <c:v>1.0987124463519282</c:v>
                </c:pt>
                <c:pt idx="70">
                  <c:v>1.1001430615164489</c:v>
                </c:pt>
                <c:pt idx="71">
                  <c:v>1.1015736766809696</c:v>
                </c:pt>
                <c:pt idx="72">
                  <c:v>1.1030042918454903</c:v>
                </c:pt>
                <c:pt idx="73">
                  <c:v>1.104434907010011</c:v>
                </c:pt>
                <c:pt idx="74">
                  <c:v>1.1058655221745317</c:v>
                </c:pt>
                <c:pt idx="75">
                  <c:v>1.1072961373390524</c:v>
                </c:pt>
                <c:pt idx="76">
                  <c:v>1.1087267525035731</c:v>
                </c:pt>
                <c:pt idx="77">
                  <c:v>1.1101573676680938</c:v>
                </c:pt>
                <c:pt idx="78">
                  <c:v>1.1115879828326145</c:v>
                </c:pt>
                <c:pt idx="79">
                  <c:v>1.1130185979971352</c:v>
                </c:pt>
                <c:pt idx="80">
                  <c:v>1.1144492131616559</c:v>
                </c:pt>
                <c:pt idx="81">
                  <c:v>1.1158798283261766</c:v>
                </c:pt>
                <c:pt idx="82">
                  <c:v>1.1173104434906973</c:v>
                </c:pt>
                <c:pt idx="83">
                  <c:v>1.118741058655218</c:v>
                </c:pt>
                <c:pt idx="84">
                  <c:v>1.1201716738197387</c:v>
                </c:pt>
                <c:pt idx="85">
                  <c:v>1.1216022889842594</c:v>
                </c:pt>
                <c:pt idx="86">
                  <c:v>1.1230329041487801</c:v>
                </c:pt>
                <c:pt idx="87">
                  <c:v>1.1244635193133008</c:v>
                </c:pt>
                <c:pt idx="88">
                  <c:v>1.1258941344778215</c:v>
                </c:pt>
                <c:pt idx="89">
                  <c:v>1.1273247496423422</c:v>
                </c:pt>
                <c:pt idx="90">
                  <c:v>1.1287553648068629</c:v>
                </c:pt>
                <c:pt idx="91">
                  <c:v>1.1301859799713836</c:v>
                </c:pt>
                <c:pt idx="92">
                  <c:v>1.1316165951359043</c:v>
                </c:pt>
                <c:pt idx="93">
                  <c:v>1.133047210300425</c:v>
                </c:pt>
                <c:pt idx="94">
                  <c:v>1.1344778254649457</c:v>
                </c:pt>
                <c:pt idx="95">
                  <c:v>1.1359084406294664</c:v>
                </c:pt>
                <c:pt idx="96">
                  <c:v>1.1373390557939871</c:v>
                </c:pt>
                <c:pt idx="97">
                  <c:v>1.1387696709585078</c:v>
                </c:pt>
                <c:pt idx="98">
                  <c:v>1.1402002861230285</c:v>
                </c:pt>
                <c:pt idx="99">
                  <c:v>1.1416309012875492</c:v>
                </c:pt>
                <c:pt idx="100">
                  <c:v>1.1430615164520699</c:v>
                </c:pt>
                <c:pt idx="101">
                  <c:v>1.1444921316165906</c:v>
                </c:pt>
                <c:pt idx="102">
                  <c:v>1.1459227467811113</c:v>
                </c:pt>
                <c:pt idx="103">
                  <c:v>1.147353361945632</c:v>
                </c:pt>
                <c:pt idx="104">
                  <c:v>1.1487839771101527</c:v>
                </c:pt>
                <c:pt idx="105">
                  <c:v>1.1502145922746734</c:v>
                </c:pt>
                <c:pt idx="106">
                  <c:v>1.1516452074391941</c:v>
                </c:pt>
                <c:pt idx="107">
                  <c:v>1.1530758226037148</c:v>
                </c:pt>
                <c:pt idx="108">
                  <c:v>1.1545064377682355</c:v>
                </c:pt>
                <c:pt idx="109">
                  <c:v>1.1559370529327562</c:v>
                </c:pt>
                <c:pt idx="110">
                  <c:v>1.1573676680972769</c:v>
                </c:pt>
                <c:pt idx="111">
                  <c:v>1.1587982832617976</c:v>
                </c:pt>
                <c:pt idx="112">
                  <c:v>1.1602288984263183</c:v>
                </c:pt>
                <c:pt idx="113">
                  <c:v>1.161659513590839</c:v>
                </c:pt>
                <c:pt idx="114">
                  <c:v>1.1630901287553597</c:v>
                </c:pt>
                <c:pt idx="115">
                  <c:v>1.1645207439198804</c:v>
                </c:pt>
                <c:pt idx="116">
                  <c:v>1.1659513590844013</c:v>
                </c:pt>
                <c:pt idx="117">
                  <c:v>1.167381974248922</c:v>
                </c:pt>
                <c:pt idx="118">
                  <c:v>1.1688125894134427</c:v>
                </c:pt>
                <c:pt idx="119">
                  <c:v>1.1702432045779634</c:v>
                </c:pt>
                <c:pt idx="120">
                  <c:v>1.1716738197424841</c:v>
                </c:pt>
                <c:pt idx="121">
                  <c:v>1.1731044349070048</c:v>
                </c:pt>
                <c:pt idx="122">
                  <c:v>1.1745350500715255</c:v>
                </c:pt>
                <c:pt idx="123">
                  <c:v>1.1759656652360462</c:v>
                </c:pt>
                <c:pt idx="124">
                  <c:v>1.1773962804005669</c:v>
                </c:pt>
                <c:pt idx="125">
                  <c:v>1.1788268955650876</c:v>
                </c:pt>
                <c:pt idx="126">
                  <c:v>1.1802575107296083</c:v>
                </c:pt>
                <c:pt idx="127">
                  <c:v>1.181688125894129</c:v>
                </c:pt>
                <c:pt idx="128">
                  <c:v>1.1831187410586497</c:v>
                </c:pt>
                <c:pt idx="129">
                  <c:v>1.1845493562231704</c:v>
                </c:pt>
                <c:pt idx="130">
                  <c:v>1.1859799713876911</c:v>
                </c:pt>
                <c:pt idx="131">
                  <c:v>1.1874105865522118</c:v>
                </c:pt>
                <c:pt idx="132">
                  <c:v>1.1888412017167325</c:v>
                </c:pt>
                <c:pt idx="133">
                  <c:v>1.1902718168812532</c:v>
                </c:pt>
                <c:pt idx="134">
                  <c:v>1.1917024320457739</c:v>
                </c:pt>
                <c:pt idx="135">
                  <c:v>1.1931330472102946</c:v>
                </c:pt>
                <c:pt idx="136">
                  <c:v>1.1945636623748153</c:v>
                </c:pt>
                <c:pt idx="137">
                  <c:v>1.195994277539336</c:v>
                </c:pt>
                <c:pt idx="138">
                  <c:v>1.1974248927038567</c:v>
                </c:pt>
                <c:pt idx="139">
                  <c:v>1.1988555078683774</c:v>
                </c:pt>
                <c:pt idx="140">
                  <c:v>1.2002861230328981</c:v>
                </c:pt>
                <c:pt idx="141">
                  <c:v>1.2017167381974188</c:v>
                </c:pt>
                <c:pt idx="142">
                  <c:v>1.2031473533619395</c:v>
                </c:pt>
                <c:pt idx="143">
                  <c:v>1.2045779685264602</c:v>
                </c:pt>
                <c:pt idx="144">
                  <c:v>1.2060085836909809</c:v>
                </c:pt>
                <c:pt idx="145">
                  <c:v>1.2074391988555015</c:v>
                </c:pt>
                <c:pt idx="146">
                  <c:v>1.2088698140200222</c:v>
                </c:pt>
                <c:pt idx="147">
                  <c:v>1.2103004291845429</c:v>
                </c:pt>
                <c:pt idx="148">
                  <c:v>1.2117310443490636</c:v>
                </c:pt>
                <c:pt idx="149">
                  <c:v>1.2131616595135843</c:v>
                </c:pt>
                <c:pt idx="150">
                  <c:v>1.214592274678105</c:v>
                </c:pt>
                <c:pt idx="151">
                  <c:v>1.2160228898426257</c:v>
                </c:pt>
                <c:pt idx="152">
                  <c:v>1.2174535050071464</c:v>
                </c:pt>
                <c:pt idx="153">
                  <c:v>1.2188841201716671</c:v>
                </c:pt>
                <c:pt idx="154">
                  <c:v>1.2203147353361878</c:v>
                </c:pt>
                <c:pt idx="155">
                  <c:v>1.2217453505007085</c:v>
                </c:pt>
                <c:pt idx="156">
                  <c:v>1.2231759656652292</c:v>
                </c:pt>
                <c:pt idx="157">
                  <c:v>1.2246065808297499</c:v>
                </c:pt>
                <c:pt idx="158">
                  <c:v>1.2260371959942706</c:v>
                </c:pt>
                <c:pt idx="159">
                  <c:v>1.2274678111587913</c:v>
                </c:pt>
                <c:pt idx="160">
                  <c:v>1.228898426323312</c:v>
                </c:pt>
                <c:pt idx="161">
                  <c:v>1.2303290414878327</c:v>
                </c:pt>
                <c:pt idx="162">
                  <c:v>1.2317596566523534</c:v>
                </c:pt>
                <c:pt idx="163">
                  <c:v>1.2331902718168741</c:v>
                </c:pt>
                <c:pt idx="164">
                  <c:v>1.2346208869813948</c:v>
                </c:pt>
                <c:pt idx="165">
                  <c:v>1.2360515021459155</c:v>
                </c:pt>
                <c:pt idx="166">
                  <c:v>1.2374821173104362</c:v>
                </c:pt>
                <c:pt idx="167">
                  <c:v>1.2389127324749569</c:v>
                </c:pt>
                <c:pt idx="168">
                  <c:v>1.2403433476394776</c:v>
                </c:pt>
                <c:pt idx="169">
                  <c:v>1.2417739628039983</c:v>
                </c:pt>
                <c:pt idx="170">
                  <c:v>1.243204577968519</c:v>
                </c:pt>
                <c:pt idx="171">
                  <c:v>1.2446351931330397</c:v>
                </c:pt>
                <c:pt idx="172">
                  <c:v>1.2460658082975604</c:v>
                </c:pt>
                <c:pt idx="173">
                  <c:v>1.2474964234620811</c:v>
                </c:pt>
                <c:pt idx="174">
                  <c:v>1.2489270386266018</c:v>
                </c:pt>
                <c:pt idx="175">
                  <c:v>1.2503576537911225</c:v>
                </c:pt>
                <c:pt idx="176">
                  <c:v>1.2517882689556432</c:v>
                </c:pt>
                <c:pt idx="177">
                  <c:v>1.2532188841201639</c:v>
                </c:pt>
                <c:pt idx="178">
                  <c:v>1.2546494992846846</c:v>
                </c:pt>
                <c:pt idx="179">
                  <c:v>1.2560801144492053</c:v>
                </c:pt>
                <c:pt idx="180">
                  <c:v>1.257510729613726</c:v>
                </c:pt>
                <c:pt idx="181">
                  <c:v>1.2589413447782467</c:v>
                </c:pt>
                <c:pt idx="182">
                  <c:v>1.2603719599427674</c:v>
                </c:pt>
                <c:pt idx="183">
                  <c:v>1.2618025751072881</c:v>
                </c:pt>
                <c:pt idx="184">
                  <c:v>1.2632331902718088</c:v>
                </c:pt>
                <c:pt idx="185">
                  <c:v>1.2646638054363295</c:v>
                </c:pt>
                <c:pt idx="186">
                  <c:v>1.2660944206008502</c:v>
                </c:pt>
                <c:pt idx="187">
                  <c:v>1.2675250357653709</c:v>
                </c:pt>
                <c:pt idx="188">
                  <c:v>1.2689556509298916</c:v>
                </c:pt>
                <c:pt idx="189">
                  <c:v>1.2703862660944123</c:v>
                </c:pt>
                <c:pt idx="190">
                  <c:v>1.271816881258933</c:v>
                </c:pt>
                <c:pt idx="191">
                  <c:v>1.2732474964234537</c:v>
                </c:pt>
                <c:pt idx="192">
                  <c:v>1.2746781115879744</c:v>
                </c:pt>
                <c:pt idx="193">
                  <c:v>1.2761087267524951</c:v>
                </c:pt>
                <c:pt idx="194">
                  <c:v>1.2775393419170158</c:v>
                </c:pt>
                <c:pt idx="195">
                  <c:v>1.2789699570815365</c:v>
                </c:pt>
                <c:pt idx="196">
                  <c:v>1.2804005722460572</c:v>
                </c:pt>
                <c:pt idx="197">
                  <c:v>1.2818311874105779</c:v>
                </c:pt>
                <c:pt idx="198">
                  <c:v>1.2832618025750986</c:v>
                </c:pt>
                <c:pt idx="199">
                  <c:v>1.2846924177396193</c:v>
                </c:pt>
                <c:pt idx="200">
                  <c:v>1.28612303290414</c:v>
                </c:pt>
                <c:pt idx="201">
                  <c:v>1.2875536480686607</c:v>
                </c:pt>
                <c:pt idx="202">
                  <c:v>1.2889842632331814</c:v>
                </c:pt>
                <c:pt idx="203">
                  <c:v>1.2904148783977021</c:v>
                </c:pt>
                <c:pt idx="204">
                  <c:v>1.2918454935622228</c:v>
                </c:pt>
                <c:pt idx="205">
                  <c:v>1.2932761087267435</c:v>
                </c:pt>
                <c:pt idx="206">
                  <c:v>1.2947067238912642</c:v>
                </c:pt>
                <c:pt idx="207">
                  <c:v>1.2961373390557849</c:v>
                </c:pt>
                <c:pt idx="208">
                  <c:v>1.2975679542203056</c:v>
                </c:pt>
                <c:pt idx="209">
                  <c:v>1.2989985693848263</c:v>
                </c:pt>
                <c:pt idx="210">
                  <c:v>1.300429184549347</c:v>
                </c:pt>
                <c:pt idx="211">
                  <c:v>1.3018597997138677</c:v>
                </c:pt>
                <c:pt idx="212">
                  <c:v>1.3032904148783884</c:v>
                </c:pt>
                <c:pt idx="213">
                  <c:v>1.3047210300429091</c:v>
                </c:pt>
                <c:pt idx="214">
                  <c:v>1.3061516452074298</c:v>
                </c:pt>
                <c:pt idx="215">
                  <c:v>1.3075822603719505</c:v>
                </c:pt>
                <c:pt idx="216">
                  <c:v>1.3090128755364712</c:v>
                </c:pt>
                <c:pt idx="217">
                  <c:v>1.3104434907009919</c:v>
                </c:pt>
                <c:pt idx="218">
                  <c:v>1.3118741058655126</c:v>
                </c:pt>
                <c:pt idx="219">
                  <c:v>1.3133047210300333</c:v>
                </c:pt>
                <c:pt idx="220">
                  <c:v>1.314735336194554</c:v>
                </c:pt>
                <c:pt idx="221">
                  <c:v>1.3161659513590747</c:v>
                </c:pt>
                <c:pt idx="222">
                  <c:v>1.3175965665235954</c:v>
                </c:pt>
                <c:pt idx="223">
                  <c:v>1.3190271816881161</c:v>
                </c:pt>
                <c:pt idx="224">
                  <c:v>1.3204577968526368</c:v>
                </c:pt>
                <c:pt idx="225">
                  <c:v>1.3218884120171575</c:v>
                </c:pt>
                <c:pt idx="226">
                  <c:v>1.3233190271816782</c:v>
                </c:pt>
                <c:pt idx="227">
                  <c:v>1.3247496423461989</c:v>
                </c:pt>
                <c:pt idx="228">
                  <c:v>1.3261802575107196</c:v>
                </c:pt>
                <c:pt idx="229">
                  <c:v>1.3276108726752403</c:v>
                </c:pt>
                <c:pt idx="230">
                  <c:v>1.3290414878397609</c:v>
                </c:pt>
                <c:pt idx="231">
                  <c:v>1.3304721030042816</c:v>
                </c:pt>
                <c:pt idx="232">
                  <c:v>1.3319027181688023</c:v>
                </c:pt>
                <c:pt idx="233">
                  <c:v>1.333333333333323</c:v>
                </c:pt>
                <c:pt idx="234">
                  <c:v>1.3347639484978437</c:v>
                </c:pt>
                <c:pt idx="235">
                  <c:v>1.3361945636623644</c:v>
                </c:pt>
                <c:pt idx="236">
                  <c:v>1.3376251788268851</c:v>
                </c:pt>
                <c:pt idx="237">
                  <c:v>1.3390557939914058</c:v>
                </c:pt>
                <c:pt idx="238">
                  <c:v>1.3404864091559265</c:v>
                </c:pt>
                <c:pt idx="239">
                  <c:v>1.3419170243204472</c:v>
                </c:pt>
                <c:pt idx="240">
                  <c:v>1.3433476394849679</c:v>
                </c:pt>
                <c:pt idx="241">
                  <c:v>1.3447782546494886</c:v>
                </c:pt>
                <c:pt idx="242">
                  <c:v>1.3462088698140093</c:v>
                </c:pt>
                <c:pt idx="243">
                  <c:v>1.34763948497853</c:v>
                </c:pt>
                <c:pt idx="244">
                  <c:v>1.3490701001430507</c:v>
                </c:pt>
                <c:pt idx="245">
                  <c:v>1.3505007153075714</c:v>
                </c:pt>
                <c:pt idx="246">
                  <c:v>1.3519313304720921</c:v>
                </c:pt>
                <c:pt idx="247">
                  <c:v>1.3533619456366128</c:v>
                </c:pt>
                <c:pt idx="248">
                  <c:v>1.3547925608011335</c:v>
                </c:pt>
                <c:pt idx="249">
                  <c:v>1.3562231759656542</c:v>
                </c:pt>
                <c:pt idx="250">
                  <c:v>1.3576537911301749</c:v>
                </c:pt>
                <c:pt idx="251">
                  <c:v>1.3590844062946956</c:v>
                </c:pt>
                <c:pt idx="252">
                  <c:v>1.3605150214592163</c:v>
                </c:pt>
                <c:pt idx="253">
                  <c:v>1.361945636623737</c:v>
                </c:pt>
                <c:pt idx="254">
                  <c:v>1.3633762517882577</c:v>
                </c:pt>
                <c:pt idx="255">
                  <c:v>1.3648068669527784</c:v>
                </c:pt>
                <c:pt idx="256">
                  <c:v>1.3662374821172991</c:v>
                </c:pt>
                <c:pt idx="257">
                  <c:v>1.3676680972818198</c:v>
                </c:pt>
                <c:pt idx="258">
                  <c:v>1.3690987124463405</c:v>
                </c:pt>
                <c:pt idx="259">
                  <c:v>1.3705293276108612</c:v>
                </c:pt>
                <c:pt idx="260">
                  <c:v>1.3719599427753819</c:v>
                </c:pt>
                <c:pt idx="261">
                  <c:v>1.3733905579399026</c:v>
                </c:pt>
                <c:pt idx="262">
                  <c:v>1.3748211731044233</c:v>
                </c:pt>
                <c:pt idx="263">
                  <c:v>1.376251788268944</c:v>
                </c:pt>
                <c:pt idx="264">
                  <c:v>1.3776824034334647</c:v>
                </c:pt>
                <c:pt idx="265">
                  <c:v>1.3791130185979854</c:v>
                </c:pt>
                <c:pt idx="266">
                  <c:v>1.3805436337625061</c:v>
                </c:pt>
                <c:pt idx="267">
                  <c:v>1.3819742489270268</c:v>
                </c:pt>
                <c:pt idx="268">
                  <c:v>1.3834048640915475</c:v>
                </c:pt>
                <c:pt idx="269">
                  <c:v>1.3848354792560682</c:v>
                </c:pt>
                <c:pt idx="270">
                  <c:v>1.3862660944205889</c:v>
                </c:pt>
                <c:pt idx="271">
                  <c:v>1.3876967095851096</c:v>
                </c:pt>
                <c:pt idx="272">
                  <c:v>1.3891273247496303</c:v>
                </c:pt>
                <c:pt idx="273">
                  <c:v>1.390557939914151</c:v>
                </c:pt>
                <c:pt idx="274">
                  <c:v>1.3919885550786717</c:v>
                </c:pt>
                <c:pt idx="275">
                  <c:v>1.3934191702431924</c:v>
                </c:pt>
                <c:pt idx="276">
                  <c:v>1.3948497854077131</c:v>
                </c:pt>
                <c:pt idx="277">
                  <c:v>1.3962804005722338</c:v>
                </c:pt>
                <c:pt idx="278">
                  <c:v>1.3977110157367545</c:v>
                </c:pt>
                <c:pt idx="279">
                  <c:v>1.3991416309012752</c:v>
                </c:pt>
                <c:pt idx="280">
                  <c:v>1.4005722460657959</c:v>
                </c:pt>
                <c:pt idx="281">
                  <c:v>1.4020028612303166</c:v>
                </c:pt>
                <c:pt idx="282">
                  <c:v>1.4034334763948375</c:v>
                </c:pt>
                <c:pt idx="283">
                  <c:v>1.4048640915593582</c:v>
                </c:pt>
                <c:pt idx="284">
                  <c:v>1.4062947067238789</c:v>
                </c:pt>
                <c:pt idx="285">
                  <c:v>1.4077253218883996</c:v>
                </c:pt>
                <c:pt idx="286">
                  <c:v>1.4091559370529203</c:v>
                </c:pt>
                <c:pt idx="287">
                  <c:v>1.410586552217441</c:v>
                </c:pt>
                <c:pt idx="288">
                  <c:v>1.4120171673819617</c:v>
                </c:pt>
                <c:pt idx="289">
                  <c:v>1.4134477825464824</c:v>
                </c:pt>
                <c:pt idx="290">
                  <c:v>1.4148783977110031</c:v>
                </c:pt>
                <c:pt idx="291">
                  <c:v>1.4163090128755238</c:v>
                </c:pt>
                <c:pt idx="292">
                  <c:v>1.4177396280400445</c:v>
                </c:pt>
                <c:pt idx="293">
                  <c:v>1.4191702432045652</c:v>
                </c:pt>
                <c:pt idx="294">
                  <c:v>1.4206008583690859</c:v>
                </c:pt>
                <c:pt idx="295">
                  <c:v>1.4220314735336066</c:v>
                </c:pt>
                <c:pt idx="296">
                  <c:v>1.4234620886981273</c:v>
                </c:pt>
                <c:pt idx="297">
                  <c:v>1.424892703862648</c:v>
                </c:pt>
                <c:pt idx="298">
                  <c:v>1.4263233190271687</c:v>
                </c:pt>
                <c:pt idx="299">
                  <c:v>1.4277539341916894</c:v>
                </c:pt>
                <c:pt idx="300">
                  <c:v>1.4291845493562101</c:v>
                </c:pt>
                <c:pt idx="301">
                  <c:v>1.4306151645207308</c:v>
                </c:pt>
                <c:pt idx="302">
                  <c:v>1.4320457796852515</c:v>
                </c:pt>
                <c:pt idx="303">
                  <c:v>1.4334763948497722</c:v>
                </c:pt>
                <c:pt idx="304">
                  <c:v>1.4349070100142929</c:v>
                </c:pt>
                <c:pt idx="305">
                  <c:v>1.4363376251788136</c:v>
                </c:pt>
                <c:pt idx="306">
                  <c:v>1.4377682403433343</c:v>
                </c:pt>
                <c:pt idx="307">
                  <c:v>1.439198855507855</c:v>
                </c:pt>
                <c:pt idx="308">
                  <c:v>1.4406294706723757</c:v>
                </c:pt>
                <c:pt idx="309">
                  <c:v>1.4420600858368964</c:v>
                </c:pt>
                <c:pt idx="310">
                  <c:v>1.4434907010014171</c:v>
                </c:pt>
                <c:pt idx="311">
                  <c:v>1.4449213161659378</c:v>
                </c:pt>
                <c:pt idx="312">
                  <c:v>1.4463519313304585</c:v>
                </c:pt>
                <c:pt idx="313">
                  <c:v>1.4477825464949792</c:v>
                </c:pt>
                <c:pt idx="314">
                  <c:v>1.4492131616594999</c:v>
                </c:pt>
                <c:pt idx="315">
                  <c:v>1.4506437768240206</c:v>
                </c:pt>
                <c:pt idx="316">
                  <c:v>1.4520743919885413</c:v>
                </c:pt>
                <c:pt idx="317">
                  <c:v>1.453505007153062</c:v>
                </c:pt>
                <c:pt idx="318">
                  <c:v>1.4549356223175827</c:v>
                </c:pt>
                <c:pt idx="319">
                  <c:v>1.4563662374821034</c:v>
                </c:pt>
                <c:pt idx="320">
                  <c:v>1.4577968526466241</c:v>
                </c:pt>
                <c:pt idx="321">
                  <c:v>1.4592274678111448</c:v>
                </c:pt>
                <c:pt idx="322">
                  <c:v>1.4606580829756655</c:v>
                </c:pt>
                <c:pt idx="323">
                  <c:v>1.4620886981401862</c:v>
                </c:pt>
                <c:pt idx="324">
                  <c:v>1.4635193133047069</c:v>
                </c:pt>
                <c:pt idx="325">
                  <c:v>1.4649499284692276</c:v>
                </c:pt>
                <c:pt idx="326">
                  <c:v>1.4663805436337483</c:v>
                </c:pt>
                <c:pt idx="327">
                  <c:v>1.467811158798269</c:v>
                </c:pt>
                <c:pt idx="328">
                  <c:v>1.4692417739627897</c:v>
                </c:pt>
                <c:pt idx="329">
                  <c:v>1.4706723891273104</c:v>
                </c:pt>
                <c:pt idx="330">
                  <c:v>1.4721030042918311</c:v>
                </c:pt>
                <c:pt idx="331">
                  <c:v>1.4735336194563518</c:v>
                </c:pt>
                <c:pt idx="332">
                  <c:v>1.4749642346208724</c:v>
                </c:pt>
                <c:pt idx="333">
                  <c:v>1.4763948497853931</c:v>
                </c:pt>
                <c:pt idx="334">
                  <c:v>1.4778254649499138</c:v>
                </c:pt>
                <c:pt idx="335">
                  <c:v>1.4792560801144345</c:v>
                </c:pt>
                <c:pt idx="336">
                  <c:v>1.4806866952789552</c:v>
                </c:pt>
                <c:pt idx="337">
                  <c:v>1.4821173104434759</c:v>
                </c:pt>
                <c:pt idx="338">
                  <c:v>1.4835479256079966</c:v>
                </c:pt>
                <c:pt idx="339">
                  <c:v>1.4849785407725173</c:v>
                </c:pt>
                <c:pt idx="340">
                  <c:v>1.486409155937038</c:v>
                </c:pt>
                <c:pt idx="341">
                  <c:v>1.4878397711015587</c:v>
                </c:pt>
                <c:pt idx="342">
                  <c:v>1.4892703862660794</c:v>
                </c:pt>
                <c:pt idx="343">
                  <c:v>1.4907010014306001</c:v>
                </c:pt>
                <c:pt idx="344">
                  <c:v>1.4921316165951208</c:v>
                </c:pt>
                <c:pt idx="345">
                  <c:v>1.4935622317596415</c:v>
                </c:pt>
                <c:pt idx="346">
                  <c:v>1.4949928469241622</c:v>
                </c:pt>
                <c:pt idx="347">
                  <c:v>1.4964234620886829</c:v>
                </c:pt>
                <c:pt idx="348">
                  <c:v>1.4978540772532036</c:v>
                </c:pt>
                <c:pt idx="349">
                  <c:v>1.4992846924177243</c:v>
                </c:pt>
                <c:pt idx="350">
                  <c:v>1.500715307582245</c:v>
                </c:pt>
                <c:pt idx="351">
                  <c:v>1.5021459227467657</c:v>
                </c:pt>
                <c:pt idx="352">
                  <c:v>1.5035765379112864</c:v>
                </c:pt>
                <c:pt idx="353">
                  <c:v>1.5050071530758071</c:v>
                </c:pt>
                <c:pt idx="354">
                  <c:v>1.5064377682403278</c:v>
                </c:pt>
                <c:pt idx="355">
                  <c:v>1.5078683834048485</c:v>
                </c:pt>
                <c:pt idx="356">
                  <c:v>1.5092989985693692</c:v>
                </c:pt>
                <c:pt idx="357">
                  <c:v>1.5107296137338899</c:v>
                </c:pt>
                <c:pt idx="358">
                  <c:v>1.5121602288984106</c:v>
                </c:pt>
                <c:pt idx="359">
                  <c:v>1.5135908440629313</c:v>
                </c:pt>
                <c:pt idx="360">
                  <c:v>1.515021459227452</c:v>
                </c:pt>
                <c:pt idx="361">
                  <c:v>1.5164520743919727</c:v>
                </c:pt>
                <c:pt idx="362">
                  <c:v>1.5178826895564934</c:v>
                </c:pt>
                <c:pt idx="363">
                  <c:v>1.5193133047210141</c:v>
                </c:pt>
                <c:pt idx="364">
                  <c:v>1.5207439198855348</c:v>
                </c:pt>
                <c:pt idx="365">
                  <c:v>1.5221745350500555</c:v>
                </c:pt>
                <c:pt idx="366">
                  <c:v>1.5236051502145762</c:v>
                </c:pt>
                <c:pt idx="367">
                  <c:v>1.5250357653790969</c:v>
                </c:pt>
                <c:pt idx="368">
                  <c:v>1.5264663805436176</c:v>
                </c:pt>
                <c:pt idx="369">
                  <c:v>1.5278969957081383</c:v>
                </c:pt>
                <c:pt idx="370">
                  <c:v>1.529327610872659</c:v>
                </c:pt>
                <c:pt idx="371">
                  <c:v>1.5307582260371797</c:v>
                </c:pt>
                <c:pt idx="372">
                  <c:v>1.5321888412017004</c:v>
                </c:pt>
                <c:pt idx="373">
                  <c:v>1.5336194563662211</c:v>
                </c:pt>
                <c:pt idx="374">
                  <c:v>1.5350500715307418</c:v>
                </c:pt>
                <c:pt idx="375">
                  <c:v>1.5364806866952625</c:v>
                </c:pt>
                <c:pt idx="376">
                  <c:v>1.5379113018597832</c:v>
                </c:pt>
                <c:pt idx="377">
                  <c:v>1.5393419170243039</c:v>
                </c:pt>
                <c:pt idx="378">
                  <c:v>1.5407725321888246</c:v>
                </c:pt>
                <c:pt idx="379">
                  <c:v>1.5422031473533453</c:v>
                </c:pt>
                <c:pt idx="380">
                  <c:v>1.543633762517866</c:v>
                </c:pt>
                <c:pt idx="381">
                  <c:v>1.5450643776823867</c:v>
                </c:pt>
                <c:pt idx="382">
                  <c:v>1.5464949928469074</c:v>
                </c:pt>
                <c:pt idx="383">
                  <c:v>1.5479256080114281</c:v>
                </c:pt>
                <c:pt idx="384">
                  <c:v>1.5493562231759488</c:v>
                </c:pt>
                <c:pt idx="385">
                  <c:v>1.5507868383404695</c:v>
                </c:pt>
                <c:pt idx="386">
                  <c:v>1.5522174535049902</c:v>
                </c:pt>
                <c:pt idx="387">
                  <c:v>1.5536480686695109</c:v>
                </c:pt>
                <c:pt idx="388">
                  <c:v>1.5550786838340316</c:v>
                </c:pt>
                <c:pt idx="389">
                  <c:v>1.5565092989985523</c:v>
                </c:pt>
                <c:pt idx="390">
                  <c:v>1.557939914163073</c:v>
                </c:pt>
                <c:pt idx="391">
                  <c:v>1.5593705293275937</c:v>
                </c:pt>
                <c:pt idx="392">
                  <c:v>1.5608011444921144</c:v>
                </c:pt>
                <c:pt idx="393">
                  <c:v>1.5622317596566351</c:v>
                </c:pt>
                <c:pt idx="394">
                  <c:v>1.5636623748211558</c:v>
                </c:pt>
                <c:pt idx="395">
                  <c:v>1.5650929899856765</c:v>
                </c:pt>
                <c:pt idx="396">
                  <c:v>1.5665236051501972</c:v>
                </c:pt>
                <c:pt idx="397">
                  <c:v>1.5679542203147179</c:v>
                </c:pt>
                <c:pt idx="398">
                  <c:v>1.5693848354792386</c:v>
                </c:pt>
                <c:pt idx="399">
                  <c:v>1.5708154506437593</c:v>
                </c:pt>
                <c:pt idx="400">
                  <c:v>1.57224606580828</c:v>
                </c:pt>
                <c:pt idx="401">
                  <c:v>1.5736766809728007</c:v>
                </c:pt>
                <c:pt idx="402">
                  <c:v>1.5751072961373214</c:v>
                </c:pt>
                <c:pt idx="403">
                  <c:v>1.5765379113018421</c:v>
                </c:pt>
                <c:pt idx="404">
                  <c:v>1.5779685264663628</c:v>
                </c:pt>
                <c:pt idx="405">
                  <c:v>1.5793991416308835</c:v>
                </c:pt>
                <c:pt idx="406">
                  <c:v>1.5808297567954042</c:v>
                </c:pt>
                <c:pt idx="407">
                  <c:v>1.5822603719599249</c:v>
                </c:pt>
                <c:pt idx="408">
                  <c:v>1.5836909871244456</c:v>
                </c:pt>
                <c:pt idx="409">
                  <c:v>1.5851216022889663</c:v>
                </c:pt>
                <c:pt idx="410">
                  <c:v>1.586552217453487</c:v>
                </c:pt>
                <c:pt idx="411">
                  <c:v>1.5879828326180077</c:v>
                </c:pt>
                <c:pt idx="412">
                  <c:v>1.5894134477825284</c:v>
                </c:pt>
                <c:pt idx="413">
                  <c:v>1.5908440629470491</c:v>
                </c:pt>
                <c:pt idx="414">
                  <c:v>1.5922746781115698</c:v>
                </c:pt>
                <c:pt idx="415">
                  <c:v>1.5937052932760905</c:v>
                </c:pt>
                <c:pt idx="416">
                  <c:v>1.5951359084406111</c:v>
                </c:pt>
                <c:pt idx="417">
                  <c:v>1.5965665236051318</c:v>
                </c:pt>
                <c:pt idx="418">
                  <c:v>1.5979971387696525</c:v>
                </c:pt>
                <c:pt idx="419">
                  <c:v>1.5994277539341732</c:v>
                </c:pt>
                <c:pt idx="420">
                  <c:v>1.6008583690986939</c:v>
                </c:pt>
                <c:pt idx="421">
                  <c:v>1.6022889842632146</c:v>
                </c:pt>
                <c:pt idx="422">
                  <c:v>1.6037195994277353</c:v>
                </c:pt>
                <c:pt idx="423">
                  <c:v>1.605150214592256</c:v>
                </c:pt>
                <c:pt idx="424">
                  <c:v>1.6065808297567767</c:v>
                </c:pt>
                <c:pt idx="425">
                  <c:v>1.6080114449212974</c:v>
                </c:pt>
                <c:pt idx="426">
                  <c:v>1.6094420600858181</c:v>
                </c:pt>
                <c:pt idx="427">
                  <c:v>1.6108726752503388</c:v>
                </c:pt>
                <c:pt idx="428">
                  <c:v>1.6123032904148595</c:v>
                </c:pt>
                <c:pt idx="429">
                  <c:v>1.6137339055793802</c:v>
                </c:pt>
                <c:pt idx="430">
                  <c:v>1.6151645207439009</c:v>
                </c:pt>
                <c:pt idx="431">
                  <c:v>1.6165951359084216</c:v>
                </c:pt>
                <c:pt idx="432">
                  <c:v>1.6180257510729423</c:v>
                </c:pt>
                <c:pt idx="433">
                  <c:v>1.619456366237463</c:v>
                </c:pt>
                <c:pt idx="434">
                  <c:v>1.6208869814019837</c:v>
                </c:pt>
                <c:pt idx="435">
                  <c:v>1.6223175965665044</c:v>
                </c:pt>
                <c:pt idx="436">
                  <c:v>1.6237482117310251</c:v>
                </c:pt>
                <c:pt idx="437">
                  <c:v>1.6251788268955458</c:v>
                </c:pt>
                <c:pt idx="438">
                  <c:v>1.6266094420600665</c:v>
                </c:pt>
                <c:pt idx="439">
                  <c:v>1.6280400572245872</c:v>
                </c:pt>
                <c:pt idx="440">
                  <c:v>1.6294706723891079</c:v>
                </c:pt>
                <c:pt idx="441">
                  <c:v>1.6309012875536286</c:v>
                </c:pt>
                <c:pt idx="442">
                  <c:v>1.6323319027181493</c:v>
                </c:pt>
                <c:pt idx="443">
                  <c:v>1.63376251788267</c:v>
                </c:pt>
                <c:pt idx="444">
                  <c:v>1.6351931330471907</c:v>
                </c:pt>
                <c:pt idx="445">
                  <c:v>1.6366237482117114</c:v>
                </c:pt>
                <c:pt idx="446">
                  <c:v>1.6380543633762321</c:v>
                </c:pt>
                <c:pt idx="447">
                  <c:v>1.6394849785407528</c:v>
                </c:pt>
                <c:pt idx="448">
                  <c:v>1.6409155937052735</c:v>
                </c:pt>
                <c:pt idx="449">
                  <c:v>1.6423462088697942</c:v>
                </c:pt>
                <c:pt idx="450">
                  <c:v>1.6437768240343149</c:v>
                </c:pt>
                <c:pt idx="451">
                  <c:v>1.6452074391988356</c:v>
                </c:pt>
                <c:pt idx="452">
                  <c:v>1.6466380543633563</c:v>
                </c:pt>
                <c:pt idx="453">
                  <c:v>1.648068669527877</c:v>
                </c:pt>
                <c:pt idx="454">
                  <c:v>1.6494992846923977</c:v>
                </c:pt>
                <c:pt idx="455">
                  <c:v>1.6509298998569184</c:v>
                </c:pt>
                <c:pt idx="456">
                  <c:v>1.6523605150214391</c:v>
                </c:pt>
                <c:pt idx="457">
                  <c:v>1.6537911301859598</c:v>
                </c:pt>
                <c:pt idx="458">
                  <c:v>1.6552217453504805</c:v>
                </c:pt>
                <c:pt idx="459">
                  <c:v>1.6566523605150012</c:v>
                </c:pt>
                <c:pt idx="460">
                  <c:v>1.6580829756795219</c:v>
                </c:pt>
                <c:pt idx="461">
                  <c:v>1.6595135908440426</c:v>
                </c:pt>
                <c:pt idx="462">
                  <c:v>1.6609442060085633</c:v>
                </c:pt>
                <c:pt idx="463">
                  <c:v>1.662374821173084</c:v>
                </c:pt>
                <c:pt idx="464">
                  <c:v>1.6638054363376047</c:v>
                </c:pt>
                <c:pt idx="465">
                  <c:v>1.6652360515021254</c:v>
                </c:pt>
                <c:pt idx="466">
                  <c:v>1.6666666666666461</c:v>
                </c:pt>
                <c:pt idx="467">
                  <c:v>1.6680972818311668</c:v>
                </c:pt>
                <c:pt idx="468">
                  <c:v>1.6695278969956875</c:v>
                </c:pt>
                <c:pt idx="469">
                  <c:v>1.6709585121602082</c:v>
                </c:pt>
                <c:pt idx="470">
                  <c:v>1.6723891273247289</c:v>
                </c:pt>
                <c:pt idx="471">
                  <c:v>1.6738197424892496</c:v>
                </c:pt>
                <c:pt idx="472">
                  <c:v>1.6752503576537703</c:v>
                </c:pt>
                <c:pt idx="473">
                  <c:v>1.676680972818291</c:v>
                </c:pt>
                <c:pt idx="474">
                  <c:v>1.6781115879828117</c:v>
                </c:pt>
                <c:pt idx="475">
                  <c:v>1.6795422031473324</c:v>
                </c:pt>
                <c:pt idx="476">
                  <c:v>1.6809728183118531</c:v>
                </c:pt>
                <c:pt idx="477">
                  <c:v>1.6824034334763738</c:v>
                </c:pt>
                <c:pt idx="478">
                  <c:v>1.6838340486408945</c:v>
                </c:pt>
                <c:pt idx="479">
                  <c:v>1.6852646638054152</c:v>
                </c:pt>
                <c:pt idx="480">
                  <c:v>1.6866952789699359</c:v>
                </c:pt>
                <c:pt idx="481">
                  <c:v>1.6881258941344566</c:v>
                </c:pt>
                <c:pt idx="482">
                  <c:v>1.6895565092989773</c:v>
                </c:pt>
                <c:pt idx="483">
                  <c:v>1.690987124463498</c:v>
                </c:pt>
                <c:pt idx="484">
                  <c:v>1.6924177396280187</c:v>
                </c:pt>
                <c:pt idx="485">
                  <c:v>1.6938483547925394</c:v>
                </c:pt>
                <c:pt idx="486">
                  <c:v>1.6952789699570601</c:v>
                </c:pt>
                <c:pt idx="487">
                  <c:v>1.6967095851215808</c:v>
                </c:pt>
                <c:pt idx="488">
                  <c:v>1.6981402002861015</c:v>
                </c:pt>
                <c:pt idx="489">
                  <c:v>1.6995708154506222</c:v>
                </c:pt>
                <c:pt idx="490">
                  <c:v>1.7010014306151429</c:v>
                </c:pt>
                <c:pt idx="491">
                  <c:v>1.7024320457796636</c:v>
                </c:pt>
                <c:pt idx="492">
                  <c:v>1.7038626609441843</c:v>
                </c:pt>
                <c:pt idx="493">
                  <c:v>1.705293276108705</c:v>
                </c:pt>
                <c:pt idx="494">
                  <c:v>1.7067238912732257</c:v>
                </c:pt>
                <c:pt idx="495">
                  <c:v>1.7081545064377464</c:v>
                </c:pt>
                <c:pt idx="496">
                  <c:v>1.7095851216022671</c:v>
                </c:pt>
                <c:pt idx="497">
                  <c:v>1.7110157367667878</c:v>
                </c:pt>
                <c:pt idx="498">
                  <c:v>1.7124463519313085</c:v>
                </c:pt>
                <c:pt idx="499">
                  <c:v>1.7138769670958292</c:v>
                </c:pt>
                <c:pt idx="500">
                  <c:v>1.7153075822603499</c:v>
                </c:pt>
                <c:pt idx="501">
                  <c:v>1.7167381974248705</c:v>
                </c:pt>
                <c:pt idx="502">
                  <c:v>1.7181688125893912</c:v>
                </c:pt>
                <c:pt idx="503">
                  <c:v>1.7195994277539119</c:v>
                </c:pt>
                <c:pt idx="504">
                  <c:v>1.7210300429184326</c:v>
                </c:pt>
                <c:pt idx="505">
                  <c:v>1.7224606580829533</c:v>
                </c:pt>
                <c:pt idx="506">
                  <c:v>1.723891273247474</c:v>
                </c:pt>
                <c:pt idx="507">
                  <c:v>1.7253218884119947</c:v>
                </c:pt>
                <c:pt idx="508">
                  <c:v>1.7267525035765154</c:v>
                </c:pt>
                <c:pt idx="509">
                  <c:v>1.7281831187410361</c:v>
                </c:pt>
                <c:pt idx="510">
                  <c:v>1.7296137339055568</c:v>
                </c:pt>
                <c:pt idx="511">
                  <c:v>1.7310443490700775</c:v>
                </c:pt>
                <c:pt idx="512">
                  <c:v>1.7324749642345982</c:v>
                </c:pt>
                <c:pt idx="513">
                  <c:v>1.7339055793991189</c:v>
                </c:pt>
                <c:pt idx="514">
                  <c:v>1.7353361945636396</c:v>
                </c:pt>
                <c:pt idx="515">
                  <c:v>1.7367668097281603</c:v>
                </c:pt>
                <c:pt idx="516">
                  <c:v>1.738197424892681</c:v>
                </c:pt>
                <c:pt idx="517">
                  <c:v>1.7396280400572017</c:v>
                </c:pt>
                <c:pt idx="518">
                  <c:v>1.7410586552217224</c:v>
                </c:pt>
                <c:pt idx="519">
                  <c:v>1.7424892703862431</c:v>
                </c:pt>
                <c:pt idx="520">
                  <c:v>1.7439198855507638</c:v>
                </c:pt>
                <c:pt idx="521">
                  <c:v>1.7453505007152845</c:v>
                </c:pt>
                <c:pt idx="522">
                  <c:v>1.7467811158798052</c:v>
                </c:pt>
                <c:pt idx="523">
                  <c:v>1.7482117310443259</c:v>
                </c:pt>
                <c:pt idx="524">
                  <c:v>1.7496423462088466</c:v>
                </c:pt>
                <c:pt idx="525">
                  <c:v>1.7510729613733673</c:v>
                </c:pt>
                <c:pt idx="526">
                  <c:v>1.752503576537888</c:v>
                </c:pt>
                <c:pt idx="527">
                  <c:v>1.7539341917024087</c:v>
                </c:pt>
                <c:pt idx="528">
                  <c:v>1.7553648068669294</c:v>
                </c:pt>
                <c:pt idx="529">
                  <c:v>1.7567954220314501</c:v>
                </c:pt>
                <c:pt idx="530">
                  <c:v>1.7582260371959708</c:v>
                </c:pt>
                <c:pt idx="531">
                  <c:v>1.7596566523604915</c:v>
                </c:pt>
                <c:pt idx="532">
                  <c:v>1.7610872675250122</c:v>
                </c:pt>
                <c:pt idx="533">
                  <c:v>1.7625178826895329</c:v>
                </c:pt>
                <c:pt idx="534">
                  <c:v>1.7639484978540536</c:v>
                </c:pt>
                <c:pt idx="535">
                  <c:v>1.7653791130185743</c:v>
                </c:pt>
                <c:pt idx="536">
                  <c:v>1.766809728183095</c:v>
                </c:pt>
                <c:pt idx="537">
                  <c:v>1.7682403433476157</c:v>
                </c:pt>
                <c:pt idx="538">
                  <c:v>1.7696709585121364</c:v>
                </c:pt>
                <c:pt idx="539">
                  <c:v>1.7711015736766571</c:v>
                </c:pt>
                <c:pt idx="540">
                  <c:v>1.7725321888411778</c:v>
                </c:pt>
                <c:pt idx="541">
                  <c:v>1.7739628040056985</c:v>
                </c:pt>
                <c:pt idx="542">
                  <c:v>1.7753934191702192</c:v>
                </c:pt>
                <c:pt idx="543">
                  <c:v>1.7768240343347399</c:v>
                </c:pt>
                <c:pt idx="544">
                  <c:v>1.7782546494992606</c:v>
                </c:pt>
                <c:pt idx="545">
                  <c:v>1.7796852646637813</c:v>
                </c:pt>
                <c:pt idx="546">
                  <c:v>1.781115879828302</c:v>
                </c:pt>
                <c:pt idx="547">
                  <c:v>1.7825464949928227</c:v>
                </c:pt>
                <c:pt idx="548">
                  <c:v>1.7839771101573434</c:v>
                </c:pt>
                <c:pt idx="549">
                  <c:v>1.7854077253218641</c:v>
                </c:pt>
                <c:pt idx="550">
                  <c:v>1.7868383404863848</c:v>
                </c:pt>
                <c:pt idx="551">
                  <c:v>1.7882689556509055</c:v>
                </c:pt>
                <c:pt idx="552">
                  <c:v>1.7896995708154262</c:v>
                </c:pt>
                <c:pt idx="553">
                  <c:v>1.7911301859799469</c:v>
                </c:pt>
                <c:pt idx="554">
                  <c:v>1.7925608011444676</c:v>
                </c:pt>
                <c:pt idx="555">
                  <c:v>1.7939914163089883</c:v>
                </c:pt>
                <c:pt idx="556">
                  <c:v>1.795422031473509</c:v>
                </c:pt>
                <c:pt idx="557">
                  <c:v>1.7968526466380297</c:v>
                </c:pt>
                <c:pt idx="558">
                  <c:v>1.7982832618025504</c:v>
                </c:pt>
                <c:pt idx="559">
                  <c:v>1.7997138769670711</c:v>
                </c:pt>
                <c:pt idx="560">
                  <c:v>1.8011444921315918</c:v>
                </c:pt>
                <c:pt idx="561">
                  <c:v>1.8025751072961125</c:v>
                </c:pt>
                <c:pt idx="562">
                  <c:v>1.8040057224606332</c:v>
                </c:pt>
                <c:pt idx="563">
                  <c:v>1.8054363376251539</c:v>
                </c:pt>
                <c:pt idx="564">
                  <c:v>1.8068669527896748</c:v>
                </c:pt>
                <c:pt idx="565">
                  <c:v>1.8082975679541955</c:v>
                </c:pt>
                <c:pt idx="566">
                  <c:v>1.8097281831187162</c:v>
                </c:pt>
                <c:pt idx="567">
                  <c:v>1.8111587982832369</c:v>
                </c:pt>
                <c:pt idx="568">
                  <c:v>1.8125894134477576</c:v>
                </c:pt>
                <c:pt idx="569">
                  <c:v>1.8140200286122783</c:v>
                </c:pt>
                <c:pt idx="570">
                  <c:v>1.815450643776799</c:v>
                </c:pt>
                <c:pt idx="571">
                  <c:v>1.8168812589413197</c:v>
                </c:pt>
                <c:pt idx="572">
                  <c:v>1.8183118741058404</c:v>
                </c:pt>
                <c:pt idx="573">
                  <c:v>1.8197424892703611</c:v>
                </c:pt>
                <c:pt idx="574">
                  <c:v>1.8211731044348818</c:v>
                </c:pt>
                <c:pt idx="575">
                  <c:v>1.8226037195994025</c:v>
                </c:pt>
                <c:pt idx="576">
                  <c:v>1.8240343347639232</c:v>
                </c:pt>
                <c:pt idx="577">
                  <c:v>1.8254649499284439</c:v>
                </c:pt>
                <c:pt idx="578">
                  <c:v>1.8268955650929646</c:v>
                </c:pt>
                <c:pt idx="579">
                  <c:v>1.8283261802574853</c:v>
                </c:pt>
                <c:pt idx="580">
                  <c:v>1.829756795422006</c:v>
                </c:pt>
                <c:pt idx="581">
                  <c:v>1.8311874105865267</c:v>
                </c:pt>
                <c:pt idx="582">
                  <c:v>1.8326180257510474</c:v>
                </c:pt>
                <c:pt idx="583">
                  <c:v>1.8340486409155681</c:v>
                </c:pt>
                <c:pt idx="584">
                  <c:v>1.8354792560800888</c:v>
                </c:pt>
                <c:pt idx="585">
                  <c:v>1.8369098712446095</c:v>
                </c:pt>
                <c:pt idx="586">
                  <c:v>1.8383404864091302</c:v>
                </c:pt>
                <c:pt idx="587">
                  <c:v>1.8397711015736509</c:v>
                </c:pt>
                <c:pt idx="588">
                  <c:v>1.8412017167381716</c:v>
                </c:pt>
                <c:pt idx="589">
                  <c:v>1.8426323319026923</c:v>
                </c:pt>
                <c:pt idx="590">
                  <c:v>1.844062947067213</c:v>
                </c:pt>
                <c:pt idx="591">
                  <c:v>1.8454935622317337</c:v>
                </c:pt>
                <c:pt idx="592">
                  <c:v>1.8469241773962544</c:v>
                </c:pt>
                <c:pt idx="593">
                  <c:v>1.8483547925607751</c:v>
                </c:pt>
                <c:pt idx="594">
                  <c:v>1.8497854077252958</c:v>
                </c:pt>
                <c:pt idx="595">
                  <c:v>1.8512160228898165</c:v>
                </c:pt>
                <c:pt idx="596">
                  <c:v>1.8526466380543372</c:v>
                </c:pt>
                <c:pt idx="597">
                  <c:v>1.8540772532188579</c:v>
                </c:pt>
                <c:pt idx="598">
                  <c:v>1.8555078683833786</c:v>
                </c:pt>
                <c:pt idx="599">
                  <c:v>1.8569384835478993</c:v>
                </c:pt>
                <c:pt idx="600">
                  <c:v>1.85836909871242</c:v>
                </c:pt>
                <c:pt idx="601">
                  <c:v>1.8597997138769407</c:v>
                </c:pt>
                <c:pt idx="602">
                  <c:v>1.8612303290414614</c:v>
                </c:pt>
                <c:pt idx="603">
                  <c:v>1.862660944205982</c:v>
                </c:pt>
                <c:pt idx="604">
                  <c:v>1.8640915593705027</c:v>
                </c:pt>
                <c:pt idx="605">
                  <c:v>1.8655221745350234</c:v>
                </c:pt>
                <c:pt idx="606">
                  <c:v>1.8669527896995441</c:v>
                </c:pt>
                <c:pt idx="607">
                  <c:v>1.8683834048640648</c:v>
                </c:pt>
                <c:pt idx="608">
                  <c:v>1.8698140200285855</c:v>
                </c:pt>
                <c:pt idx="609">
                  <c:v>1.8712446351931062</c:v>
                </c:pt>
                <c:pt idx="610">
                  <c:v>1.8726752503576269</c:v>
                </c:pt>
                <c:pt idx="611">
                  <c:v>1.8741058655221476</c:v>
                </c:pt>
                <c:pt idx="612">
                  <c:v>1.8755364806866683</c:v>
                </c:pt>
                <c:pt idx="613">
                  <c:v>1.876967095851189</c:v>
                </c:pt>
                <c:pt idx="614">
                  <c:v>1.8783977110157097</c:v>
                </c:pt>
                <c:pt idx="615">
                  <c:v>1.8798283261802304</c:v>
                </c:pt>
                <c:pt idx="616">
                  <c:v>1.8812589413447511</c:v>
                </c:pt>
                <c:pt idx="617">
                  <c:v>1.8826895565092718</c:v>
                </c:pt>
                <c:pt idx="618">
                  <c:v>1.8841201716737925</c:v>
                </c:pt>
                <c:pt idx="619">
                  <c:v>1.8855507868383132</c:v>
                </c:pt>
                <c:pt idx="620">
                  <c:v>1.8869814020028339</c:v>
                </c:pt>
                <c:pt idx="621">
                  <c:v>1.8884120171673546</c:v>
                </c:pt>
                <c:pt idx="622">
                  <c:v>1.8898426323318753</c:v>
                </c:pt>
                <c:pt idx="623">
                  <c:v>1.891273247496396</c:v>
                </c:pt>
                <c:pt idx="624">
                  <c:v>1.8927038626609167</c:v>
                </c:pt>
                <c:pt idx="625">
                  <c:v>1.8941344778254374</c:v>
                </c:pt>
                <c:pt idx="626">
                  <c:v>1.8955650929899581</c:v>
                </c:pt>
                <c:pt idx="627">
                  <c:v>1.8969957081544788</c:v>
                </c:pt>
                <c:pt idx="628">
                  <c:v>1.8984263233189995</c:v>
                </c:pt>
                <c:pt idx="629">
                  <c:v>1.8998569384835202</c:v>
                </c:pt>
                <c:pt idx="630">
                  <c:v>1.9012875536480409</c:v>
                </c:pt>
                <c:pt idx="631">
                  <c:v>1.9027181688125616</c:v>
                </c:pt>
                <c:pt idx="632">
                  <c:v>1.9041487839770823</c:v>
                </c:pt>
                <c:pt idx="633">
                  <c:v>1.905579399141603</c:v>
                </c:pt>
                <c:pt idx="634">
                  <c:v>1.9070100143061237</c:v>
                </c:pt>
                <c:pt idx="635">
                  <c:v>1.9084406294706444</c:v>
                </c:pt>
                <c:pt idx="636">
                  <c:v>1.9098712446351651</c:v>
                </c:pt>
                <c:pt idx="637">
                  <c:v>1.9113018597996858</c:v>
                </c:pt>
                <c:pt idx="638">
                  <c:v>1.9127324749642065</c:v>
                </c:pt>
                <c:pt idx="639">
                  <c:v>1.9141630901287272</c:v>
                </c:pt>
                <c:pt idx="640">
                  <c:v>1.9155937052932479</c:v>
                </c:pt>
                <c:pt idx="641">
                  <c:v>1.9170243204577686</c:v>
                </c:pt>
                <c:pt idx="642">
                  <c:v>1.9184549356222893</c:v>
                </c:pt>
                <c:pt idx="643">
                  <c:v>1.91988555078681</c:v>
                </c:pt>
                <c:pt idx="644">
                  <c:v>1.9213161659513307</c:v>
                </c:pt>
                <c:pt idx="645">
                  <c:v>1.9227467811158514</c:v>
                </c:pt>
                <c:pt idx="646">
                  <c:v>1.9241773962803721</c:v>
                </c:pt>
                <c:pt idx="647">
                  <c:v>1.9256080114448928</c:v>
                </c:pt>
                <c:pt idx="648">
                  <c:v>1.9270386266094135</c:v>
                </c:pt>
                <c:pt idx="649">
                  <c:v>1.9284692417739342</c:v>
                </c:pt>
                <c:pt idx="650">
                  <c:v>1.9298998569384549</c:v>
                </c:pt>
                <c:pt idx="651">
                  <c:v>1.9313304721029756</c:v>
                </c:pt>
                <c:pt idx="652">
                  <c:v>1.9327610872674963</c:v>
                </c:pt>
                <c:pt idx="653">
                  <c:v>1.934191702432017</c:v>
                </c:pt>
                <c:pt idx="654">
                  <c:v>1.9356223175965377</c:v>
                </c:pt>
                <c:pt idx="655">
                  <c:v>1.9370529327610584</c:v>
                </c:pt>
                <c:pt idx="656">
                  <c:v>1.9384835479255791</c:v>
                </c:pt>
                <c:pt idx="657">
                  <c:v>1.9399141630900998</c:v>
                </c:pt>
                <c:pt idx="658">
                  <c:v>1.9413447782546205</c:v>
                </c:pt>
                <c:pt idx="659">
                  <c:v>1.9427753934191412</c:v>
                </c:pt>
                <c:pt idx="660">
                  <c:v>1.9442060085836619</c:v>
                </c:pt>
                <c:pt idx="661">
                  <c:v>1.9456366237481826</c:v>
                </c:pt>
                <c:pt idx="662">
                  <c:v>1.9470672389127033</c:v>
                </c:pt>
                <c:pt idx="663">
                  <c:v>1.948497854077224</c:v>
                </c:pt>
                <c:pt idx="664">
                  <c:v>1.9499284692417447</c:v>
                </c:pt>
                <c:pt idx="665">
                  <c:v>1.9513590844062654</c:v>
                </c:pt>
                <c:pt idx="666">
                  <c:v>1.9527896995707863</c:v>
                </c:pt>
                <c:pt idx="667">
                  <c:v>1.954220314735307</c:v>
                </c:pt>
                <c:pt idx="668">
                  <c:v>1.9556509298998277</c:v>
                </c:pt>
                <c:pt idx="669">
                  <c:v>1.9570815450643484</c:v>
                </c:pt>
                <c:pt idx="670">
                  <c:v>1.9585121602288691</c:v>
                </c:pt>
                <c:pt idx="671">
                  <c:v>1.9599427753933898</c:v>
                </c:pt>
                <c:pt idx="672">
                  <c:v>1.9613733905579105</c:v>
                </c:pt>
                <c:pt idx="673">
                  <c:v>1.9628040057224312</c:v>
                </c:pt>
                <c:pt idx="674">
                  <c:v>1.9642346208869519</c:v>
                </c:pt>
                <c:pt idx="675">
                  <c:v>1.9656652360514726</c:v>
                </c:pt>
                <c:pt idx="676">
                  <c:v>1.9670958512159933</c:v>
                </c:pt>
                <c:pt idx="677">
                  <c:v>1.968526466380514</c:v>
                </c:pt>
                <c:pt idx="678">
                  <c:v>1.9699570815450347</c:v>
                </c:pt>
                <c:pt idx="679">
                  <c:v>1.9713876967095554</c:v>
                </c:pt>
                <c:pt idx="680">
                  <c:v>1.9728183118740761</c:v>
                </c:pt>
                <c:pt idx="681">
                  <c:v>1.9742489270385968</c:v>
                </c:pt>
                <c:pt idx="682">
                  <c:v>1.9756795422031175</c:v>
                </c:pt>
                <c:pt idx="683">
                  <c:v>1.9771101573676382</c:v>
                </c:pt>
                <c:pt idx="684">
                  <c:v>1.9785407725321589</c:v>
                </c:pt>
                <c:pt idx="685">
                  <c:v>1.9799713876966796</c:v>
                </c:pt>
                <c:pt idx="686">
                  <c:v>1.9814020028612003</c:v>
                </c:pt>
                <c:pt idx="687">
                  <c:v>1.982832618025721</c:v>
                </c:pt>
                <c:pt idx="688">
                  <c:v>1.9842632331902417</c:v>
                </c:pt>
                <c:pt idx="689">
                  <c:v>1.9856938483547624</c:v>
                </c:pt>
                <c:pt idx="690">
                  <c:v>1.9871244635192831</c:v>
                </c:pt>
                <c:pt idx="691">
                  <c:v>1.9885550786838038</c:v>
                </c:pt>
                <c:pt idx="692">
                  <c:v>1.9899856938483245</c:v>
                </c:pt>
                <c:pt idx="693">
                  <c:v>1.9914163090128452</c:v>
                </c:pt>
                <c:pt idx="694">
                  <c:v>1.9928469241773659</c:v>
                </c:pt>
                <c:pt idx="695">
                  <c:v>1.9942775393418866</c:v>
                </c:pt>
                <c:pt idx="696">
                  <c:v>1.9957081545064073</c:v>
                </c:pt>
                <c:pt idx="697">
                  <c:v>1.997138769670928</c:v>
                </c:pt>
                <c:pt idx="698">
                  <c:v>1.9985693848354487</c:v>
                </c:pt>
                <c:pt idx="699">
                  <c:v>1.9999999999999694</c:v>
                </c:pt>
              </c:numCache>
            </c:numRef>
          </c:xVal>
          <c:yVal>
            <c:numRef>
              <c:f>Sheet5_HID!ydata5</c:f>
              <c:numCache>
                <c:formatCode>General</c:formatCode>
                <c:ptCount val="700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1</c:v>
                </c:pt>
                <c:pt idx="26">
                  <c:v>0</c:v>
                </c:pt>
                <c:pt idx="27">
                  <c:v>1</c:v>
                </c:pt>
                <c:pt idx="28">
                  <c:v>0</c:v>
                </c:pt>
                <c:pt idx="29">
                  <c:v>1</c:v>
                </c:pt>
                <c:pt idx="30">
                  <c:v>0</c:v>
                </c:pt>
                <c:pt idx="31">
                  <c:v>1</c:v>
                </c:pt>
                <c:pt idx="32">
                  <c:v>0</c:v>
                </c:pt>
                <c:pt idx="33">
                  <c:v>1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1</c:v>
                </c:pt>
                <c:pt idx="38">
                  <c:v>0</c:v>
                </c:pt>
                <c:pt idx="39">
                  <c:v>1</c:v>
                </c:pt>
                <c:pt idx="40">
                  <c:v>0</c:v>
                </c:pt>
                <c:pt idx="41">
                  <c:v>1</c:v>
                </c:pt>
                <c:pt idx="42">
                  <c:v>0</c:v>
                </c:pt>
                <c:pt idx="43">
                  <c:v>1</c:v>
                </c:pt>
                <c:pt idx="44">
                  <c:v>0</c:v>
                </c:pt>
                <c:pt idx="45">
                  <c:v>1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1</c:v>
                </c:pt>
                <c:pt idx="58">
                  <c:v>0</c:v>
                </c:pt>
                <c:pt idx="59">
                  <c:v>1</c:v>
                </c:pt>
                <c:pt idx="60">
                  <c:v>0</c:v>
                </c:pt>
                <c:pt idx="61">
                  <c:v>1</c:v>
                </c:pt>
                <c:pt idx="62">
                  <c:v>0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0</c:v>
                </c:pt>
                <c:pt idx="67">
                  <c:v>1</c:v>
                </c:pt>
                <c:pt idx="68">
                  <c:v>0</c:v>
                </c:pt>
                <c:pt idx="69">
                  <c:v>1</c:v>
                </c:pt>
                <c:pt idx="70">
                  <c:v>0</c:v>
                </c:pt>
                <c:pt idx="71">
                  <c:v>1</c:v>
                </c:pt>
                <c:pt idx="72">
                  <c:v>0</c:v>
                </c:pt>
                <c:pt idx="73">
                  <c:v>1</c:v>
                </c:pt>
                <c:pt idx="74">
                  <c:v>0</c:v>
                </c:pt>
                <c:pt idx="75">
                  <c:v>1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1</c:v>
                </c:pt>
                <c:pt idx="82">
                  <c:v>0</c:v>
                </c:pt>
                <c:pt idx="83">
                  <c:v>1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1</c:v>
                </c:pt>
                <c:pt idx="88">
                  <c:v>0</c:v>
                </c:pt>
                <c:pt idx="89">
                  <c:v>1</c:v>
                </c:pt>
                <c:pt idx="90">
                  <c:v>0</c:v>
                </c:pt>
                <c:pt idx="91">
                  <c:v>1</c:v>
                </c:pt>
                <c:pt idx="92">
                  <c:v>0</c:v>
                </c:pt>
                <c:pt idx="93">
                  <c:v>1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1</c:v>
                </c:pt>
                <c:pt idx="98">
                  <c:v>0</c:v>
                </c:pt>
                <c:pt idx="99">
                  <c:v>1</c:v>
                </c:pt>
                <c:pt idx="100">
                  <c:v>0</c:v>
                </c:pt>
                <c:pt idx="101">
                  <c:v>1</c:v>
                </c:pt>
                <c:pt idx="102">
                  <c:v>0</c:v>
                </c:pt>
                <c:pt idx="103">
                  <c:v>1</c:v>
                </c:pt>
                <c:pt idx="104">
                  <c:v>0</c:v>
                </c:pt>
                <c:pt idx="105">
                  <c:v>1</c:v>
                </c:pt>
                <c:pt idx="106">
                  <c:v>0</c:v>
                </c:pt>
                <c:pt idx="107">
                  <c:v>1</c:v>
                </c:pt>
                <c:pt idx="108">
                  <c:v>0</c:v>
                </c:pt>
                <c:pt idx="109">
                  <c:v>1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1</c:v>
                </c:pt>
                <c:pt idx="114">
                  <c:v>0</c:v>
                </c:pt>
                <c:pt idx="115">
                  <c:v>1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1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1</c:v>
                </c:pt>
                <c:pt idx="124">
                  <c:v>0</c:v>
                </c:pt>
                <c:pt idx="125">
                  <c:v>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0</c:v>
                </c:pt>
                <c:pt idx="131">
                  <c:v>1</c:v>
                </c:pt>
                <c:pt idx="132">
                  <c:v>0</c:v>
                </c:pt>
                <c:pt idx="133">
                  <c:v>1</c:v>
                </c:pt>
                <c:pt idx="134">
                  <c:v>0</c:v>
                </c:pt>
                <c:pt idx="135">
                  <c:v>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0</c:v>
                </c:pt>
                <c:pt idx="141">
                  <c:v>1</c:v>
                </c:pt>
                <c:pt idx="142">
                  <c:v>0</c:v>
                </c:pt>
                <c:pt idx="143">
                  <c:v>1</c:v>
                </c:pt>
                <c:pt idx="144">
                  <c:v>0</c:v>
                </c:pt>
                <c:pt idx="145">
                  <c:v>1</c:v>
                </c:pt>
                <c:pt idx="146">
                  <c:v>0</c:v>
                </c:pt>
                <c:pt idx="147">
                  <c:v>1</c:v>
                </c:pt>
                <c:pt idx="148">
                  <c:v>0</c:v>
                </c:pt>
                <c:pt idx="149">
                  <c:v>1</c:v>
                </c:pt>
                <c:pt idx="150">
                  <c:v>0</c:v>
                </c:pt>
                <c:pt idx="151">
                  <c:v>1</c:v>
                </c:pt>
                <c:pt idx="152">
                  <c:v>0</c:v>
                </c:pt>
                <c:pt idx="153">
                  <c:v>1</c:v>
                </c:pt>
                <c:pt idx="154">
                  <c:v>0</c:v>
                </c:pt>
                <c:pt idx="155">
                  <c:v>1</c:v>
                </c:pt>
                <c:pt idx="156">
                  <c:v>0</c:v>
                </c:pt>
                <c:pt idx="157">
                  <c:v>1</c:v>
                </c:pt>
                <c:pt idx="158">
                  <c:v>0</c:v>
                </c:pt>
                <c:pt idx="159">
                  <c:v>1</c:v>
                </c:pt>
                <c:pt idx="160">
                  <c:v>0</c:v>
                </c:pt>
                <c:pt idx="161">
                  <c:v>1</c:v>
                </c:pt>
                <c:pt idx="162">
                  <c:v>0</c:v>
                </c:pt>
                <c:pt idx="163">
                  <c:v>1</c:v>
                </c:pt>
                <c:pt idx="164">
                  <c:v>0</c:v>
                </c:pt>
                <c:pt idx="165">
                  <c:v>1</c:v>
                </c:pt>
                <c:pt idx="166">
                  <c:v>0</c:v>
                </c:pt>
                <c:pt idx="167">
                  <c:v>1</c:v>
                </c:pt>
                <c:pt idx="168">
                  <c:v>0</c:v>
                </c:pt>
                <c:pt idx="169">
                  <c:v>1</c:v>
                </c:pt>
                <c:pt idx="170">
                  <c:v>0</c:v>
                </c:pt>
                <c:pt idx="171">
                  <c:v>1</c:v>
                </c:pt>
                <c:pt idx="172">
                  <c:v>0</c:v>
                </c:pt>
                <c:pt idx="173">
                  <c:v>1</c:v>
                </c:pt>
                <c:pt idx="174">
                  <c:v>0</c:v>
                </c:pt>
                <c:pt idx="175">
                  <c:v>1</c:v>
                </c:pt>
                <c:pt idx="176">
                  <c:v>0</c:v>
                </c:pt>
                <c:pt idx="177">
                  <c:v>1</c:v>
                </c:pt>
                <c:pt idx="178">
                  <c:v>0</c:v>
                </c:pt>
                <c:pt idx="179">
                  <c:v>1</c:v>
                </c:pt>
                <c:pt idx="180">
                  <c:v>0</c:v>
                </c:pt>
                <c:pt idx="181">
                  <c:v>1</c:v>
                </c:pt>
                <c:pt idx="182">
                  <c:v>0</c:v>
                </c:pt>
                <c:pt idx="183">
                  <c:v>1</c:v>
                </c:pt>
                <c:pt idx="184">
                  <c:v>0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0</c:v>
                </c:pt>
                <c:pt idx="189">
                  <c:v>1</c:v>
                </c:pt>
                <c:pt idx="190">
                  <c:v>0</c:v>
                </c:pt>
                <c:pt idx="191">
                  <c:v>1</c:v>
                </c:pt>
                <c:pt idx="192">
                  <c:v>0</c:v>
                </c:pt>
                <c:pt idx="193">
                  <c:v>1</c:v>
                </c:pt>
                <c:pt idx="194">
                  <c:v>0</c:v>
                </c:pt>
                <c:pt idx="195">
                  <c:v>1</c:v>
                </c:pt>
                <c:pt idx="196">
                  <c:v>0</c:v>
                </c:pt>
                <c:pt idx="197">
                  <c:v>1</c:v>
                </c:pt>
                <c:pt idx="198">
                  <c:v>0</c:v>
                </c:pt>
                <c:pt idx="199">
                  <c:v>1</c:v>
                </c:pt>
                <c:pt idx="200">
                  <c:v>0</c:v>
                </c:pt>
                <c:pt idx="201">
                  <c:v>1</c:v>
                </c:pt>
                <c:pt idx="202">
                  <c:v>0</c:v>
                </c:pt>
                <c:pt idx="203">
                  <c:v>1</c:v>
                </c:pt>
                <c:pt idx="204">
                  <c:v>0</c:v>
                </c:pt>
                <c:pt idx="205">
                  <c:v>1</c:v>
                </c:pt>
                <c:pt idx="206">
                  <c:v>0</c:v>
                </c:pt>
                <c:pt idx="207">
                  <c:v>1</c:v>
                </c:pt>
                <c:pt idx="208">
                  <c:v>0</c:v>
                </c:pt>
                <c:pt idx="209">
                  <c:v>1</c:v>
                </c:pt>
                <c:pt idx="210">
                  <c:v>0</c:v>
                </c:pt>
                <c:pt idx="211">
                  <c:v>1</c:v>
                </c:pt>
                <c:pt idx="212">
                  <c:v>0</c:v>
                </c:pt>
                <c:pt idx="213">
                  <c:v>1</c:v>
                </c:pt>
                <c:pt idx="214">
                  <c:v>0</c:v>
                </c:pt>
                <c:pt idx="215">
                  <c:v>1</c:v>
                </c:pt>
                <c:pt idx="216">
                  <c:v>0</c:v>
                </c:pt>
                <c:pt idx="217">
                  <c:v>1</c:v>
                </c:pt>
                <c:pt idx="218">
                  <c:v>0</c:v>
                </c:pt>
                <c:pt idx="219">
                  <c:v>1</c:v>
                </c:pt>
                <c:pt idx="220">
                  <c:v>0</c:v>
                </c:pt>
                <c:pt idx="221">
                  <c:v>1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1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1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1</c:v>
                </c:pt>
                <c:pt idx="236">
                  <c:v>0</c:v>
                </c:pt>
                <c:pt idx="237">
                  <c:v>1</c:v>
                </c:pt>
                <c:pt idx="238">
                  <c:v>0</c:v>
                </c:pt>
                <c:pt idx="239">
                  <c:v>1</c:v>
                </c:pt>
                <c:pt idx="240">
                  <c:v>0</c:v>
                </c:pt>
                <c:pt idx="241">
                  <c:v>1</c:v>
                </c:pt>
                <c:pt idx="242">
                  <c:v>0</c:v>
                </c:pt>
                <c:pt idx="243">
                  <c:v>1</c:v>
                </c:pt>
                <c:pt idx="244">
                  <c:v>0</c:v>
                </c:pt>
                <c:pt idx="245">
                  <c:v>1</c:v>
                </c:pt>
                <c:pt idx="246">
                  <c:v>0</c:v>
                </c:pt>
                <c:pt idx="247">
                  <c:v>1</c:v>
                </c:pt>
                <c:pt idx="248">
                  <c:v>0</c:v>
                </c:pt>
                <c:pt idx="249">
                  <c:v>1</c:v>
                </c:pt>
                <c:pt idx="250">
                  <c:v>0</c:v>
                </c:pt>
                <c:pt idx="251">
                  <c:v>1</c:v>
                </c:pt>
                <c:pt idx="252">
                  <c:v>0</c:v>
                </c:pt>
                <c:pt idx="253">
                  <c:v>1</c:v>
                </c:pt>
                <c:pt idx="254">
                  <c:v>0</c:v>
                </c:pt>
                <c:pt idx="255">
                  <c:v>1</c:v>
                </c:pt>
                <c:pt idx="256">
                  <c:v>0</c:v>
                </c:pt>
                <c:pt idx="257">
                  <c:v>1</c:v>
                </c:pt>
                <c:pt idx="258">
                  <c:v>0</c:v>
                </c:pt>
                <c:pt idx="259">
                  <c:v>1</c:v>
                </c:pt>
                <c:pt idx="260">
                  <c:v>0</c:v>
                </c:pt>
                <c:pt idx="261">
                  <c:v>1</c:v>
                </c:pt>
                <c:pt idx="262">
                  <c:v>0</c:v>
                </c:pt>
                <c:pt idx="263">
                  <c:v>1</c:v>
                </c:pt>
                <c:pt idx="264">
                  <c:v>0</c:v>
                </c:pt>
                <c:pt idx="265">
                  <c:v>1</c:v>
                </c:pt>
                <c:pt idx="266">
                  <c:v>0</c:v>
                </c:pt>
                <c:pt idx="267">
                  <c:v>1</c:v>
                </c:pt>
                <c:pt idx="268">
                  <c:v>0</c:v>
                </c:pt>
                <c:pt idx="269">
                  <c:v>1</c:v>
                </c:pt>
                <c:pt idx="270">
                  <c:v>0</c:v>
                </c:pt>
                <c:pt idx="271">
                  <c:v>1</c:v>
                </c:pt>
                <c:pt idx="272">
                  <c:v>0</c:v>
                </c:pt>
                <c:pt idx="273">
                  <c:v>1</c:v>
                </c:pt>
                <c:pt idx="274">
                  <c:v>0</c:v>
                </c:pt>
                <c:pt idx="275">
                  <c:v>1</c:v>
                </c:pt>
                <c:pt idx="276">
                  <c:v>0</c:v>
                </c:pt>
                <c:pt idx="277">
                  <c:v>1</c:v>
                </c:pt>
                <c:pt idx="278">
                  <c:v>0</c:v>
                </c:pt>
                <c:pt idx="279">
                  <c:v>1</c:v>
                </c:pt>
                <c:pt idx="280">
                  <c:v>0</c:v>
                </c:pt>
                <c:pt idx="281">
                  <c:v>1</c:v>
                </c:pt>
                <c:pt idx="282">
                  <c:v>0</c:v>
                </c:pt>
                <c:pt idx="283">
                  <c:v>1</c:v>
                </c:pt>
                <c:pt idx="284">
                  <c:v>0</c:v>
                </c:pt>
                <c:pt idx="285">
                  <c:v>1</c:v>
                </c:pt>
                <c:pt idx="286">
                  <c:v>0</c:v>
                </c:pt>
                <c:pt idx="287">
                  <c:v>1</c:v>
                </c:pt>
                <c:pt idx="288">
                  <c:v>0</c:v>
                </c:pt>
                <c:pt idx="289">
                  <c:v>1</c:v>
                </c:pt>
                <c:pt idx="290">
                  <c:v>0</c:v>
                </c:pt>
                <c:pt idx="291">
                  <c:v>1</c:v>
                </c:pt>
                <c:pt idx="292">
                  <c:v>0</c:v>
                </c:pt>
                <c:pt idx="293">
                  <c:v>1</c:v>
                </c:pt>
                <c:pt idx="294">
                  <c:v>0</c:v>
                </c:pt>
                <c:pt idx="295">
                  <c:v>1</c:v>
                </c:pt>
                <c:pt idx="296">
                  <c:v>0</c:v>
                </c:pt>
                <c:pt idx="297">
                  <c:v>1</c:v>
                </c:pt>
                <c:pt idx="298">
                  <c:v>0</c:v>
                </c:pt>
                <c:pt idx="299">
                  <c:v>1</c:v>
                </c:pt>
                <c:pt idx="300">
                  <c:v>0</c:v>
                </c:pt>
                <c:pt idx="301">
                  <c:v>1</c:v>
                </c:pt>
                <c:pt idx="302">
                  <c:v>0</c:v>
                </c:pt>
                <c:pt idx="303">
                  <c:v>1</c:v>
                </c:pt>
                <c:pt idx="304">
                  <c:v>0</c:v>
                </c:pt>
                <c:pt idx="305">
                  <c:v>1</c:v>
                </c:pt>
                <c:pt idx="306">
                  <c:v>0</c:v>
                </c:pt>
                <c:pt idx="307">
                  <c:v>1</c:v>
                </c:pt>
                <c:pt idx="308">
                  <c:v>0</c:v>
                </c:pt>
                <c:pt idx="309">
                  <c:v>1</c:v>
                </c:pt>
                <c:pt idx="310">
                  <c:v>0</c:v>
                </c:pt>
                <c:pt idx="311">
                  <c:v>1</c:v>
                </c:pt>
                <c:pt idx="312">
                  <c:v>0</c:v>
                </c:pt>
                <c:pt idx="313">
                  <c:v>1</c:v>
                </c:pt>
                <c:pt idx="314">
                  <c:v>0</c:v>
                </c:pt>
                <c:pt idx="315">
                  <c:v>1</c:v>
                </c:pt>
                <c:pt idx="316">
                  <c:v>0</c:v>
                </c:pt>
                <c:pt idx="317">
                  <c:v>1</c:v>
                </c:pt>
                <c:pt idx="318">
                  <c:v>0</c:v>
                </c:pt>
                <c:pt idx="319">
                  <c:v>1</c:v>
                </c:pt>
                <c:pt idx="320">
                  <c:v>0</c:v>
                </c:pt>
                <c:pt idx="321">
                  <c:v>1</c:v>
                </c:pt>
                <c:pt idx="322">
                  <c:v>0</c:v>
                </c:pt>
                <c:pt idx="323">
                  <c:v>1</c:v>
                </c:pt>
                <c:pt idx="324">
                  <c:v>0</c:v>
                </c:pt>
                <c:pt idx="325">
                  <c:v>1</c:v>
                </c:pt>
                <c:pt idx="326">
                  <c:v>0</c:v>
                </c:pt>
                <c:pt idx="327">
                  <c:v>1</c:v>
                </c:pt>
                <c:pt idx="328">
                  <c:v>0</c:v>
                </c:pt>
                <c:pt idx="329">
                  <c:v>1</c:v>
                </c:pt>
                <c:pt idx="330">
                  <c:v>0</c:v>
                </c:pt>
                <c:pt idx="331">
                  <c:v>1</c:v>
                </c:pt>
                <c:pt idx="332">
                  <c:v>0</c:v>
                </c:pt>
                <c:pt idx="333">
                  <c:v>1</c:v>
                </c:pt>
                <c:pt idx="334">
                  <c:v>0</c:v>
                </c:pt>
                <c:pt idx="335">
                  <c:v>1</c:v>
                </c:pt>
                <c:pt idx="336">
                  <c:v>0</c:v>
                </c:pt>
                <c:pt idx="337">
                  <c:v>1</c:v>
                </c:pt>
                <c:pt idx="338">
                  <c:v>0</c:v>
                </c:pt>
                <c:pt idx="339">
                  <c:v>1</c:v>
                </c:pt>
                <c:pt idx="340">
                  <c:v>0</c:v>
                </c:pt>
                <c:pt idx="341">
                  <c:v>1</c:v>
                </c:pt>
                <c:pt idx="342">
                  <c:v>0</c:v>
                </c:pt>
                <c:pt idx="343">
                  <c:v>1</c:v>
                </c:pt>
                <c:pt idx="344">
                  <c:v>0</c:v>
                </c:pt>
                <c:pt idx="345">
                  <c:v>1</c:v>
                </c:pt>
                <c:pt idx="346">
                  <c:v>0</c:v>
                </c:pt>
                <c:pt idx="347">
                  <c:v>1</c:v>
                </c:pt>
                <c:pt idx="348">
                  <c:v>0</c:v>
                </c:pt>
                <c:pt idx="349">
                  <c:v>1</c:v>
                </c:pt>
                <c:pt idx="350">
                  <c:v>0</c:v>
                </c:pt>
                <c:pt idx="351">
                  <c:v>1</c:v>
                </c:pt>
                <c:pt idx="352">
                  <c:v>0</c:v>
                </c:pt>
                <c:pt idx="353">
                  <c:v>1</c:v>
                </c:pt>
                <c:pt idx="354">
                  <c:v>0</c:v>
                </c:pt>
                <c:pt idx="355">
                  <c:v>1</c:v>
                </c:pt>
                <c:pt idx="356">
                  <c:v>0</c:v>
                </c:pt>
                <c:pt idx="357">
                  <c:v>1</c:v>
                </c:pt>
                <c:pt idx="358">
                  <c:v>0</c:v>
                </c:pt>
                <c:pt idx="359">
                  <c:v>1</c:v>
                </c:pt>
                <c:pt idx="360">
                  <c:v>0</c:v>
                </c:pt>
                <c:pt idx="361">
                  <c:v>1</c:v>
                </c:pt>
                <c:pt idx="362">
                  <c:v>0</c:v>
                </c:pt>
                <c:pt idx="363">
                  <c:v>1</c:v>
                </c:pt>
                <c:pt idx="364">
                  <c:v>0</c:v>
                </c:pt>
                <c:pt idx="365">
                  <c:v>1</c:v>
                </c:pt>
                <c:pt idx="366">
                  <c:v>0</c:v>
                </c:pt>
                <c:pt idx="367">
                  <c:v>1</c:v>
                </c:pt>
                <c:pt idx="368">
                  <c:v>0</c:v>
                </c:pt>
                <c:pt idx="369">
                  <c:v>1</c:v>
                </c:pt>
                <c:pt idx="370">
                  <c:v>0</c:v>
                </c:pt>
                <c:pt idx="371">
                  <c:v>1</c:v>
                </c:pt>
                <c:pt idx="372">
                  <c:v>0</c:v>
                </c:pt>
                <c:pt idx="373">
                  <c:v>1</c:v>
                </c:pt>
                <c:pt idx="374">
                  <c:v>0</c:v>
                </c:pt>
                <c:pt idx="375">
                  <c:v>1</c:v>
                </c:pt>
                <c:pt idx="376">
                  <c:v>0</c:v>
                </c:pt>
                <c:pt idx="377">
                  <c:v>1</c:v>
                </c:pt>
                <c:pt idx="378">
                  <c:v>0</c:v>
                </c:pt>
                <c:pt idx="379">
                  <c:v>1</c:v>
                </c:pt>
                <c:pt idx="380">
                  <c:v>0</c:v>
                </c:pt>
                <c:pt idx="381">
                  <c:v>1</c:v>
                </c:pt>
                <c:pt idx="382">
                  <c:v>0</c:v>
                </c:pt>
                <c:pt idx="383">
                  <c:v>1</c:v>
                </c:pt>
                <c:pt idx="384">
                  <c:v>0</c:v>
                </c:pt>
                <c:pt idx="385">
                  <c:v>1</c:v>
                </c:pt>
                <c:pt idx="386">
                  <c:v>0</c:v>
                </c:pt>
                <c:pt idx="387">
                  <c:v>1</c:v>
                </c:pt>
                <c:pt idx="388">
                  <c:v>0</c:v>
                </c:pt>
                <c:pt idx="389">
                  <c:v>1</c:v>
                </c:pt>
                <c:pt idx="390">
                  <c:v>0</c:v>
                </c:pt>
                <c:pt idx="391">
                  <c:v>1</c:v>
                </c:pt>
                <c:pt idx="392">
                  <c:v>0</c:v>
                </c:pt>
                <c:pt idx="393">
                  <c:v>1</c:v>
                </c:pt>
                <c:pt idx="394">
                  <c:v>0</c:v>
                </c:pt>
                <c:pt idx="395">
                  <c:v>1</c:v>
                </c:pt>
                <c:pt idx="396">
                  <c:v>0</c:v>
                </c:pt>
                <c:pt idx="397">
                  <c:v>1</c:v>
                </c:pt>
                <c:pt idx="398">
                  <c:v>0</c:v>
                </c:pt>
                <c:pt idx="399">
                  <c:v>1</c:v>
                </c:pt>
                <c:pt idx="400">
                  <c:v>0</c:v>
                </c:pt>
                <c:pt idx="401">
                  <c:v>1</c:v>
                </c:pt>
                <c:pt idx="402">
                  <c:v>0</c:v>
                </c:pt>
                <c:pt idx="403">
                  <c:v>1</c:v>
                </c:pt>
                <c:pt idx="404">
                  <c:v>0</c:v>
                </c:pt>
                <c:pt idx="405">
                  <c:v>1</c:v>
                </c:pt>
                <c:pt idx="406">
                  <c:v>0</c:v>
                </c:pt>
                <c:pt idx="407">
                  <c:v>1</c:v>
                </c:pt>
                <c:pt idx="408">
                  <c:v>0</c:v>
                </c:pt>
                <c:pt idx="409">
                  <c:v>1</c:v>
                </c:pt>
                <c:pt idx="410">
                  <c:v>0</c:v>
                </c:pt>
                <c:pt idx="411">
                  <c:v>1</c:v>
                </c:pt>
                <c:pt idx="412">
                  <c:v>0</c:v>
                </c:pt>
                <c:pt idx="413">
                  <c:v>1</c:v>
                </c:pt>
                <c:pt idx="414">
                  <c:v>0</c:v>
                </c:pt>
                <c:pt idx="415">
                  <c:v>1</c:v>
                </c:pt>
                <c:pt idx="416">
                  <c:v>0</c:v>
                </c:pt>
                <c:pt idx="417">
                  <c:v>1</c:v>
                </c:pt>
                <c:pt idx="418">
                  <c:v>0</c:v>
                </c:pt>
                <c:pt idx="419">
                  <c:v>1</c:v>
                </c:pt>
                <c:pt idx="420">
                  <c:v>0</c:v>
                </c:pt>
                <c:pt idx="421">
                  <c:v>1</c:v>
                </c:pt>
                <c:pt idx="422">
                  <c:v>0</c:v>
                </c:pt>
                <c:pt idx="423">
                  <c:v>1</c:v>
                </c:pt>
                <c:pt idx="424">
                  <c:v>0</c:v>
                </c:pt>
                <c:pt idx="425">
                  <c:v>1</c:v>
                </c:pt>
                <c:pt idx="426">
                  <c:v>0</c:v>
                </c:pt>
                <c:pt idx="427">
                  <c:v>1</c:v>
                </c:pt>
                <c:pt idx="428">
                  <c:v>0</c:v>
                </c:pt>
                <c:pt idx="429">
                  <c:v>1</c:v>
                </c:pt>
                <c:pt idx="430">
                  <c:v>0</c:v>
                </c:pt>
                <c:pt idx="431">
                  <c:v>1</c:v>
                </c:pt>
                <c:pt idx="432">
                  <c:v>0</c:v>
                </c:pt>
                <c:pt idx="433">
                  <c:v>1</c:v>
                </c:pt>
                <c:pt idx="434">
                  <c:v>0</c:v>
                </c:pt>
                <c:pt idx="435">
                  <c:v>1</c:v>
                </c:pt>
                <c:pt idx="436">
                  <c:v>0</c:v>
                </c:pt>
                <c:pt idx="437">
                  <c:v>1</c:v>
                </c:pt>
                <c:pt idx="438">
                  <c:v>0</c:v>
                </c:pt>
                <c:pt idx="439">
                  <c:v>1</c:v>
                </c:pt>
                <c:pt idx="440">
                  <c:v>0</c:v>
                </c:pt>
                <c:pt idx="441">
                  <c:v>1</c:v>
                </c:pt>
                <c:pt idx="442">
                  <c:v>0</c:v>
                </c:pt>
                <c:pt idx="443">
                  <c:v>1</c:v>
                </c:pt>
                <c:pt idx="444">
                  <c:v>0</c:v>
                </c:pt>
                <c:pt idx="445">
                  <c:v>1</c:v>
                </c:pt>
                <c:pt idx="446">
                  <c:v>0</c:v>
                </c:pt>
                <c:pt idx="447">
                  <c:v>1</c:v>
                </c:pt>
                <c:pt idx="448">
                  <c:v>0</c:v>
                </c:pt>
                <c:pt idx="449">
                  <c:v>1</c:v>
                </c:pt>
                <c:pt idx="450">
                  <c:v>0</c:v>
                </c:pt>
                <c:pt idx="451">
                  <c:v>1</c:v>
                </c:pt>
                <c:pt idx="452">
                  <c:v>0</c:v>
                </c:pt>
                <c:pt idx="453">
                  <c:v>1</c:v>
                </c:pt>
                <c:pt idx="454">
                  <c:v>0</c:v>
                </c:pt>
                <c:pt idx="455">
                  <c:v>1</c:v>
                </c:pt>
                <c:pt idx="456">
                  <c:v>0</c:v>
                </c:pt>
                <c:pt idx="457">
                  <c:v>1</c:v>
                </c:pt>
                <c:pt idx="458">
                  <c:v>0</c:v>
                </c:pt>
                <c:pt idx="459">
                  <c:v>1</c:v>
                </c:pt>
                <c:pt idx="460">
                  <c:v>0</c:v>
                </c:pt>
                <c:pt idx="461">
                  <c:v>1</c:v>
                </c:pt>
                <c:pt idx="462">
                  <c:v>0</c:v>
                </c:pt>
                <c:pt idx="463">
                  <c:v>1</c:v>
                </c:pt>
                <c:pt idx="464">
                  <c:v>0</c:v>
                </c:pt>
                <c:pt idx="465">
                  <c:v>1</c:v>
                </c:pt>
                <c:pt idx="466">
                  <c:v>0</c:v>
                </c:pt>
                <c:pt idx="467">
                  <c:v>1</c:v>
                </c:pt>
                <c:pt idx="468">
                  <c:v>0</c:v>
                </c:pt>
                <c:pt idx="469">
                  <c:v>1</c:v>
                </c:pt>
                <c:pt idx="470">
                  <c:v>0</c:v>
                </c:pt>
                <c:pt idx="471">
                  <c:v>1</c:v>
                </c:pt>
                <c:pt idx="472">
                  <c:v>0</c:v>
                </c:pt>
                <c:pt idx="473">
                  <c:v>1</c:v>
                </c:pt>
                <c:pt idx="474">
                  <c:v>0</c:v>
                </c:pt>
                <c:pt idx="475">
                  <c:v>1</c:v>
                </c:pt>
                <c:pt idx="476">
                  <c:v>0</c:v>
                </c:pt>
                <c:pt idx="477">
                  <c:v>1</c:v>
                </c:pt>
                <c:pt idx="478">
                  <c:v>0</c:v>
                </c:pt>
                <c:pt idx="479">
                  <c:v>1</c:v>
                </c:pt>
                <c:pt idx="480">
                  <c:v>0</c:v>
                </c:pt>
                <c:pt idx="481">
                  <c:v>1</c:v>
                </c:pt>
                <c:pt idx="482">
                  <c:v>0</c:v>
                </c:pt>
                <c:pt idx="483">
                  <c:v>1</c:v>
                </c:pt>
                <c:pt idx="484">
                  <c:v>0</c:v>
                </c:pt>
                <c:pt idx="485">
                  <c:v>1</c:v>
                </c:pt>
                <c:pt idx="486">
                  <c:v>0</c:v>
                </c:pt>
                <c:pt idx="487">
                  <c:v>1</c:v>
                </c:pt>
                <c:pt idx="488">
                  <c:v>0</c:v>
                </c:pt>
                <c:pt idx="489">
                  <c:v>1</c:v>
                </c:pt>
                <c:pt idx="490">
                  <c:v>0</c:v>
                </c:pt>
                <c:pt idx="491">
                  <c:v>1</c:v>
                </c:pt>
                <c:pt idx="492">
                  <c:v>0</c:v>
                </c:pt>
                <c:pt idx="493">
                  <c:v>1</c:v>
                </c:pt>
                <c:pt idx="494">
                  <c:v>0</c:v>
                </c:pt>
                <c:pt idx="495">
                  <c:v>1</c:v>
                </c:pt>
                <c:pt idx="496">
                  <c:v>0</c:v>
                </c:pt>
                <c:pt idx="497">
                  <c:v>1</c:v>
                </c:pt>
                <c:pt idx="498">
                  <c:v>0</c:v>
                </c:pt>
                <c:pt idx="499">
                  <c:v>1</c:v>
                </c:pt>
                <c:pt idx="500">
                  <c:v>0</c:v>
                </c:pt>
                <c:pt idx="501">
                  <c:v>1</c:v>
                </c:pt>
                <c:pt idx="502">
                  <c:v>0</c:v>
                </c:pt>
                <c:pt idx="503">
                  <c:v>1</c:v>
                </c:pt>
                <c:pt idx="504">
                  <c:v>0</c:v>
                </c:pt>
                <c:pt idx="505">
                  <c:v>1</c:v>
                </c:pt>
                <c:pt idx="506">
                  <c:v>0</c:v>
                </c:pt>
                <c:pt idx="507">
                  <c:v>1</c:v>
                </c:pt>
                <c:pt idx="508">
                  <c:v>0</c:v>
                </c:pt>
                <c:pt idx="509">
                  <c:v>1</c:v>
                </c:pt>
                <c:pt idx="510">
                  <c:v>0</c:v>
                </c:pt>
                <c:pt idx="511">
                  <c:v>1</c:v>
                </c:pt>
                <c:pt idx="512">
                  <c:v>0</c:v>
                </c:pt>
                <c:pt idx="513">
                  <c:v>1</c:v>
                </c:pt>
                <c:pt idx="514">
                  <c:v>0</c:v>
                </c:pt>
                <c:pt idx="515">
                  <c:v>1</c:v>
                </c:pt>
                <c:pt idx="516">
                  <c:v>0</c:v>
                </c:pt>
                <c:pt idx="517">
                  <c:v>1</c:v>
                </c:pt>
                <c:pt idx="518">
                  <c:v>0</c:v>
                </c:pt>
                <c:pt idx="519">
                  <c:v>1</c:v>
                </c:pt>
                <c:pt idx="520">
                  <c:v>0</c:v>
                </c:pt>
                <c:pt idx="521">
                  <c:v>1</c:v>
                </c:pt>
                <c:pt idx="522">
                  <c:v>0</c:v>
                </c:pt>
                <c:pt idx="523">
                  <c:v>1</c:v>
                </c:pt>
                <c:pt idx="524">
                  <c:v>0</c:v>
                </c:pt>
                <c:pt idx="525">
                  <c:v>1</c:v>
                </c:pt>
                <c:pt idx="526">
                  <c:v>0</c:v>
                </c:pt>
                <c:pt idx="527">
                  <c:v>1</c:v>
                </c:pt>
                <c:pt idx="528">
                  <c:v>0</c:v>
                </c:pt>
                <c:pt idx="529">
                  <c:v>1</c:v>
                </c:pt>
                <c:pt idx="530">
                  <c:v>0</c:v>
                </c:pt>
                <c:pt idx="531">
                  <c:v>1</c:v>
                </c:pt>
                <c:pt idx="532">
                  <c:v>0</c:v>
                </c:pt>
                <c:pt idx="533">
                  <c:v>1</c:v>
                </c:pt>
                <c:pt idx="534">
                  <c:v>0</c:v>
                </c:pt>
                <c:pt idx="535">
                  <c:v>1</c:v>
                </c:pt>
                <c:pt idx="536">
                  <c:v>0</c:v>
                </c:pt>
                <c:pt idx="537">
                  <c:v>1</c:v>
                </c:pt>
                <c:pt idx="538">
                  <c:v>0</c:v>
                </c:pt>
                <c:pt idx="539">
                  <c:v>1</c:v>
                </c:pt>
                <c:pt idx="540">
                  <c:v>0</c:v>
                </c:pt>
                <c:pt idx="541">
                  <c:v>1</c:v>
                </c:pt>
                <c:pt idx="542">
                  <c:v>0</c:v>
                </c:pt>
                <c:pt idx="543">
                  <c:v>1</c:v>
                </c:pt>
                <c:pt idx="544">
                  <c:v>0</c:v>
                </c:pt>
                <c:pt idx="545">
                  <c:v>1</c:v>
                </c:pt>
                <c:pt idx="546">
                  <c:v>0</c:v>
                </c:pt>
                <c:pt idx="547">
                  <c:v>1</c:v>
                </c:pt>
                <c:pt idx="548">
                  <c:v>0</c:v>
                </c:pt>
                <c:pt idx="549">
                  <c:v>1</c:v>
                </c:pt>
                <c:pt idx="550">
                  <c:v>0</c:v>
                </c:pt>
                <c:pt idx="551">
                  <c:v>1</c:v>
                </c:pt>
                <c:pt idx="552">
                  <c:v>0</c:v>
                </c:pt>
                <c:pt idx="553">
                  <c:v>1</c:v>
                </c:pt>
                <c:pt idx="554">
                  <c:v>0</c:v>
                </c:pt>
                <c:pt idx="555">
                  <c:v>1</c:v>
                </c:pt>
                <c:pt idx="556">
                  <c:v>0</c:v>
                </c:pt>
                <c:pt idx="557">
                  <c:v>1</c:v>
                </c:pt>
                <c:pt idx="558">
                  <c:v>0</c:v>
                </c:pt>
                <c:pt idx="559">
                  <c:v>1</c:v>
                </c:pt>
                <c:pt idx="560">
                  <c:v>0</c:v>
                </c:pt>
                <c:pt idx="561">
                  <c:v>1</c:v>
                </c:pt>
                <c:pt idx="562">
                  <c:v>0</c:v>
                </c:pt>
                <c:pt idx="563">
                  <c:v>1</c:v>
                </c:pt>
                <c:pt idx="564">
                  <c:v>0</c:v>
                </c:pt>
                <c:pt idx="565">
                  <c:v>1</c:v>
                </c:pt>
                <c:pt idx="566">
                  <c:v>0</c:v>
                </c:pt>
                <c:pt idx="567">
                  <c:v>1</c:v>
                </c:pt>
                <c:pt idx="568">
                  <c:v>0</c:v>
                </c:pt>
                <c:pt idx="569">
                  <c:v>1</c:v>
                </c:pt>
                <c:pt idx="570">
                  <c:v>0</c:v>
                </c:pt>
                <c:pt idx="571">
                  <c:v>1</c:v>
                </c:pt>
                <c:pt idx="572">
                  <c:v>0</c:v>
                </c:pt>
                <c:pt idx="573">
                  <c:v>1</c:v>
                </c:pt>
                <c:pt idx="574">
                  <c:v>0</c:v>
                </c:pt>
                <c:pt idx="575">
                  <c:v>1</c:v>
                </c:pt>
                <c:pt idx="576">
                  <c:v>0</c:v>
                </c:pt>
                <c:pt idx="577">
                  <c:v>1</c:v>
                </c:pt>
                <c:pt idx="578">
                  <c:v>0</c:v>
                </c:pt>
                <c:pt idx="579">
                  <c:v>1</c:v>
                </c:pt>
                <c:pt idx="580">
                  <c:v>0</c:v>
                </c:pt>
                <c:pt idx="581">
                  <c:v>1</c:v>
                </c:pt>
                <c:pt idx="582">
                  <c:v>0</c:v>
                </c:pt>
                <c:pt idx="583">
                  <c:v>1</c:v>
                </c:pt>
                <c:pt idx="584">
                  <c:v>0</c:v>
                </c:pt>
                <c:pt idx="585">
                  <c:v>1</c:v>
                </c:pt>
                <c:pt idx="586">
                  <c:v>0</c:v>
                </c:pt>
                <c:pt idx="587">
                  <c:v>1</c:v>
                </c:pt>
                <c:pt idx="588">
                  <c:v>0</c:v>
                </c:pt>
                <c:pt idx="589">
                  <c:v>1</c:v>
                </c:pt>
                <c:pt idx="590">
                  <c:v>0</c:v>
                </c:pt>
                <c:pt idx="591">
                  <c:v>1</c:v>
                </c:pt>
                <c:pt idx="592">
                  <c:v>0</c:v>
                </c:pt>
                <c:pt idx="593">
                  <c:v>1</c:v>
                </c:pt>
                <c:pt idx="594">
                  <c:v>0</c:v>
                </c:pt>
                <c:pt idx="595">
                  <c:v>1</c:v>
                </c:pt>
                <c:pt idx="596">
                  <c:v>0</c:v>
                </c:pt>
                <c:pt idx="597">
                  <c:v>1</c:v>
                </c:pt>
                <c:pt idx="598">
                  <c:v>0</c:v>
                </c:pt>
                <c:pt idx="599">
                  <c:v>1</c:v>
                </c:pt>
                <c:pt idx="600">
                  <c:v>0</c:v>
                </c:pt>
                <c:pt idx="601">
                  <c:v>1</c:v>
                </c:pt>
                <c:pt idx="602">
                  <c:v>0</c:v>
                </c:pt>
                <c:pt idx="603">
                  <c:v>1</c:v>
                </c:pt>
                <c:pt idx="604">
                  <c:v>0</c:v>
                </c:pt>
                <c:pt idx="605">
                  <c:v>1</c:v>
                </c:pt>
                <c:pt idx="606">
                  <c:v>0</c:v>
                </c:pt>
                <c:pt idx="607">
                  <c:v>1</c:v>
                </c:pt>
                <c:pt idx="608">
                  <c:v>0</c:v>
                </c:pt>
                <c:pt idx="609">
                  <c:v>1</c:v>
                </c:pt>
                <c:pt idx="610">
                  <c:v>0</c:v>
                </c:pt>
                <c:pt idx="611">
                  <c:v>1</c:v>
                </c:pt>
                <c:pt idx="612">
                  <c:v>0</c:v>
                </c:pt>
                <c:pt idx="613">
                  <c:v>1</c:v>
                </c:pt>
                <c:pt idx="614">
                  <c:v>0</c:v>
                </c:pt>
                <c:pt idx="615">
                  <c:v>1</c:v>
                </c:pt>
                <c:pt idx="616">
                  <c:v>0</c:v>
                </c:pt>
                <c:pt idx="617">
                  <c:v>1</c:v>
                </c:pt>
                <c:pt idx="618">
                  <c:v>0</c:v>
                </c:pt>
                <c:pt idx="619">
                  <c:v>1</c:v>
                </c:pt>
                <c:pt idx="620">
                  <c:v>0</c:v>
                </c:pt>
                <c:pt idx="621">
                  <c:v>1</c:v>
                </c:pt>
                <c:pt idx="622">
                  <c:v>0</c:v>
                </c:pt>
                <c:pt idx="623">
                  <c:v>1</c:v>
                </c:pt>
                <c:pt idx="624">
                  <c:v>0</c:v>
                </c:pt>
                <c:pt idx="625">
                  <c:v>1</c:v>
                </c:pt>
                <c:pt idx="626">
                  <c:v>0</c:v>
                </c:pt>
                <c:pt idx="627">
                  <c:v>1</c:v>
                </c:pt>
                <c:pt idx="628">
                  <c:v>0</c:v>
                </c:pt>
                <c:pt idx="629">
                  <c:v>1</c:v>
                </c:pt>
                <c:pt idx="630">
                  <c:v>0</c:v>
                </c:pt>
                <c:pt idx="631">
                  <c:v>1</c:v>
                </c:pt>
                <c:pt idx="632">
                  <c:v>0</c:v>
                </c:pt>
                <c:pt idx="633">
                  <c:v>1</c:v>
                </c:pt>
                <c:pt idx="634">
                  <c:v>0</c:v>
                </c:pt>
                <c:pt idx="635">
                  <c:v>1</c:v>
                </c:pt>
                <c:pt idx="636">
                  <c:v>0</c:v>
                </c:pt>
                <c:pt idx="637">
                  <c:v>1</c:v>
                </c:pt>
                <c:pt idx="638">
                  <c:v>0</c:v>
                </c:pt>
                <c:pt idx="639">
                  <c:v>1</c:v>
                </c:pt>
                <c:pt idx="640">
                  <c:v>0</c:v>
                </c:pt>
                <c:pt idx="641">
                  <c:v>1</c:v>
                </c:pt>
                <c:pt idx="642">
                  <c:v>0</c:v>
                </c:pt>
                <c:pt idx="643">
                  <c:v>1</c:v>
                </c:pt>
                <c:pt idx="644">
                  <c:v>0</c:v>
                </c:pt>
                <c:pt idx="645">
                  <c:v>1</c:v>
                </c:pt>
                <c:pt idx="646">
                  <c:v>0</c:v>
                </c:pt>
                <c:pt idx="647">
                  <c:v>1</c:v>
                </c:pt>
                <c:pt idx="648">
                  <c:v>0</c:v>
                </c:pt>
                <c:pt idx="649">
                  <c:v>1</c:v>
                </c:pt>
                <c:pt idx="650">
                  <c:v>0</c:v>
                </c:pt>
                <c:pt idx="651">
                  <c:v>1</c:v>
                </c:pt>
                <c:pt idx="652">
                  <c:v>0</c:v>
                </c:pt>
                <c:pt idx="653">
                  <c:v>1</c:v>
                </c:pt>
                <c:pt idx="654">
                  <c:v>0</c:v>
                </c:pt>
                <c:pt idx="655">
                  <c:v>1</c:v>
                </c:pt>
                <c:pt idx="656">
                  <c:v>0</c:v>
                </c:pt>
                <c:pt idx="657">
                  <c:v>1</c:v>
                </c:pt>
                <c:pt idx="658">
                  <c:v>0</c:v>
                </c:pt>
                <c:pt idx="659">
                  <c:v>1</c:v>
                </c:pt>
                <c:pt idx="660">
                  <c:v>0</c:v>
                </c:pt>
                <c:pt idx="661">
                  <c:v>1</c:v>
                </c:pt>
                <c:pt idx="662">
                  <c:v>0</c:v>
                </c:pt>
                <c:pt idx="663">
                  <c:v>1</c:v>
                </c:pt>
                <c:pt idx="664">
                  <c:v>0</c:v>
                </c:pt>
                <c:pt idx="665">
                  <c:v>1</c:v>
                </c:pt>
                <c:pt idx="666">
                  <c:v>0</c:v>
                </c:pt>
                <c:pt idx="667">
                  <c:v>1</c:v>
                </c:pt>
                <c:pt idx="668">
                  <c:v>0</c:v>
                </c:pt>
                <c:pt idx="669">
                  <c:v>1</c:v>
                </c:pt>
                <c:pt idx="670">
                  <c:v>0</c:v>
                </c:pt>
                <c:pt idx="671">
                  <c:v>1</c:v>
                </c:pt>
                <c:pt idx="672">
                  <c:v>0</c:v>
                </c:pt>
                <c:pt idx="673">
                  <c:v>1</c:v>
                </c:pt>
                <c:pt idx="674">
                  <c:v>0</c:v>
                </c:pt>
                <c:pt idx="675">
                  <c:v>1</c:v>
                </c:pt>
                <c:pt idx="676">
                  <c:v>0</c:v>
                </c:pt>
                <c:pt idx="677">
                  <c:v>1</c:v>
                </c:pt>
                <c:pt idx="678">
                  <c:v>0</c:v>
                </c:pt>
                <c:pt idx="679">
                  <c:v>1</c:v>
                </c:pt>
                <c:pt idx="680">
                  <c:v>0</c:v>
                </c:pt>
                <c:pt idx="681">
                  <c:v>1</c:v>
                </c:pt>
                <c:pt idx="682">
                  <c:v>0</c:v>
                </c:pt>
                <c:pt idx="683">
                  <c:v>1</c:v>
                </c:pt>
                <c:pt idx="684">
                  <c:v>0</c:v>
                </c:pt>
                <c:pt idx="685">
                  <c:v>1</c:v>
                </c:pt>
                <c:pt idx="686">
                  <c:v>0</c:v>
                </c:pt>
                <c:pt idx="687">
                  <c:v>1</c:v>
                </c:pt>
                <c:pt idx="688">
                  <c:v>0</c:v>
                </c:pt>
                <c:pt idx="689">
                  <c:v>1</c:v>
                </c:pt>
                <c:pt idx="690">
                  <c:v>0</c:v>
                </c:pt>
                <c:pt idx="691">
                  <c:v>1</c:v>
                </c:pt>
                <c:pt idx="692">
                  <c:v>0</c:v>
                </c:pt>
                <c:pt idx="693">
                  <c:v>1</c:v>
                </c:pt>
                <c:pt idx="694">
                  <c:v>0</c:v>
                </c:pt>
                <c:pt idx="695">
                  <c:v>1</c:v>
                </c:pt>
                <c:pt idx="696">
                  <c:v>0</c:v>
                </c:pt>
                <c:pt idx="697">
                  <c:v>1</c:v>
                </c:pt>
                <c:pt idx="698">
                  <c:v>0</c:v>
                </c:pt>
                <c:pt idx="69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57B-4F18-A070-1087D06E2B5A}"/>
            </c:ext>
          </c:extLst>
        </c:ser>
        <c:ser>
          <c:idx val="5"/>
          <c:order val="5"/>
          <c:tx>
            <c:v/>
          </c:tx>
          <c:spPr>
            <a:ln w="6350">
              <a:solidFill>
                <a:srgbClr val="C95217"/>
              </a:solidFill>
              <a:prstDash val="solid"/>
            </a:ln>
            <a:effectLst/>
          </c:spPr>
          <c:marker>
            <c:symbol val="none"/>
          </c:marker>
          <c:xVal>
            <c:numRef>
              <c:f>Sheet5_HID!xdata6</c:f>
              <c:numCache>
                <c:formatCode>General</c:formatCode>
                <c:ptCount val="700"/>
                <c:pt idx="0">
                  <c:v>1.0648058601107599</c:v>
                </c:pt>
                <c:pt idx="1">
                  <c:v>1.0660510507828322</c:v>
                </c:pt>
                <c:pt idx="2">
                  <c:v>1.0672962414549043</c:v>
                </c:pt>
                <c:pt idx="3">
                  <c:v>1.0685414321269766</c:v>
                </c:pt>
                <c:pt idx="4">
                  <c:v>1.0697866227990487</c:v>
                </c:pt>
                <c:pt idx="5">
                  <c:v>1.071031813471121</c:v>
                </c:pt>
                <c:pt idx="6">
                  <c:v>1.072277004143193</c:v>
                </c:pt>
                <c:pt idx="7">
                  <c:v>1.0735221948152653</c:v>
                </c:pt>
                <c:pt idx="8">
                  <c:v>1.0747673854873376</c:v>
                </c:pt>
                <c:pt idx="9">
                  <c:v>1.0760125761594097</c:v>
                </c:pt>
                <c:pt idx="10">
                  <c:v>1.077257766831482</c:v>
                </c:pt>
                <c:pt idx="11">
                  <c:v>1.0785029575035541</c:v>
                </c:pt>
                <c:pt idx="12">
                  <c:v>1.0797481481756264</c:v>
                </c:pt>
                <c:pt idx="13">
                  <c:v>1.0809933388476987</c:v>
                </c:pt>
                <c:pt idx="14">
                  <c:v>1.0822385295197707</c:v>
                </c:pt>
                <c:pt idx="15">
                  <c:v>1.083483720191843</c:v>
                </c:pt>
                <c:pt idx="16">
                  <c:v>1.0847289108639151</c:v>
                </c:pt>
                <c:pt idx="17">
                  <c:v>1.0859741015359874</c:v>
                </c:pt>
                <c:pt idx="18">
                  <c:v>1.0872192922080595</c:v>
                </c:pt>
                <c:pt idx="19">
                  <c:v>1.0884644828801318</c:v>
                </c:pt>
                <c:pt idx="20">
                  <c:v>1.0897096735522041</c:v>
                </c:pt>
                <c:pt idx="21">
                  <c:v>1.0909548642242761</c:v>
                </c:pt>
                <c:pt idx="22">
                  <c:v>1.0922000548963484</c:v>
                </c:pt>
                <c:pt idx="23">
                  <c:v>1.0934452455684205</c:v>
                </c:pt>
                <c:pt idx="24">
                  <c:v>1.0946904362404928</c:v>
                </c:pt>
                <c:pt idx="25">
                  <c:v>1.0959356269125649</c:v>
                </c:pt>
                <c:pt idx="26">
                  <c:v>1.0971808175846371</c:v>
                </c:pt>
                <c:pt idx="27">
                  <c:v>1.0984260082567094</c:v>
                </c:pt>
                <c:pt idx="28">
                  <c:v>1.0996711989287815</c:v>
                </c:pt>
                <c:pt idx="29">
                  <c:v>1.1009163896008538</c:v>
                </c:pt>
                <c:pt idx="30">
                  <c:v>1.1021615802729259</c:v>
                </c:pt>
                <c:pt idx="31">
                  <c:v>1.1034067709449982</c:v>
                </c:pt>
                <c:pt idx="32">
                  <c:v>1.1046519616170702</c:v>
                </c:pt>
                <c:pt idx="33">
                  <c:v>1.1058971522891425</c:v>
                </c:pt>
                <c:pt idx="34">
                  <c:v>1.1071423429612148</c:v>
                </c:pt>
                <c:pt idx="35">
                  <c:v>1.1083875336332869</c:v>
                </c:pt>
                <c:pt idx="36">
                  <c:v>1.1096327243053592</c:v>
                </c:pt>
                <c:pt idx="37">
                  <c:v>1.1108779149774313</c:v>
                </c:pt>
                <c:pt idx="38">
                  <c:v>1.1121231056495036</c:v>
                </c:pt>
                <c:pt idx="39">
                  <c:v>1.1133682963215756</c:v>
                </c:pt>
                <c:pt idx="40">
                  <c:v>1.1146134869936479</c:v>
                </c:pt>
                <c:pt idx="41">
                  <c:v>1.1158586776657202</c:v>
                </c:pt>
                <c:pt idx="42">
                  <c:v>1.1171038683377923</c:v>
                </c:pt>
                <c:pt idx="43">
                  <c:v>1.1183490590098646</c:v>
                </c:pt>
                <c:pt idx="44">
                  <c:v>1.1195942496819367</c:v>
                </c:pt>
                <c:pt idx="45">
                  <c:v>1.120839440354009</c:v>
                </c:pt>
                <c:pt idx="46">
                  <c:v>1.1220846310260812</c:v>
                </c:pt>
                <c:pt idx="47">
                  <c:v>1.1233298216981533</c:v>
                </c:pt>
                <c:pt idx="48">
                  <c:v>1.1245750123702256</c:v>
                </c:pt>
                <c:pt idx="49">
                  <c:v>1.1258202030422977</c:v>
                </c:pt>
                <c:pt idx="50">
                  <c:v>1.12706539371437</c:v>
                </c:pt>
                <c:pt idx="51">
                  <c:v>1.1283105843864421</c:v>
                </c:pt>
                <c:pt idx="52">
                  <c:v>1.1295557750585143</c:v>
                </c:pt>
                <c:pt idx="53">
                  <c:v>1.1308009657305866</c:v>
                </c:pt>
                <c:pt idx="54">
                  <c:v>1.1320461564026587</c:v>
                </c:pt>
                <c:pt idx="55">
                  <c:v>1.133291347074731</c:v>
                </c:pt>
                <c:pt idx="56">
                  <c:v>1.1345365377468031</c:v>
                </c:pt>
                <c:pt idx="57">
                  <c:v>1.1357817284188754</c:v>
                </c:pt>
                <c:pt idx="58">
                  <c:v>1.1370269190909474</c:v>
                </c:pt>
                <c:pt idx="59">
                  <c:v>1.1382721097630197</c:v>
                </c:pt>
                <c:pt idx="60">
                  <c:v>1.139517300435092</c:v>
                </c:pt>
                <c:pt idx="61">
                  <c:v>1.1407624911071641</c:v>
                </c:pt>
                <c:pt idx="62">
                  <c:v>1.1420076817792364</c:v>
                </c:pt>
                <c:pt idx="63">
                  <c:v>1.1432528724513085</c:v>
                </c:pt>
                <c:pt idx="64">
                  <c:v>1.1444980631233808</c:v>
                </c:pt>
                <c:pt idx="65">
                  <c:v>1.1457432537954531</c:v>
                </c:pt>
                <c:pt idx="66">
                  <c:v>1.1469884444675251</c:v>
                </c:pt>
                <c:pt idx="67">
                  <c:v>1.1482336351395974</c:v>
                </c:pt>
                <c:pt idx="68">
                  <c:v>1.1494788258116695</c:v>
                </c:pt>
                <c:pt idx="69">
                  <c:v>1.1507240164837418</c:v>
                </c:pt>
                <c:pt idx="70">
                  <c:v>1.1519692071558139</c:v>
                </c:pt>
                <c:pt idx="71">
                  <c:v>1.1532143978278862</c:v>
                </c:pt>
                <c:pt idx="72">
                  <c:v>1.1544595884999584</c:v>
                </c:pt>
                <c:pt idx="73">
                  <c:v>1.1557047791720305</c:v>
                </c:pt>
                <c:pt idx="74">
                  <c:v>1.1569499698441028</c:v>
                </c:pt>
                <c:pt idx="75">
                  <c:v>1.1581951605161749</c:v>
                </c:pt>
                <c:pt idx="76">
                  <c:v>1.1594403511882472</c:v>
                </c:pt>
                <c:pt idx="77">
                  <c:v>1.1606855418603192</c:v>
                </c:pt>
                <c:pt idx="78">
                  <c:v>1.1619307325323915</c:v>
                </c:pt>
                <c:pt idx="79">
                  <c:v>1.1631759232044638</c:v>
                </c:pt>
                <c:pt idx="80">
                  <c:v>1.1644211138765359</c:v>
                </c:pt>
                <c:pt idx="81">
                  <c:v>1.1656663045486082</c:v>
                </c:pt>
                <c:pt idx="82">
                  <c:v>1.1669114952206803</c:v>
                </c:pt>
                <c:pt idx="83">
                  <c:v>1.1681566858927526</c:v>
                </c:pt>
                <c:pt idx="84">
                  <c:v>1.1694018765648249</c:v>
                </c:pt>
                <c:pt idx="85">
                  <c:v>1.1706470672368969</c:v>
                </c:pt>
                <c:pt idx="86">
                  <c:v>1.1718922579089692</c:v>
                </c:pt>
                <c:pt idx="87">
                  <c:v>1.1731374485810413</c:v>
                </c:pt>
                <c:pt idx="88">
                  <c:v>1.1743826392531136</c:v>
                </c:pt>
                <c:pt idx="89">
                  <c:v>1.1756278299251857</c:v>
                </c:pt>
                <c:pt idx="90">
                  <c:v>1.176873020597258</c:v>
                </c:pt>
                <c:pt idx="91">
                  <c:v>1.17811821126933</c:v>
                </c:pt>
                <c:pt idx="92">
                  <c:v>1.1793634019414023</c:v>
                </c:pt>
                <c:pt idx="93">
                  <c:v>1.1806085926134746</c:v>
                </c:pt>
                <c:pt idx="94">
                  <c:v>1.1818537832855467</c:v>
                </c:pt>
                <c:pt idx="95">
                  <c:v>1.183098973957619</c:v>
                </c:pt>
                <c:pt idx="96">
                  <c:v>1.1843441646296911</c:v>
                </c:pt>
                <c:pt idx="97">
                  <c:v>1.1855893553017633</c:v>
                </c:pt>
                <c:pt idx="98">
                  <c:v>1.1868345459738356</c:v>
                </c:pt>
                <c:pt idx="99">
                  <c:v>1.1880797366459077</c:v>
                </c:pt>
                <c:pt idx="100">
                  <c:v>1.18932492731798</c:v>
                </c:pt>
                <c:pt idx="101">
                  <c:v>1.1905701179900521</c:v>
                </c:pt>
                <c:pt idx="102">
                  <c:v>1.1918153086621244</c:v>
                </c:pt>
                <c:pt idx="103">
                  <c:v>1.1930604993341967</c:v>
                </c:pt>
                <c:pt idx="104">
                  <c:v>1.1943056900062687</c:v>
                </c:pt>
                <c:pt idx="105">
                  <c:v>1.195550880678341</c:v>
                </c:pt>
                <c:pt idx="106">
                  <c:v>1.1967960713504131</c:v>
                </c:pt>
                <c:pt idx="107">
                  <c:v>1.1980412620224854</c:v>
                </c:pt>
                <c:pt idx="108">
                  <c:v>1.1992864526945575</c:v>
                </c:pt>
                <c:pt idx="109">
                  <c:v>1.2005316433666298</c:v>
                </c:pt>
                <c:pt idx="110">
                  <c:v>1.2017768340387018</c:v>
                </c:pt>
                <c:pt idx="111">
                  <c:v>1.2030220247107741</c:v>
                </c:pt>
                <c:pt idx="112">
                  <c:v>1.2042672153828464</c:v>
                </c:pt>
                <c:pt idx="113">
                  <c:v>1.2055124060549185</c:v>
                </c:pt>
                <c:pt idx="114">
                  <c:v>1.2067575967269908</c:v>
                </c:pt>
                <c:pt idx="115">
                  <c:v>1.2080027873990629</c:v>
                </c:pt>
                <c:pt idx="116">
                  <c:v>1.2092479780711352</c:v>
                </c:pt>
                <c:pt idx="117">
                  <c:v>1.2104931687432074</c:v>
                </c:pt>
                <c:pt idx="118">
                  <c:v>1.2117383594152795</c:v>
                </c:pt>
                <c:pt idx="119">
                  <c:v>1.2129835500873518</c:v>
                </c:pt>
                <c:pt idx="120">
                  <c:v>1.2142287407594239</c:v>
                </c:pt>
                <c:pt idx="121">
                  <c:v>1.2154739314314962</c:v>
                </c:pt>
                <c:pt idx="122">
                  <c:v>1.2167191221035683</c:v>
                </c:pt>
                <c:pt idx="123">
                  <c:v>1.2179643127756405</c:v>
                </c:pt>
                <c:pt idx="124">
                  <c:v>1.2192095034477128</c:v>
                </c:pt>
                <c:pt idx="125">
                  <c:v>1.2204546941197849</c:v>
                </c:pt>
                <c:pt idx="126">
                  <c:v>1.2216998847918572</c:v>
                </c:pt>
                <c:pt idx="127">
                  <c:v>1.2229450754639293</c:v>
                </c:pt>
                <c:pt idx="128">
                  <c:v>1.2241902661360016</c:v>
                </c:pt>
                <c:pt idx="129">
                  <c:v>1.2254354568080736</c:v>
                </c:pt>
                <c:pt idx="130">
                  <c:v>1.2266806474801459</c:v>
                </c:pt>
                <c:pt idx="131">
                  <c:v>1.2279258381522182</c:v>
                </c:pt>
                <c:pt idx="132">
                  <c:v>1.2291710288242903</c:v>
                </c:pt>
                <c:pt idx="133">
                  <c:v>1.2304162194963626</c:v>
                </c:pt>
                <c:pt idx="134">
                  <c:v>1.2316614101684347</c:v>
                </c:pt>
                <c:pt idx="135">
                  <c:v>1.232906600840507</c:v>
                </c:pt>
                <c:pt idx="136">
                  <c:v>1.2341517915125793</c:v>
                </c:pt>
                <c:pt idx="137">
                  <c:v>1.2353969821846513</c:v>
                </c:pt>
                <c:pt idx="138">
                  <c:v>1.2366421728567236</c:v>
                </c:pt>
                <c:pt idx="139">
                  <c:v>1.2378873635287957</c:v>
                </c:pt>
                <c:pt idx="140">
                  <c:v>1.239132554200868</c:v>
                </c:pt>
                <c:pt idx="141">
                  <c:v>1.2403777448729401</c:v>
                </c:pt>
                <c:pt idx="142">
                  <c:v>1.2416229355450124</c:v>
                </c:pt>
                <c:pt idx="143">
                  <c:v>1.2428681262170844</c:v>
                </c:pt>
                <c:pt idx="144">
                  <c:v>1.2441133168891567</c:v>
                </c:pt>
                <c:pt idx="145">
                  <c:v>1.245358507561229</c:v>
                </c:pt>
                <c:pt idx="146">
                  <c:v>1.2466036982333011</c:v>
                </c:pt>
                <c:pt idx="147">
                  <c:v>1.2478488889053734</c:v>
                </c:pt>
                <c:pt idx="148">
                  <c:v>1.2490940795774454</c:v>
                </c:pt>
                <c:pt idx="149">
                  <c:v>1.2503392702495177</c:v>
                </c:pt>
                <c:pt idx="150">
                  <c:v>1.25158446092159</c:v>
                </c:pt>
                <c:pt idx="151">
                  <c:v>1.2528296515936621</c:v>
                </c:pt>
                <c:pt idx="152">
                  <c:v>1.2540748422657344</c:v>
                </c:pt>
                <c:pt idx="153">
                  <c:v>1.2553200329378065</c:v>
                </c:pt>
                <c:pt idx="154">
                  <c:v>1.2565652236098788</c:v>
                </c:pt>
                <c:pt idx="155">
                  <c:v>1.2578104142819511</c:v>
                </c:pt>
                <c:pt idx="156">
                  <c:v>1.2590556049540231</c:v>
                </c:pt>
                <c:pt idx="157">
                  <c:v>1.2603007956260954</c:v>
                </c:pt>
                <c:pt idx="158">
                  <c:v>1.2615459862981675</c:v>
                </c:pt>
                <c:pt idx="159">
                  <c:v>1.2627911769702398</c:v>
                </c:pt>
                <c:pt idx="160">
                  <c:v>1.2640363676423119</c:v>
                </c:pt>
                <c:pt idx="161">
                  <c:v>1.2652815583143842</c:v>
                </c:pt>
                <c:pt idx="162">
                  <c:v>1.2665267489864562</c:v>
                </c:pt>
                <c:pt idx="163">
                  <c:v>1.2677719396585285</c:v>
                </c:pt>
                <c:pt idx="164">
                  <c:v>1.2690171303306008</c:v>
                </c:pt>
                <c:pt idx="165">
                  <c:v>1.2702623210026729</c:v>
                </c:pt>
                <c:pt idx="166">
                  <c:v>1.2715075116747452</c:v>
                </c:pt>
                <c:pt idx="167">
                  <c:v>1.2727527023468173</c:v>
                </c:pt>
                <c:pt idx="168">
                  <c:v>1.2739978930188895</c:v>
                </c:pt>
                <c:pt idx="169">
                  <c:v>1.2752430836909618</c:v>
                </c:pt>
                <c:pt idx="170">
                  <c:v>1.2764882743630339</c:v>
                </c:pt>
                <c:pt idx="171">
                  <c:v>1.2777334650351062</c:v>
                </c:pt>
                <c:pt idx="172">
                  <c:v>1.2789786557071783</c:v>
                </c:pt>
                <c:pt idx="173">
                  <c:v>1.2802238463792506</c:v>
                </c:pt>
                <c:pt idx="174">
                  <c:v>1.2814690370513226</c:v>
                </c:pt>
                <c:pt idx="175">
                  <c:v>1.2827142277233949</c:v>
                </c:pt>
                <c:pt idx="176">
                  <c:v>1.2839594183954672</c:v>
                </c:pt>
                <c:pt idx="177">
                  <c:v>1.2852046090675393</c:v>
                </c:pt>
                <c:pt idx="178">
                  <c:v>1.2864497997396116</c:v>
                </c:pt>
                <c:pt idx="179">
                  <c:v>1.2876949904116837</c:v>
                </c:pt>
                <c:pt idx="180">
                  <c:v>1.288940181083756</c:v>
                </c:pt>
                <c:pt idx="181">
                  <c:v>1.290185371755828</c:v>
                </c:pt>
                <c:pt idx="182">
                  <c:v>1.2914305624279003</c:v>
                </c:pt>
                <c:pt idx="183">
                  <c:v>1.2926757530999726</c:v>
                </c:pt>
                <c:pt idx="184">
                  <c:v>1.2939209437720447</c:v>
                </c:pt>
                <c:pt idx="185">
                  <c:v>1.295166134444117</c:v>
                </c:pt>
                <c:pt idx="186">
                  <c:v>1.2964113251161891</c:v>
                </c:pt>
                <c:pt idx="187">
                  <c:v>1.2976565157882614</c:v>
                </c:pt>
                <c:pt idx="188">
                  <c:v>1.2989017064603336</c:v>
                </c:pt>
                <c:pt idx="189">
                  <c:v>1.3001468971324057</c:v>
                </c:pt>
                <c:pt idx="190">
                  <c:v>1.301392087804478</c:v>
                </c:pt>
                <c:pt idx="191">
                  <c:v>1.3026372784765501</c:v>
                </c:pt>
                <c:pt idx="192">
                  <c:v>1.3038824691486224</c:v>
                </c:pt>
                <c:pt idx="193">
                  <c:v>1.3051276598206945</c:v>
                </c:pt>
                <c:pt idx="194">
                  <c:v>1.3063728504927667</c:v>
                </c:pt>
                <c:pt idx="195">
                  <c:v>1.3076180411648388</c:v>
                </c:pt>
                <c:pt idx="196">
                  <c:v>1.3088632318369111</c:v>
                </c:pt>
                <c:pt idx="197">
                  <c:v>1.3101084225089834</c:v>
                </c:pt>
                <c:pt idx="198">
                  <c:v>1.3113536131810555</c:v>
                </c:pt>
                <c:pt idx="199">
                  <c:v>1.3125988038531278</c:v>
                </c:pt>
                <c:pt idx="200">
                  <c:v>1.3138439945251998</c:v>
                </c:pt>
                <c:pt idx="201">
                  <c:v>1.3150891851972721</c:v>
                </c:pt>
                <c:pt idx="202">
                  <c:v>1.3163343758693444</c:v>
                </c:pt>
                <c:pt idx="203">
                  <c:v>1.3175795665414165</c:v>
                </c:pt>
                <c:pt idx="204">
                  <c:v>1.3188247572134888</c:v>
                </c:pt>
                <c:pt idx="205">
                  <c:v>1.3200699478855609</c:v>
                </c:pt>
                <c:pt idx="206">
                  <c:v>1.3213151385576332</c:v>
                </c:pt>
                <c:pt idx="207">
                  <c:v>1.3225603292297055</c:v>
                </c:pt>
                <c:pt idx="208">
                  <c:v>1.3238055199017775</c:v>
                </c:pt>
                <c:pt idx="209">
                  <c:v>1.3250507105738496</c:v>
                </c:pt>
                <c:pt idx="210">
                  <c:v>1.3262959012459219</c:v>
                </c:pt>
                <c:pt idx="211">
                  <c:v>1.3275410919179942</c:v>
                </c:pt>
                <c:pt idx="212">
                  <c:v>1.3287862825900663</c:v>
                </c:pt>
                <c:pt idx="213">
                  <c:v>1.3300314732621386</c:v>
                </c:pt>
                <c:pt idx="214">
                  <c:v>1.3312766639342106</c:v>
                </c:pt>
                <c:pt idx="215">
                  <c:v>1.3325218546062829</c:v>
                </c:pt>
                <c:pt idx="216">
                  <c:v>1.3337670452783552</c:v>
                </c:pt>
                <c:pt idx="217">
                  <c:v>1.3350122359504273</c:v>
                </c:pt>
                <c:pt idx="218">
                  <c:v>1.3362574266224996</c:v>
                </c:pt>
                <c:pt idx="219">
                  <c:v>1.3375026172945716</c:v>
                </c:pt>
                <c:pt idx="220">
                  <c:v>1.3387478079666439</c:v>
                </c:pt>
                <c:pt idx="221">
                  <c:v>1.3399929986387162</c:v>
                </c:pt>
                <c:pt idx="222">
                  <c:v>1.3412381893107883</c:v>
                </c:pt>
                <c:pt idx="223">
                  <c:v>1.3424833799828606</c:v>
                </c:pt>
                <c:pt idx="224">
                  <c:v>1.3437285706549327</c:v>
                </c:pt>
                <c:pt idx="225">
                  <c:v>1.344973761327005</c:v>
                </c:pt>
                <c:pt idx="226">
                  <c:v>1.3462189519990773</c:v>
                </c:pt>
                <c:pt idx="227">
                  <c:v>1.3474641426711493</c:v>
                </c:pt>
                <c:pt idx="228">
                  <c:v>1.3487093333432214</c:v>
                </c:pt>
                <c:pt idx="229">
                  <c:v>1.3499545240152937</c:v>
                </c:pt>
                <c:pt idx="230">
                  <c:v>1.351199714687366</c:v>
                </c:pt>
                <c:pt idx="231">
                  <c:v>1.3524449053594381</c:v>
                </c:pt>
                <c:pt idx="232">
                  <c:v>1.3536900960315104</c:v>
                </c:pt>
                <c:pt idx="233">
                  <c:v>1.3549352867035824</c:v>
                </c:pt>
                <c:pt idx="234">
                  <c:v>1.3561804773756547</c:v>
                </c:pt>
                <c:pt idx="235">
                  <c:v>1.357425668047727</c:v>
                </c:pt>
                <c:pt idx="236">
                  <c:v>1.3586708587197991</c:v>
                </c:pt>
                <c:pt idx="237">
                  <c:v>1.3599160493918714</c:v>
                </c:pt>
                <c:pt idx="238">
                  <c:v>1.3611612400639435</c:v>
                </c:pt>
                <c:pt idx="239">
                  <c:v>1.3624064307360157</c:v>
                </c:pt>
                <c:pt idx="240">
                  <c:v>1.363651621408088</c:v>
                </c:pt>
                <c:pt idx="241">
                  <c:v>1.3648968120801601</c:v>
                </c:pt>
                <c:pt idx="242">
                  <c:v>1.3661420027522324</c:v>
                </c:pt>
                <c:pt idx="243">
                  <c:v>1.3673871934243045</c:v>
                </c:pt>
                <c:pt idx="244">
                  <c:v>1.3686323840963768</c:v>
                </c:pt>
                <c:pt idx="245">
                  <c:v>1.3698775747684491</c:v>
                </c:pt>
                <c:pt idx="246">
                  <c:v>1.3711227654405211</c:v>
                </c:pt>
                <c:pt idx="247">
                  <c:v>1.3723679561125932</c:v>
                </c:pt>
                <c:pt idx="248">
                  <c:v>1.3736131467846655</c:v>
                </c:pt>
                <c:pt idx="249">
                  <c:v>1.3748583374567378</c:v>
                </c:pt>
                <c:pt idx="250">
                  <c:v>1.3761035281288099</c:v>
                </c:pt>
                <c:pt idx="251">
                  <c:v>1.3773487188008822</c:v>
                </c:pt>
                <c:pt idx="252">
                  <c:v>1.3785939094729542</c:v>
                </c:pt>
                <c:pt idx="253">
                  <c:v>1.3798391001450265</c:v>
                </c:pt>
                <c:pt idx="254">
                  <c:v>1.3810842908170988</c:v>
                </c:pt>
                <c:pt idx="255">
                  <c:v>1.3823294814891709</c:v>
                </c:pt>
                <c:pt idx="256">
                  <c:v>1.3835746721612432</c:v>
                </c:pt>
                <c:pt idx="257">
                  <c:v>1.3848198628333153</c:v>
                </c:pt>
                <c:pt idx="258">
                  <c:v>1.3860650535053876</c:v>
                </c:pt>
                <c:pt idx="259">
                  <c:v>1.3873102441774599</c:v>
                </c:pt>
                <c:pt idx="260">
                  <c:v>1.3885554348495319</c:v>
                </c:pt>
                <c:pt idx="261">
                  <c:v>1.3898006255216042</c:v>
                </c:pt>
                <c:pt idx="262">
                  <c:v>1.3910458161936763</c:v>
                </c:pt>
                <c:pt idx="263">
                  <c:v>1.3922910068657486</c:v>
                </c:pt>
                <c:pt idx="264">
                  <c:v>1.3935361975378207</c:v>
                </c:pt>
                <c:pt idx="265">
                  <c:v>1.3947813882098929</c:v>
                </c:pt>
                <c:pt idx="266">
                  <c:v>1.396026578881965</c:v>
                </c:pt>
                <c:pt idx="267">
                  <c:v>1.3972717695540373</c:v>
                </c:pt>
                <c:pt idx="268">
                  <c:v>1.3985169602261096</c:v>
                </c:pt>
                <c:pt idx="269">
                  <c:v>1.3997621508981817</c:v>
                </c:pt>
                <c:pt idx="270">
                  <c:v>1.401007341570254</c:v>
                </c:pt>
                <c:pt idx="271">
                  <c:v>1.402252532242326</c:v>
                </c:pt>
                <c:pt idx="272">
                  <c:v>1.4034977229143983</c:v>
                </c:pt>
                <c:pt idx="273">
                  <c:v>1.4047429135864706</c:v>
                </c:pt>
                <c:pt idx="274">
                  <c:v>1.4059881042585427</c:v>
                </c:pt>
                <c:pt idx="275">
                  <c:v>1.407233294930615</c:v>
                </c:pt>
                <c:pt idx="276">
                  <c:v>1.4084784856026871</c:v>
                </c:pt>
                <c:pt idx="277">
                  <c:v>1.4097236762747594</c:v>
                </c:pt>
                <c:pt idx="278">
                  <c:v>1.4109688669468317</c:v>
                </c:pt>
                <c:pt idx="279">
                  <c:v>1.4122140576189037</c:v>
                </c:pt>
                <c:pt idx="280">
                  <c:v>1.4134592482909758</c:v>
                </c:pt>
                <c:pt idx="281">
                  <c:v>1.4147044389630481</c:v>
                </c:pt>
                <c:pt idx="282">
                  <c:v>1.4159496296351204</c:v>
                </c:pt>
                <c:pt idx="283">
                  <c:v>1.4171948203071925</c:v>
                </c:pt>
                <c:pt idx="284">
                  <c:v>1.4184400109792648</c:v>
                </c:pt>
                <c:pt idx="285">
                  <c:v>1.4196852016513368</c:v>
                </c:pt>
                <c:pt idx="286">
                  <c:v>1.4209303923234091</c:v>
                </c:pt>
                <c:pt idx="287">
                  <c:v>1.4221755829954814</c:v>
                </c:pt>
                <c:pt idx="288">
                  <c:v>1.4234207736675535</c:v>
                </c:pt>
                <c:pt idx="289">
                  <c:v>1.4246659643396258</c:v>
                </c:pt>
                <c:pt idx="290">
                  <c:v>1.4259111550116979</c:v>
                </c:pt>
                <c:pt idx="291">
                  <c:v>1.4271563456837701</c:v>
                </c:pt>
                <c:pt idx="292">
                  <c:v>1.4284015363558424</c:v>
                </c:pt>
                <c:pt idx="293">
                  <c:v>1.4296467270279145</c:v>
                </c:pt>
                <c:pt idx="294">
                  <c:v>1.4308919176999868</c:v>
                </c:pt>
                <c:pt idx="295">
                  <c:v>1.4321371083720589</c:v>
                </c:pt>
                <c:pt idx="296">
                  <c:v>1.4333822990441312</c:v>
                </c:pt>
                <c:pt idx="297">
                  <c:v>1.4346274897162035</c:v>
                </c:pt>
                <c:pt idx="298">
                  <c:v>1.4358726803882755</c:v>
                </c:pt>
                <c:pt idx="299">
                  <c:v>1.4371178710603476</c:v>
                </c:pt>
                <c:pt idx="300">
                  <c:v>1.4383630617324199</c:v>
                </c:pt>
                <c:pt idx="301">
                  <c:v>1.4396082524044922</c:v>
                </c:pt>
                <c:pt idx="302">
                  <c:v>1.4408534430765643</c:v>
                </c:pt>
                <c:pt idx="303">
                  <c:v>1.4420986337486366</c:v>
                </c:pt>
                <c:pt idx="304">
                  <c:v>1.4433438244207086</c:v>
                </c:pt>
                <c:pt idx="305">
                  <c:v>1.4445890150927809</c:v>
                </c:pt>
                <c:pt idx="306">
                  <c:v>1.4458342057648532</c:v>
                </c:pt>
                <c:pt idx="307">
                  <c:v>1.4470793964369253</c:v>
                </c:pt>
                <c:pt idx="308">
                  <c:v>1.4483245871089976</c:v>
                </c:pt>
                <c:pt idx="309">
                  <c:v>1.4495697777810697</c:v>
                </c:pt>
                <c:pt idx="310">
                  <c:v>1.450814968453142</c:v>
                </c:pt>
                <c:pt idx="311">
                  <c:v>1.4520601591252142</c:v>
                </c:pt>
                <c:pt idx="312">
                  <c:v>1.4533053497972863</c:v>
                </c:pt>
                <c:pt idx="313">
                  <c:v>1.4545505404693586</c:v>
                </c:pt>
                <c:pt idx="314">
                  <c:v>1.4557957311414307</c:v>
                </c:pt>
                <c:pt idx="315">
                  <c:v>1.457040921813503</c:v>
                </c:pt>
                <c:pt idx="316">
                  <c:v>1.4582861124855753</c:v>
                </c:pt>
                <c:pt idx="317">
                  <c:v>1.4595313031576473</c:v>
                </c:pt>
                <c:pt idx="318">
                  <c:v>1.4607764938297194</c:v>
                </c:pt>
                <c:pt idx="319">
                  <c:v>1.4620216845017917</c:v>
                </c:pt>
                <c:pt idx="320">
                  <c:v>1.463266875173864</c:v>
                </c:pt>
                <c:pt idx="321">
                  <c:v>1.4645120658459361</c:v>
                </c:pt>
                <c:pt idx="322">
                  <c:v>1.4657572565180084</c:v>
                </c:pt>
                <c:pt idx="323">
                  <c:v>1.4670024471900804</c:v>
                </c:pt>
                <c:pt idx="324">
                  <c:v>1.4682476378621527</c:v>
                </c:pt>
                <c:pt idx="325">
                  <c:v>1.469492828534225</c:v>
                </c:pt>
                <c:pt idx="326">
                  <c:v>1.4707380192062971</c:v>
                </c:pt>
                <c:pt idx="327">
                  <c:v>1.4719832098783694</c:v>
                </c:pt>
                <c:pt idx="328">
                  <c:v>1.4732284005504415</c:v>
                </c:pt>
                <c:pt idx="329">
                  <c:v>1.4744735912225138</c:v>
                </c:pt>
                <c:pt idx="330">
                  <c:v>1.4757187818945861</c:v>
                </c:pt>
                <c:pt idx="331">
                  <c:v>1.4769639725666581</c:v>
                </c:pt>
                <c:pt idx="332">
                  <c:v>1.4782091632387302</c:v>
                </c:pt>
                <c:pt idx="333">
                  <c:v>1.4794543539108025</c:v>
                </c:pt>
                <c:pt idx="334">
                  <c:v>1.4806995445828748</c:v>
                </c:pt>
                <c:pt idx="335">
                  <c:v>1.4819447352549469</c:v>
                </c:pt>
                <c:pt idx="336">
                  <c:v>1.4831899259270191</c:v>
                </c:pt>
                <c:pt idx="337">
                  <c:v>1.4844351165990912</c:v>
                </c:pt>
                <c:pt idx="338">
                  <c:v>1.4856803072711635</c:v>
                </c:pt>
                <c:pt idx="339">
                  <c:v>1.4869254979432358</c:v>
                </c:pt>
                <c:pt idx="340">
                  <c:v>1.4881706886153079</c:v>
                </c:pt>
                <c:pt idx="341">
                  <c:v>1.4894158792873802</c:v>
                </c:pt>
                <c:pt idx="342">
                  <c:v>1.4906610699594522</c:v>
                </c:pt>
                <c:pt idx="343">
                  <c:v>1.4919062606315245</c:v>
                </c:pt>
                <c:pt idx="344">
                  <c:v>1.4931514513035968</c:v>
                </c:pt>
                <c:pt idx="345">
                  <c:v>1.4943966419756689</c:v>
                </c:pt>
                <c:pt idx="346">
                  <c:v>1.4956418326477412</c:v>
                </c:pt>
                <c:pt idx="347">
                  <c:v>1.4968870233198133</c:v>
                </c:pt>
                <c:pt idx="348">
                  <c:v>1.4981322139918856</c:v>
                </c:pt>
                <c:pt idx="349">
                  <c:v>1.4993774046639579</c:v>
                </c:pt>
                <c:pt idx="350">
                  <c:v>1.5006225953360299</c:v>
                </c:pt>
                <c:pt idx="351">
                  <c:v>1.501867786008102</c:v>
                </c:pt>
                <c:pt idx="352">
                  <c:v>1.5031129766801743</c:v>
                </c:pt>
                <c:pt idx="353">
                  <c:v>1.5043581673522466</c:v>
                </c:pt>
                <c:pt idx="354">
                  <c:v>1.5056033580243187</c:v>
                </c:pt>
                <c:pt idx="355">
                  <c:v>1.506848548696391</c:v>
                </c:pt>
                <c:pt idx="356">
                  <c:v>1.508093739368463</c:v>
                </c:pt>
                <c:pt idx="357">
                  <c:v>1.5093389300405353</c:v>
                </c:pt>
                <c:pt idx="358">
                  <c:v>1.5105841207126076</c:v>
                </c:pt>
                <c:pt idx="359">
                  <c:v>1.5118293113846797</c:v>
                </c:pt>
                <c:pt idx="360">
                  <c:v>1.513074502056752</c:v>
                </c:pt>
                <c:pt idx="361">
                  <c:v>1.5143196927288241</c:v>
                </c:pt>
                <c:pt idx="362">
                  <c:v>1.5155648834008963</c:v>
                </c:pt>
                <c:pt idx="363">
                  <c:v>1.5168100740729686</c:v>
                </c:pt>
                <c:pt idx="364">
                  <c:v>1.5180552647450407</c:v>
                </c:pt>
                <c:pt idx="365">
                  <c:v>1.519300455417113</c:v>
                </c:pt>
                <c:pt idx="366">
                  <c:v>1.5205456460891851</c:v>
                </c:pt>
                <c:pt idx="367">
                  <c:v>1.5217908367612574</c:v>
                </c:pt>
                <c:pt idx="368">
                  <c:v>1.5230360274333297</c:v>
                </c:pt>
                <c:pt idx="369">
                  <c:v>1.5242812181054017</c:v>
                </c:pt>
                <c:pt idx="370">
                  <c:v>1.5255264087774738</c:v>
                </c:pt>
                <c:pt idx="371">
                  <c:v>1.5267715994495461</c:v>
                </c:pt>
                <c:pt idx="372">
                  <c:v>1.5280167901216184</c:v>
                </c:pt>
                <c:pt idx="373">
                  <c:v>1.5292619807936905</c:v>
                </c:pt>
                <c:pt idx="374">
                  <c:v>1.5305071714657628</c:v>
                </c:pt>
                <c:pt idx="375">
                  <c:v>1.5317523621378348</c:v>
                </c:pt>
                <c:pt idx="376">
                  <c:v>1.5329975528099071</c:v>
                </c:pt>
                <c:pt idx="377">
                  <c:v>1.5342427434819794</c:v>
                </c:pt>
                <c:pt idx="378">
                  <c:v>1.5354879341540515</c:v>
                </c:pt>
                <c:pt idx="379">
                  <c:v>1.5367331248261238</c:v>
                </c:pt>
                <c:pt idx="380">
                  <c:v>1.5379783154981959</c:v>
                </c:pt>
                <c:pt idx="381">
                  <c:v>1.5392235061702682</c:v>
                </c:pt>
                <c:pt idx="382">
                  <c:v>1.5404686968423404</c:v>
                </c:pt>
                <c:pt idx="383">
                  <c:v>1.5417138875144125</c:v>
                </c:pt>
                <c:pt idx="384">
                  <c:v>1.5429590781864846</c:v>
                </c:pt>
                <c:pt idx="385">
                  <c:v>1.5442042688585569</c:v>
                </c:pt>
                <c:pt idx="386">
                  <c:v>1.5454494595306292</c:v>
                </c:pt>
                <c:pt idx="387">
                  <c:v>1.5466946502027012</c:v>
                </c:pt>
                <c:pt idx="388">
                  <c:v>1.5479398408747735</c:v>
                </c:pt>
                <c:pt idx="389">
                  <c:v>1.5491850315468456</c:v>
                </c:pt>
                <c:pt idx="390">
                  <c:v>1.5504302222189179</c:v>
                </c:pt>
                <c:pt idx="391">
                  <c:v>1.5516754128909902</c:v>
                </c:pt>
                <c:pt idx="392">
                  <c:v>1.5529206035630623</c:v>
                </c:pt>
                <c:pt idx="393">
                  <c:v>1.5541657942351346</c:v>
                </c:pt>
                <c:pt idx="394">
                  <c:v>1.5554109849072066</c:v>
                </c:pt>
                <c:pt idx="395">
                  <c:v>1.5566561755792789</c:v>
                </c:pt>
                <c:pt idx="396">
                  <c:v>1.5579013662513512</c:v>
                </c:pt>
                <c:pt idx="397">
                  <c:v>1.5591465569234233</c:v>
                </c:pt>
                <c:pt idx="398">
                  <c:v>1.5603917475954956</c:v>
                </c:pt>
                <c:pt idx="399">
                  <c:v>1.5616369382675677</c:v>
                </c:pt>
                <c:pt idx="400">
                  <c:v>1.56288212893964</c:v>
                </c:pt>
                <c:pt idx="401">
                  <c:v>1.5641273196117123</c:v>
                </c:pt>
                <c:pt idx="402">
                  <c:v>1.5653725102837843</c:v>
                </c:pt>
                <c:pt idx="403">
                  <c:v>1.5666177009558564</c:v>
                </c:pt>
                <c:pt idx="404">
                  <c:v>1.5678628916279287</c:v>
                </c:pt>
                <c:pt idx="405">
                  <c:v>1.569108082300001</c:v>
                </c:pt>
                <c:pt idx="406">
                  <c:v>1.5703532729720733</c:v>
                </c:pt>
                <c:pt idx="407">
                  <c:v>1.5715984636441453</c:v>
                </c:pt>
                <c:pt idx="408">
                  <c:v>1.5728436543162174</c:v>
                </c:pt>
                <c:pt idx="409">
                  <c:v>1.5740888449882897</c:v>
                </c:pt>
                <c:pt idx="410">
                  <c:v>1.575334035660362</c:v>
                </c:pt>
                <c:pt idx="411">
                  <c:v>1.5765792263324341</c:v>
                </c:pt>
                <c:pt idx="412">
                  <c:v>1.5778244170045064</c:v>
                </c:pt>
                <c:pt idx="413">
                  <c:v>1.5790696076765784</c:v>
                </c:pt>
                <c:pt idx="414">
                  <c:v>1.5803147983486507</c:v>
                </c:pt>
                <c:pt idx="415">
                  <c:v>1.581559989020723</c:v>
                </c:pt>
                <c:pt idx="416">
                  <c:v>1.5828051796927951</c:v>
                </c:pt>
                <c:pt idx="417">
                  <c:v>1.5840503703648672</c:v>
                </c:pt>
                <c:pt idx="418">
                  <c:v>1.5852955610369395</c:v>
                </c:pt>
                <c:pt idx="419">
                  <c:v>1.5865407517090118</c:v>
                </c:pt>
                <c:pt idx="420">
                  <c:v>1.5877859423810841</c:v>
                </c:pt>
                <c:pt idx="421">
                  <c:v>1.5890311330531561</c:v>
                </c:pt>
                <c:pt idx="422">
                  <c:v>1.5902763237252282</c:v>
                </c:pt>
                <c:pt idx="423">
                  <c:v>1.5915215143973005</c:v>
                </c:pt>
                <c:pt idx="424">
                  <c:v>1.5927667050693728</c:v>
                </c:pt>
                <c:pt idx="425">
                  <c:v>1.5940118957414451</c:v>
                </c:pt>
                <c:pt idx="426">
                  <c:v>1.5952570864135172</c:v>
                </c:pt>
                <c:pt idx="427">
                  <c:v>1.5965022770855892</c:v>
                </c:pt>
                <c:pt idx="428">
                  <c:v>1.5977474677576615</c:v>
                </c:pt>
                <c:pt idx="429">
                  <c:v>1.5989926584297338</c:v>
                </c:pt>
                <c:pt idx="430">
                  <c:v>1.6002378491018059</c:v>
                </c:pt>
                <c:pt idx="431">
                  <c:v>1.6014830397738782</c:v>
                </c:pt>
                <c:pt idx="432">
                  <c:v>1.6027282304459503</c:v>
                </c:pt>
                <c:pt idx="433">
                  <c:v>1.6039734211180225</c:v>
                </c:pt>
                <c:pt idx="434">
                  <c:v>1.6052186117900948</c:v>
                </c:pt>
                <c:pt idx="435">
                  <c:v>1.6064638024621669</c:v>
                </c:pt>
                <c:pt idx="436">
                  <c:v>1.607708993134239</c:v>
                </c:pt>
                <c:pt idx="437">
                  <c:v>1.6089541838063113</c:v>
                </c:pt>
                <c:pt idx="438">
                  <c:v>1.6101993744783836</c:v>
                </c:pt>
                <c:pt idx="439">
                  <c:v>1.6114445651504559</c:v>
                </c:pt>
                <c:pt idx="440">
                  <c:v>1.6126897558225279</c:v>
                </c:pt>
                <c:pt idx="441">
                  <c:v>1.6139349464946</c:v>
                </c:pt>
                <c:pt idx="442">
                  <c:v>1.6151801371666723</c:v>
                </c:pt>
                <c:pt idx="443">
                  <c:v>1.6164253278387446</c:v>
                </c:pt>
                <c:pt idx="444">
                  <c:v>1.6176705185108169</c:v>
                </c:pt>
                <c:pt idx="445">
                  <c:v>1.618915709182889</c:v>
                </c:pt>
                <c:pt idx="446">
                  <c:v>1.620160899854961</c:v>
                </c:pt>
                <c:pt idx="447">
                  <c:v>1.6214060905270333</c:v>
                </c:pt>
                <c:pt idx="448">
                  <c:v>1.6226512811991056</c:v>
                </c:pt>
                <c:pt idx="449">
                  <c:v>1.6238964718711777</c:v>
                </c:pt>
                <c:pt idx="450">
                  <c:v>1.6251416625432498</c:v>
                </c:pt>
                <c:pt idx="451">
                  <c:v>1.6263868532153221</c:v>
                </c:pt>
                <c:pt idx="452">
                  <c:v>1.6276320438873944</c:v>
                </c:pt>
                <c:pt idx="453">
                  <c:v>1.6288772345594666</c:v>
                </c:pt>
                <c:pt idx="454">
                  <c:v>1.6301224252315387</c:v>
                </c:pt>
                <c:pt idx="455">
                  <c:v>1.6313676159036108</c:v>
                </c:pt>
                <c:pt idx="456">
                  <c:v>1.6326128065756831</c:v>
                </c:pt>
                <c:pt idx="457">
                  <c:v>1.6338579972477554</c:v>
                </c:pt>
                <c:pt idx="458">
                  <c:v>1.6351031879198277</c:v>
                </c:pt>
                <c:pt idx="459">
                  <c:v>1.6363483785918997</c:v>
                </c:pt>
                <c:pt idx="460">
                  <c:v>1.6375935692639718</c:v>
                </c:pt>
                <c:pt idx="461">
                  <c:v>1.6388387599360441</c:v>
                </c:pt>
                <c:pt idx="462">
                  <c:v>1.6400839506081164</c:v>
                </c:pt>
                <c:pt idx="463">
                  <c:v>1.6413291412801885</c:v>
                </c:pt>
                <c:pt idx="464">
                  <c:v>1.6425743319522608</c:v>
                </c:pt>
                <c:pt idx="465">
                  <c:v>1.6438195226243328</c:v>
                </c:pt>
                <c:pt idx="466">
                  <c:v>1.6450647132964051</c:v>
                </c:pt>
                <c:pt idx="467">
                  <c:v>1.6463099039684774</c:v>
                </c:pt>
                <c:pt idx="468">
                  <c:v>1.6475550946405495</c:v>
                </c:pt>
                <c:pt idx="469">
                  <c:v>1.6488002853126216</c:v>
                </c:pt>
                <c:pt idx="470">
                  <c:v>1.6500454759846939</c:v>
                </c:pt>
                <c:pt idx="471">
                  <c:v>1.6512906666567662</c:v>
                </c:pt>
                <c:pt idx="472">
                  <c:v>1.6525358573288385</c:v>
                </c:pt>
                <c:pt idx="473">
                  <c:v>1.6537810480009105</c:v>
                </c:pt>
                <c:pt idx="474">
                  <c:v>1.6550262386729826</c:v>
                </c:pt>
                <c:pt idx="475">
                  <c:v>1.6562714293450549</c:v>
                </c:pt>
                <c:pt idx="476">
                  <c:v>1.6575166200171272</c:v>
                </c:pt>
                <c:pt idx="477">
                  <c:v>1.6587618106891995</c:v>
                </c:pt>
                <c:pt idx="478">
                  <c:v>1.6600070013612716</c:v>
                </c:pt>
                <c:pt idx="479">
                  <c:v>1.6612521920333436</c:v>
                </c:pt>
                <c:pt idx="480">
                  <c:v>1.6624973827054159</c:v>
                </c:pt>
                <c:pt idx="481">
                  <c:v>1.6637425733774882</c:v>
                </c:pt>
                <c:pt idx="482">
                  <c:v>1.6649877640495603</c:v>
                </c:pt>
                <c:pt idx="483">
                  <c:v>1.6662329547216326</c:v>
                </c:pt>
                <c:pt idx="484">
                  <c:v>1.6674781453937046</c:v>
                </c:pt>
                <c:pt idx="485">
                  <c:v>1.6687233360657769</c:v>
                </c:pt>
                <c:pt idx="486">
                  <c:v>1.6699685267378492</c:v>
                </c:pt>
                <c:pt idx="487">
                  <c:v>1.6712137174099213</c:v>
                </c:pt>
                <c:pt idx="488">
                  <c:v>1.6724589080819934</c:v>
                </c:pt>
                <c:pt idx="489">
                  <c:v>1.6737040987540657</c:v>
                </c:pt>
                <c:pt idx="490">
                  <c:v>1.674949289426138</c:v>
                </c:pt>
                <c:pt idx="491">
                  <c:v>1.6761944800982103</c:v>
                </c:pt>
                <c:pt idx="492">
                  <c:v>1.6774396707702823</c:v>
                </c:pt>
                <c:pt idx="493">
                  <c:v>1.6786848614423544</c:v>
                </c:pt>
                <c:pt idx="494">
                  <c:v>1.6799300521144267</c:v>
                </c:pt>
                <c:pt idx="495">
                  <c:v>1.681175242786499</c:v>
                </c:pt>
                <c:pt idx="496">
                  <c:v>1.6824204334585713</c:v>
                </c:pt>
                <c:pt idx="497">
                  <c:v>1.6836656241306434</c:v>
                </c:pt>
                <c:pt idx="498">
                  <c:v>1.6849108148027154</c:v>
                </c:pt>
                <c:pt idx="499">
                  <c:v>1.6861560054747877</c:v>
                </c:pt>
                <c:pt idx="500">
                  <c:v>1.68740119614686</c:v>
                </c:pt>
                <c:pt idx="501">
                  <c:v>1.6886463868189321</c:v>
                </c:pt>
                <c:pt idx="502">
                  <c:v>1.6898915774910042</c:v>
                </c:pt>
                <c:pt idx="503">
                  <c:v>1.6911367681630765</c:v>
                </c:pt>
                <c:pt idx="504">
                  <c:v>1.6923819588351487</c:v>
                </c:pt>
                <c:pt idx="505">
                  <c:v>1.693627149507221</c:v>
                </c:pt>
                <c:pt idx="506">
                  <c:v>1.6948723401792931</c:v>
                </c:pt>
                <c:pt idx="507">
                  <c:v>1.6961175308513652</c:v>
                </c:pt>
                <c:pt idx="508">
                  <c:v>1.6973627215234375</c:v>
                </c:pt>
                <c:pt idx="509">
                  <c:v>1.6986079121955098</c:v>
                </c:pt>
                <c:pt idx="510">
                  <c:v>1.6998531028675821</c:v>
                </c:pt>
                <c:pt idx="511">
                  <c:v>1.7010982935396541</c:v>
                </c:pt>
                <c:pt idx="512">
                  <c:v>1.7023434842117262</c:v>
                </c:pt>
                <c:pt idx="513">
                  <c:v>1.7035886748837985</c:v>
                </c:pt>
                <c:pt idx="514">
                  <c:v>1.7048338655558708</c:v>
                </c:pt>
                <c:pt idx="515">
                  <c:v>1.7060790562279429</c:v>
                </c:pt>
                <c:pt idx="516">
                  <c:v>1.7073242469000152</c:v>
                </c:pt>
                <c:pt idx="517">
                  <c:v>1.7085694375720872</c:v>
                </c:pt>
                <c:pt idx="518">
                  <c:v>1.7098146282441595</c:v>
                </c:pt>
                <c:pt idx="519">
                  <c:v>1.7110598189162318</c:v>
                </c:pt>
                <c:pt idx="520">
                  <c:v>1.7123050095883039</c:v>
                </c:pt>
                <c:pt idx="521">
                  <c:v>1.713550200260376</c:v>
                </c:pt>
                <c:pt idx="522">
                  <c:v>1.7147953909324483</c:v>
                </c:pt>
                <c:pt idx="523">
                  <c:v>1.7160405816045206</c:v>
                </c:pt>
                <c:pt idx="524">
                  <c:v>1.7172857722765928</c:v>
                </c:pt>
                <c:pt idx="525">
                  <c:v>1.7185309629486649</c:v>
                </c:pt>
                <c:pt idx="526">
                  <c:v>1.719776153620737</c:v>
                </c:pt>
                <c:pt idx="527">
                  <c:v>1.7210213442928093</c:v>
                </c:pt>
                <c:pt idx="528">
                  <c:v>1.7222665349648816</c:v>
                </c:pt>
                <c:pt idx="529">
                  <c:v>1.7235117256369539</c:v>
                </c:pt>
                <c:pt idx="530">
                  <c:v>1.7247569163090259</c:v>
                </c:pt>
                <c:pt idx="531">
                  <c:v>1.726002106981098</c:v>
                </c:pt>
                <c:pt idx="532">
                  <c:v>1.7272472976531703</c:v>
                </c:pt>
                <c:pt idx="533">
                  <c:v>1.7284924883252426</c:v>
                </c:pt>
                <c:pt idx="534">
                  <c:v>1.7297376789973147</c:v>
                </c:pt>
                <c:pt idx="535">
                  <c:v>1.730982869669387</c:v>
                </c:pt>
                <c:pt idx="536">
                  <c:v>1.732228060341459</c:v>
                </c:pt>
                <c:pt idx="537">
                  <c:v>1.7334732510135313</c:v>
                </c:pt>
                <c:pt idx="538">
                  <c:v>1.7347184416856036</c:v>
                </c:pt>
                <c:pt idx="539">
                  <c:v>1.7359636323576757</c:v>
                </c:pt>
                <c:pt idx="540">
                  <c:v>1.7372088230297478</c:v>
                </c:pt>
                <c:pt idx="541">
                  <c:v>1.7384540137018201</c:v>
                </c:pt>
                <c:pt idx="542">
                  <c:v>1.7396992043738924</c:v>
                </c:pt>
                <c:pt idx="543">
                  <c:v>1.7409443950459647</c:v>
                </c:pt>
                <c:pt idx="544">
                  <c:v>1.7421895857180367</c:v>
                </c:pt>
                <c:pt idx="545">
                  <c:v>1.7434347763901088</c:v>
                </c:pt>
                <c:pt idx="546">
                  <c:v>1.7446799670621811</c:v>
                </c:pt>
                <c:pt idx="547">
                  <c:v>1.7459251577342534</c:v>
                </c:pt>
                <c:pt idx="548">
                  <c:v>1.7471703484063257</c:v>
                </c:pt>
                <c:pt idx="549">
                  <c:v>1.7484155390783978</c:v>
                </c:pt>
                <c:pt idx="550">
                  <c:v>1.7496607297504698</c:v>
                </c:pt>
                <c:pt idx="551">
                  <c:v>1.7509059204225421</c:v>
                </c:pt>
                <c:pt idx="552">
                  <c:v>1.7521511110946144</c:v>
                </c:pt>
                <c:pt idx="553">
                  <c:v>1.7533963017666865</c:v>
                </c:pt>
                <c:pt idx="554">
                  <c:v>1.7546414924387586</c:v>
                </c:pt>
                <c:pt idx="555">
                  <c:v>1.7558866831108308</c:v>
                </c:pt>
                <c:pt idx="556">
                  <c:v>1.7571318737829031</c:v>
                </c:pt>
                <c:pt idx="557">
                  <c:v>1.7583770644549754</c:v>
                </c:pt>
                <c:pt idx="558">
                  <c:v>1.7596222551270475</c:v>
                </c:pt>
                <c:pt idx="559">
                  <c:v>1.7608674457991196</c:v>
                </c:pt>
                <c:pt idx="560">
                  <c:v>1.7621126364711919</c:v>
                </c:pt>
                <c:pt idx="561">
                  <c:v>1.7633578271432642</c:v>
                </c:pt>
                <c:pt idx="562">
                  <c:v>1.7646030178153365</c:v>
                </c:pt>
                <c:pt idx="563">
                  <c:v>1.7658482084874085</c:v>
                </c:pt>
                <c:pt idx="564">
                  <c:v>1.7670933991594806</c:v>
                </c:pt>
                <c:pt idx="565">
                  <c:v>1.7683385898315529</c:v>
                </c:pt>
                <c:pt idx="566">
                  <c:v>1.7695837805036252</c:v>
                </c:pt>
                <c:pt idx="567">
                  <c:v>1.7708289711756973</c:v>
                </c:pt>
                <c:pt idx="568">
                  <c:v>1.7720741618477696</c:v>
                </c:pt>
                <c:pt idx="569">
                  <c:v>1.7733193525198416</c:v>
                </c:pt>
                <c:pt idx="570">
                  <c:v>1.7745645431919139</c:v>
                </c:pt>
                <c:pt idx="571">
                  <c:v>1.7758097338639862</c:v>
                </c:pt>
                <c:pt idx="572">
                  <c:v>1.7770549245360583</c:v>
                </c:pt>
                <c:pt idx="573">
                  <c:v>1.7783001152081304</c:v>
                </c:pt>
                <c:pt idx="574">
                  <c:v>1.7795453058802027</c:v>
                </c:pt>
                <c:pt idx="575">
                  <c:v>1.7807904965522749</c:v>
                </c:pt>
                <c:pt idx="576">
                  <c:v>1.7820356872243472</c:v>
                </c:pt>
                <c:pt idx="577">
                  <c:v>1.7832808778964193</c:v>
                </c:pt>
                <c:pt idx="578">
                  <c:v>1.7845260685684914</c:v>
                </c:pt>
                <c:pt idx="579">
                  <c:v>1.7857712592405637</c:v>
                </c:pt>
                <c:pt idx="580">
                  <c:v>1.787016449912636</c:v>
                </c:pt>
                <c:pt idx="581">
                  <c:v>1.7882616405847083</c:v>
                </c:pt>
                <c:pt idx="582">
                  <c:v>1.7895068312567803</c:v>
                </c:pt>
                <c:pt idx="583">
                  <c:v>1.7907520219288524</c:v>
                </c:pt>
                <c:pt idx="584">
                  <c:v>1.7919972126009247</c:v>
                </c:pt>
                <c:pt idx="585">
                  <c:v>1.793242403272997</c:v>
                </c:pt>
                <c:pt idx="586">
                  <c:v>1.7944875939450691</c:v>
                </c:pt>
                <c:pt idx="587">
                  <c:v>1.7957327846171414</c:v>
                </c:pt>
                <c:pt idx="588">
                  <c:v>1.7969779752892134</c:v>
                </c:pt>
                <c:pt idx="589">
                  <c:v>1.7982231659612857</c:v>
                </c:pt>
                <c:pt idx="590">
                  <c:v>1.799468356633358</c:v>
                </c:pt>
                <c:pt idx="591">
                  <c:v>1.8007135473054301</c:v>
                </c:pt>
                <c:pt idx="592">
                  <c:v>1.8019587379775022</c:v>
                </c:pt>
                <c:pt idx="593">
                  <c:v>1.8032039286495745</c:v>
                </c:pt>
                <c:pt idx="594">
                  <c:v>1.8044491193216468</c:v>
                </c:pt>
                <c:pt idx="595">
                  <c:v>1.805694309993719</c:v>
                </c:pt>
                <c:pt idx="596">
                  <c:v>1.8069395006657911</c:v>
                </c:pt>
                <c:pt idx="597">
                  <c:v>1.8081846913378632</c:v>
                </c:pt>
                <c:pt idx="598">
                  <c:v>1.8094298820099355</c:v>
                </c:pt>
                <c:pt idx="599">
                  <c:v>1.8106750726820078</c:v>
                </c:pt>
                <c:pt idx="600">
                  <c:v>1.8119202633540801</c:v>
                </c:pt>
                <c:pt idx="601">
                  <c:v>1.8131654540261521</c:v>
                </c:pt>
                <c:pt idx="602">
                  <c:v>1.8144106446982242</c:v>
                </c:pt>
                <c:pt idx="603">
                  <c:v>1.8156558353702965</c:v>
                </c:pt>
                <c:pt idx="604">
                  <c:v>1.8169010260423688</c:v>
                </c:pt>
                <c:pt idx="605">
                  <c:v>1.8181462167144409</c:v>
                </c:pt>
                <c:pt idx="606">
                  <c:v>1.8193914073865132</c:v>
                </c:pt>
                <c:pt idx="607">
                  <c:v>1.8206365980585852</c:v>
                </c:pt>
                <c:pt idx="608">
                  <c:v>1.8218817887306575</c:v>
                </c:pt>
                <c:pt idx="609">
                  <c:v>1.8231269794027298</c:v>
                </c:pt>
                <c:pt idx="610">
                  <c:v>1.8243721700748019</c:v>
                </c:pt>
                <c:pt idx="611">
                  <c:v>1.825617360746874</c:v>
                </c:pt>
                <c:pt idx="612">
                  <c:v>1.8268625514189463</c:v>
                </c:pt>
                <c:pt idx="613">
                  <c:v>1.8281077420910186</c:v>
                </c:pt>
                <c:pt idx="614">
                  <c:v>1.8293529327630909</c:v>
                </c:pt>
                <c:pt idx="615">
                  <c:v>1.8305981234351629</c:v>
                </c:pt>
                <c:pt idx="616">
                  <c:v>1.831843314107235</c:v>
                </c:pt>
                <c:pt idx="617">
                  <c:v>1.8330885047793073</c:v>
                </c:pt>
                <c:pt idx="618">
                  <c:v>1.8343336954513796</c:v>
                </c:pt>
                <c:pt idx="619">
                  <c:v>1.8355788861234519</c:v>
                </c:pt>
                <c:pt idx="620">
                  <c:v>1.836824076795524</c:v>
                </c:pt>
                <c:pt idx="621">
                  <c:v>1.838069267467596</c:v>
                </c:pt>
                <c:pt idx="622">
                  <c:v>1.8393144581396683</c:v>
                </c:pt>
                <c:pt idx="623">
                  <c:v>1.8405596488117406</c:v>
                </c:pt>
                <c:pt idx="624">
                  <c:v>1.8418048394838127</c:v>
                </c:pt>
                <c:pt idx="625">
                  <c:v>1.8430500301558848</c:v>
                </c:pt>
                <c:pt idx="626">
                  <c:v>1.844295220827957</c:v>
                </c:pt>
                <c:pt idx="627">
                  <c:v>1.8455404115000293</c:v>
                </c:pt>
                <c:pt idx="628">
                  <c:v>1.8467856021721016</c:v>
                </c:pt>
                <c:pt idx="629">
                  <c:v>1.8480307928441737</c:v>
                </c:pt>
                <c:pt idx="630">
                  <c:v>1.8492759835162458</c:v>
                </c:pt>
                <c:pt idx="631">
                  <c:v>1.8505211741883181</c:v>
                </c:pt>
                <c:pt idx="632">
                  <c:v>1.8517663648603904</c:v>
                </c:pt>
                <c:pt idx="633">
                  <c:v>1.8530115555324627</c:v>
                </c:pt>
                <c:pt idx="634">
                  <c:v>1.8542567462045347</c:v>
                </c:pt>
                <c:pt idx="635">
                  <c:v>1.8555019368766068</c:v>
                </c:pt>
                <c:pt idx="636">
                  <c:v>1.8567471275486791</c:v>
                </c:pt>
                <c:pt idx="637">
                  <c:v>1.8579923182207514</c:v>
                </c:pt>
                <c:pt idx="638">
                  <c:v>1.8592375088928235</c:v>
                </c:pt>
                <c:pt idx="639">
                  <c:v>1.8604826995648958</c:v>
                </c:pt>
                <c:pt idx="640">
                  <c:v>1.8617278902369678</c:v>
                </c:pt>
                <c:pt idx="641">
                  <c:v>1.8629730809090401</c:v>
                </c:pt>
                <c:pt idx="642">
                  <c:v>1.8642182715811124</c:v>
                </c:pt>
                <c:pt idx="643">
                  <c:v>1.8654634622531845</c:v>
                </c:pt>
                <c:pt idx="644">
                  <c:v>1.8667086529252566</c:v>
                </c:pt>
                <c:pt idx="645">
                  <c:v>1.8679538435973289</c:v>
                </c:pt>
                <c:pt idx="646">
                  <c:v>1.8691990342694011</c:v>
                </c:pt>
                <c:pt idx="647">
                  <c:v>1.8704442249414734</c:v>
                </c:pt>
                <c:pt idx="648">
                  <c:v>1.8716894156135455</c:v>
                </c:pt>
                <c:pt idx="649">
                  <c:v>1.8729346062856176</c:v>
                </c:pt>
                <c:pt idx="650">
                  <c:v>1.8741797969576899</c:v>
                </c:pt>
                <c:pt idx="651">
                  <c:v>1.8754249876297622</c:v>
                </c:pt>
                <c:pt idx="652">
                  <c:v>1.8766701783018345</c:v>
                </c:pt>
                <c:pt idx="653">
                  <c:v>1.8779153689739065</c:v>
                </c:pt>
                <c:pt idx="654">
                  <c:v>1.8791605596459786</c:v>
                </c:pt>
                <c:pt idx="655">
                  <c:v>1.8804057503180509</c:v>
                </c:pt>
                <c:pt idx="656">
                  <c:v>1.8816509409901232</c:v>
                </c:pt>
                <c:pt idx="657">
                  <c:v>1.8828961316621953</c:v>
                </c:pt>
                <c:pt idx="658">
                  <c:v>1.8841413223342676</c:v>
                </c:pt>
                <c:pt idx="659">
                  <c:v>1.8853865130063396</c:v>
                </c:pt>
                <c:pt idx="660">
                  <c:v>1.8866317036784119</c:v>
                </c:pt>
                <c:pt idx="661">
                  <c:v>1.8878768943504842</c:v>
                </c:pt>
                <c:pt idx="662">
                  <c:v>1.8891220850225563</c:v>
                </c:pt>
                <c:pt idx="663">
                  <c:v>1.8903672756946284</c:v>
                </c:pt>
                <c:pt idx="664">
                  <c:v>1.8916124663667007</c:v>
                </c:pt>
                <c:pt idx="665">
                  <c:v>1.892857657038773</c:v>
                </c:pt>
                <c:pt idx="666">
                  <c:v>1.8941028477108452</c:v>
                </c:pt>
                <c:pt idx="667">
                  <c:v>1.8953480383829173</c:v>
                </c:pt>
                <c:pt idx="668">
                  <c:v>1.8965932290549894</c:v>
                </c:pt>
                <c:pt idx="669">
                  <c:v>1.8978384197270617</c:v>
                </c:pt>
                <c:pt idx="670">
                  <c:v>1.899083610399134</c:v>
                </c:pt>
                <c:pt idx="671">
                  <c:v>1.9003288010712063</c:v>
                </c:pt>
                <c:pt idx="672">
                  <c:v>1.9015739917432783</c:v>
                </c:pt>
                <c:pt idx="673">
                  <c:v>1.9028191824153504</c:v>
                </c:pt>
                <c:pt idx="674">
                  <c:v>1.9040643730874227</c:v>
                </c:pt>
                <c:pt idx="675">
                  <c:v>1.905309563759495</c:v>
                </c:pt>
                <c:pt idx="676">
                  <c:v>1.9065547544315671</c:v>
                </c:pt>
                <c:pt idx="677">
                  <c:v>1.9077999451036391</c:v>
                </c:pt>
                <c:pt idx="678">
                  <c:v>1.9090451357757114</c:v>
                </c:pt>
                <c:pt idx="679">
                  <c:v>1.9102903264477837</c:v>
                </c:pt>
                <c:pt idx="680">
                  <c:v>1.911535517119856</c:v>
                </c:pt>
                <c:pt idx="681">
                  <c:v>1.9127807077919281</c:v>
                </c:pt>
                <c:pt idx="682">
                  <c:v>1.9140258984640002</c:v>
                </c:pt>
                <c:pt idx="683">
                  <c:v>1.9152710891360725</c:v>
                </c:pt>
                <c:pt idx="684">
                  <c:v>1.9165162798081448</c:v>
                </c:pt>
                <c:pt idx="685">
                  <c:v>1.9177614704802171</c:v>
                </c:pt>
                <c:pt idx="686">
                  <c:v>1.9190066611522891</c:v>
                </c:pt>
                <c:pt idx="687">
                  <c:v>1.9202518518243612</c:v>
                </c:pt>
                <c:pt idx="688">
                  <c:v>1.9214970424964335</c:v>
                </c:pt>
                <c:pt idx="689">
                  <c:v>1.9227422331685058</c:v>
                </c:pt>
                <c:pt idx="690">
                  <c:v>1.9239874238405779</c:v>
                </c:pt>
                <c:pt idx="691">
                  <c:v>1.9252326145126502</c:v>
                </c:pt>
                <c:pt idx="692">
                  <c:v>1.9264778051847222</c:v>
                </c:pt>
                <c:pt idx="693">
                  <c:v>1.9277229958567945</c:v>
                </c:pt>
                <c:pt idx="694">
                  <c:v>1.9289681865288668</c:v>
                </c:pt>
                <c:pt idx="695">
                  <c:v>1.9302133772009389</c:v>
                </c:pt>
                <c:pt idx="696">
                  <c:v>1.931458567873011</c:v>
                </c:pt>
                <c:pt idx="697">
                  <c:v>1.9327037585450833</c:v>
                </c:pt>
                <c:pt idx="698">
                  <c:v>1.9339489492171555</c:v>
                </c:pt>
                <c:pt idx="699">
                  <c:v>1.9351941398892278</c:v>
                </c:pt>
              </c:numCache>
            </c:numRef>
          </c:xVal>
          <c:yVal>
            <c:numRef>
              <c:f>Sheet5_HID!ydata6</c:f>
              <c:numCache>
                <c:formatCode>General</c:formatCode>
                <c:ptCount val="700"/>
                <c:pt idx="0">
                  <c:v>6.4805860110755301E-2</c:v>
                </c:pt>
                <c:pt idx="1">
                  <c:v>0.93519413988924505</c:v>
                </c:pt>
                <c:pt idx="2">
                  <c:v>6.4805860110755301E-2</c:v>
                </c:pt>
                <c:pt idx="3">
                  <c:v>0.93519413988924505</c:v>
                </c:pt>
                <c:pt idx="4">
                  <c:v>6.4805860110755301E-2</c:v>
                </c:pt>
                <c:pt idx="5">
                  <c:v>0.93519413988924505</c:v>
                </c:pt>
                <c:pt idx="6">
                  <c:v>6.4805860110755301E-2</c:v>
                </c:pt>
                <c:pt idx="7">
                  <c:v>0.93519413988924505</c:v>
                </c:pt>
                <c:pt idx="8">
                  <c:v>6.4805860110755301E-2</c:v>
                </c:pt>
                <c:pt idx="9">
                  <c:v>0.93519413988924505</c:v>
                </c:pt>
                <c:pt idx="10">
                  <c:v>6.4805860110755301E-2</c:v>
                </c:pt>
                <c:pt idx="11">
                  <c:v>0.93519413988924505</c:v>
                </c:pt>
                <c:pt idx="12">
                  <c:v>6.4805860110755301E-2</c:v>
                </c:pt>
                <c:pt idx="13">
                  <c:v>0.93519413988924505</c:v>
                </c:pt>
                <c:pt idx="14">
                  <c:v>6.4805860110755301E-2</c:v>
                </c:pt>
                <c:pt idx="15">
                  <c:v>0.93519413988924505</c:v>
                </c:pt>
                <c:pt idx="16">
                  <c:v>6.4805860110755301E-2</c:v>
                </c:pt>
                <c:pt idx="17">
                  <c:v>0.93519413988924505</c:v>
                </c:pt>
                <c:pt idx="18">
                  <c:v>6.4805860110755301E-2</c:v>
                </c:pt>
                <c:pt idx="19">
                  <c:v>0.93519413988924505</c:v>
                </c:pt>
                <c:pt idx="20">
                  <c:v>6.4805860110755301E-2</c:v>
                </c:pt>
                <c:pt idx="21">
                  <c:v>0.93519413988924505</c:v>
                </c:pt>
                <c:pt idx="22">
                  <c:v>6.4805860110755301E-2</c:v>
                </c:pt>
                <c:pt idx="23">
                  <c:v>0.93519413988924505</c:v>
                </c:pt>
                <c:pt idx="24">
                  <c:v>6.4805860110755301E-2</c:v>
                </c:pt>
                <c:pt idx="25">
                  <c:v>0.93519413988924505</c:v>
                </c:pt>
                <c:pt idx="26">
                  <c:v>6.4805860110755301E-2</c:v>
                </c:pt>
                <c:pt idx="27">
                  <c:v>0.93519413988924505</c:v>
                </c:pt>
                <c:pt idx="28">
                  <c:v>6.4805860110755301E-2</c:v>
                </c:pt>
                <c:pt idx="29">
                  <c:v>0.93519413988924505</c:v>
                </c:pt>
                <c:pt idx="30">
                  <c:v>6.4805860110755301E-2</c:v>
                </c:pt>
                <c:pt idx="31">
                  <c:v>0.93519413988924505</c:v>
                </c:pt>
                <c:pt idx="32">
                  <c:v>6.4805860110755301E-2</c:v>
                </c:pt>
                <c:pt idx="33">
                  <c:v>0.93519413988924505</c:v>
                </c:pt>
                <c:pt idx="34">
                  <c:v>6.4805860110755301E-2</c:v>
                </c:pt>
                <c:pt idx="35">
                  <c:v>0.93519413988924505</c:v>
                </c:pt>
                <c:pt idx="36">
                  <c:v>6.4805860110755301E-2</c:v>
                </c:pt>
                <c:pt idx="37">
                  <c:v>0.93519413988924505</c:v>
                </c:pt>
                <c:pt idx="38">
                  <c:v>6.4805860110755301E-2</c:v>
                </c:pt>
                <c:pt idx="39">
                  <c:v>0.93519413988924505</c:v>
                </c:pt>
                <c:pt idx="40">
                  <c:v>6.4805860110755301E-2</c:v>
                </c:pt>
                <c:pt idx="41">
                  <c:v>0.93519413988924505</c:v>
                </c:pt>
                <c:pt idx="42">
                  <c:v>6.4805860110755301E-2</c:v>
                </c:pt>
                <c:pt idx="43">
                  <c:v>0.93519413988924505</c:v>
                </c:pt>
                <c:pt idx="44">
                  <c:v>6.4805860110755301E-2</c:v>
                </c:pt>
                <c:pt idx="45">
                  <c:v>0.93519413988924505</c:v>
                </c:pt>
                <c:pt idx="46">
                  <c:v>6.4805860110755301E-2</c:v>
                </c:pt>
                <c:pt idx="47">
                  <c:v>0.93519413988924505</c:v>
                </c:pt>
                <c:pt idx="48">
                  <c:v>6.4805860110755301E-2</c:v>
                </c:pt>
                <c:pt idx="49">
                  <c:v>0.93519413988924505</c:v>
                </c:pt>
                <c:pt idx="50">
                  <c:v>6.4805860110755301E-2</c:v>
                </c:pt>
                <c:pt idx="51">
                  <c:v>0.93519413988924505</c:v>
                </c:pt>
                <c:pt idx="52">
                  <c:v>6.4805860110755301E-2</c:v>
                </c:pt>
                <c:pt idx="53">
                  <c:v>0.93519413988924505</c:v>
                </c:pt>
                <c:pt idx="54">
                  <c:v>6.4805860110755301E-2</c:v>
                </c:pt>
                <c:pt idx="55">
                  <c:v>0.93519413988924505</c:v>
                </c:pt>
                <c:pt idx="56">
                  <c:v>6.4805860110755301E-2</c:v>
                </c:pt>
                <c:pt idx="57">
                  <c:v>0.93519413988924505</c:v>
                </c:pt>
                <c:pt idx="58">
                  <c:v>6.4805860110755301E-2</c:v>
                </c:pt>
                <c:pt idx="59">
                  <c:v>0.93519413988924505</c:v>
                </c:pt>
                <c:pt idx="60">
                  <c:v>6.4805860110755301E-2</c:v>
                </c:pt>
                <c:pt idx="61">
                  <c:v>0.93519413988924505</c:v>
                </c:pt>
                <c:pt idx="62">
                  <c:v>6.4805860110755301E-2</c:v>
                </c:pt>
                <c:pt idx="63">
                  <c:v>0.93519413988924505</c:v>
                </c:pt>
                <c:pt idx="64">
                  <c:v>6.4805860110755301E-2</c:v>
                </c:pt>
                <c:pt idx="65">
                  <c:v>0.93519413988924505</c:v>
                </c:pt>
                <c:pt idx="66">
                  <c:v>6.4805860110755301E-2</c:v>
                </c:pt>
                <c:pt idx="67">
                  <c:v>0.93519413988924505</c:v>
                </c:pt>
                <c:pt idx="68">
                  <c:v>6.4805860110755301E-2</c:v>
                </c:pt>
                <c:pt idx="69">
                  <c:v>0.93519413988924505</c:v>
                </c:pt>
                <c:pt idx="70">
                  <c:v>6.4805860110755301E-2</c:v>
                </c:pt>
                <c:pt idx="71">
                  <c:v>0.93519413988924505</c:v>
                </c:pt>
                <c:pt idx="72">
                  <c:v>6.4805860110755301E-2</c:v>
                </c:pt>
                <c:pt idx="73">
                  <c:v>0.93519413988924505</c:v>
                </c:pt>
                <c:pt idx="74">
                  <c:v>6.4805860110755301E-2</c:v>
                </c:pt>
                <c:pt idx="75">
                  <c:v>0.93519413988924505</c:v>
                </c:pt>
                <c:pt idx="76">
                  <c:v>6.4805860110755301E-2</c:v>
                </c:pt>
                <c:pt idx="77">
                  <c:v>0.93519413988924505</c:v>
                </c:pt>
                <c:pt idx="78">
                  <c:v>6.4805860110755301E-2</c:v>
                </c:pt>
                <c:pt idx="79">
                  <c:v>0.93519413988924505</c:v>
                </c:pt>
                <c:pt idx="80">
                  <c:v>6.4805860110755301E-2</c:v>
                </c:pt>
                <c:pt idx="81">
                  <c:v>0.93519413988924505</c:v>
                </c:pt>
                <c:pt idx="82">
                  <c:v>6.4805860110755301E-2</c:v>
                </c:pt>
                <c:pt idx="83">
                  <c:v>0.93519413988924505</c:v>
                </c:pt>
                <c:pt idx="84">
                  <c:v>6.4805860110755301E-2</c:v>
                </c:pt>
                <c:pt idx="85">
                  <c:v>0.93519413988924505</c:v>
                </c:pt>
                <c:pt idx="86">
                  <c:v>6.4805860110755301E-2</c:v>
                </c:pt>
                <c:pt idx="87">
                  <c:v>0.93519413988924505</c:v>
                </c:pt>
                <c:pt idx="88">
                  <c:v>6.4805860110755301E-2</c:v>
                </c:pt>
                <c:pt idx="89">
                  <c:v>0.93519413988924505</c:v>
                </c:pt>
                <c:pt idx="90">
                  <c:v>6.4805860110755301E-2</c:v>
                </c:pt>
                <c:pt idx="91">
                  <c:v>0.93519413988924505</c:v>
                </c:pt>
                <c:pt idx="92">
                  <c:v>6.4805860110755301E-2</c:v>
                </c:pt>
                <c:pt idx="93">
                  <c:v>0.93519413988924505</c:v>
                </c:pt>
                <c:pt idx="94">
                  <c:v>6.4805860110755301E-2</c:v>
                </c:pt>
                <c:pt idx="95">
                  <c:v>0.93519413988924505</c:v>
                </c:pt>
                <c:pt idx="96">
                  <c:v>6.4805860110755301E-2</c:v>
                </c:pt>
                <c:pt idx="97">
                  <c:v>0.93519413988924505</c:v>
                </c:pt>
                <c:pt idx="98">
                  <c:v>6.4805860110755301E-2</c:v>
                </c:pt>
                <c:pt idx="99">
                  <c:v>0.93519413988924505</c:v>
                </c:pt>
                <c:pt idx="100">
                  <c:v>6.4805860110755301E-2</c:v>
                </c:pt>
                <c:pt idx="101">
                  <c:v>0.93519413988924505</c:v>
                </c:pt>
                <c:pt idx="102">
                  <c:v>6.4805860110755301E-2</c:v>
                </c:pt>
                <c:pt idx="103">
                  <c:v>0.93519413988924505</c:v>
                </c:pt>
                <c:pt idx="104">
                  <c:v>6.4805860110755301E-2</c:v>
                </c:pt>
                <c:pt idx="105">
                  <c:v>0.93519413988924505</c:v>
                </c:pt>
                <c:pt idx="106">
                  <c:v>6.4805860110755301E-2</c:v>
                </c:pt>
                <c:pt idx="107">
                  <c:v>0.93519413988924505</c:v>
                </c:pt>
                <c:pt idx="108">
                  <c:v>6.4805860110755301E-2</c:v>
                </c:pt>
                <c:pt idx="109">
                  <c:v>0.93519413988924505</c:v>
                </c:pt>
                <c:pt idx="110">
                  <c:v>6.4805860110755301E-2</c:v>
                </c:pt>
                <c:pt idx="111">
                  <c:v>0.93519413988924505</c:v>
                </c:pt>
                <c:pt idx="112">
                  <c:v>6.4805860110755301E-2</c:v>
                </c:pt>
                <c:pt idx="113">
                  <c:v>0.93519413988924505</c:v>
                </c:pt>
                <c:pt idx="114">
                  <c:v>6.4805860110755301E-2</c:v>
                </c:pt>
                <c:pt idx="115">
                  <c:v>0.93519413988924505</c:v>
                </c:pt>
                <c:pt idx="116">
                  <c:v>6.4805860110755301E-2</c:v>
                </c:pt>
                <c:pt idx="117">
                  <c:v>0.93519413988924505</c:v>
                </c:pt>
                <c:pt idx="118">
                  <c:v>6.4805860110755301E-2</c:v>
                </c:pt>
                <c:pt idx="119">
                  <c:v>0.93519413988924505</c:v>
                </c:pt>
                <c:pt idx="120">
                  <c:v>6.4805860110755301E-2</c:v>
                </c:pt>
                <c:pt idx="121">
                  <c:v>0.93519413988924505</c:v>
                </c:pt>
                <c:pt idx="122">
                  <c:v>6.4805860110755301E-2</c:v>
                </c:pt>
                <c:pt idx="123">
                  <c:v>0.93519413988924505</c:v>
                </c:pt>
                <c:pt idx="124">
                  <c:v>6.4805860110755301E-2</c:v>
                </c:pt>
                <c:pt idx="125">
                  <c:v>0.93519413988924505</c:v>
                </c:pt>
                <c:pt idx="126">
                  <c:v>6.4805860110755301E-2</c:v>
                </c:pt>
                <c:pt idx="127">
                  <c:v>0.93519413988924505</c:v>
                </c:pt>
                <c:pt idx="128">
                  <c:v>6.4805860110755301E-2</c:v>
                </c:pt>
                <c:pt idx="129">
                  <c:v>0.93519413988924505</c:v>
                </c:pt>
                <c:pt idx="130">
                  <c:v>6.4805860110755301E-2</c:v>
                </c:pt>
                <c:pt idx="131">
                  <c:v>0.93519413988924505</c:v>
                </c:pt>
                <c:pt idx="132">
                  <c:v>6.4805860110755301E-2</c:v>
                </c:pt>
                <c:pt idx="133">
                  <c:v>0.93519413988924505</c:v>
                </c:pt>
                <c:pt idx="134">
                  <c:v>6.4805860110755301E-2</c:v>
                </c:pt>
                <c:pt idx="135">
                  <c:v>0.93519413988924505</c:v>
                </c:pt>
                <c:pt idx="136">
                  <c:v>6.4805860110755301E-2</c:v>
                </c:pt>
                <c:pt idx="137">
                  <c:v>0.93519413988924505</c:v>
                </c:pt>
                <c:pt idx="138">
                  <c:v>6.4805860110755301E-2</c:v>
                </c:pt>
                <c:pt idx="139">
                  <c:v>0.93519413988924505</c:v>
                </c:pt>
                <c:pt idx="140">
                  <c:v>6.4805860110755301E-2</c:v>
                </c:pt>
                <c:pt idx="141">
                  <c:v>0.93519413988924505</c:v>
                </c:pt>
                <c:pt idx="142">
                  <c:v>6.4805860110755301E-2</c:v>
                </c:pt>
                <c:pt idx="143">
                  <c:v>0.93519413988924505</c:v>
                </c:pt>
                <c:pt idx="144">
                  <c:v>6.4805860110755301E-2</c:v>
                </c:pt>
                <c:pt idx="145">
                  <c:v>0.93519413988924505</c:v>
                </c:pt>
                <c:pt idx="146">
                  <c:v>6.4805860110755301E-2</c:v>
                </c:pt>
                <c:pt idx="147">
                  <c:v>0.93519413988924505</c:v>
                </c:pt>
                <c:pt idx="148">
                  <c:v>6.4805860110755301E-2</c:v>
                </c:pt>
                <c:pt idx="149">
                  <c:v>0.93519413988924505</c:v>
                </c:pt>
                <c:pt idx="150">
                  <c:v>6.4805860110755301E-2</c:v>
                </c:pt>
                <c:pt idx="151">
                  <c:v>0.93519413988924505</c:v>
                </c:pt>
                <c:pt idx="152">
                  <c:v>6.4805860110755301E-2</c:v>
                </c:pt>
                <c:pt idx="153">
                  <c:v>0.93519413988924505</c:v>
                </c:pt>
                <c:pt idx="154">
                  <c:v>6.4805860110755301E-2</c:v>
                </c:pt>
                <c:pt idx="155">
                  <c:v>0.93519413988924505</c:v>
                </c:pt>
                <c:pt idx="156">
                  <c:v>6.4805860110755301E-2</c:v>
                </c:pt>
                <c:pt idx="157">
                  <c:v>0.93519413988924505</c:v>
                </c:pt>
                <c:pt idx="158">
                  <c:v>6.4805860110755301E-2</c:v>
                </c:pt>
                <c:pt idx="159">
                  <c:v>0.93519413988924505</c:v>
                </c:pt>
                <c:pt idx="160">
                  <c:v>6.4805860110755301E-2</c:v>
                </c:pt>
                <c:pt idx="161">
                  <c:v>0.93519413988924505</c:v>
                </c:pt>
                <c:pt idx="162">
                  <c:v>6.4805860110755301E-2</c:v>
                </c:pt>
                <c:pt idx="163">
                  <c:v>0.93519413988924505</c:v>
                </c:pt>
                <c:pt idx="164">
                  <c:v>6.4805860110755301E-2</c:v>
                </c:pt>
                <c:pt idx="165">
                  <c:v>0.93519413988924505</c:v>
                </c:pt>
                <c:pt idx="166">
                  <c:v>6.4805860110755301E-2</c:v>
                </c:pt>
                <c:pt idx="167">
                  <c:v>0.93519413988924505</c:v>
                </c:pt>
                <c:pt idx="168">
                  <c:v>6.4805860110755301E-2</c:v>
                </c:pt>
                <c:pt idx="169">
                  <c:v>0.93519413988924505</c:v>
                </c:pt>
                <c:pt idx="170">
                  <c:v>6.4805860110755301E-2</c:v>
                </c:pt>
                <c:pt idx="171">
                  <c:v>0.93519413988924505</c:v>
                </c:pt>
                <c:pt idx="172">
                  <c:v>6.4805860110755301E-2</c:v>
                </c:pt>
                <c:pt idx="173">
                  <c:v>0.93519413988924505</c:v>
                </c:pt>
                <c:pt idx="174">
                  <c:v>6.4805860110755301E-2</c:v>
                </c:pt>
                <c:pt idx="175">
                  <c:v>0.93519413988924505</c:v>
                </c:pt>
                <c:pt idx="176">
                  <c:v>6.4805860110755301E-2</c:v>
                </c:pt>
                <c:pt idx="177">
                  <c:v>0.93519413988924505</c:v>
                </c:pt>
                <c:pt idx="178">
                  <c:v>6.4805860110755301E-2</c:v>
                </c:pt>
                <c:pt idx="179">
                  <c:v>0.93519413988924505</c:v>
                </c:pt>
                <c:pt idx="180">
                  <c:v>6.4805860110755301E-2</c:v>
                </c:pt>
                <c:pt idx="181">
                  <c:v>0.93519413988924505</c:v>
                </c:pt>
                <c:pt idx="182">
                  <c:v>6.4805860110755301E-2</c:v>
                </c:pt>
                <c:pt idx="183">
                  <c:v>0.93519413988924505</c:v>
                </c:pt>
                <c:pt idx="184">
                  <c:v>6.4805860110755301E-2</c:v>
                </c:pt>
                <c:pt idx="185">
                  <c:v>0.93519413988924505</c:v>
                </c:pt>
                <c:pt idx="186">
                  <c:v>6.4805860110755301E-2</c:v>
                </c:pt>
                <c:pt idx="187">
                  <c:v>0.93519413988924505</c:v>
                </c:pt>
                <c:pt idx="188">
                  <c:v>6.4805860110755301E-2</c:v>
                </c:pt>
                <c:pt idx="189">
                  <c:v>0.93519413988924505</c:v>
                </c:pt>
                <c:pt idx="190">
                  <c:v>6.4805860110755301E-2</c:v>
                </c:pt>
                <c:pt idx="191">
                  <c:v>0.93519413988924505</c:v>
                </c:pt>
                <c:pt idx="192">
                  <c:v>6.4805860110755301E-2</c:v>
                </c:pt>
                <c:pt idx="193">
                  <c:v>0.93519413988924505</c:v>
                </c:pt>
                <c:pt idx="194">
                  <c:v>6.4805860110755301E-2</c:v>
                </c:pt>
                <c:pt idx="195">
                  <c:v>0.93519413988924505</c:v>
                </c:pt>
                <c:pt idx="196">
                  <c:v>6.4805860110755301E-2</c:v>
                </c:pt>
                <c:pt idx="197">
                  <c:v>0.93519413988924505</c:v>
                </c:pt>
                <c:pt idx="198">
                  <c:v>6.4805860110755301E-2</c:v>
                </c:pt>
                <c:pt idx="199">
                  <c:v>0.93519413988924505</c:v>
                </c:pt>
                <c:pt idx="200">
                  <c:v>6.4805860110755301E-2</c:v>
                </c:pt>
                <c:pt idx="201">
                  <c:v>0.93519413988924505</c:v>
                </c:pt>
                <c:pt idx="202">
                  <c:v>6.4805860110755301E-2</c:v>
                </c:pt>
                <c:pt idx="203">
                  <c:v>0.93519413988924505</c:v>
                </c:pt>
                <c:pt idx="204">
                  <c:v>6.4805860110755301E-2</c:v>
                </c:pt>
                <c:pt idx="205">
                  <c:v>0.93519413988924505</c:v>
                </c:pt>
                <c:pt idx="206">
                  <c:v>6.4805860110755301E-2</c:v>
                </c:pt>
                <c:pt idx="207">
                  <c:v>0.93519413988924505</c:v>
                </c:pt>
                <c:pt idx="208">
                  <c:v>6.4805860110755301E-2</c:v>
                </c:pt>
                <c:pt idx="209">
                  <c:v>0.93519413988924505</c:v>
                </c:pt>
                <c:pt idx="210">
                  <c:v>6.4805860110755301E-2</c:v>
                </c:pt>
                <c:pt idx="211">
                  <c:v>0.93519413988924505</c:v>
                </c:pt>
                <c:pt idx="212">
                  <c:v>6.4805860110755301E-2</c:v>
                </c:pt>
                <c:pt idx="213">
                  <c:v>0.93519413988924505</c:v>
                </c:pt>
                <c:pt idx="214">
                  <c:v>6.4805860110755301E-2</c:v>
                </c:pt>
                <c:pt idx="215">
                  <c:v>0.93519413988924505</c:v>
                </c:pt>
                <c:pt idx="216">
                  <c:v>6.4805860110755301E-2</c:v>
                </c:pt>
                <c:pt idx="217">
                  <c:v>0.93519413988924505</c:v>
                </c:pt>
                <c:pt idx="218">
                  <c:v>6.4805860110755301E-2</c:v>
                </c:pt>
                <c:pt idx="219">
                  <c:v>0.93519413988924505</c:v>
                </c:pt>
                <c:pt idx="220">
                  <c:v>6.4805860110755301E-2</c:v>
                </c:pt>
                <c:pt idx="221">
                  <c:v>0.93519413988924505</c:v>
                </c:pt>
                <c:pt idx="222">
                  <c:v>6.4805860110755301E-2</c:v>
                </c:pt>
                <c:pt idx="223">
                  <c:v>0.93519413988924505</c:v>
                </c:pt>
                <c:pt idx="224">
                  <c:v>6.4805860110755301E-2</c:v>
                </c:pt>
                <c:pt idx="225">
                  <c:v>0.93519413988924505</c:v>
                </c:pt>
                <c:pt idx="226">
                  <c:v>6.4805860110755301E-2</c:v>
                </c:pt>
                <c:pt idx="227">
                  <c:v>0.93519413988924505</c:v>
                </c:pt>
                <c:pt idx="228">
                  <c:v>6.4805860110755301E-2</c:v>
                </c:pt>
                <c:pt idx="229">
                  <c:v>0.93519413988924505</c:v>
                </c:pt>
                <c:pt idx="230">
                  <c:v>6.4805860110755301E-2</c:v>
                </c:pt>
                <c:pt idx="231">
                  <c:v>0.93519413988924505</c:v>
                </c:pt>
                <c:pt idx="232">
                  <c:v>6.4805860110755301E-2</c:v>
                </c:pt>
                <c:pt idx="233">
                  <c:v>0.93519413988924505</c:v>
                </c:pt>
                <c:pt idx="234">
                  <c:v>6.4805860110755301E-2</c:v>
                </c:pt>
                <c:pt idx="235">
                  <c:v>0.93519413988924505</c:v>
                </c:pt>
                <c:pt idx="236">
                  <c:v>6.4805860110755301E-2</c:v>
                </c:pt>
                <c:pt idx="237">
                  <c:v>0.93519413988924505</c:v>
                </c:pt>
                <c:pt idx="238">
                  <c:v>6.4805860110755301E-2</c:v>
                </c:pt>
                <c:pt idx="239">
                  <c:v>0.93519413988924505</c:v>
                </c:pt>
                <c:pt idx="240">
                  <c:v>6.4805860110755301E-2</c:v>
                </c:pt>
                <c:pt idx="241">
                  <c:v>0.93519413988924505</c:v>
                </c:pt>
                <c:pt idx="242">
                  <c:v>6.4805860110755301E-2</c:v>
                </c:pt>
                <c:pt idx="243">
                  <c:v>0.93519413988924505</c:v>
                </c:pt>
                <c:pt idx="244">
                  <c:v>6.4805860110755301E-2</c:v>
                </c:pt>
                <c:pt idx="245">
                  <c:v>0.93519413988924505</c:v>
                </c:pt>
                <c:pt idx="246">
                  <c:v>6.4805860110755301E-2</c:v>
                </c:pt>
                <c:pt idx="247">
                  <c:v>0.93519413988924505</c:v>
                </c:pt>
                <c:pt idx="248">
                  <c:v>6.4805860110755301E-2</c:v>
                </c:pt>
                <c:pt idx="249">
                  <c:v>0.93519413988924505</c:v>
                </c:pt>
                <c:pt idx="250">
                  <c:v>6.4805860110755301E-2</c:v>
                </c:pt>
                <c:pt idx="251">
                  <c:v>0.93519413988924505</c:v>
                </c:pt>
                <c:pt idx="252">
                  <c:v>6.4805860110755301E-2</c:v>
                </c:pt>
                <c:pt idx="253">
                  <c:v>0.93519413988924505</c:v>
                </c:pt>
                <c:pt idx="254">
                  <c:v>6.4805860110755301E-2</c:v>
                </c:pt>
                <c:pt idx="255">
                  <c:v>0.93519413988924505</c:v>
                </c:pt>
                <c:pt idx="256">
                  <c:v>6.4805860110755301E-2</c:v>
                </c:pt>
                <c:pt idx="257">
                  <c:v>0.93519413988924505</c:v>
                </c:pt>
                <c:pt idx="258">
                  <c:v>6.4805860110755301E-2</c:v>
                </c:pt>
                <c:pt idx="259">
                  <c:v>0.93519413988924505</c:v>
                </c:pt>
                <c:pt idx="260">
                  <c:v>6.4805860110755301E-2</c:v>
                </c:pt>
                <c:pt idx="261">
                  <c:v>0.93519413988924505</c:v>
                </c:pt>
                <c:pt idx="262">
                  <c:v>6.4805860110755301E-2</c:v>
                </c:pt>
                <c:pt idx="263">
                  <c:v>0.93519413988924505</c:v>
                </c:pt>
                <c:pt idx="264">
                  <c:v>6.4805860110755301E-2</c:v>
                </c:pt>
                <c:pt idx="265">
                  <c:v>0.93519413988924505</c:v>
                </c:pt>
                <c:pt idx="266">
                  <c:v>6.4805860110755301E-2</c:v>
                </c:pt>
                <c:pt idx="267">
                  <c:v>0.93519413988924505</c:v>
                </c:pt>
                <c:pt idx="268">
                  <c:v>6.4805860110755301E-2</c:v>
                </c:pt>
                <c:pt idx="269">
                  <c:v>0.93519413988924505</c:v>
                </c:pt>
                <c:pt idx="270">
                  <c:v>6.4805860110755301E-2</c:v>
                </c:pt>
                <c:pt idx="271">
                  <c:v>0.93519413988924505</c:v>
                </c:pt>
                <c:pt idx="272">
                  <c:v>6.4805860110755301E-2</c:v>
                </c:pt>
                <c:pt idx="273">
                  <c:v>0.93519413988924505</c:v>
                </c:pt>
                <c:pt idx="274">
                  <c:v>6.4805860110755301E-2</c:v>
                </c:pt>
                <c:pt idx="275">
                  <c:v>0.93519413988924505</c:v>
                </c:pt>
                <c:pt idx="276">
                  <c:v>6.4805860110755301E-2</c:v>
                </c:pt>
                <c:pt idx="277">
                  <c:v>0.93519413988924505</c:v>
                </c:pt>
                <c:pt idx="278">
                  <c:v>6.4805860110755301E-2</c:v>
                </c:pt>
                <c:pt idx="279">
                  <c:v>0.93519413988924505</c:v>
                </c:pt>
                <c:pt idx="280">
                  <c:v>6.4805860110755301E-2</c:v>
                </c:pt>
                <c:pt idx="281">
                  <c:v>0.93519413988924505</c:v>
                </c:pt>
                <c:pt idx="282">
                  <c:v>6.4805860110755301E-2</c:v>
                </c:pt>
                <c:pt idx="283">
                  <c:v>0.93519413988924505</c:v>
                </c:pt>
                <c:pt idx="284">
                  <c:v>6.4805860110755301E-2</c:v>
                </c:pt>
                <c:pt idx="285">
                  <c:v>0.93519413988924505</c:v>
                </c:pt>
                <c:pt idx="286">
                  <c:v>6.4805860110755301E-2</c:v>
                </c:pt>
                <c:pt idx="287">
                  <c:v>0.93519413988924505</c:v>
                </c:pt>
                <c:pt idx="288">
                  <c:v>6.4805860110755301E-2</c:v>
                </c:pt>
                <c:pt idx="289">
                  <c:v>0.93519413988924505</c:v>
                </c:pt>
                <c:pt idx="290">
                  <c:v>6.4805860110755301E-2</c:v>
                </c:pt>
                <c:pt idx="291">
                  <c:v>0.93519413988924505</c:v>
                </c:pt>
                <c:pt idx="292">
                  <c:v>6.4805860110755301E-2</c:v>
                </c:pt>
                <c:pt idx="293">
                  <c:v>0.93519413988924505</c:v>
                </c:pt>
                <c:pt idx="294">
                  <c:v>6.4805860110755301E-2</c:v>
                </c:pt>
                <c:pt idx="295">
                  <c:v>0.93519413988924505</c:v>
                </c:pt>
                <c:pt idx="296">
                  <c:v>6.4805860110755301E-2</c:v>
                </c:pt>
                <c:pt idx="297">
                  <c:v>0.93519413988924505</c:v>
                </c:pt>
                <c:pt idx="298">
                  <c:v>6.4805860110755301E-2</c:v>
                </c:pt>
                <c:pt idx="299">
                  <c:v>0.93519413988924505</c:v>
                </c:pt>
                <c:pt idx="300">
                  <c:v>6.4805860110755301E-2</c:v>
                </c:pt>
                <c:pt idx="301">
                  <c:v>0.93519413988924505</c:v>
                </c:pt>
                <c:pt idx="302">
                  <c:v>6.4805860110755301E-2</c:v>
                </c:pt>
                <c:pt idx="303">
                  <c:v>0.93519413988924505</c:v>
                </c:pt>
                <c:pt idx="304">
                  <c:v>6.4805860110755301E-2</c:v>
                </c:pt>
                <c:pt idx="305">
                  <c:v>0.93519413988924505</c:v>
                </c:pt>
                <c:pt idx="306">
                  <c:v>6.4805860110755301E-2</c:v>
                </c:pt>
                <c:pt idx="307">
                  <c:v>0.93519413988924505</c:v>
                </c:pt>
                <c:pt idx="308">
                  <c:v>6.4805860110755301E-2</c:v>
                </c:pt>
                <c:pt idx="309">
                  <c:v>0.93519413988924505</c:v>
                </c:pt>
                <c:pt idx="310">
                  <c:v>6.4805860110755301E-2</c:v>
                </c:pt>
                <c:pt idx="311">
                  <c:v>0.93519413988924505</c:v>
                </c:pt>
                <c:pt idx="312">
                  <c:v>6.4805860110755301E-2</c:v>
                </c:pt>
                <c:pt idx="313">
                  <c:v>0.93519413988924505</c:v>
                </c:pt>
                <c:pt idx="314">
                  <c:v>6.4805860110755301E-2</c:v>
                </c:pt>
                <c:pt idx="315">
                  <c:v>0.93519413988924505</c:v>
                </c:pt>
                <c:pt idx="316">
                  <c:v>6.4805860110755301E-2</c:v>
                </c:pt>
                <c:pt idx="317">
                  <c:v>0.93519413988924505</c:v>
                </c:pt>
                <c:pt idx="318">
                  <c:v>6.4805860110755301E-2</c:v>
                </c:pt>
                <c:pt idx="319">
                  <c:v>0.93519413988924505</c:v>
                </c:pt>
                <c:pt idx="320">
                  <c:v>6.4805860110755301E-2</c:v>
                </c:pt>
                <c:pt idx="321">
                  <c:v>0.93519413988924505</c:v>
                </c:pt>
                <c:pt idx="322">
                  <c:v>6.4805860110755301E-2</c:v>
                </c:pt>
                <c:pt idx="323">
                  <c:v>0.93519413988924505</c:v>
                </c:pt>
                <c:pt idx="324">
                  <c:v>6.4805860110755301E-2</c:v>
                </c:pt>
                <c:pt idx="325">
                  <c:v>0.93519413988924505</c:v>
                </c:pt>
                <c:pt idx="326">
                  <c:v>6.4805860110755301E-2</c:v>
                </c:pt>
                <c:pt idx="327">
                  <c:v>0.93519413988924505</c:v>
                </c:pt>
                <c:pt idx="328">
                  <c:v>6.4805860110755301E-2</c:v>
                </c:pt>
                <c:pt idx="329">
                  <c:v>0.93519413988924505</c:v>
                </c:pt>
                <c:pt idx="330">
                  <c:v>6.4805860110755301E-2</c:v>
                </c:pt>
                <c:pt idx="331">
                  <c:v>0.93519413988924505</c:v>
                </c:pt>
                <c:pt idx="332">
                  <c:v>6.4805860110755301E-2</c:v>
                </c:pt>
                <c:pt idx="333">
                  <c:v>0.93519413988924505</c:v>
                </c:pt>
                <c:pt idx="334">
                  <c:v>6.4805860110755301E-2</c:v>
                </c:pt>
                <c:pt idx="335">
                  <c:v>0.93519413988924505</c:v>
                </c:pt>
                <c:pt idx="336">
                  <c:v>6.4805860110755301E-2</c:v>
                </c:pt>
                <c:pt idx="337">
                  <c:v>0.93519413988924505</c:v>
                </c:pt>
                <c:pt idx="338">
                  <c:v>6.4805860110755301E-2</c:v>
                </c:pt>
                <c:pt idx="339">
                  <c:v>0.93519413988924505</c:v>
                </c:pt>
                <c:pt idx="340">
                  <c:v>6.4805860110755301E-2</c:v>
                </c:pt>
                <c:pt idx="341">
                  <c:v>0.93519413988924505</c:v>
                </c:pt>
                <c:pt idx="342">
                  <c:v>6.4805860110755301E-2</c:v>
                </c:pt>
                <c:pt idx="343">
                  <c:v>0.93519413988924505</c:v>
                </c:pt>
                <c:pt idx="344">
                  <c:v>6.4805860110755301E-2</c:v>
                </c:pt>
                <c:pt idx="345">
                  <c:v>0.93519413988924505</c:v>
                </c:pt>
                <c:pt idx="346">
                  <c:v>6.4805860110755301E-2</c:v>
                </c:pt>
                <c:pt idx="347">
                  <c:v>0.93519413988924505</c:v>
                </c:pt>
                <c:pt idx="348">
                  <c:v>6.4805860110755301E-2</c:v>
                </c:pt>
                <c:pt idx="349">
                  <c:v>0.93519413988924505</c:v>
                </c:pt>
                <c:pt idx="350">
                  <c:v>6.4805860110755301E-2</c:v>
                </c:pt>
                <c:pt idx="351">
                  <c:v>0.93519413988924505</c:v>
                </c:pt>
                <c:pt idx="352">
                  <c:v>6.4805860110755301E-2</c:v>
                </c:pt>
                <c:pt idx="353">
                  <c:v>0.93519413988924505</c:v>
                </c:pt>
                <c:pt idx="354">
                  <c:v>6.4805860110755301E-2</c:v>
                </c:pt>
                <c:pt idx="355">
                  <c:v>0.93519413988924505</c:v>
                </c:pt>
                <c:pt idx="356">
                  <c:v>6.4805860110755301E-2</c:v>
                </c:pt>
                <c:pt idx="357">
                  <c:v>0.93519413988924505</c:v>
                </c:pt>
                <c:pt idx="358">
                  <c:v>6.4805860110755301E-2</c:v>
                </c:pt>
                <c:pt idx="359">
                  <c:v>0.93519413988924505</c:v>
                </c:pt>
                <c:pt idx="360">
                  <c:v>6.4805860110755301E-2</c:v>
                </c:pt>
                <c:pt idx="361">
                  <c:v>0.93519413988924505</c:v>
                </c:pt>
                <c:pt idx="362">
                  <c:v>6.4805860110755301E-2</c:v>
                </c:pt>
                <c:pt idx="363">
                  <c:v>0.93519413988924505</c:v>
                </c:pt>
                <c:pt idx="364">
                  <c:v>6.4805860110755301E-2</c:v>
                </c:pt>
                <c:pt idx="365">
                  <c:v>0.93519413988924505</c:v>
                </c:pt>
                <c:pt idx="366">
                  <c:v>6.4805860110755301E-2</c:v>
                </c:pt>
                <c:pt idx="367">
                  <c:v>0.93519413988924505</c:v>
                </c:pt>
                <c:pt idx="368">
                  <c:v>6.4805860110755301E-2</c:v>
                </c:pt>
                <c:pt idx="369">
                  <c:v>0.93519413988924505</c:v>
                </c:pt>
                <c:pt idx="370">
                  <c:v>6.4805860110755301E-2</c:v>
                </c:pt>
                <c:pt idx="371">
                  <c:v>0.93519413988924505</c:v>
                </c:pt>
                <c:pt idx="372">
                  <c:v>6.4805860110755301E-2</c:v>
                </c:pt>
                <c:pt idx="373">
                  <c:v>0.93519413988924505</c:v>
                </c:pt>
                <c:pt idx="374">
                  <c:v>6.4805860110755301E-2</c:v>
                </c:pt>
                <c:pt idx="375">
                  <c:v>0.93519413988924505</c:v>
                </c:pt>
                <c:pt idx="376">
                  <c:v>6.4805860110755301E-2</c:v>
                </c:pt>
                <c:pt idx="377">
                  <c:v>0.93519413988924505</c:v>
                </c:pt>
                <c:pt idx="378">
                  <c:v>6.4805860110755301E-2</c:v>
                </c:pt>
                <c:pt idx="379">
                  <c:v>0.93519413988924505</c:v>
                </c:pt>
                <c:pt idx="380">
                  <c:v>6.4805860110755301E-2</c:v>
                </c:pt>
                <c:pt idx="381">
                  <c:v>0.93519413988924505</c:v>
                </c:pt>
                <c:pt idx="382">
                  <c:v>6.4805860110755301E-2</c:v>
                </c:pt>
                <c:pt idx="383">
                  <c:v>0.93519413988924505</c:v>
                </c:pt>
                <c:pt idx="384">
                  <c:v>6.4805860110755301E-2</c:v>
                </c:pt>
                <c:pt idx="385">
                  <c:v>0.93519413988924505</c:v>
                </c:pt>
                <c:pt idx="386">
                  <c:v>6.4805860110755301E-2</c:v>
                </c:pt>
                <c:pt idx="387">
                  <c:v>0.93519413988924505</c:v>
                </c:pt>
                <c:pt idx="388">
                  <c:v>6.4805860110755301E-2</c:v>
                </c:pt>
                <c:pt idx="389">
                  <c:v>0.93519413988924505</c:v>
                </c:pt>
                <c:pt idx="390">
                  <c:v>6.4805860110755301E-2</c:v>
                </c:pt>
                <c:pt idx="391">
                  <c:v>0.93519413988924505</c:v>
                </c:pt>
                <c:pt idx="392">
                  <c:v>6.4805860110755301E-2</c:v>
                </c:pt>
                <c:pt idx="393">
                  <c:v>0.93519413988924505</c:v>
                </c:pt>
                <c:pt idx="394">
                  <c:v>6.4805860110755301E-2</c:v>
                </c:pt>
                <c:pt idx="395">
                  <c:v>0.93519413988924505</c:v>
                </c:pt>
                <c:pt idx="396">
                  <c:v>6.4805860110755301E-2</c:v>
                </c:pt>
                <c:pt idx="397">
                  <c:v>0.93519413988924505</c:v>
                </c:pt>
                <c:pt idx="398">
                  <c:v>6.4805860110755301E-2</c:v>
                </c:pt>
                <c:pt idx="399">
                  <c:v>0.93519413988924505</c:v>
                </c:pt>
                <c:pt idx="400">
                  <c:v>6.4805860110755301E-2</c:v>
                </c:pt>
                <c:pt idx="401">
                  <c:v>0.93519413988924505</c:v>
                </c:pt>
                <c:pt idx="402">
                  <c:v>6.4805860110755301E-2</c:v>
                </c:pt>
                <c:pt idx="403">
                  <c:v>0.93519413988924505</c:v>
                </c:pt>
                <c:pt idx="404">
                  <c:v>6.4805860110755301E-2</c:v>
                </c:pt>
                <c:pt idx="405">
                  <c:v>0.93519413988924505</c:v>
                </c:pt>
                <c:pt idx="406">
                  <c:v>6.4805860110755301E-2</c:v>
                </c:pt>
                <c:pt idx="407">
                  <c:v>0.93519413988924505</c:v>
                </c:pt>
                <c:pt idx="408">
                  <c:v>6.4805860110755301E-2</c:v>
                </c:pt>
                <c:pt idx="409">
                  <c:v>0.93519413988924505</c:v>
                </c:pt>
                <c:pt idx="410">
                  <c:v>6.4805860110755301E-2</c:v>
                </c:pt>
                <c:pt idx="411">
                  <c:v>0.93519413988924505</c:v>
                </c:pt>
                <c:pt idx="412">
                  <c:v>6.4805860110755301E-2</c:v>
                </c:pt>
                <c:pt idx="413">
                  <c:v>0.93519413988924505</c:v>
                </c:pt>
                <c:pt idx="414">
                  <c:v>6.4805860110755301E-2</c:v>
                </c:pt>
                <c:pt idx="415">
                  <c:v>0.93519413988924505</c:v>
                </c:pt>
                <c:pt idx="416">
                  <c:v>6.4805860110755301E-2</c:v>
                </c:pt>
                <c:pt idx="417">
                  <c:v>0.93519413988924505</c:v>
                </c:pt>
                <c:pt idx="418">
                  <c:v>6.4805860110755301E-2</c:v>
                </c:pt>
                <c:pt idx="419">
                  <c:v>0.93519413988924505</c:v>
                </c:pt>
                <c:pt idx="420">
                  <c:v>6.4805860110755301E-2</c:v>
                </c:pt>
                <c:pt idx="421">
                  <c:v>0.93519413988924505</c:v>
                </c:pt>
                <c:pt idx="422">
                  <c:v>6.4805860110755301E-2</c:v>
                </c:pt>
                <c:pt idx="423">
                  <c:v>0.93519413988924505</c:v>
                </c:pt>
                <c:pt idx="424">
                  <c:v>6.4805860110755301E-2</c:v>
                </c:pt>
                <c:pt idx="425">
                  <c:v>0.93519413988924505</c:v>
                </c:pt>
                <c:pt idx="426">
                  <c:v>6.4805860110755301E-2</c:v>
                </c:pt>
                <c:pt idx="427">
                  <c:v>0.93519413988924505</c:v>
                </c:pt>
                <c:pt idx="428">
                  <c:v>6.4805860110755301E-2</c:v>
                </c:pt>
                <c:pt idx="429">
                  <c:v>0.93519413988924505</c:v>
                </c:pt>
                <c:pt idx="430">
                  <c:v>6.4805860110755301E-2</c:v>
                </c:pt>
                <c:pt idx="431">
                  <c:v>0.93519413988924505</c:v>
                </c:pt>
                <c:pt idx="432">
                  <c:v>6.4805860110755301E-2</c:v>
                </c:pt>
                <c:pt idx="433">
                  <c:v>0.93519413988924505</c:v>
                </c:pt>
                <c:pt idx="434">
                  <c:v>6.4805860110755301E-2</c:v>
                </c:pt>
                <c:pt idx="435">
                  <c:v>0.93519413988924505</c:v>
                </c:pt>
                <c:pt idx="436">
                  <c:v>6.4805860110755301E-2</c:v>
                </c:pt>
                <c:pt idx="437">
                  <c:v>0.93519413988924505</c:v>
                </c:pt>
                <c:pt idx="438">
                  <c:v>6.4805860110755301E-2</c:v>
                </c:pt>
                <c:pt idx="439">
                  <c:v>0.93519413988924505</c:v>
                </c:pt>
                <c:pt idx="440">
                  <c:v>6.4805860110755301E-2</c:v>
                </c:pt>
                <c:pt idx="441">
                  <c:v>0.93519413988924505</c:v>
                </c:pt>
                <c:pt idx="442">
                  <c:v>6.4805860110755301E-2</c:v>
                </c:pt>
                <c:pt idx="443">
                  <c:v>0.93519413988924505</c:v>
                </c:pt>
                <c:pt idx="444">
                  <c:v>6.4805860110755301E-2</c:v>
                </c:pt>
                <c:pt idx="445">
                  <c:v>0.93519413988924505</c:v>
                </c:pt>
                <c:pt idx="446">
                  <c:v>6.4805860110755301E-2</c:v>
                </c:pt>
                <c:pt idx="447">
                  <c:v>0.93519413988924505</c:v>
                </c:pt>
                <c:pt idx="448">
                  <c:v>6.4805860110755301E-2</c:v>
                </c:pt>
                <c:pt idx="449">
                  <c:v>0.93519413988924505</c:v>
                </c:pt>
                <c:pt idx="450">
                  <c:v>6.4805860110755301E-2</c:v>
                </c:pt>
                <c:pt idx="451">
                  <c:v>0.93519413988924505</c:v>
                </c:pt>
                <c:pt idx="452">
                  <c:v>6.4805860110755301E-2</c:v>
                </c:pt>
                <c:pt idx="453">
                  <c:v>0.93519413988924505</c:v>
                </c:pt>
                <c:pt idx="454">
                  <c:v>6.4805860110755301E-2</c:v>
                </c:pt>
                <c:pt idx="455">
                  <c:v>0.93519413988924505</c:v>
                </c:pt>
                <c:pt idx="456">
                  <c:v>6.4805860110755301E-2</c:v>
                </c:pt>
                <c:pt idx="457">
                  <c:v>0.93519413988924505</c:v>
                </c:pt>
                <c:pt idx="458">
                  <c:v>6.4805860110755301E-2</c:v>
                </c:pt>
                <c:pt idx="459">
                  <c:v>0.93519413988924505</c:v>
                </c:pt>
                <c:pt idx="460">
                  <c:v>6.4805860110755301E-2</c:v>
                </c:pt>
                <c:pt idx="461">
                  <c:v>0.93519413988924505</c:v>
                </c:pt>
                <c:pt idx="462">
                  <c:v>6.4805860110755301E-2</c:v>
                </c:pt>
                <c:pt idx="463">
                  <c:v>0.93519413988924505</c:v>
                </c:pt>
                <c:pt idx="464">
                  <c:v>6.4805860110755301E-2</c:v>
                </c:pt>
                <c:pt idx="465">
                  <c:v>0.93519413988924505</c:v>
                </c:pt>
                <c:pt idx="466">
                  <c:v>6.4805860110755301E-2</c:v>
                </c:pt>
                <c:pt idx="467">
                  <c:v>0.93519413988924505</c:v>
                </c:pt>
                <c:pt idx="468">
                  <c:v>6.4805860110755301E-2</c:v>
                </c:pt>
                <c:pt idx="469">
                  <c:v>0.93519413988924505</c:v>
                </c:pt>
                <c:pt idx="470">
                  <c:v>6.4805860110755301E-2</c:v>
                </c:pt>
                <c:pt idx="471">
                  <c:v>0.93519413988924505</c:v>
                </c:pt>
                <c:pt idx="472">
                  <c:v>6.4805860110755301E-2</c:v>
                </c:pt>
                <c:pt idx="473">
                  <c:v>0.93519413988924505</c:v>
                </c:pt>
                <c:pt idx="474">
                  <c:v>6.4805860110755301E-2</c:v>
                </c:pt>
                <c:pt idx="475">
                  <c:v>0.93519413988924505</c:v>
                </c:pt>
                <c:pt idx="476">
                  <c:v>6.4805860110755301E-2</c:v>
                </c:pt>
                <c:pt idx="477">
                  <c:v>0.93519413988924505</c:v>
                </c:pt>
                <c:pt idx="478">
                  <c:v>6.4805860110755301E-2</c:v>
                </c:pt>
                <c:pt idx="479">
                  <c:v>0.93519413988924505</c:v>
                </c:pt>
                <c:pt idx="480">
                  <c:v>6.4805860110755301E-2</c:v>
                </c:pt>
                <c:pt idx="481">
                  <c:v>0.93519413988924505</c:v>
                </c:pt>
                <c:pt idx="482">
                  <c:v>6.4805860110755301E-2</c:v>
                </c:pt>
                <c:pt idx="483">
                  <c:v>0.93519413988924505</c:v>
                </c:pt>
                <c:pt idx="484">
                  <c:v>6.4805860110755301E-2</c:v>
                </c:pt>
                <c:pt idx="485">
                  <c:v>0.93519413988924505</c:v>
                </c:pt>
                <c:pt idx="486">
                  <c:v>6.4805860110755301E-2</c:v>
                </c:pt>
                <c:pt idx="487">
                  <c:v>0.93519413988924505</c:v>
                </c:pt>
                <c:pt idx="488">
                  <c:v>6.4805860110755301E-2</c:v>
                </c:pt>
                <c:pt idx="489">
                  <c:v>0.93519413988924505</c:v>
                </c:pt>
                <c:pt idx="490">
                  <c:v>6.4805860110755301E-2</c:v>
                </c:pt>
                <c:pt idx="491">
                  <c:v>0.93519413988924505</c:v>
                </c:pt>
                <c:pt idx="492">
                  <c:v>6.4805860110755301E-2</c:v>
                </c:pt>
                <c:pt idx="493">
                  <c:v>0.93519413988924505</c:v>
                </c:pt>
                <c:pt idx="494">
                  <c:v>6.4805860110755301E-2</c:v>
                </c:pt>
                <c:pt idx="495">
                  <c:v>0.93519413988924505</c:v>
                </c:pt>
                <c:pt idx="496">
                  <c:v>6.4805860110755301E-2</c:v>
                </c:pt>
                <c:pt idx="497">
                  <c:v>0.93519413988924505</c:v>
                </c:pt>
                <c:pt idx="498">
                  <c:v>6.4805860110755301E-2</c:v>
                </c:pt>
                <c:pt idx="499">
                  <c:v>0.93519413988924505</c:v>
                </c:pt>
                <c:pt idx="500">
                  <c:v>6.4805860110755301E-2</c:v>
                </c:pt>
                <c:pt idx="501">
                  <c:v>0.93519413988924505</c:v>
                </c:pt>
                <c:pt idx="502">
                  <c:v>6.4805860110755301E-2</c:v>
                </c:pt>
                <c:pt idx="503">
                  <c:v>0.93519413988924505</c:v>
                </c:pt>
                <c:pt idx="504">
                  <c:v>6.4805860110755301E-2</c:v>
                </c:pt>
                <c:pt idx="505">
                  <c:v>0.93519413988924505</c:v>
                </c:pt>
                <c:pt idx="506">
                  <c:v>6.4805860110755301E-2</c:v>
                </c:pt>
                <c:pt idx="507">
                  <c:v>0.93519413988924505</c:v>
                </c:pt>
                <c:pt idx="508">
                  <c:v>6.4805860110755301E-2</c:v>
                </c:pt>
                <c:pt idx="509">
                  <c:v>0.93519413988924505</c:v>
                </c:pt>
                <c:pt idx="510">
                  <c:v>6.4805860110755301E-2</c:v>
                </c:pt>
                <c:pt idx="511">
                  <c:v>0.93519413988924505</c:v>
                </c:pt>
                <c:pt idx="512">
                  <c:v>6.4805860110755301E-2</c:v>
                </c:pt>
                <c:pt idx="513">
                  <c:v>0.93519413988924505</c:v>
                </c:pt>
                <c:pt idx="514">
                  <c:v>6.4805860110755301E-2</c:v>
                </c:pt>
                <c:pt idx="515">
                  <c:v>0.93519413988924505</c:v>
                </c:pt>
                <c:pt idx="516">
                  <c:v>6.4805860110755301E-2</c:v>
                </c:pt>
                <c:pt idx="517">
                  <c:v>0.93519413988924505</c:v>
                </c:pt>
                <c:pt idx="518">
                  <c:v>6.4805860110755301E-2</c:v>
                </c:pt>
                <c:pt idx="519">
                  <c:v>0.93519413988924505</c:v>
                </c:pt>
                <c:pt idx="520">
                  <c:v>6.4805860110755301E-2</c:v>
                </c:pt>
                <c:pt idx="521">
                  <c:v>0.93519413988924505</c:v>
                </c:pt>
                <c:pt idx="522">
                  <c:v>6.4805860110755301E-2</c:v>
                </c:pt>
                <c:pt idx="523">
                  <c:v>0.93519413988924505</c:v>
                </c:pt>
                <c:pt idx="524">
                  <c:v>6.4805860110755301E-2</c:v>
                </c:pt>
                <c:pt idx="525">
                  <c:v>0.93519413988924505</c:v>
                </c:pt>
                <c:pt idx="526">
                  <c:v>6.4805860110755301E-2</c:v>
                </c:pt>
                <c:pt idx="527">
                  <c:v>0.93519413988924505</c:v>
                </c:pt>
                <c:pt idx="528">
                  <c:v>6.4805860110755301E-2</c:v>
                </c:pt>
                <c:pt idx="529">
                  <c:v>0.93519413988924505</c:v>
                </c:pt>
                <c:pt idx="530">
                  <c:v>6.4805860110755301E-2</c:v>
                </c:pt>
                <c:pt idx="531">
                  <c:v>0.93519413988924505</c:v>
                </c:pt>
                <c:pt idx="532">
                  <c:v>6.4805860110755301E-2</c:v>
                </c:pt>
                <c:pt idx="533">
                  <c:v>0.93519413988924505</c:v>
                </c:pt>
                <c:pt idx="534">
                  <c:v>6.4805860110755301E-2</c:v>
                </c:pt>
                <c:pt idx="535">
                  <c:v>0.93519413988924505</c:v>
                </c:pt>
                <c:pt idx="536">
                  <c:v>6.4805860110755301E-2</c:v>
                </c:pt>
                <c:pt idx="537">
                  <c:v>0.93519413988924505</c:v>
                </c:pt>
                <c:pt idx="538">
                  <c:v>6.4805860110755301E-2</c:v>
                </c:pt>
                <c:pt idx="539">
                  <c:v>0.93519413988924505</c:v>
                </c:pt>
                <c:pt idx="540">
                  <c:v>6.4805860110755301E-2</c:v>
                </c:pt>
                <c:pt idx="541">
                  <c:v>0.93519413988924505</c:v>
                </c:pt>
                <c:pt idx="542">
                  <c:v>6.4805860110755301E-2</c:v>
                </c:pt>
                <c:pt idx="543">
                  <c:v>0.93519413988924505</c:v>
                </c:pt>
                <c:pt idx="544">
                  <c:v>6.4805860110755301E-2</c:v>
                </c:pt>
                <c:pt idx="545">
                  <c:v>0.93519413988924505</c:v>
                </c:pt>
                <c:pt idx="546">
                  <c:v>6.4805860110755301E-2</c:v>
                </c:pt>
                <c:pt idx="547">
                  <c:v>0.93519413988924505</c:v>
                </c:pt>
                <c:pt idx="548">
                  <c:v>6.4805860110755301E-2</c:v>
                </c:pt>
                <c:pt idx="549">
                  <c:v>0.93519413988924505</c:v>
                </c:pt>
                <c:pt idx="550">
                  <c:v>6.4805860110755301E-2</c:v>
                </c:pt>
                <c:pt idx="551">
                  <c:v>0.93519413988924505</c:v>
                </c:pt>
                <c:pt idx="552">
                  <c:v>6.4805860110755301E-2</c:v>
                </c:pt>
                <c:pt idx="553">
                  <c:v>0.93519413988924505</c:v>
                </c:pt>
                <c:pt idx="554">
                  <c:v>6.4805860110755301E-2</c:v>
                </c:pt>
                <c:pt idx="555">
                  <c:v>0.93519413988924505</c:v>
                </c:pt>
                <c:pt idx="556">
                  <c:v>6.4805860110755301E-2</c:v>
                </c:pt>
                <c:pt idx="557">
                  <c:v>0.93519413988924505</c:v>
                </c:pt>
                <c:pt idx="558">
                  <c:v>6.4805860110755301E-2</c:v>
                </c:pt>
                <c:pt idx="559">
                  <c:v>0.93519413988924505</c:v>
                </c:pt>
                <c:pt idx="560">
                  <c:v>6.4805860110755301E-2</c:v>
                </c:pt>
                <c:pt idx="561">
                  <c:v>0.93519413988924505</c:v>
                </c:pt>
                <c:pt idx="562">
                  <c:v>6.4805860110755301E-2</c:v>
                </c:pt>
                <c:pt idx="563">
                  <c:v>0.93519413988924505</c:v>
                </c:pt>
                <c:pt idx="564">
                  <c:v>6.4805860110755301E-2</c:v>
                </c:pt>
                <c:pt idx="565">
                  <c:v>0.93519413988924505</c:v>
                </c:pt>
                <c:pt idx="566">
                  <c:v>6.4805860110755301E-2</c:v>
                </c:pt>
                <c:pt idx="567">
                  <c:v>0.93519413988924505</c:v>
                </c:pt>
                <c:pt idx="568">
                  <c:v>6.4805860110755301E-2</c:v>
                </c:pt>
                <c:pt idx="569">
                  <c:v>0.93519413988924505</c:v>
                </c:pt>
                <c:pt idx="570">
                  <c:v>6.4805860110755301E-2</c:v>
                </c:pt>
                <c:pt idx="571">
                  <c:v>0.93519413988924505</c:v>
                </c:pt>
                <c:pt idx="572">
                  <c:v>6.4805860110755301E-2</c:v>
                </c:pt>
                <c:pt idx="573">
                  <c:v>0.93519413988924505</c:v>
                </c:pt>
                <c:pt idx="574">
                  <c:v>6.4805860110755301E-2</c:v>
                </c:pt>
                <c:pt idx="575">
                  <c:v>0.93519413988924505</c:v>
                </c:pt>
                <c:pt idx="576">
                  <c:v>6.4805860110755301E-2</c:v>
                </c:pt>
                <c:pt idx="577">
                  <c:v>0.93519413988924505</c:v>
                </c:pt>
                <c:pt idx="578">
                  <c:v>6.4805860110755301E-2</c:v>
                </c:pt>
                <c:pt idx="579">
                  <c:v>0.93519413988924505</c:v>
                </c:pt>
                <c:pt idx="580">
                  <c:v>6.4805860110755301E-2</c:v>
                </c:pt>
                <c:pt idx="581">
                  <c:v>0.93519413988924505</c:v>
                </c:pt>
                <c:pt idx="582">
                  <c:v>6.4805860110755301E-2</c:v>
                </c:pt>
                <c:pt idx="583">
                  <c:v>0.93519413988924505</c:v>
                </c:pt>
                <c:pt idx="584">
                  <c:v>6.4805860110755301E-2</c:v>
                </c:pt>
                <c:pt idx="585">
                  <c:v>0.93519413988924505</c:v>
                </c:pt>
                <c:pt idx="586">
                  <c:v>6.4805860110755301E-2</c:v>
                </c:pt>
                <c:pt idx="587">
                  <c:v>0.93519413988924505</c:v>
                </c:pt>
                <c:pt idx="588">
                  <c:v>6.4805860110755301E-2</c:v>
                </c:pt>
                <c:pt idx="589">
                  <c:v>0.93519413988924505</c:v>
                </c:pt>
                <c:pt idx="590">
                  <c:v>6.4805860110755301E-2</c:v>
                </c:pt>
                <c:pt idx="591">
                  <c:v>0.93519413988924505</c:v>
                </c:pt>
                <c:pt idx="592">
                  <c:v>6.4805860110755301E-2</c:v>
                </c:pt>
                <c:pt idx="593">
                  <c:v>0.93519413988924505</c:v>
                </c:pt>
                <c:pt idx="594">
                  <c:v>6.4805860110755301E-2</c:v>
                </c:pt>
                <c:pt idx="595">
                  <c:v>0.93519413988924505</c:v>
                </c:pt>
                <c:pt idx="596">
                  <c:v>6.4805860110755301E-2</c:v>
                </c:pt>
                <c:pt idx="597">
                  <c:v>0.93519413988924505</c:v>
                </c:pt>
                <c:pt idx="598">
                  <c:v>6.4805860110755301E-2</c:v>
                </c:pt>
                <c:pt idx="599">
                  <c:v>0.93519413988924505</c:v>
                </c:pt>
                <c:pt idx="600">
                  <c:v>6.4805860110755301E-2</c:v>
                </c:pt>
                <c:pt idx="601">
                  <c:v>0.93519413988924505</c:v>
                </c:pt>
                <c:pt idx="602">
                  <c:v>6.4805860110755301E-2</c:v>
                </c:pt>
                <c:pt idx="603">
                  <c:v>0.93519413988924505</c:v>
                </c:pt>
                <c:pt idx="604">
                  <c:v>6.4805860110755301E-2</c:v>
                </c:pt>
                <c:pt idx="605">
                  <c:v>0.93519413988924505</c:v>
                </c:pt>
                <c:pt idx="606">
                  <c:v>6.4805860110755301E-2</c:v>
                </c:pt>
                <c:pt idx="607">
                  <c:v>0.93519413988924505</c:v>
                </c:pt>
                <c:pt idx="608">
                  <c:v>6.4805860110755301E-2</c:v>
                </c:pt>
                <c:pt idx="609">
                  <c:v>0.93519413988924505</c:v>
                </c:pt>
                <c:pt idx="610">
                  <c:v>6.4805860110755301E-2</c:v>
                </c:pt>
                <c:pt idx="611">
                  <c:v>0.93519413988924505</c:v>
                </c:pt>
                <c:pt idx="612">
                  <c:v>6.4805860110755301E-2</c:v>
                </c:pt>
                <c:pt idx="613">
                  <c:v>0.93519413988924505</c:v>
                </c:pt>
                <c:pt idx="614">
                  <c:v>6.4805860110755301E-2</c:v>
                </c:pt>
                <c:pt idx="615">
                  <c:v>0.93519413988924505</c:v>
                </c:pt>
                <c:pt idx="616">
                  <c:v>6.4805860110755301E-2</c:v>
                </c:pt>
                <c:pt idx="617">
                  <c:v>0.93519413988924505</c:v>
                </c:pt>
                <c:pt idx="618">
                  <c:v>6.4805860110755301E-2</c:v>
                </c:pt>
                <c:pt idx="619">
                  <c:v>0.93519413988924505</c:v>
                </c:pt>
                <c:pt idx="620">
                  <c:v>6.4805860110755301E-2</c:v>
                </c:pt>
                <c:pt idx="621">
                  <c:v>0.93519413988924505</c:v>
                </c:pt>
                <c:pt idx="622">
                  <c:v>6.4805860110755301E-2</c:v>
                </c:pt>
                <c:pt idx="623">
                  <c:v>0.93519413988924505</c:v>
                </c:pt>
                <c:pt idx="624">
                  <c:v>6.4805860110755301E-2</c:v>
                </c:pt>
                <c:pt idx="625">
                  <c:v>0.93519413988924505</c:v>
                </c:pt>
                <c:pt idx="626">
                  <c:v>6.4805860110755301E-2</c:v>
                </c:pt>
                <c:pt idx="627">
                  <c:v>0.93519413988924505</c:v>
                </c:pt>
                <c:pt idx="628">
                  <c:v>6.4805860110755301E-2</c:v>
                </c:pt>
                <c:pt idx="629">
                  <c:v>0.93519413988924505</c:v>
                </c:pt>
                <c:pt idx="630">
                  <c:v>6.4805860110755301E-2</c:v>
                </c:pt>
                <c:pt idx="631">
                  <c:v>0.93519413988924505</c:v>
                </c:pt>
                <c:pt idx="632">
                  <c:v>6.4805860110755301E-2</c:v>
                </c:pt>
                <c:pt idx="633">
                  <c:v>0.93519413988924505</c:v>
                </c:pt>
                <c:pt idx="634">
                  <c:v>6.4805860110755301E-2</c:v>
                </c:pt>
                <c:pt idx="635">
                  <c:v>0.93519413988924505</c:v>
                </c:pt>
                <c:pt idx="636">
                  <c:v>6.4805860110755301E-2</c:v>
                </c:pt>
                <c:pt idx="637">
                  <c:v>0.93519413988924505</c:v>
                </c:pt>
                <c:pt idx="638">
                  <c:v>6.4805860110755301E-2</c:v>
                </c:pt>
                <c:pt idx="639">
                  <c:v>0.93519413988924505</c:v>
                </c:pt>
                <c:pt idx="640">
                  <c:v>6.4805860110755301E-2</c:v>
                </c:pt>
                <c:pt idx="641">
                  <c:v>0.93519413988924505</c:v>
                </c:pt>
                <c:pt idx="642">
                  <c:v>6.4805860110755301E-2</c:v>
                </c:pt>
                <c:pt idx="643">
                  <c:v>0.93519413988924505</c:v>
                </c:pt>
                <c:pt idx="644">
                  <c:v>6.4805860110755301E-2</c:v>
                </c:pt>
                <c:pt idx="645">
                  <c:v>0.93519413988924505</c:v>
                </c:pt>
                <c:pt idx="646">
                  <c:v>6.4805860110755301E-2</c:v>
                </c:pt>
                <c:pt idx="647">
                  <c:v>0.93519413988924505</c:v>
                </c:pt>
                <c:pt idx="648">
                  <c:v>6.4805860110755301E-2</c:v>
                </c:pt>
                <c:pt idx="649">
                  <c:v>0.93519413988924505</c:v>
                </c:pt>
                <c:pt idx="650">
                  <c:v>6.4805860110755301E-2</c:v>
                </c:pt>
                <c:pt idx="651">
                  <c:v>0.93519413988924505</c:v>
                </c:pt>
                <c:pt idx="652">
                  <c:v>6.4805860110755301E-2</c:v>
                </c:pt>
                <c:pt idx="653">
                  <c:v>0.93519413988924505</c:v>
                </c:pt>
                <c:pt idx="654">
                  <c:v>6.4805860110755301E-2</c:v>
                </c:pt>
                <c:pt idx="655">
                  <c:v>0.93519413988924505</c:v>
                </c:pt>
                <c:pt idx="656">
                  <c:v>6.4805860110755301E-2</c:v>
                </c:pt>
                <c:pt idx="657">
                  <c:v>0.93519413988924505</c:v>
                </c:pt>
                <c:pt idx="658">
                  <c:v>6.4805860110755301E-2</c:v>
                </c:pt>
                <c:pt idx="659">
                  <c:v>0.93519413988924505</c:v>
                </c:pt>
                <c:pt idx="660">
                  <c:v>6.4805860110755301E-2</c:v>
                </c:pt>
                <c:pt idx="661">
                  <c:v>0.93519413988924505</c:v>
                </c:pt>
                <c:pt idx="662">
                  <c:v>6.4805860110755301E-2</c:v>
                </c:pt>
                <c:pt idx="663">
                  <c:v>0.93519413988924505</c:v>
                </c:pt>
                <c:pt idx="664">
                  <c:v>6.4805860110755301E-2</c:v>
                </c:pt>
                <c:pt idx="665">
                  <c:v>0.93519413988924505</c:v>
                </c:pt>
                <c:pt idx="666">
                  <c:v>6.4805860110755301E-2</c:v>
                </c:pt>
                <c:pt idx="667">
                  <c:v>0.93519413988924505</c:v>
                </c:pt>
                <c:pt idx="668">
                  <c:v>6.4805860110755301E-2</c:v>
                </c:pt>
                <c:pt idx="669">
                  <c:v>0.93519413988924505</c:v>
                </c:pt>
                <c:pt idx="670">
                  <c:v>6.4805860110755301E-2</c:v>
                </c:pt>
                <c:pt idx="671">
                  <c:v>0.93519413988924505</c:v>
                </c:pt>
                <c:pt idx="672">
                  <c:v>6.4805860110755301E-2</c:v>
                </c:pt>
                <c:pt idx="673">
                  <c:v>0.93519413988924505</c:v>
                </c:pt>
                <c:pt idx="674">
                  <c:v>6.4805860110755301E-2</c:v>
                </c:pt>
                <c:pt idx="675">
                  <c:v>0.93519413988924505</c:v>
                </c:pt>
                <c:pt idx="676">
                  <c:v>6.4805860110755301E-2</c:v>
                </c:pt>
                <c:pt idx="677">
                  <c:v>0.93519413988924505</c:v>
                </c:pt>
                <c:pt idx="678">
                  <c:v>6.4805860110755301E-2</c:v>
                </c:pt>
                <c:pt idx="679">
                  <c:v>0.93519413988924505</c:v>
                </c:pt>
                <c:pt idx="680">
                  <c:v>6.4805860110755301E-2</c:v>
                </c:pt>
                <c:pt idx="681">
                  <c:v>0.93519413988924505</c:v>
                </c:pt>
                <c:pt idx="682">
                  <c:v>6.4805860110755301E-2</c:v>
                </c:pt>
                <c:pt idx="683">
                  <c:v>0.93519413988924505</c:v>
                </c:pt>
                <c:pt idx="684">
                  <c:v>6.4805860110755301E-2</c:v>
                </c:pt>
                <c:pt idx="685">
                  <c:v>0.93519413988924505</c:v>
                </c:pt>
                <c:pt idx="686">
                  <c:v>6.4805860110755301E-2</c:v>
                </c:pt>
                <c:pt idx="687">
                  <c:v>0.93519413988924505</c:v>
                </c:pt>
                <c:pt idx="688">
                  <c:v>6.4805860110755301E-2</c:v>
                </c:pt>
                <c:pt idx="689">
                  <c:v>0.93519413988924505</c:v>
                </c:pt>
                <c:pt idx="690">
                  <c:v>6.4805860110755301E-2</c:v>
                </c:pt>
                <c:pt idx="691">
                  <c:v>0.93519413988924505</c:v>
                </c:pt>
                <c:pt idx="692">
                  <c:v>6.4805860110755301E-2</c:v>
                </c:pt>
                <c:pt idx="693">
                  <c:v>0.93519413988924505</c:v>
                </c:pt>
                <c:pt idx="694">
                  <c:v>6.4805860110755301E-2</c:v>
                </c:pt>
                <c:pt idx="695">
                  <c:v>0.93519413988924505</c:v>
                </c:pt>
                <c:pt idx="696">
                  <c:v>6.4805860110755301E-2</c:v>
                </c:pt>
                <c:pt idx="697">
                  <c:v>0.93519413988924505</c:v>
                </c:pt>
                <c:pt idx="698">
                  <c:v>6.4805860110755301E-2</c:v>
                </c:pt>
                <c:pt idx="699">
                  <c:v>0.93519413988924505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57B-4F18-A070-1087D06E2B5A}"/>
            </c:ext>
          </c:extLst>
        </c:ser>
        <c:ser>
          <c:idx val="6"/>
          <c:order val="6"/>
          <c:tx>
            <c:v/>
          </c:tx>
          <c:spPr>
            <a:ln w="19050">
              <a:noFill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102(138)</a:t>
                    </a:r>
                  </a:p>
                </c:rich>
              </c:tx>
              <c:dLblPos val="ct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D57B-4F18-A070-1087D06E2B5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40</a:t>
                    </a:r>
                  </a:p>
                </c:rich>
              </c:tx>
              <c:dLblPos val="ct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D57B-4F18-A070-1087D06E2B5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36</a:t>
                    </a:r>
                  </a:p>
                </c:rich>
              </c:tx>
              <c:dLblPos val="ct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D57B-4F18-A070-1087D06E2B5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125(165)</a:t>
                    </a:r>
                  </a:p>
                </c:rich>
              </c:tx>
              <c:dLblPos val="ct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D57B-4F18-A070-1087D06E2B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rgbClr val="FFFFFF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4"/>
              <c:pt idx="0">
                <c:v>0.5</c:v>
              </c:pt>
              <c:pt idx="1">
                <c:v>0.5</c:v>
              </c:pt>
              <c:pt idx="2">
                <c:v>1.5</c:v>
              </c:pt>
              <c:pt idx="3">
                <c:v>1.5</c:v>
              </c:pt>
            </c:numLit>
          </c:xVal>
          <c:yVal>
            <c:numLit>
              <c:formatCode>General</c:formatCode>
              <c:ptCount val="4"/>
              <c:pt idx="0">
                <c:v>1.5</c:v>
              </c:pt>
              <c:pt idx="1">
                <c:v>0.5</c:v>
              </c:pt>
              <c:pt idx="2">
                <c:v>1.5</c:v>
              </c:pt>
              <c:pt idx="3">
                <c:v>0.5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D57B-4F18-A070-1087D06E2B5A}"/>
            </c:ext>
          </c:extLst>
        </c:ser>
        <c:ser>
          <c:idx val="7"/>
          <c:order val="7"/>
          <c:tx>
            <c:v/>
          </c:tx>
          <c:spPr>
            <a:ln w="19050">
              <a:noFill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D57B-4F18-A070-1087D06E2B5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D57B-4F18-A070-1087D06E2B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2"/>
              <c:pt idx="0">
                <c:v>0.5</c:v>
              </c:pt>
              <c:pt idx="1">
                <c:v>1.5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B-D57B-4F18-A070-1087D06E2B5A}"/>
            </c:ext>
          </c:extLst>
        </c:ser>
        <c:ser>
          <c:idx val="8"/>
          <c:order val="8"/>
          <c:tx>
            <c:v/>
          </c:tx>
          <c:spPr>
            <a:ln w="19050">
              <a:noFill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dLblPos val="l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D57B-4F18-A070-1087D06E2B5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dLblPos val="l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D57B-4F18-A070-1087D06E2B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l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xVal>
          <c:yVal>
            <c:numLit>
              <c:formatCode>General</c:formatCode>
              <c:ptCount val="2"/>
              <c:pt idx="0">
                <c:v>1.5</c:v>
              </c:pt>
              <c:pt idx="1">
                <c:v>0.5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E-D57B-4F18-A070-1087D06E2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4251599"/>
        <c:axId val="934236719"/>
      </c:scatterChart>
      <c:valAx>
        <c:axId val="934251599"/>
        <c:scaling>
          <c:orientation val="minMax"/>
          <c:max val="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to</a:t>
                </a:r>
              </a:p>
            </c:rich>
          </c:tx>
          <c:layout>
            <c:manualLayout>
              <c:xMode val="edge"/>
              <c:yMode val="edge"/>
              <c:x val="0.50886274509803919"/>
              <c:y val="0.94825474756831851"/>
            </c:manualLayout>
          </c:layout>
          <c:overlay val="0"/>
        </c:title>
        <c:numFmt formatCode="General" sourceLinked="0"/>
        <c:majorTickMark val="none"/>
        <c:minorTickMark val="none"/>
        <c:tickLblPos val="none"/>
        <c:spPr>
          <a:ln w="6350">
            <a:noFill/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934236719"/>
        <c:crosses val="autoZero"/>
        <c:crossBetween val="midCat"/>
      </c:valAx>
      <c:valAx>
        <c:axId val="934236719"/>
        <c:scaling>
          <c:orientation val="minMax"/>
          <c:max val="2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From</a:t>
                </a:r>
              </a:p>
            </c:rich>
          </c:tx>
          <c:layout>
            <c:manualLayout>
              <c:xMode val="edge"/>
              <c:yMode val="edge"/>
              <c:x val="1.9607843137254902E-2"/>
              <c:y val="0.46565693994133084"/>
            </c:manualLayout>
          </c:layout>
          <c:overlay val="0"/>
        </c:title>
        <c:numFmt formatCode="General" sourceLinked="0"/>
        <c:majorTickMark val="none"/>
        <c:minorTickMark val="none"/>
        <c:tickLblPos val="none"/>
        <c:spPr>
          <a:ln w="6350">
            <a:noFill/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934251599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IN"/>
              <a:t>ROC Curve (AUC=0.822)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6350">
              <a:solidFill>
                <a:srgbClr val="2A7498"/>
              </a:solidFill>
              <a:prstDash val="solid"/>
            </a:ln>
            <a:effectLst/>
          </c:spPr>
          <c:marker>
            <c:symbol val="none"/>
          </c:marker>
          <c:xVal>
            <c:numRef>
              <c:f>Sheet5_HID_HID!$A$1:$A$304</c:f>
              <c:numCache>
                <c:formatCode>General</c:formatCode>
                <c:ptCount val="304"/>
                <c:pt idx="0">
                  <c:v>1</c:v>
                </c:pt>
                <c:pt idx="1">
                  <c:v>0.99275362318840576</c:v>
                </c:pt>
                <c:pt idx="2">
                  <c:v>0.98550724637681153</c:v>
                </c:pt>
                <c:pt idx="3">
                  <c:v>0.97826086956521729</c:v>
                </c:pt>
                <c:pt idx="4">
                  <c:v>0.97101449275362306</c:v>
                </c:pt>
                <c:pt idx="5">
                  <c:v>0.96376811594202882</c:v>
                </c:pt>
                <c:pt idx="6">
                  <c:v>0.95652173913043459</c:v>
                </c:pt>
                <c:pt idx="7">
                  <c:v>0.94927536231884035</c:v>
                </c:pt>
                <c:pt idx="8">
                  <c:v>0.94202898550724612</c:v>
                </c:pt>
                <c:pt idx="9">
                  <c:v>0.93478260869565188</c:v>
                </c:pt>
                <c:pt idx="10">
                  <c:v>0.93478260869565188</c:v>
                </c:pt>
                <c:pt idx="11">
                  <c:v>0.93478260869565188</c:v>
                </c:pt>
                <c:pt idx="12">
                  <c:v>0.92753623188405765</c:v>
                </c:pt>
                <c:pt idx="13">
                  <c:v>0.92753623188405765</c:v>
                </c:pt>
                <c:pt idx="14">
                  <c:v>0.92028985507246341</c:v>
                </c:pt>
                <c:pt idx="15">
                  <c:v>0.91304347826086918</c:v>
                </c:pt>
                <c:pt idx="16">
                  <c:v>0.91304347826086918</c:v>
                </c:pt>
                <c:pt idx="17">
                  <c:v>0.90579710144927494</c:v>
                </c:pt>
                <c:pt idx="18">
                  <c:v>0.89855072463768071</c:v>
                </c:pt>
                <c:pt idx="19">
                  <c:v>0.89130434782608647</c:v>
                </c:pt>
                <c:pt idx="20">
                  <c:v>0.88405797101449224</c:v>
                </c:pt>
                <c:pt idx="21">
                  <c:v>0.876811594202898</c:v>
                </c:pt>
                <c:pt idx="22">
                  <c:v>0.86956521739130377</c:v>
                </c:pt>
                <c:pt idx="23">
                  <c:v>0.86231884057970953</c:v>
                </c:pt>
                <c:pt idx="24">
                  <c:v>0.8550724637681153</c:v>
                </c:pt>
                <c:pt idx="25">
                  <c:v>0.84782608695652106</c:v>
                </c:pt>
                <c:pt idx="26">
                  <c:v>0.84057971014492683</c:v>
                </c:pt>
                <c:pt idx="27">
                  <c:v>0.83333333333333259</c:v>
                </c:pt>
                <c:pt idx="28">
                  <c:v>0.82608695652173836</c:v>
                </c:pt>
                <c:pt idx="29">
                  <c:v>0.81884057971014412</c:v>
                </c:pt>
                <c:pt idx="30">
                  <c:v>0.81159420289854989</c:v>
                </c:pt>
                <c:pt idx="31">
                  <c:v>0.80434782608695565</c:v>
                </c:pt>
                <c:pt idx="32">
                  <c:v>0.79710144927536142</c:v>
                </c:pt>
                <c:pt idx="33">
                  <c:v>0.79710144927536142</c:v>
                </c:pt>
                <c:pt idx="34">
                  <c:v>0.79710144927536142</c:v>
                </c:pt>
                <c:pt idx="35">
                  <c:v>0.78985507246376718</c:v>
                </c:pt>
                <c:pt idx="36">
                  <c:v>0.78260869565217295</c:v>
                </c:pt>
                <c:pt idx="37">
                  <c:v>0.77536231884057871</c:v>
                </c:pt>
                <c:pt idx="38">
                  <c:v>0.76811594202898448</c:v>
                </c:pt>
                <c:pt idx="39">
                  <c:v>0.76086956521739024</c:v>
                </c:pt>
                <c:pt idx="40">
                  <c:v>0.75362318840579601</c:v>
                </c:pt>
                <c:pt idx="41">
                  <c:v>0.74637681159420177</c:v>
                </c:pt>
                <c:pt idx="42">
                  <c:v>0.73913043478260754</c:v>
                </c:pt>
                <c:pt idx="43">
                  <c:v>0.7318840579710133</c:v>
                </c:pt>
                <c:pt idx="44">
                  <c:v>0.72463768115941907</c:v>
                </c:pt>
                <c:pt idx="45">
                  <c:v>0.71739130434782483</c:v>
                </c:pt>
                <c:pt idx="46">
                  <c:v>0.71739130434782483</c:v>
                </c:pt>
                <c:pt idx="47">
                  <c:v>0.71739130434782483</c:v>
                </c:pt>
                <c:pt idx="48">
                  <c:v>0.71739130434782483</c:v>
                </c:pt>
                <c:pt idx="49">
                  <c:v>0.7101449275362306</c:v>
                </c:pt>
                <c:pt idx="50">
                  <c:v>0.70289855072463636</c:v>
                </c:pt>
                <c:pt idx="51">
                  <c:v>0.69565217391304213</c:v>
                </c:pt>
                <c:pt idx="52">
                  <c:v>0.68840579710144789</c:v>
                </c:pt>
                <c:pt idx="53">
                  <c:v>0.68115942028985366</c:v>
                </c:pt>
                <c:pt idx="54">
                  <c:v>0.67391304347825942</c:v>
                </c:pt>
                <c:pt idx="55">
                  <c:v>0.66666666666666519</c:v>
                </c:pt>
                <c:pt idx="56">
                  <c:v>0.65942028985507095</c:v>
                </c:pt>
                <c:pt idx="57">
                  <c:v>0.65942028985507095</c:v>
                </c:pt>
                <c:pt idx="58">
                  <c:v>0.65217391304347672</c:v>
                </c:pt>
                <c:pt idx="59">
                  <c:v>0.64492753623188248</c:v>
                </c:pt>
                <c:pt idx="60">
                  <c:v>0.63768115942028825</c:v>
                </c:pt>
                <c:pt idx="61">
                  <c:v>0.63768115942028825</c:v>
                </c:pt>
                <c:pt idx="62">
                  <c:v>0.63043478260869401</c:v>
                </c:pt>
                <c:pt idx="63">
                  <c:v>0.62318840579709978</c:v>
                </c:pt>
                <c:pt idx="64">
                  <c:v>0.61594202898550554</c:v>
                </c:pt>
                <c:pt idx="65">
                  <c:v>0.60869565217391131</c:v>
                </c:pt>
                <c:pt idx="66">
                  <c:v>0.60144927536231707</c:v>
                </c:pt>
                <c:pt idx="67">
                  <c:v>0.60144927536231707</c:v>
                </c:pt>
                <c:pt idx="68">
                  <c:v>0.59420289855072284</c:v>
                </c:pt>
                <c:pt idx="69">
                  <c:v>0.5869565217391286</c:v>
                </c:pt>
                <c:pt idx="70">
                  <c:v>0.5869565217391286</c:v>
                </c:pt>
                <c:pt idx="71">
                  <c:v>0.57971014492753437</c:v>
                </c:pt>
                <c:pt idx="72">
                  <c:v>0.57246376811594013</c:v>
                </c:pt>
                <c:pt idx="73">
                  <c:v>0.5652173913043459</c:v>
                </c:pt>
                <c:pt idx="74">
                  <c:v>0.55797101449275166</c:v>
                </c:pt>
                <c:pt idx="75">
                  <c:v>0.55072463768115743</c:v>
                </c:pt>
                <c:pt idx="76">
                  <c:v>0.55072463768115743</c:v>
                </c:pt>
                <c:pt idx="77">
                  <c:v>0.54347826086956319</c:v>
                </c:pt>
                <c:pt idx="78">
                  <c:v>0.53623188405796895</c:v>
                </c:pt>
                <c:pt idx="79">
                  <c:v>0.52898550724637472</c:v>
                </c:pt>
                <c:pt idx="80">
                  <c:v>0.52173913043478048</c:v>
                </c:pt>
                <c:pt idx="81">
                  <c:v>0.52173913043478048</c:v>
                </c:pt>
                <c:pt idx="82">
                  <c:v>0.51449275362318625</c:v>
                </c:pt>
                <c:pt idx="83">
                  <c:v>0.50724637681159201</c:v>
                </c:pt>
                <c:pt idx="84">
                  <c:v>0.50724637681159201</c:v>
                </c:pt>
                <c:pt idx="85">
                  <c:v>0.49999999999999784</c:v>
                </c:pt>
                <c:pt idx="86">
                  <c:v>0.49999999999999784</c:v>
                </c:pt>
                <c:pt idx="87">
                  <c:v>0.49999999999999784</c:v>
                </c:pt>
                <c:pt idx="88">
                  <c:v>0.49275362318840366</c:v>
                </c:pt>
                <c:pt idx="89">
                  <c:v>0.48550724637680948</c:v>
                </c:pt>
                <c:pt idx="90">
                  <c:v>0.4782608695652153</c:v>
                </c:pt>
                <c:pt idx="91">
                  <c:v>0.4782608695652153</c:v>
                </c:pt>
                <c:pt idx="92">
                  <c:v>0.4782608695652153</c:v>
                </c:pt>
                <c:pt idx="93">
                  <c:v>0.47101449275362112</c:v>
                </c:pt>
                <c:pt idx="94">
                  <c:v>0.47101449275362112</c:v>
                </c:pt>
                <c:pt idx="95">
                  <c:v>0.46376811594202694</c:v>
                </c:pt>
                <c:pt idx="96">
                  <c:v>0.45652173913043276</c:v>
                </c:pt>
                <c:pt idx="97">
                  <c:v>0.44927536231883858</c:v>
                </c:pt>
                <c:pt idx="98">
                  <c:v>0.44927536231883858</c:v>
                </c:pt>
                <c:pt idx="99">
                  <c:v>0.4420289855072444</c:v>
                </c:pt>
                <c:pt idx="100">
                  <c:v>0.4420289855072444</c:v>
                </c:pt>
                <c:pt idx="101">
                  <c:v>0.4420289855072444</c:v>
                </c:pt>
                <c:pt idx="102">
                  <c:v>0.4420289855072444</c:v>
                </c:pt>
                <c:pt idx="103">
                  <c:v>0.4420289855072444</c:v>
                </c:pt>
                <c:pt idx="104">
                  <c:v>0.43478260869565022</c:v>
                </c:pt>
                <c:pt idx="105">
                  <c:v>0.42753623188405604</c:v>
                </c:pt>
                <c:pt idx="106">
                  <c:v>0.42028985507246186</c:v>
                </c:pt>
                <c:pt idx="107">
                  <c:v>0.41304347826086768</c:v>
                </c:pt>
                <c:pt idx="108">
                  <c:v>0.4057971014492735</c:v>
                </c:pt>
                <c:pt idx="109">
                  <c:v>0.4057971014492735</c:v>
                </c:pt>
                <c:pt idx="110">
                  <c:v>0.39855072463767932</c:v>
                </c:pt>
                <c:pt idx="111">
                  <c:v>0.39855072463767932</c:v>
                </c:pt>
                <c:pt idx="112">
                  <c:v>0.39855072463767932</c:v>
                </c:pt>
                <c:pt idx="113">
                  <c:v>0.39855072463767932</c:v>
                </c:pt>
                <c:pt idx="114">
                  <c:v>0.39130434782608514</c:v>
                </c:pt>
                <c:pt idx="115">
                  <c:v>0.38405797101449096</c:v>
                </c:pt>
                <c:pt idx="116">
                  <c:v>0.37681159420289678</c:v>
                </c:pt>
                <c:pt idx="117">
                  <c:v>0.37681159420289678</c:v>
                </c:pt>
                <c:pt idx="118">
                  <c:v>0.3695652173913026</c:v>
                </c:pt>
                <c:pt idx="119">
                  <c:v>0.3695652173913026</c:v>
                </c:pt>
                <c:pt idx="120">
                  <c:v>0.3695652173913026</c:v>
                </c:pt>
                <c:pt idx="121">
                  <c:v>0.36231884057970842</c:v>
                </c:pt>
                <c:pt idx="122">
                  <c:v>0.35507246376811424</c:v>
                </c:pt>
                <c:pt idx="123">
                  <c:v>0.35507246376811424</c:v>
                </c:pt>
                <c:pt idx="124">
                  <c:v>0.34782608695652006</c:v>
                </c:pt>
                <c:pt idx="125">
                  <c:v>0.34782608695652006</c:v>
                </c:pt>
                <c:pt idx="126">
                  <c:v>0.34057971014492588</c:v>
                </c:pt>
                <c:pt idx="127">
                  <c:v>0.33333333333333171</c:v>
                </c:pt>
                <c:pt idx="128">
                  <c:v>0.32608695652173753</c:v>
                </c:pt>
                <c:pt idx="129">
                  <c:v>0.31884057971014335</c:v>
                </c:pt>
                <c:pt idx="130">
                  <c:v>0.31159420289854917</c:v>
                </c:pt>
                <c:pt idx="131">
                  <c:v>0.30434782608695499</c:v>
                </c:pt>
                <c:pt idx="132">
                  <c:v>0.30434782608695499</c:v>
                </c:pt>
                <c:pt idx="133">
                  <c:v>0.30434782608695499</c:v>
                </c:pt>
                <c:pt idx="134">
                  <c:v>0.29710144927536081</c:v>
                </c:pt>
                <c:pt idx="135">
                  <c:v>0.28985507246376663</c:v>
                </c:pt>
                <c:pt idx="136">
                  <c:v>0.28260869565217245</c:v>
                </c:pt>
                <c:pt idx="137">
                  <c:v>0.27536231884057827</c:v>
                </c:pt>
                <c:pt idx="138">
                  <c:v>0.27536231884057827</c:v>
                </c:pt>
                <c:pt idx="139">
                  <c:v>0.27536231884057827</c:v>
                </c:pt>
                <c:pt idx="140">
                  <c:v>0.27536231884057827</c:v>
                </c:pt>
                <c:pt idx="141">
                  <c:v>0.26811594202898409</c:v>
                </c:pt>
                <c:pt idx="142">
                  <c:v>0.26086956521738991</c:v>
                </c:pt>
                <c:pt idx="143">
                  <c:v>0.25362318840579573</c:v>
                </c:pt>
                <c:pt idx="144">
                  <c:v>0.25362318840579573</c:v>
                </c:pt>
                <c:pt idx="145">
                  <c:v>0.24637681159420152</c:v>
                </c:pt>
                <c:pt idx="146">
                  <c:v>0.23913043478260732</c:v>
                </c:pt>
                <c:pt idx="147">
                  <c:v>0.23188405797101311</c:v>
                </c:pt>
                <c:pt idx="148">
                  <c:v>0.2246376811594189</c:v>
                </c:pt>
                <c:pt idx="149">
                  <c:v>0.21739130434782469</c:v>
                </c:pt>
                <c:pt idx="150">
                  <c:v>0.21739130434782469</c:v>
                </c:pt>
                <c:pt idx="151">
                  <c:v>0.21739130434782469</c:v>
                </c:pt>
                <c:pt idx="152">
                  <c:v>0.21739130434782469</c:v>
                </c:pt>
                <c:pt idx="153">
                  <c:v>0.21014492753623049</c:v>
                </c:pt>
                <c:pt idx="154">
                  <c:v>0.21014492753623049</c:v>
                </c:pt>
                <c:pt idx="155">
                  <c:v>0.20289855072463628</c:v>
                </c:pt>
                <c:pt idx="156">
                  <c:v>0.20289855072463628</c:v>
                </c:pt>
                <c:pt idx="157">
                  <c:v>0.20289855072463628</c:v>
                </c:pt>
                <c:pt idx="158">
                  <c:v>0.20289855072463628</c:v>
                </c:pt>
                <c:pt idx="159">
                  <c:v>0.19565217391304207</c:v>
                </c:pt>
                <c:pt idx="160">
                  <c:v>0.19565217391304207</c:v>
                </c:pt>
                <c:pt idx="161">
                  <c:v>0.19565217391304207</c:v>
                </c:pt>
                <c:pt idx="162">
                  <c:v>0.18840579710144786</c:v>
                </c:pt>
                <c:pt idx="163">
                  <c:v>0.18115942028985366</c:v>
                </c:pt>
                <c:pt idx="164">
                  <c:v>0.18115942028985366</c:v>
                </c:pt>
                <c:pt idx="165">
                  <c:v>0.17391304347825945</c:v>
                </c:pt>
                <c:pt idx="166">
                  <c:v>0.16666666666666524</c:v>
                </c:pt>
                <c:pt idx="167">
                  <c:v>0.15942028985507103</c:v>
                </c:pt>
                <c:pt idx="168">
                  <c:v>0.15942028985507103</c:v>
                </c:pt>
                <c:pt idx="169">
                  <c:v>0.15942028985507103</c:v>
                </c:pt>
                <c:pt idx="170">
                  <c:v>0.15217391304347683</c:v>
                </c:pt>
                <c:pt idx="171">
                  <c:v>0.15217391304347683</c:v>
                </c:pt>
                <c:pt idx="172">
                  <c:v>0.15217391304347683</c:v>
                </c:pt>
                <c:pt idx="173">
                  <c:v>0.15217391304347683</c:v>
                </c:pt>
                <c:pt idx="174">
                  <c:v>0.15217391304347683</c:v>
                </c:pt>
                <c:pt idx="175">
                  <c:v>0.15217391304347683</c:v>
                </c:pt>
                <c:pt idx="176">
                  <c:v>0.14492753623188262</c:v>
                </c:pt>
                <c:pt idx="177">
                  <c:v>0.13768115942028841</c:v>
                </c:pt>
                <c:pt idx="178">
                  <c:v>0.13768115942028841</c:v>
                </c:pt>
                <c:pt idx="179">
                  <c:v>0.13768115942028841</c:v>
                </c:pt>
                <c:pt idx="180">
                  <c:v>0.13768115942028841</c:v>
                </c:pt>
                <c:pt idx="181">
                  <c:v>0.13768115942028841</c:v>
                </c:pt>
                <c:pt idx="182">
                  <c:v>0.13043478260869421</c:v>
                </c:pt>
                <c:pt idx="183">
                  <c:v>0.13043478260869421</c:v>
                </c:pt>
                <c:pt idx="184">
                  <c:v>0.1231884057971</c:v>
                </c:pt>
                <c:pt idx="185">
                  <c:v>0.11594202898550579</c:v>
                </c:pt>
                <c:pt idx="186">
                  <c:v>0.11594202898550579</c:v>
                </c:pt>
                <c:pt idx="187">
                  <c:v>0.11594202898550579</c:v>
                </c:pt>
                <c:pt idx="188">
                  <c:v>0.11594202898550579</c:v>
                </c:pt>
                <c:pt idx="189">
                  <c:v>0.11594202898550579</c:v>
                </c:pt>
                <c:pt idx="190">
                  <c:v>0.11594202898550579</c:v>
                </c:pt>
                <c:pt idx="191">
                  <c:v>0.11594202898550579</c:v>
                </c:pt>
                <c:pt idx="192">
                  <c:v>0.11594202898550579</c:v>
                </c:pt>
                <c:pt idx="193">
                  <c:v>0.11594202898550579</c:v>
                </c:pt>
                <c:pt idx="194">
                  <c:v>0.11594202898550579</c:v>
                </c:pt>
                <c:pt idx="195">
                  <c:v>0.11594202898550579</c:v>
                </c:pt>
                <c:pt idx="196">
                  <c:v>0.11594202898550579</c:v>
                </c:pt>
                <c:pt idx="197">
                  <c:v>0.11594202898550579</c:v>
                </c:pt>
                <c:pt idx="198">
                  <c:v>0.11594202898550579</c:v>
                </c:pt>
                <c:pt idx="199">
                  <c:v>0.11594202898550579</c:v>
                </c:pt>
                <c:pt idx="200">
                  <c:v>0.11594202898550579</c:v>
                </c:pt>
                <c:pt idx="201">
                  <c:v>0.11594202898550579</c:v>
                </c:pt>
                <c:pt idx="202">
                  <c:v>0.11594202898550579</c:v>
                </c:pt>
                <c:pt idx="203">
                  <c:v>0.11594202898550579</c:v>
                </c:pt>
                <c:pt idx="204">
                  <c:v>0.11594202898550579</c:v>
                </c:pt>
                <c:pt idx="205">
                  <c:v>0.10869565217391158</c:v>
                </c:pt>
                <c:pt idx="206">
                  <c:v>0.10869565217391158</c:v>
                </c:pt>
                <c:pt idx="207">
                  <c:v>0.10869565217391158</c:v>
                </c:pt>
                <c:pt idx="208">
                  <c:v>0.10144927536231738</c:v>
                </c:pt>
                <c:pt idx="209">
                  <c:v>0.10144927536231738</c:v>
                </c:pt>
                <c:pt idx="210">
                  <c:v>0.10144927536231738</c:v>
                </c:pt>
                <c:pt idx="211">
                  <c:v>0.10144927536231738</c:v>
                </c:pt>
                <c:pt idx="212">
                  <c:v>0.10144927536231738</c:v>
                </c:pt>
                <c:pt idx="213">
                  <c:v>9.4202898550723169E-2</c:v>
                </c:pt>
                <c:pt idx="214">
                  <c:v>8.6956521739128961E-2</c:v>
                </c:pt>
                <c:pt idx="215">
                  <c:v>8.6956521739128961E-2</c:v>
                </c:pt>
                <c:pt idx="216">
                  <c:v>7.9710144927534754E-2</c:v>
                </c:pt>
                <c:pt idx="217">
                  <c:v>7.9710144927534754E-2</c:v>
                </c:pt>
                <c:pt idx="218">
                  <c:v>7.2463768115940547E-2</c:v>
                </c:pt>
                <c:pt idx="219">
                  <c:v>6.5217391304346339E-2</c:v>
                </c:pt>
                <c:pt idx="220">
                  <c:v>6.5217391304346339E-2</c:v>
                </c:pt>
                <c:pt idx="221">
                  <c:v>6.5217391304346339E-2</c:v>
                </c:pt>
                <c:pt idx="222">
                  <c:v>6.5217391304346339E-2</c:v>
                </c:pt>
                <c:pt idx="223">
                  <c:v>5.7971014492752139E-2</c:v>
                </c:pt>
                <c:pt idx="224">
                  <c:v>5.0724637681157939E-2</c:v>
                </c:pt>
                <c:pt idx="225">
                  <c:v>5.0724637681157939E-2</c:v>
                </c:pt>
                <c:pt idx="226">
                  <c:v>5.0724637681157939E-2</c:v>
                </c:pt>
                <c:pt idx="227">
                  <c:v>4.3478260869563738E-2</c:v>
                </c:pt>
                <c:pt idx="228">
                  <c:v>4.3478260869563738E-2</c:v>
                </c:pt>
                <c:pt idx="229">
                  <c:v>4.3478260869563738E-2</c:v>
                </c:pt>
                <c:pt idx="230">
                  <c:v>4.3478260869563738E-2</c:v>
                </c:pt>
                <c:pt idx="231">
                  <c:v>3.6231884057969538E-2</c:v>
                </c:pt>
                <c:pt idx="232">
                  <c:v>2.8985507246375334E-2</c:v>
                </c:pt>
                <c:pt idx="233">
                  <c:v>2.173913043478113E-2</c:v>
                </c:pt>
                <c:pt idx="234">
                  <c:v>2.173913043478113E-2</c:v>
                </c:pt>
                <c:pt idx="235">
                  <c:v>2.173913043478113E-2</c:v>
                </c:pt>
                <c:pt idx="236">
                  <c:v>2.173913043478113E-2</c:v>
                </c:pt>
                <c:pt idx="237">
                  <c:v>2.173913043478113E-2</c:v>
                </c:pt>
                <c:pt idx="238">
                  <c:v>2.173913043478113E-2</c:v>
                </c:pt>
                <c:pt idx="239">
                  <c:v>2.173913043478113E-2</c:v>
                </c:pt>
                <c:pt idx="240">
                  <c:v>2.173913043478113E-2</c:v>
                </c:pt>
                <c:pt idx="241">
                  <c:v>2.173913043478113E-2</c:v>
                </c:pt>
                <c:pt idx="242">
                  <c:v>2.173913043478113E-2</c:v>
                </c:pt>
                <c:pt idx="243">
                  <c:v>2.173913043478113E-2</c:v>
                </c:pt>
                <c:pt idx="244">
                  <c:v>2.173913043478113E-2</c:v>
                </c:pt>
                <c:pt idx="245">
                  <c:v>2.173913043478113E-2</c:v>
                </c:pt>
                <c:pt idx="246">
                  <c:v>2.173913043478113E-2</c:v>
                </c:pt>
                <c:pt idx="247">
                  <c:v>2.173913043478113E-2</c:v>
                </c:pt>
                <c:pt idx="248">
                  <c:v>2.173913043478113E-2</c:v>
                </c:pt>
                <c:pt idx="249">
                  <c:v>2.173913043478113E-2</c:v>
                </c:pt>
                <c:pt idx="250">
                  <c:v>2.173913043478113E-2</c:v>
                </c:pt>
                <c:pt idx="251">
                  <c:v>2.173913043478113E-2</c:v>
                </c:pt>
                <c:pt idx="252">
                  <c:v>2.173913043478113E-2</c:v>
                </c:pt>
                <c:pt idx="253">
                  <c:v>2.173913043478113E-2</c:v>
                </c:pt>
                <c:pt idx="254">
                  <c:v>2.173913043478113E-2</c:v>
                </c:pt>
                <c:pt idx="255">
                  <c:v>2.173913043478113E-2</c:v>
                </c:pt>
                <c:pt idx="256">
                  <c:v>2.173913043478113E-2</c:v>
                </c:pt>
                <c:pt idx="257">
                  <c:v>2.173913043478113E-2</c:v>
                </c:pt>
                <c:pt idx="258">
                  <c:v>1.4492753623186926E-2</c:v>
                </c:pt>
                <c:pt idx="259">
                  <c:v>1.4492753623186926E-2</c:v>
                </c:pt>
                <c:pt idx="260">
                  <c:v>1.4492753623186926E-2</c:v>
                </c:pt>
                <c:pt idx="261">
                  <c:v>1.4492753623186926E-2</c:v>
                </c:pt>
                <c:pt idx="262">
                  <c:v>1.4492753623186926E-2</c:v>
                </c:pt>
                <c:pt idx="263">
                  <c:v>1.4492753623186926E-2</c:v>
                </c:pt>
                <c:pt idx="264">
                  <c:v>1.4492753623186926E-2</c:v>
                </c:pt>
                <c:pt idx="265">
                  <c:v>1.4492753623186926E-2</c:v>
                </c:pt>
                <c:pt idx="266">
                  <c:v>1.4492753623186926E-2</c:v>
                </c:pt>
                <c:pt idx="267">
                  <c:v>1.4492753623186926E-2</c:v>
                </c:pt>
                <c:pt idx="268">
                  <c:v>1.4492753623186926E-2</c:v>
                </c:pt>
                <c:pt idx="269">
                  <c:v>1.4492753623186926E-2</c:v>
                </c:pt>
                <c:pt idx="270">
                  <c:v>1.4492753623186926E-2</c:v>
                </c:pt>
                <c:pt idx="271">
                  <c:v>1.4492753623186926E-2</c:v>
                </c:pt>
                <c:pt idx="272">
                  <c:v>1.4492753623186926E-2</c:v>
                </c:pt>
                <c:pt idx="273">
                  <c:v>1.4492753623186926E-2</c:v>
                </c:pt>
                <c:pt idx="274">
                  <c:v>1.4492753623186926E-2</c:v>
                </c:pt>
                <c:pt idx="275">
                  <c:v>7.2463768115927233E-3</c:v>
                </c:pt>
                <c:pt idx="276">
                  <c:v>7.2463768115927233E-3</c:v>
                </c:pt>
                <c:pt idx="277">
                  <c:v>7.2463768115927233E-3</c:v>
                </c:pt>
                <c:pt idx="278">
                  <c:v>7.2463768115927233E-3</c:v>
                </c:pt>
                <c:pt idx="279">
                  <c:v>7.2463768115927233E-3</c:v>
                </c:pt>
                <c:pt idx="280">
                  <c:v>7.2463768115927233E-3</c:v>
                </c:pt>
                <c:pt idx="281">
                  <c:v>7.2463768115927233E-3</c:v>
                </c:pt>
                <c:pt idx="282">
                  <c:v>7.2463768115927233E-3</c:v>
                </c:pt>
                <c:pt idx="283">
                  <c:v>7.2463768115927233E-3</c:v>
                </c:pt>
                <c:pt idx="284">
                  <c:v>7.2463768115927233E-3</c:v>
                </c:pt>
                <c:pt idx="285">
                  <c:v>7.2463768115927233E-3</c:v>
                </c:pt>
                <c:pt idx="286">
                  <c:v>7.2463768115927233E-3</c:v>
                </c:pt>
                <c:pt idx="287">
                  <c:v>7.2463768115927233E-3</c:v>
                </c:pt>
                <c:pt idx="288">
                  <c:v>7.2463768115927233E-3</c:v>
                </c:pt>
                <c:pt idx="289">
                  <c:v>7.2463768115927233E-3</c:v>
                </c:pt>
                <c:pt idx="290">
                  <c:v>7.2463768115927233E-3</c:v>
                </c:pt>
                <c:pt idx="291">
                  <c:v>-1.4797191250082165E-15</c:v>
                </c:pt>
                <c:pt idx="292">
                  <c:v>-1.4797191250082165E-15</c:v>
                </c:pt>
                <c:pt idx="293">
                  <c:v>-1.4797191250082165E-15</c:v>
                </c:pt>
                <c:pt idx="294">
                  <c:v>-1.4797191250082165E-15</c:v>
                </c:pt>
                <c:pt idx="295">
                  <c:v>-1.4797191250082165E-15</c:v>
                </c:pt>
                <c:pt idx="296">
                  <c:v>-1.4797191250082165E-15</c:v>
                </c:pt>
                <c:pt idx="297">
                  <c:v>-1.4797191250082165E-15</c:v>
                </c:pt>
                <c:pt idx="298">
                  <c:v>-1.4797191250082165E-15</c:v>
                </c:pt>
                <c:pt idx="299">
                  <c:v>-1.4797191250082165E-15</c:v>
                </c:pt>
                <c:pt idx="300">
                  <c:v>-1.4797191250082165E-15</c:v>
                </c:pt>
                <c:pt idx="301">
                  <c:v>-1.4797191250082165E-15</c:v>
                </c:pt>
                <c:pt idx="302">
                  <c:v>-1.4797191250082165E-15</c:v>
                </c:pt>
                <c:pt idx="303">
                  <c:v>-1.4797191250082165E-15</c:v>
                </c:pt>
              </c:numCache>
            </c:numRef>
          </c:xVal>
          <c:yVal>
            <c:numRef>
              <c:f>Sheet5_HID_HID!$B$1:$B$304</c:f>
              <c:numCache>
                <c:formatCode>General</c:formatCode>
                <c:ptCount val="30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0.9939393939393939</c:v>
                </c:pt>
                <c:pt idx="11">
                  <c:v>0.9878787878787878</c:v>
                </c:pt>
                <c:pt idx="12">
                  <c:v>0.9878787878787878</c:v>
                </c:pt>
                <c:pt idx="13">
                  <c:v>0.9818181818181817</c:v>
                </c:pt>
                <c:pt idx="14">
                  <c:v>0.9818181818181817</c:v>
                </c:pt>
                <c:pt idx="15">
                  <c:v>0.9818181818181817</c:v>
                </c:pt>
                <c:pt idx="16">
                  <c:v>0.9757575757575756</c:v>
                </c:pt>
                <c:pt idx="17">
                  <c:v>0.9757575757575756</c:v>
                </c:pt>
                <c:pt idx="18">
                  <c:v>0.9757575757575756</c:v>
                </c:pt>
                <c:pt idx="19">
                  <c:v>0.9757575757575756</c:v>
                </c:pt>
                <c:pt idx="20">
                  <c:v>0.9757575757575756</c:v>
                </c:pt>
                <c:pt idx="21">
                  <c:v>0.9757575757575756</c:v>
                </c:pt>
                <c:pt idx="22">
                  <c:v>0.9757575757575756</c:v>
                </c:pt>
                <c:pt idx="23">
                  <c:v>0.9757575757575756</c:v>
                </c:pt>
                <c:pt idx="24">
                  <c:v>0.9757575757575756</c:v>
                </c:pt>
                <c:pt idx="25">
                  <c:v>0.9757575757575756</c:v>
                </c:pt>
                <c:pt idx="26">
                  <c:v>0.9757575757575756</c:v>
                </c:pt>
                <c:pt idx="27">
                  <c:v>0.9757575757575756</c:v>
                </c:pt>
                <c:pt idx="28">
                  <c:v>0.9757575757575756</c:v>
                </c:pt>
                <c:pt idx="29">
                  <c:v>0.9757575757575756</c:v>
                </c:pt>
                <c:pt idx="30">
                  <c:v>0.9757575757575756</c:v>
                </c:pt>
                <c:pt idx="31">
                  <c:v>0.9757575757575756</c:v>
                </c:pt>
                <c:pt idx="32">
                  <c:v>0.9757575757575756</c:v>
                </c:pt>
                <c:pt idx="33">
                  <c:v>0.9696969696969695</c:v>
                </c:pt>
                <c:pt idx="34">
                  <c:v>0.9636363636363634</c:v>
                </c:pt>
                <c:pt idx="35">
                  <c:v>0.9636363636363634</c:v>
                </c:pt>
                <c:pt idx="36">
                  <c:v>0.9636363636363634</c:v>
                </c:pt>
                <c:pt idx="37">
                  <c:v>0.9636363636363634</c:v>
                </c:pt>
                <c:pt idx="38">
                  <c:v>0.9636363636363634</c:v>
                </c:pt>
                <c:pt idx="39">
                  <c:v>0.9636363636363634</c:v>
                </c:pt>
                <c:pt idx="40">
                  <c:v>0.9636363636363634</c:v>
                </c:pt>
                <c:pt idx="41">
                  <c:v>0.9636363636363634</c:v>
                </c:pt>
                <c:pt idx="42">
                  <c:v>0.9636363636363634</c:v>
                </c:pt>
                <c:pt idx="43">
                  <c:v>0.9636363636363634</c:v>
                </c:pt>
                <c:pt idx="44">
                  <c:v>0.9636363636363634</c:v>
                </c:pt>
                <c:pt idx="45">
                  <c:v>0.9636363636363634</c:v>
                </c:pt>
                <c:pt idx="46">
                  <c:v>0.9575757575757573</c:v>
                </c:pt>
                <c:pt idx="47">
                  <c:v>0.9515151515151512</c:v>
                </c:pt>
                <c:pt idx="48">
                  <c:v>0.9454545454545451</c:v>
                </c:pt>
                <c:pt idx="49">
                  <c:v>0.9454545454545451</c:v>
                </c:pt>
                <c:pt idx="50">
                  <c:v>0.9454545454545451</c:v>
                </c:pt>
                <c:pt idx="51">
                  <c:v>0.9454545454545451</c:v>
                </c:pt>
                <c:pt idx="52">
                  <c:v>0.9454545454545451</c:v>
                </c:pt>
                <c:pt idx="53">
                  <c:v>0.9454545454545451</c:v>
                </c:pt>
                <c:pt idx="54">
                  <c:v>0.9454545454545451</c:v>
                </c:pt>
                <c:pt idx="55">
                  <c:v>0.9454545454545451</c:v>
                </c:pt>
                <c:pt idx="56">
                  <c:v>0.9454545454545451</c:v>
                </c:pt>
                <c:pt idx="57">
                  <c:v>0.939393939393939</c:v>
                </c:pt>
                <c:pt idx="58">
                  <c:v>0.939393939393939</c:v>
                </c:pt>
                <c:pt idx="59">
                  <c:v>0.939393939393939</c:v>
                </c:pt>
                <c:pt idx="60">
                  <c:v>0.939393939393939</c:v>
                </c:pt>
                <c:pt idx="61">
                  <c:v>0.9333333333333329</c:v>
                </c:pt>
                <c:pt idx="62">
                  <c:v>0.9333333333333329</c:v>
                </c:pt>
                <c:pt idx="63">
                  <c:v>0.9333333333333329</c:v>
                </c:pt>
                <c:pt idx="64">
                  <c:v>0.9333333333333329</c:v>
                </c:pt>
                <c:pt idx="65">
                  <c:v>0.9333333333333329</c:v>
                </c:pt>
                <c:pt idx="66">
                  <c:v>0.9333333333333329</c:v>
                </c:pt>
                <c:pt idx="67">
                  <c:v>0.9272727272727268</c:v>
                </c:pt>
                <c:pt idx="68">
                  <c:v>0.9272727272727268</c:v>
                </c:pt>
                <c:pt idx="69">
                  <c:v>0.9272727272727268</c:v>
                </c:pt>
                <c:pt idx="70">
                  <c:v>0.9212121212121207</c:v>
                </c:pt>
                <c:pt idx="71">
                  <c:v>0.9212121212121207</c:v>
                </c:pt>
                <c:pt idx="72">
                  <c:v>0.9212121212121207</c:v>
                </c:pt>
                <c:pt idx="73">
                  <c:v>0.9212121212121207</c:v>
                </c:pt>
                <c:pt idx="74">
                  <c:v>0.9212121212121207</c:v>
                </c:pt>
                <c:pt idx="75">
                  <c:v>0.9212121212121207</c:v>
                </c:pt>
                <c:pt idx="76">
                  <c:v>0.91515151515151461</c:v>
                </c:pt>
                <c:pt idx="77">
                  <c:v>0.91515151515151461</c:v>
                </c:pt>
                <c:pt idx="78">
                  <c:v>0.91515151515151461</c:v>
                </c:pt>
                <c:pt idx="79">
                  <c:v>0.91515151515151461</c:v>
                </c:pt>
                <c:pt idx="80">
                  <c:v>0.91515151515151461</c:v>
                </c:pt>
                <c:pt idx="81">
                  <c:v>0.90909090909090851</c:v>
                </c:pt>
                <c:pt idx="82">
                  <c:v>0.90909090909090851</c:v>
                </c:pt>
                <c:pt idx="83">
                  <c:v>0.90909090909090851</c:v>
                </c:pt>
                <c:pt idx="84">
                  <c:v>0.90303030303030241</c:v>
                </c:pt>
                <c:pt idx="85">
                  <c:v>0.90303030303030241</c:v>
                </c:pt>
                <c:pt idx="86">
                  <c:v>0.89696969696969631</c:v>
                </c:pt>
                <c:pt idx="87">
                  <c:v>0.89090909090909021</c:v>
                </c:pt>
                <c:pt idx="88">
                  <c:v>0.89090909090909021</c:v>
                </c:pt>
                <c:pt idx="89">
                  <c:v>0.89090909090909021</c:v>
                </c:pt>
                <c:pt idx="90">
                  <c:v>0.89090909090909021</c:v>
                </c:pt>
                <c:pt idx="91">
                  <c:v>0.88484848484848411</c:v>
                </c:pt>
                <c:pt idx="92">
                  <c:v>0.87878787878787801</c:v>
                </c:pt>
                <c:pt idx="93">
                  <c:v>0.87878787878787801</c:v>
                </c:pt>
                <c:pt idx="94">
                  <c:v>0.87272727272727191</c:v>
                </c:pt>
                <c:pt idx="95">
                  <c:v>0.87272727272727191</c:v>
                </c:pt>
                <c:pt idx="96">
                  <c:v>0.87272727272727191</c:v>
                </c:pt>
                <c:pt idx="97">
                  <c:v>0.87272727272727191</c:v>
                </c:pt>
                <c:pt idx="98">
                  <c:v>0.86666666666666581</c:v>
                </c:pt>
                <c:pt idx="99">
                  <c:v>0.86666666666666581</c:v>
                </c:pt>
                <c:pt idx="100">
                  <c:v>0.86060606060605971</c:v>
                </c:pt>
                <c:pt idx="101">
                  <c:v>0.85454545454545361</c:v>
                </c:pt>
                <c:pt idx="102">
                  <c:v>0.84848484848484751</c:v>
                </c:pt>
                <c:pt idx="103">
                  <c:v>0.84242424242424141</c:v>
                </c:pt>
                <c:pt idx="104">
                  <c:v>0.84242424242424141</c:v>
                </c:pt>
                <c:pt idx="105">
                  <c:v>0.84242424242424141</c:v>
                </c:pt>
                <c:pt idx="106">
                  <c:v>0.84242424242424141</c:v>
                </c:pt>
                <c:pt idx="107">
                  <c:v>0.84242424242424141</c:v>
                </c:pt>
                <c:pt idx="108">
                  <c:v>0.84242424242424141</c:v>
                </c:pt>
                <c:pt idx="109">
                  <c:v>0.83636363636363531</c:v>
                </c:pt>
                <c:pt idx="110">
                  <c:v>0.83636363636363531</c:v>
                </c:pt>
                <c:pt idx="111">
                  <c:v>0.83030303030302921</c:v>
                </c:pt>
                <c:pt idx="112">
                  <c:v>0.82424242424242311</c:v>
                </c:pt>
                <c:pt idx="113">
                  <c:v>0.81818181818181701</c:v>
                </c:pt>
                <c:pt idx="114">
                  <c:v>0.81818181818181701</c:v>
                </c:pt>
                <c:pt idx="115">
                  <c:v>0.81818181818181701</c:v>
                </c:pt>
                <c:pt idx="116">
                  <c:v>0.81818181818181701</c:v>
                </c:pt>
                <c:pt idx="117">
                  <c:v>0.81212121212121091</c:v>
                </c:pt>
                <c:pt idx="118">
                  <c:v>0.81212121212121091</c:v>
                </c:pt>
                <c:pt idx="119">
                  <c:v>0.80606060606060481</c:v>
                </c:pt>
                <c:pt idx="120">
                  <c:v>0.79999999999999871</c:v>
                </c:pt>
                <c:pt idx="121">
                  <c:v>0.79999999999999871</c:v>
                </c:pt>
                <c:pt idx="122">
                  <c:v>0.79999999999999871</c:v>
                </c:pt>
                <c:pt idx="123">
                  <c:v>0.79393939393939261</c:v>
                </c:pt>
                <c:pt idx="124">
                  <c:v>0.79393939393939261</c:v>
                </c:pt>
                <c:pt idx="125">
                  <c:v>0.78787878787878651</c:v>
                </c:pt>
                <c:pt idx="126">
                  <c:v>0.78787878787878651</c:v>
                </c:pt>
                <c:pt idx="127">
                  <c:v>0.78787878787878651</c:v>
                </c:pt>
                <c:pt idx="128">
                  <c:v>0.78787878787878651</c:v>
                </c:pt>
                <c:pt idx="129">
                  <c:v>0.78787878787878651</c:v>
                </c:pt>
                <c:pt idx="130">
                  <c:v>0.78787878787878651</c:v>
                </c:pt>
                <c:pt idx="131">
                  <c:v>0.78787878787878651</c:v>
                </c:pt>
                <c:pt idx="132">
                  <c:v>0.78181818181818041</c:v>
                </c:pt>
                <c:pt idx="133">
                  <c:v>0.77575757575757431</c:v>
                </c:pt>
                <c:pt idx="134">
                  <c:v>0.77575757575757431</c:v>
                </c:pt>
                <c:pt idx="135">
                  <c:v>0.77575757575757431</c:v>
                </c:pt>
                <c:pt idx="136">
                  <c:v>0.77575757575757431</c:v>
                </c:pt>
                <c:pt idx="137">
                  <c:v>0.77575757575757431</c:v>
                </c:pt>
                <c:pt idx="138">
                  <c:v>0.76969696969696821</c:v>
                </c:pt>
                <c:pt idx="139">
                  <c:v>0.76363636363636211</c:v>
                </c:pt>
                <c:pt idx="140">
                  <c:v>0.75757575757575601</c:v>
                </c:pt>
                <c:pt idx="141">
                  <c:v>0.75757575757575601</c:v>
                </c:pt>
                <c:pt idx="142">
                  <c:v>0.75757575757575601</c:v>
                </c:pt>
                <c:pt idx="143">
                  <c:v>0.75757575757575601</c:v>
                </c:pt>
                <c:pt idx="144">
                  <c:v>0.75151515151514992</c:v>
                </c:pt>
                <c:pt idx="145">
                  <c:v>0.75151515151514992</c:v>
                </c:pt>
                <c:pt idx="146">
                  <c:v>0.75151515151514992</c:v>
                </c:pt>
                <c:pt idx="147">
                  <c:v>0.75151515151514992</c:v>
                </c:pt>
                <c:pt idx="148">
                  <c:v>0.75151515151514992</c:v>
                </c:pt>
                <c:pt idx="149">
                  <c:v>0.75151515151514992</c:v>
                </c:pt>
                <c:pt idx="150">
                  <c:v>0.74545454545454382</c:v>
                </c:pt>
                <c:pt idx="151">
                  <c:v>0.73939393939393772</c:v>
                </c:pt>
                <c:pt idx="152">
                  <c:v>0.73333333333333162</c:v>
                </c:pt>
                <c:pt idx="153">
                  <c:v>0.73333333333333162</c:v>
                </c:pt>
                <c:pt idx="154">
                  <c:v>0.72727272727272552</c:v>
                </c:pt>
                <c:pt idx="155">
                  <c:v>0.72727272727272552</c:v>
                </c:pt>
                <c:pt idx="156">
                  <c:v>0.72121212121211942</c:v>
                </c:pt>
                <c:pt idx="157">
                  <c:v>0.71515151515151332</c:v>
                </c:pt>
                <c:pt idx="158">
                  <c:v>0.70909090909090722</c:v>
                </c:pt>
                <c:pt idx="159">
                  <c:v>0.70909090909090722</c:v>
                </c:pt>
                <c:pt idx="160">
                  <c:v>0.70303030303030112</c:v>
                </c:pt>
                <c:pt idx="161">
                  <c:v>0.69696969696969502</c:v>
                </c:pt>
                <c:pt idx="162">
                  <c:v>0.69696969696969502</c:v>
                </c:pt>
                <c:pt idx="163">
                  <c:v>0.69696969696969502</c:v>
                </c:pt>
                <c:pt idx="164">
                  <c:v>0.69090909090908892</c:v>
                </c:pt>
                <c:pt idx="165">
                  <c:v>0.69090909090908892</c:v>
                </c:pt>
                <c:pt idx="166">
                  <c:v>0.69090909090908892</c:v>
                </c:pt>
                <c:pt idx="167">
                  <c:v>0.69090909090908892</c:v>
                </c:pt>
                <c:pt idx="168">
                  <c:v>0.68484848484848282</c:v>
                </c:pt>
                <c:pt idx="169">
                  <c:v>0.67878787878787672</c:v>
                </c:pt>
                <c:pt idx="170">
                  <c:v>0.67878787878787672</c:v>
                </c:pt>
                <c:pt idx="171">
                  <c:v>0.67272727272727062</c:v>
                </c:pt>
                <c:pt idx="172">
                  <c:v>0.66666666666666452</c:v>
                </c:pt>
                <c:pt idx="173">
                  <c:v>0.66060606060605842</c:v>
                </c:pt>
                <c:pt idx="174">
                  <c:v>0.65454545454545232</c:v>
                </c:pt>
                <c:pt idx="175">
                  <c:v>0.64848484848484622</c:v>
                </c:pt>
                <c:pt idx="176">
                  <c:v>0.64848484848484622</c:v>
                </c:pt>
                <c:pt idx="177">
                  <c:v>0.64848484848484622</c:v>
                </c:pt>
                <c:pt idx="178">
                  <c:v>0.64242424242424012</c:v>
                </c:pt>
                <c:pt idx="179">
                  <c:v>0.63636363636363402</c:v>
                </c:pt>
                <c:pt idx="180">
                  <c:v>0.63030303030302792</c:v>
                </c:pt>
                <c:pt idx="181">
                  <c:v>0.62424242424242182</c:v>
                </c:pt>
                <c:pt idx="182">
                  <c:v>0.62424242424242182</c:v>
                </c:pt>
                <c:pt idx="183">
                  <c:v>0.61818181818181572</c:v>
                </c:pt>
                <c:pt idx="184">
                  <c:v>0.61818181818181572</c:v>
                </c:pt>
                <c:pt idx="185">
                  <c:v>0.61818181818181572</c:v>
                </c:pt>
                <c:pt idx="186">
                  <c:v>0.61212121212120962</c:v>
                </c:pt>
                <c:pt idx="187">
                  <c:v>0.60606060606060352</c:v>
                </c:pt>
                <c:pt idx="188">
                  <c:v>0.59999999999999742</c:v>
                </c:pt>
                <c:pt idx="189">
                  <c:v>0.59393939393939132</c:v>
                </c:pt>
                <c:pt idx="190">
                  <c:v>0.58787878787878523</c:v>
                </c:pt>
                <c:pt idx="191">
                  <c:v>0.58181818181817913</c:v>
                </c:pt>
                <c:pt idx="192">
                  <c:v>0.57575757575757303</c:v>
                </c:pt>
                <c:pt idx="193">
                  <c:v>0.56969696969696693</c:v>
                </c:pt>
                <c:pt idx="194">
                  <c:v>0.56363636363636083</c:v>
                </c:pt>
                <c:pt idx="195">
                  <c:v>0.55757575757575473</c:v>
                </c:pt>
                <c:pt idx="196">
                  <c:v>0.55151515151514863</c:v>
                </c:pt>
                <c:pt idx="197">
                  <c:v>0.54545454545454253</c:v>
                </c:pt>
                <c:pt idx="198">
                  <c:v>0.53939393939393643</c:v>
                </c:pt>
                <c:pt idx="199">
                  <c:v>0.53333333333333033</c:v>
                </c:pt>
                <c:pt idx="200">
                  <c:v>0.52727272727272423</c:v>
                </c:pt>
                <c:pt idx="201">
                  <c:v>0.52121212121211813</c:v>
                </c:pt>
                <c:pt idx="202">
                  <c:v>0.51515151515151203</c:v>
                </c:pt>
                <c:pt idx="203">
                  <c:v>0.50909090909090593</c:v>
                </c:pt>
                <c:pt idx="204">
                  <c:v>0.50303030303029983</c:v>
                </c:pt>
                <c:pt idx="205">
                  <c:v>0.50303030303029983</c:v>
                </c:pt>
                <c:pt idx="206">
                  <c:v>0.49696969696969379</c:v>
                </c:pt>
                <c:pt idx="207">
                  <c:v>0.49090909090908774</c:v>
                </c:pt>
                <c:pt idx="208">
                  <c:v>0.49090909090908774</c:v>
                </c:pt>
                <c:pt idx="209">
                  <c:v>0.4848484848484817</c:v>
                </c:pt>
                <c:pt idx="210">
                  <c:v>0.47878787878787565</c:v>
                </c:pt>
                <c:pt idx="211">
                  <c:v>0.47272727272726961</c:v>
                </c:pt>
                <c:pt idx="212">
                  <c:v>0.46666666666666357</c:v>
                </c:pt>
                <c:pt idx="213">
                  <c:v>0.46666666666666357</c:v>
                </c:pt>
                <c:pt idx="214">
                  <c:v>0.46666666666666357</c:v>
                </c:pt>
                <c:pt idx="215">
                  <c:v>0.46060606060605752</c:v>
                </c:pt>
                <c:pt idx="216">
                  <c:v>0.46060606060605752</c:v>
                </c:pt>
                <c:pt idx="217">
                  <c:v>0.45454545454545148</c:v>
                </c:pt>
                <c:pt idx="218">
                  <c:v>0.45454545454545148</c:v>
                </c:pt>
                <c:pt idx="219">
                  <c:v>0.45454545454545148</c:v>
                </c:pt>
                <c:pt idx="220">
                  <c:v>0.44848484848484543</c:v>
                </c:pt>
                <c:pt idx="221">
                  <c:v>0.44242424242423939</c:v>
                </c:pt>
                <c:pt idx="222">
                  <c:v>0.43636363636363334</c:v>
                </c:pt>
                <c:pt idx="223">
                  <c:v>0.43636363636363334</c:v>
                </c:pt>
                <c:pt idx="224">
                  <c:v>0.43636363636363334</c:v>
                </c:pt>
                <c:pt idx="225">
                  <c:v>0.4303030303030273</c:v>
                </c:pt>
                <c:pt idx="226">
                  <c:v>0.42424242424242126</c:v>
                </c:pt>
                <c:pt idx="227">
                  <c:v>0.42424242424242126</c:v>
                </c:pt>
                <c:pt idx="228">
                  <c:v>0.41818181818181521</c:v>
                </c:pt>
                <c:pt idx="229">
                  <c:v>0.41212121212120917</c:v>
                </c:pt>
                <c:pt idx="230">
                  <c:v>0.40606060606060312</c:v>
                </c:pt>
                <c:pt idx="231">
                  <c:v>0.40606060606060312</c:v>
                </c:pt>
                <c:pt idx="232">
                  <c:v>0.40606060606060312</c:v>
                </c:pt>
                <c:pt idx="233">
                  <c:v>0.40606060606060312</c:v>
                </c:pt>
                <c:pt idx="234">
                  <c:v>0.39999999999999708</c:v>
                </c:pt>
                <c:pt idx="235">
                  <c:v>0.39393939393939104</c:v>
                </c:pt>
                <c:pt idx="236">
                  <c:v>0.38787878787878499</c:v>
                </c:pt>
                <c:pt idx="237">
                  <c:v>0.38181818181817895</c:v>
                </c:pt>
                <c:pt idx="238">
                  <c:v>0.3757575757575729</c:v>
                </c:pt>
                <c:pt idx="239">
                  <c:v>0.36969696969696686</c:v>
                </c:pt>
                <c:pt idx="240">
                  <c:v>0.36363636363636082</c:v>
                </c:pt>
                <c:pt idx="241">
                  <c:v>0.35757575757575477</c:v>
                </c:pt>
                <c:pt idx="242">
                  <c:v>0.35151515151514873</c:v>
                </c:pt>
                <c:pt idx="243">
                  <c:v>0.34545454545454268</c:v>
                </c:pt>
                <c:pt idx="244">
                  <c:v>0.33939393939393664</c:v>
                </c:pt>
                <c:pt idx="245">
                  <c:v>0.33333333333333059</c:v>
                </c:pt>
                <c:pt idx="246">
                  <c:v>0.32727272727272455</c:v>
                </c:pt>
                <c:pt idx="247">
                  <c:v>0.32121212121211851</c:v>
                </c:pt>
                <c:pt idx="248">
                  <c:v>0.31515151515151246</c:v>
                </c:pt>
                <c:pt idx="249">
                  <c:v>0.30909090909090642</c:v>
                </c:pt>
                <c:pt idx="250">
                  <c:v>0.30303030303030037</c:v>
                </c:pt>
                <c:pt idx="251">
                  <c:v>0.29696969696969433</c:v>
                </c:pt>
                <c:pt idx="252">
                  <c:v>0.29090909090908829</c:v>
                </c:pt>
                <c:pt idx="253">
                  <c:v>0.28484848484848224</c:v>
                </c:pt>
                <c:pt idx="254">
                  <c:v>0.2787878787878762</c:v>
                </c:pt>
                <c:pt idx="255">
                  <c:v>0.27272727272727015</c:v>
                </c:pt>
                <c:pt idx="256">
                  <c:v>0.26666666666666411</c:v>
                </c:pt>
                <c:pt idx="257">
                  <c:v>0.26060606060605807</c:v>
                </c:pt>
                <c:pt idx="258">
                  <c:v>0.26060606060605807</c:v>
                </c:pt>
                <c:pt idx="259">
                  <c:v>0.25454545454545202</c:v>
                </c:pt>
                <c:pt idx="260">
                  <c:v>0.24848484848484595</c:v>
                </c:pt>
                <c:pt idx="261">
                  <c:v>0.24242424242423988</c:v>
                </c:pt>
                <c:pt idx="262">
                  <c:v>0.23636363636363381</c:v>
                </c:pt>
                <c:pt idx="263">
                  <c:v>0.23030303030302773</c:v>
                </c:pt>
                <c:pt idx="264">
                  <c:v>0.22424242424242166</c:v>
                </c:pt>
                <c:pt idx="265">
                  <c:v>0.21818181818181559</c:v>
                </c:pt>
                <c:pt idx="266">
                  <c:v>0.21212121212120952</c:v>
                </c:pt>
                <c:pt idx="267">
                  <c:v>0.20606060606060345</c:v>
                </c:pt>
                <c:pt idx="268">
                  <c:v>0.19999999999999737</c:v>
                </c:pt>
                <c:pt idx="269">
                  <c:v>0.1939393939393913</c:v>
                </c:pt>
                <c:pt idx="270">
                  <c:v>0.18787878787878523</c:v>
                </c:pt>
                <c:pt idx="271">
                  <c:v>0.18181818181817916</c:v>
                </c:pt>
                <c:pt idx="272">
                  <c:v>0.17575757575757309</c:v>
                </c:pt>
                <c:pt idx="273">
                  <c:v>0.16969696969696701</c:v>
                </c:pt>
                <c:pt idx="274">
                  <c:v>0.16363636363636094</c:v>
                </c:pt>
                <c:pt idx="275">
                  <c:v>0.16363636363636094</c:v>
                </c:pt>
                <c:pt idx="276">
                  <c:v>0.15757575757575487</c:v>
                </c:pt>
                <c:pt idx="277">
                  <c:v>0.1515151515151488</c:v>
                </c:pt>
                <c:pt idx="278">
                  <c:v>0.14545454545454273</c:v>
                </c:pt>
                <c:pt idx="279">
                  <c:v>0.13939393939393666</c:v>
                </c:pt>
                <c:pt idx="280">
                  <c:v>0.13333333333333058</c:v>
                </c:pt>
                <c:pt idx="281">
                  <c:v>0.12727272727272451</c:v>
                </c:pt>
                <c:pt idx="282">
                  <c:v>0.12121212121211845</c:v>
                </c:pt>
                <c:pt idx="283">
                  <c:v>0.1151515151515124</c:v>
                </c:pt>
                <c:pt idx="284">
                  <c:v>0.10909090909090634</c:v>
                </c:pt>
                <c:pt idx="285">
                  <c:v>0.10303030303030028</c:v>
                </c:pt>
                <c:pt idx="286">
                  <c:v>9.6969696969694222E-2</c:v>
                </c:pt>
                <c:pt idx="287">
                  <c:v>9.0909090909088164E-2</c:v>
                </c:pt>
                <c:pt idx="288">
                  <c:v>8.4848484848482106E-2</c:v>
                </c:pt>
                <c:pt idx="289">
                  <c:v>7.8787878787876048E-2</c:v>
                </c:pt>
                <c:pt idx="290">
                  <c:v>7.272727272726999E-2</c:v>
                </c:pt>
                <c:pt idx="291">
                  <c:v>7.272727272726999E-2</c:v>
                </c:pt>
                <c:pt idx="292">
                  <c:v>6.6666666666663932E-2</c:v>
                </c:pt>
                <c:pt idx="293">
                  <c:v>6.0606060606057874E-2</c:v>
                </c:pt>
                <c:pt idx="294">
                  <c:v>5.4545454545451816E-2</c:v>
                </c:pt>
                <c:pt idx="295">
                  <c:v>4.8484848484845758E-2</c:v>
                </c:pt>
                <c:pt idx="296">
                  <c:v>4.24242424242397E-2</c:v>
                </c:pt>
                <c:pt idx="297">
                  <c:v>3.6363636363633642E-2</c:v>
                </c:pt>
                <c:pt idx="298">
                  <c:v>3.030303030302758E-2</c:v>
                </c:pt>
                <c:pt idx="299">
                  <c:v>2.4242424242421519E-2</c:v>
                </c:pt>
                <c:pt idx="300">
                  <c:v>1.8181818181815457E-2</c:v>
                </c:pt>
                <c:pt idx="301">
                  <c:v>1.2121212121209396E-2</c:v>
                </c:pt>
                <c:pt idx="302">
                  <c:v>6.0606060606033354E-3</c:v>
                </c:pt>
                <c:pt idx="303">
                  <c:v>-2.7252505807595639E-15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1B-47FA-A197-27B99FEC1B96}"/>
            </c:ext>
          </c:extLst>
        </c:ser>
        <c:ser>
          <c:idx val="1"/>
          <c:order val="1"/>
          <c:spPr>
            <a:ln w="635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F21B-47FA-A197-27B99FEC1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4230479"/>
        <c:axId val="934249679"/>
      </c:scatterChart>
      <c:valAx>
        <c:axId val="934230479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1 - Specificity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934249679"/>
        <c:crosses val="autoZero"/>
        <c:crossBetween val="midCat"/>
      </c:valAx>
      <c:valAx>
        <c:axId val="934249679"/>
        <c:scaling>
          <c:orientation val="minMax"/>
          <c:max val="1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Sensitivity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934230479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Average Correlation between age and maximum heart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592825896762905"/>
          <c:y val="0.25083333333333335"/>
          <c:w val="0.8408495188101488"/>
          <c:h val="0.58989209682123067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Sheet5!$E$3</c:f>
              <c:strCache>
                <c:ptCount val="1"/>
                <c:pt idx="0">
                  <c:v>Average of thalachh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strRef>
              <c:f>Sheet5!$D$4:$D$13</c:f>
              <c:strCache>
                <c:ptCount val="10"/>
                <c:pt idx="0">
                  <c:v>29-33</c:v>
                </c:pt>
                <c:pt idx="1">
                  <c:v>34-38</c:v>
                </c:pt>
                <c:pt idx="2">
                  <c:v>39-43</c:v>
                </c:pt>
                <c:pt idx="3">
                  <c:v>44-48</c:v>
                </c:pt>
                <c:pt idx="4">
                  <c:v>49-53</c:v>
                </c:pt>
                <c:pt idx="5">
                  <c:v>54-58</c:v>
                </c:pt>
                <c:pt idx="6">
                  <c:v>59-63</c:v>
                </c:pt>
                <c:pt idx="7">
                  <c:v>64-68</c:v>
                </c:pt>
                <c:pt idx="8">
                  <c:v>69-73</c:v>
                </c:pt>
                <c:pt idx="9">
                  <c:v>74-78</c:v>
                </c:pt>
              </c:strCache>
            </c:strRef>
          </c:xVal>
          <c:yVal>
            <c:numRef>
              <c:f>Sheet5!$E$4:$E$13</c:f>
              <c:numCache>
                <c:formatCode>General</c:formatCode>
                <c:ptCount val="10"/>
                <c:pt idx="0">
                  <c:v>202</c:v>
                </c:pt>
                <c:pt idx="1">
                  <c:v>172.09090909090909</c:v>
                </c:pt>
                <c:pt idx="2">
                  <c:v>160.42424242424244</c:v>
                </c:pt>
                <c:pt idx="3">
                  <c:v>159.65789473684211</c:v>
                </c:pt>
                <c:pt idx="4">
                  <c:v>152.88888888888889</c:v>
                </c:pt>
                <c:pt idx="5">
                  <c:v>145.32394366197184</c:v>
                </c:pt>
                <c:pt idx="6">
                  <c:v>145.43396226415095</c:v>
                </c:pt>
                <c:pt idx="7">
                  <c:v>138.10526315789474</c:v>
                </c:pt>
                <c:pt idx="8">
                  <c:v>133.4</c:v>
                </c:pt>
                <c:pt idx="9">
                  <c:v>133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A0-4107-B765-82D298D196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7584207"/>
        <c:axId val="1957584687"/>
      </c:scatterChart>
      <c:valAx>
        <c:axId val="1957584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Age Group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7584687"/>
        <c:crosses val="autoZero"/>
        <c:crossBetween val="midCat"/>
      </c:valAx>
      <c:valAx>
        <c:axId val="19575846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Avg heart 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75842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Age Distrbution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b="1">
              <a:solidFill>
                <a:schemeClr val="tx1"/>
              </a:solidFill>
              <a:latin typeface="Times New Roman" panose="02020603050405020304" pitchFamily="18" charset="0"/>
              <a:ea typeface="Times New Roman" panose="02020603050405020304" pitchFamily="18" charset="0"/>
              <a:cs typeface="Times New Roman" panose="02020603050405020304" pitchFamily="18" charset="0"/>
            </a:defRPr>
          </a:pPr>
          <a:r>
            <a:rPr lang="en-US" sz="1400" b="1" i="0" u="none" strike="noStrike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Age Distrbution</a:t>
          </a:r>
        </a:p>
      </cx:txPr>
    </cx:title>
    <cx:plotArea>
      <cx:plotAreaRegion>
        <cx:series layoutId="clusteredColumn" uniqueId="{03EF2CD5-9840-4367-B181-036D4E43973A}">
          <cx:tx>
            <cx:txData>
              <cx:f>_xlchart.v1.0</cx:f>
              <cx:v>age</cx:v>
            </cx:txData>
          </cx:tx>
          <cx:spPr>
            <a:gradFill flip="none" rotWithShape="1">
              <a:gsLst>
                <a:gs pos="0">
                  <a:schemeClr val="accent6">
                    <a:lumMod val="0"/>
                    <a:lumOff val="100000"/>
                  </a:schemeClr>
                </a:gs>
                <a:gs pos="35000">
                  <a:schemeClr val="accent6">
                    <a:lumMod val="0"/>
                    <a:lumOff val="100000"/>
                  </a:schemeClr>
                </a:gs>
                <a:gs pos="100000">
                  <a:schemeClr val="accent6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solidFill>
                <a:schemeClr val="accent6">
                  <a:lumMod val="50000"/>
                </a:schemeClr>
              </a:solidFill>
            </a:ln>
          </cx:spPr>
          <cx:dataId val="0"/>
          <cx:layoutPr>
            <cx:binning intervalClosed="r"/>
          </cx:layoutPr>
        </cx:series>
      </cx:plotAreaRegion>
      <cx:axis id="0">
        <cx:catScaling gapWidth="0.100000001"/>
        <cx:tickLabels/>
        <cx:txPr>
          <a:bodyPr vertOverflow="overflow" horzOverflow="overflow" wrap="square" lIns="0" tIns="0" rIns="0" bIns="0"/>
          <a:lstStyle/>
          <a:p>
            <a:pPr algn="ctr" rtl="0">
              <a:defRPr sz="900" b="0" i="0">
                <a:solidFill>
                  <a:schemeClr val="tx1"/>
                </a:solidFill>
                <a:latin typeface="Times New Roman" panose="02020603050405020304" pitchFamily="18" charset="0"/>
                <a:ea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IN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cx:txPr>
      </cx:axis>
      <cx:axis id="1">
        <cx:valScaling/>
        <cx:majorGridlines/>
        <cx:tickLabels/>
        <cx:txPr>
          <a:bodyPr vertOverflow="overflow" horzOverflow="overflow" wrap="square" lIns="0" tIns="0" rIns="0" bIns="0"/>
          <a:lstStyle/>
          <a:p>
            <a:pPr algn="ctr" rtl="0">
              <a:defRPr sz="900" b="0" i="0">
                <a:solidFill>
                  <a:schemeClr val="tx1"/>
                </a:solidFill>
                <a:latin typeface="Times New Roman" panose="02020603050405020304" pitchFamily="18" charset="0"/>
                <a:ea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IN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cx:txPr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22" noThreeD="1" sel="1" val="0">
  <itemLst>
    <item val="Summary statistics (Quantitative data)"/>
    <item val="Summary statistics (Qualitative data)"/>
    <item val="Correlation matrix"/>
    <item val="Multicolinearity statistics"/>
    <item val="Regression of variable output (Control category = 0)"/>
    <item val="Goodness of fit statistics (Variable output)"/>
    <item val="Test of the null hypothesis H0: Pr(output=1)=0.545"/>
    <item val="Type II analysis (Variable output)"/>
    <item val="Hosmer-Lemeshow test (Variable output)"/>
    <item val="Model parameters (Variable output)"/>
    <item val="Equation of the model (Variable output)"/>
    <item val="Standardized coefficients (Variable output)"/>
    <item val="Predictions and residuals (Variable output)"/>
    <item val="Classification table for the training sample (Variable output)"/>
    <item val="ROC Curve (Variable output)"/>
  </itemLst>
</formControlPr>
</file>

<file path=xl/ctrlProps/ctrlProp2.xml><?xml version="1.0" encoding="utf-8"?>
<formControlPr xmlns="http://schemas.microsoft.com/office/spreadsheetml/2009/9/main" objectType="Drop" dropStyle="combo" dx="22" noThreeD="1" sel="1" val="0">
  <itemLst>
    <item val="Summary statistics"/>
    <item val="Correlation matrix"/>
    <item val="Regression of variable age"/>
    <item val="Goodness of fit statistics (age)"/>
    <item val="Analysis of variance (age)"/>
    <item val="Model parameters (age)"/>
    <item val="Equation of the model (age)"/>
    <item val="Standardized coefficients (age)"/>
    <item val="Predictions and residuals (age)"/>
  </itemLst>
</formControlPr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.xml"/><Relationship Id="rId1" Type="http://schemas.microsoft.com/office/2014/relationships/chartEx" Target="../charts/chartEx1.xml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13" Type="http://schemas.openxmlformats.org/officeDocument/2006/relationships/image" Target="../media/image8.png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12" Type="http://schemas.openxmlformats.org/officeDocument/2006/relationships/image" Target="../media/image7.png"/><Relationship Id="rId17" Type="http://schemas.openxmlformats.org/officeDocument/2006/relationships/chart" Target="../charts/chart15.xml"/><Relationship Id="rId2" Type="http://schemas.openxmlformats.org/officeDocument/2006/relationships/chart" Target="../charts/chart5.xml"/><Relationship Id="rId16" Type="http://schemas.openxmlformats.org/officeDocument/2006/relationships/chart" Target="../charts/chart14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11" Type="http://schemas.openxmlformats.org/officeDocument/2006/relationships/image" Target="../media/image6.png"/><Relationship Id="rId5" Type="http://schemas.openxmlformats.org/officeDocument/2006/relationships/chart" Target="../charts/chart8.xml"/><Relationship Id="rId15" Type="http://schemas.openxmlformats.org/officeDocument/2006/relationships/chart" Target="../charts/chart13.xml"/><Relationship Id="rId10" Type="http://schemas.openxmlformats.org/officeDocument/2006/relationships/image" Target="../media/image5.png"/><Relationship Id="rId4" Type="http://schemas.openxmlformats.org/officeDocument/2006/relationships/chart" Target="../charts/chart7.xml"/><Relationship Id="rId9" Type="http://schemas.openxmlformats.org/officeDocument/2006/relationships/image" Target="../media/image4.png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200025</xdr:colOff>
      <xdr:row>1</xdr:row>
      <xdr:rowOff>38100</xdr:rowOff>
    </xdr:from>
    <xdr:to>
      <xdr:col>8</xdr:col>
      <xdr:colOff>114300</xdr:colOff>
      <xdr:row>13</xdr:row>
      <xdr:rowOff>123825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C4D98257-404A-495A-A421-2CC7DCDC854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143500" y="285750"/>
              <a:ext cx="4133850" cy="24003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3</xdr:col>
      <xdr:colOff>342900</xdr:colOff>
      <xdr:row>17</xdr:row>
      <xdr:rowOff>52387</xdr:rowOff>
    </xdr:from>
    <xdr:to>
      <xdr:col>8</xdr:col>
      <xdr:colOff>76200</xdr:colOff>
      <xdr:row>30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4891462-B47C-73E8-E672-B80BD1FA60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333375</xdr:colOff>
      <xdr:row>31</xdr:row>
      <xdr:rowOff>9526</xdr:rowOff>
    </xdr:from>
    <xdr:to>
      <xdr:col>13</xdr:col>
      <xdr:colOff>145939</xdr:colOff>
      <xdr:row>43</xdr:row>
      <xdr:rowOff>47626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3C736CD6-91F6-7BB4-445B-43F8D58B17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6825" y="6172201"/>
          <a:ext cx="3470164" cy="2419350"/>
        </a:xfrm>
        <a:prstGeom prst="rect">
          <a:avLst/>
        </a:prstGeom>
      </xdr:spPr>
    </xdr:pic>
    <xdr:clientData/>
  </xdr:twoCellAnchor>
  <xdr:twoCellAnchor editAs="oneCell">
    <xdr:from>
      <xdr:col>3</xdr:col>
      <xdr:colOff>180975</xdr:colOff>
      <xdr:row>30</xdr:row>
      <xdr:rowOff>171450</xdr:rowOff>
    </xdr:from>
    <xdr:to>
      <xdr:col>7</xdr:col>
      <xdr:colOff>217124</xdr:colOff>
      <xdr:row>42</xdr:row>
      <xdr:rowOff>188360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6C3B3CE8-2425-FA14-F6A8-5635110DCC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124450" y="6143625"/>
          <a:ext cx="3646124" cy="23981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247651</xdr:colOff>
      <xdr:row>115</xdr:row>
      <xdr:rowOff>0</xdr:rowOff>
    </xdr:from>
    <xdr:to>
      <xdr:col>6</xdr:col>
      <xdr:colOff>104776</xdr:colOff>
      <xdr:row>127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2ECBBD0-DF25-4FFD-BA49-E1C4DAA3FD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666750</xdr:colOff>
      <xdr:row>114</xdr:row>
      <xdr:rowOff>0</xdr:rowOff>
    </xdr:from>
    <xdr:to>
      <xdr:col>10</xdr:col>
      <xdr:colOff>142875</xdr:colOff>
      <xdr:row>131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78A0184-4E22-4DC3-B799-E961EAC23E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561974</xdr:colOff>
      <xdr:row>0</xdr:row>
      <xdr:rowOff>0</xdr:rowOff>
    </xdr:from>
    <xdr:to>
      <xdr:col>18</xdr:col>
      <xdr:colOff>361949</xdr:colOff>
      <xdr:row>16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A790E27-7FAB-178C-065B-C379404E9B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590549</xdr:colOff>
      <xdr:row>0</xdr:row>
      <xdr:rowOff>0</xdr:rowOff>
    </xdr:from>
    <xdr:to>
      <xdr:col>20</xdr:col>
      <xdr:colOff>85724</xdr:colOff>
      <xdr:row>16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5C44ACA-DB14-3AA4-AA24-D9053B0C57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342900</xdr:colOff>
      <xdr:row>17</xdr:row>
      <xdr:rowOff>123825</xdr:rowOff>
    </xdr:from>
    <xdr:to>
      <xdr:col>15</xdr:col>
      <xdr:colOff>438150</xdr:colOff>
      <xdr:row>31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E6D2DA1-D756-0008-C8D6-47CDAB3554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200025</xdr:colOff>
      <xdr:row>0</xdr:row>
      <xdr:rowOff>0</xdr:rowOff>
    </xdr:from>
    <xdr:to>
      <xdr:col>35</xdr:col>
      <xdr:colOff>200025</xdr:colOff>
      <xdr:row>10</xdr:row>
      <xdr:rowOff>9525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2534A70-B43E-79F0-BCCC-2F4D445883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36</xdr:col>
      <xdr:colOff>276225</xdr:colOff>
      <xdr:row>0</xdr:row>
      <xdr:rowOff>0</xdr:rowOff>
    </xdr:from>
    <xdr:to>
      <xdr:col>42</xdr:col>
      <xdr:colOff>276225</xdr:colOff>
      <xdr:row>9</xdr:row>
      <xdr:rowOff>190500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7647265-BDEE-B629-41A8-8852A7AA4D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34</xdr:col>
      <xdr:colOff>514350</xdr:colOff>
      <xdr:row>4</xdr:row>
      <xdr:rowOff>66675</xdr:rowOff>
    </xdr:from>
    <xdr:to>
      <xdr:col>40</xdr:col>
      <xdr:colOff>514350</xdr:colOff>
      <xdr:row>14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411AF94-7ED1-9030-5566-4BD5B3AAEC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35</xdr:col>
      <xdr:colOff>190500</xdr:colOff>
      <xdr:row>12</xdr:row>
      <xdr:rowOff>38100</xdr:rowOff>
    </xdr:from>
    <xdr:to>
      <xdr:col>41</xdr:col>
      <xdr:colOff>190500</xdr:colOff>
      <xdr:row>22</xdr:row>
      <xdr:rowOff>57150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5C9FF75-ADF6-0EF6-DF23-329DA76F91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36</xdr:col>
      <xdr:colOff>0</xdr:colOff>
      <xdr:row>20</xdr:row>
      <xdr:rowOff>114300</xdr:rowOff>
    </xdr:from>
    <xdr:to>
      <xdr:col>42</xdr:col>
      <xdr:colOff>0</xdr:colOff>
      <xdr:row>30</xdr:row>
      <xdr:rowOff>152400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CB8CE0DB-09B6-F3D3-D5C7-14F19ADEFB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15</xdr:col>
      <xdr:colOff>109728</xdr:colOff>
      <xdr:row>321</xdr:row>
      <xdr:rowOff>38100</xdr:rowOff>
    </xdr:from>
    <xdr:to>
      <xdr:col>16</xdr:col>
      <xdr:colOff>597408</xdr:colOff>
      <xdr:row>322</xdr:row>
      <xdr:rowOff>152400</xdr:rowOff>
    </xdr:to>
    <xdr:sp macro="[0]!OrderXLSTAT" textlink="">
      <xdr:nvSpPr>
        <xdr:cNvPr id="10" name="BT705548">
          <a:extLst>
            <a:ext uri="{FF2B5EF4-FFF2-40B4-BE49-F238E27FC236}">
              <a16:creationId xmlns:a16="http://schemas.microsoft.com/office/drawing/2014/main" id="{90549D58-881C-5857-54A3-CDD1A7D83F2B}"/>
            </a:ext>
          </a:extLst>
        </xdr:cNvPr>
        <xdr:cNvSpPr txBox="1"/>
      </xdr:nvSpPr>
      <xdr:spPr>
        <a:xfrm>
          <a:off x="10577703" y="63236475"/>
          <a:ext cx="1097280" cy="304800"/>
        </a:xfrm>
        <a:prstGeom prst="rect">
          <a:avLst/>
        </a:prstGeom>
        <a:solidFill>
          <a:srgbClr val="FFFFFF"/>
        </a:solidFill>
        <a:ln w="9525" cmpd="sng">
          <a:solidFill>
            <a:srgbClr val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IN" sz="1100"/>
            <a:t>Order</a:t>
          </a:r>
        </a:p>
      </xdr:txBody>
    </xdr:sp>
    <xdr:clientData/>
  </xdr:twoCellAnchor>
  <xdr:twoCellAnchor editAs="oneCell">
    <xdr:from>
      <xdr:col>6</xdr:col>
      <xdr:colOff>12700</xdr:colOff>
      <xdr:row>344</xdr:row>
      <xdr:rowOff>0</xdr:rowOff>
    </xdr:from>
    <xdr:to>
      <xdr:col>6</xdr:col>
      <xdr:colOff>38100</xdr:colOff>
      <xdr:row>344</xdr:row>
      <xdr:rowOff>25400</xdr:rowOff>
    </xdr:to>
    <xdr:sp macro="" textlink="">
      <xdr:nvSpPr>
        <xdr:cNvPr id="11" name="TX807058" hidden="1">
          <a:extLst>
            <a:ext uri="{FF2B5EF4-FFF2-40B4-BE49-F238E27FC236}">
              <a16:creationId xmlns:a16="http://schemas.microsoft.com/office/drawing/2014/main" id="{E2550022-E4E8-EFE1-69D8-6BE1E81883EA}"/>
            </a:ext>
          </a:extLst>
        </xdr:cNvPr>
        <xdr:cNvSpPr txBox="1"/>
      </xdr:nvSpPr>
      <xdr:spPr>
        <a:xfrm>
          <a:off x="4994275" y="65674875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IN" sz="1100"/>
            <a:t>RunProcLOG
Form2.txt
CheckBox_Intercept,CheckBox,0,False,100000000002_Options|General,False,Intercept,False,,,
CheckBoxResidCharts,CheckBox,-1,True,600000000200_Charts,True,Predictions,False,,,
CheckBoxRegCharts,CheckBox,-1,True,600000000000_Charts,True,Regression charts,False,,,
CheckBox_Conf,CheckBox,0,True,600000000300_Charts,True,Confidence intervals,False,,,
CheckBoxTrans,CheckBox,0,False,03,False,Trans,False,,,
CheckBoxChartsCoeff,CheckBox,-1,True,600000000100_Charts,True,Standardized coefficients,False,,,
ComboBox_TestMethod,ComboBox,0,True,200000000200_Validation,True,Select the method for the extraction of validation data,False,,,
TextBoxTestNumber,TextBox,1,True,200000000400_Validation,True,,False,,,
RefEditGroup,RefEdit0,,True,200000000600_Validation,True,Group variable:,False,,,
CheckBox_Validation,CheckBox,0,True,200000000000_Validation,True,Validation,False,,,
OptionButton_W,OptionButton,0,True,000000020001_General,True,Workbook,False,,,
OptionButton_R,OptionButton,-1,True,000000000001_General,True,Range,False,,,
OptionButton_S,OptionButton,0,True,000000010001_General,True,Sheet,False,,,
RefEdit_R,RefEdit,'regression'!$F$332,True,000000000101_General,True,Range:,False,,0,0
CheckBoxVarLabels,CheckBox,-1,True,000000000201_General,True,Variable labels,False,,,
CheckBox_ObsLabels,CheckBox,0,True,000000000301_General,True,Observation labels,False,,,
RefEdit_W,RefEdit0,,True,000000000601_General,True,Observation weights:,False,,,
CheckBox_W,CheckBox,0,True,000000000501_General,True,Observation weights,False,,,
RefEdit_ObsLabels,RefEdit0,,True,000000000401_General,True,Observation labels:,False,,,
RefEdit_Wr,RefEdit0,,True,000000000801_General,True,Regression weights:,False,,,
CheckBox_Wr,CheckBox,0,True,000000000701_General,True,Regression weights,False,,,
CheckBox_X,CheckBox,-1,True,000000000600_General,True,Quantitative,False,,,
RefEdit_X,RefEdit0,'regression'!$A$331:$C$634,True,000000020600_General,True,X / Explanatory variables:,False,,304,3
CheckBox_Q,CheckBox,0,True,000000030600_General,True,Qualitative,False,,,
RefEdit_Q,RefEdit0,,True,000000040600_General,True,Qualitative:,False,,,
ComboBoxType,ComboBox,0,True,000000000500_General,True,Activate this option if the dependent variable is binary,False,,,
RefEdit_Y,RefEdit0,'regression'!$D$331:$D$634,True,000000000100_General,True,Response variable(s):,False,,304,1
CheckBox_Predict,CheckBox,0,True,300000000100_Prediction,True,Prediction,False,,,
RefEdit_XPred,RefEdit0,,True,300000000500_Prediction,True,Quantitative:,False,,,
RefEdit_QPred,RefEdit0,,True,300000000700_Prediction,True,Qualitative:,False,,,
CheckBox_ObsLabelsPred,CheckBox,0,True,300000000800_Prediction,True,Observation labels,False,,,
RefEdit_PredLabels,RefEdit0,,True,300000000900_Prediction,True,,False,,,
FileSelect2,CommandButton,,False,300000000200_Prediction,False,,False,,,
CheckBox_PredVarLabels,CheckBox,0,True,300000001000_Prediction,True,Variable labels,False,,,
FileSelect1,CommandButton,,False,000000000200_General,False,,False,,,
TextBoxList,TextBox,,False,04,False,,False,,,
ScrollBarSelect,ScrollBar,0,False,05,False,,,,,
ComboBoxModel,ComboBox,0,True,000000000800_General,True,Select the model,False,,,
OptionButton_MVEstimate,OptionButton,0,True,400000000200_Missing data,True,Estimate missing data,False,,,
OptionButton_MeanMode,OptionButton,-1,True,400000000300_Missing data,True,Mean or mode,False,,,
OptionButton_NN,OptionButton,0,True,400000010300_Missing data,True,Nearest neighbor,False,,,
OptionButton_MVRemove,OptionButton,-1,True,400000000100_Missing data,True,Remove the observations,False,,,
OptionButtonEachY,OptionButton,0,True,400000000400_Missing data,True,Check for each Y separately,False,,,
OptionButtonAcrossAll,OptionButton,-1,True,400000010400_Missing data,True,Across all Ys,False,,,
OptionButtonMVRefuse,OptionButton,0,True,400000000000_Missing data,True,Do not accept missing data,False,,,
ComboBox_Selection,ComboBox,0,True,110000000100_Options|Advanced,True,Choose a model selection method,False,,,
ComboBox_Criterion,ComboBox,0,True,110000000300_Options|Advanced,True,Criterion:,False,,,
TextBox_Threshold,TextBox,0.1,False,110000000500_Options|Advanced,False,Probability for removal:,False,,,
TextBox_MinVar,TextBox,2,True,110000000700_Options|Advanced,True,Min variables:,False,,,
TextBox_MaxVar,TextBox,2,True,110000000900_Options|Advanced,True,Max variables:,False,,,
TextBoxEntrance,TextBox,0.05,False,110000001100_Options|Advanced,False,Probability for entry:,False,,,
CheckBox_Selection,CheckBox,0,True,110000000000_Options|Advanced,True,Model selection,False,,,
RefEdit_W2,RefEdit,,True,110000000301_Options|Advanced,True,Corrective weights:,False,,,
CheckBoxAuto,CheckBox,0,True,110000000101_Options|Advanced,True,Automatic,False,,,
CheckBox_W2,CheckBox,0,True,110000000201_Options|Advanced,True,Corrective weights,False,,,
TextBox_conf,TextBox,95,True,100000010201_Options|General,True,Confidence interval (%):,False,,,
TextBoxTol,TextBox,0.001,True,100000010101_Options|General,True,Tolerance:,False,,,
CheckBox_Interactions,CheckBox,0,True,100000000001_Options|General,True,Interactions / Level,False,,,
TextBoxLevel,TextBox,2,True,100000010001_Options|General,True,,False,,,
ScrollBarLevel,SpinButton,2,True,100000020001_Options|General,False,,,,,
CheckBoxFirth,CheckBox,0,True,100000010100_Options|General,True,Firth's method,False,,,
CheckBoxL2,CheckBox,0,True,100000020100_Options|General,True,L2,False,,,
TextboxL2,TextBox,0.01,True,100000030100_Options|General,True,L2,False,,,
CheckBoxStdCoeff,CheckBox,-1,True,500000000800_Outputs,True,Standardized coefficients,False,,,
CheckBoxGood,CheckBox,-1,True,500000000300_Outputs,True,Goodness of fit statistics,False,,,
CheckBox_Equ,CheckBox,-1,True,500000000700_Outputs,True,Equation of the model,False,,,
CheckBoxModelCoeff,CheckBox,-1,True,500000000600_Outputs,True,Model coefficients,False,,,
CheckBox_AV,CheckBox,-1,True,500000000400_Outputs,True,Type II analysis,False,,,
CheckBoxVarCov,CheckBox,0,True,500000000900_Outputs,True,Covariance matrix,False,,,
CheckBoxHL,CheckBox,-1,True,500000000500_Outputs,True,Hosmer-Lemeshow test,False,,,
CheckBox_Desc,CheckBox,-1,True,500000000000_Outputs,True,Descriptive statistics,False,,,
CheckBox_Corr,CheckBox,-1,True,500000000100_Outputs,True,Correlations,False,,,
CheckBoxMultico,CheckBox,-1,True,500000000200_Outputs,True,Multicolinearity statistics,False,,,
CheckBoxDiag,CheckBox,0,True,500000000401_Outputs,True,Influence diagnostics,False,,,
CheckBox_Resid,CheckBox,-1,True,500000000001_Outputs,True,Predictions and residuals,False,,,
CheckBoxClassif,CheckBox,-1,True,500000000501_Outputs,True,Classification table,False,,,
TextBoxCut,TextBox,0.5,True,500000020501_Outputs,True,Cutpoint:,False,,,
ScrollBarCut,ScrollBar,50,True,500000030501_Outputs,False,,,,,
CheckBoxProbAna,CheckBox,0,True,500000000601_Outputs,True,Probability analysis,False,,,
CheckBoxInterpret,CheckBox,0,False,500000000701_Outputs,False,Interpretation,False,,,
ComboBox_Constraints,ComboBox,1,True,110000010401_Options|Advanced,True,Select the type of constraint to apply to the qualitative variables of the OLS model,False,,,
CheckBoxLRConf,CheckBox,0,True,100000000301_Options|General,True,LR Confidence intervals,False,,,
CheckBoxIndep,CheckBox,0,True,500000000101_Outputs,True,Independent model,False,,,
CheckBoxConfInt,CheckBox,0,True,500000000201_Outputs,True,Confidence intervals,False,,,
CheckBoxConfusionPlot,CheckBox,-1,True,600000000400_Charts,True,Confusion plot,False,,,
ComboBoxModRef,ComboBox,-1,False,000000001101_General,False,Select the control category,False,,,
CheckBoxSig,CheckBox,0,True,500000000301_Outputs,True,Significance analysis,False,,,
CheckBoxCompare,CheckBox,0,False,110000000501_Options|Advanced,False,Comparisons,False,,,
CheckBoxROC,CheckBox,-1,True,600000000600_Charts,True,ROC Curve,False,,,
ComboBoxAlgo,ComboBox,0,True,100000000200_Options|General,True,Algorithm:,False,,,
TextBoxPerc,TextBox,30,True,100001020200_Options|General,True,%:,False,,,
ComboBoxConfusion,ComboBox,0,True,600000010500_Charts,True,,False,,,
TextBoxMaxTime,TextBox,180,True,100000060000_Options|General,True,Maximum time (s):,False,,,
TextBoxConv,TextBox,0.000001,True,100000040000_Options|General,True,Convergence:,False,,,
TextBoxMaxIter,TextBox,50,True,100000020000_Options|General,True,Iterations:,False,,,
CheckBoxMarginal,CheckBox,0,True,500000001000_Outputs,True,Marginal effects at the means,False,,,
</a:t>
          </a:r>
        </a:p>
      </xdr:txBody>
    </xdr:sp>
    <xdr:clientData/>
  </xdr:twoCellAnchor>
  <xdr:twoCellAnchor editAs="absolute">
    <xdr:from>
      <xdr:col>5</xdr:col>
      <xdr:colOff>6350</xdr:colOff>
      <xdr:row>333</xdr:row>
      <xdr:rowOff>177800</xdr:rowOff>
    </xdr:from>
    <xdr:to>
      <xdr:col>10</xdr:col>
      <xdr:colOff>254000</xdr:colOff>
      <xdr:row>336</xdr:row>
      <xdr:rowOff>66675</xdr:rowOff>
    </xdr:to>
    <xdr:sp macro="" textlink="">
      <xdr:nvSpPr>
        <xdr:cNvPr id="12" name="BK807058">
          <a:extLst>
            <a:ext uri="{FF2B5EF4-FFF2-40B4-BE49-F238E27FC236}">
              <a16:creationId xmlns:a16="http://schemas.microsoft.com/office/drawing/2014/main" id="{A8A14D99-9446-DA05-0E9D-E5EE63362F93}"/>
            </a:ext>
          </a:extLst>
        </xdr:cNvPr>
        <xdr:cNvSpPr/>
      </xdr:nvSpPr>
      <xdr:spPr>
        <a:xfrm>
          <a:off x="3644900" y="65681225"/>
          <a:ext cx="4029075" cy="460375"/>
        </a:xfrm>
        <a:prstGeom prst="roundRect">
          <a:avLst/>
        </a:prstGeom>
        <a:solidFill>
          <a:srgbClr val="F5F5F5"/>
        </a:solidFill>
        <a:ln w="12700">
          <a:solidFill>
            <a:srgbClr val="C9521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5</xdr:col>
      <xdr:colOff>506095</xdr:colOff>
      <xdr:row>334</xdr:row>
      <xdr:rowOff>34925</xdr:rowOff>
    </xdr:from>
    <xdr:to>
      <xdr:col>5</xdr:col>
      <xdr:colOff>868045</xdr:colOff>
      <xdr:row>336</xdr:row>
      <xdr:rowOff>15875</xdr:rowOff>
    </xdr:to>
    <xdr:pic macro="[0]!ReRunXLSTAT">
      <xdr:nvPicPr>
        <xdr:cNvPr id="13" name="BT807058">
          <a:extLst>
            <a:ext uri="{FF2B5EF4-FFF2-40B4-BE49-F238E27FC236}">
              <a16:creationId xmlns:a16="http://schemas.microsoft.com/office/drawing/2014/main" id="{633BD6D4-30E0-BA22-22D1-33C15FA9C5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144645" y="65728850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6</xdr:col>
      <xdr:colOff>52705</xdr:colOff>
      <xdr:row>334</xdr:row>
      <xdr:rowOff>34925</xdr:rowOff>
    </xdr:from>
    <xdr:to>
      <xdr:col>6</xdr:col>
      <xdr:colOff>414655</xdr:colOff>
      <xdr:row>336</xdr:row>
      <xdr:rowOff>15875</xdr:rowOff>
    </xdr:to>
    <xdr:pic macro="[0]!AddRemovGrid">
      <xdr:nvPicPr>
        <xdr:cNvPr id="14" name="RM807058">
          <a:extLst>
            <a:ext uri="{FF2B5EF4-FFF2-40B4-BE49-F238E27FC236}">
              <a16:creationId xmlns:a16="http://schemas.microsoft.com/office/drawing/2014/main" id="{1554D4F2-8FEC-D9B8-896E-2E0F2D84F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034280" y="65728850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6</xdr:col>
      <xdr:colOff>52705</xdr:colOff>
      <xdr:row>334</xdr:row>
      <xdr:rowOff>34925</xdr:rowOff>
    </xdr:from>
    <xdr:to>
      <xdr:col>6</xdr:col>
      <xdr:colOff>414655</xdr:colOff>
      <xdr:row>336</xdr:row>
      <xdr:rowOff>15875</xdr:rowOff>
    </xdr:to>
    <xdr:pic macro="[0]!AddRemovGrid">
      <xdr:nvPicPr>
        <xdr:cNvPr id="15" name="AD807058" hidden="1">
          <a:extLst>
            <a:ext uri="{FF2B5EF4-FFF2-40B4-BE49-F238E27FC236}">
              <a16:creationId xmlns:a16="http://schemas.microsoft.com/office/drawing/2014/main" id="{A27FCB51-648A-16A8-3F57-F40BA81256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034280" y="65728850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7</xdr:col>
      <xdr:colOff>332740</xdr:colOff>
      <xdr:row>334</xdr:row>
      <xdr:rowOff>34925</xdr:rowOff>
    </xdr:from>
    <xdr:to>
      <xdr:col>8</xdr:col>
      <xdr:colOff>85090</xdr:colOff>
      <xdr:row>336</xdr:row>
      <xdr:rowOff>15875</xdr:rowOff>
    </xdr:to>
    <xdr:pic macro="[0]!SendToOfficeLocal">
      <xdr:nvPicPr>
        <xdr:cNvPr id="16" name="WD807058">
          <a:extLst>
            <a:ext uri="{FF2B5EF4-FFF2-40B4-BE49-F238E27FC236}">
              <a16:creationId xmlns:a16="http://schemas.microsoft.com/office/drawing/2014/main" id="{7471705F-F75A-2FF5-9D52-61C4728DF6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23915" y="65728850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9</xdr:col>
      <xdr:colOff>3175</xdr:colOff>
      <xdr:row>334</xdr:row>
      <xdr:rowOff>34925</xdr:rowOff>
    </xdr:from>
    <xdr:to>
      <xdr:col>9</xdr:col>
      <xdr:colOff>365125</xdr:colOff>
      <xdr:row>336</xdr:row>
      <xdr:rowOff>15875</xdr:rowOff>
    </xdr:to>
    <xdr:pic macro="[0]!SendToOfficeLocal">
      <xdr:nvPicPr>
        <xdr:cNvPr id="17" name="PT807058">
          <a:extLst>
            <a:ext uri="{FF2B5EF4-FFF2-40B4-BE49-F238E27FC236}">
              <a16:creationId xmlns:a16="http://schemas.microsoft.com/office/drawing/2014/main" id="{461973FD-7F0A-5739-8493-13E112244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813550" y="65728850"/>
          <a:ext cx="361950" cy="3619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440</xdr:row>
      <xdr:rowOff>0</xdr:rowOff>
    </xdr:from>
    <xdr:to>
      <xdr:col>10</xdr:col>
      <xdr:colOff>0</xdr:colOff>
      <xdr:row>457</xdr:row>
      <xdr:rowOff>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6E842EA-F694-467F-AF13-89E333716C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0</xdr:colOff>
      <xdr:row>767</xdr:row>
      <xdr:rowOff>0</xdr:rowOff>
    </xdr:from>
    <xdr:to>
      <xdr:col>10</xdr:col>
      <xdr:colOff>0</xdr:colOff>
      <xdr:row>784</xdr:row>
      <xdr:rowOff>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BCF31746-1853-33A7-31BC-790B007C4F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0</xdr:colOff>
      <xdr:row>794</xdr:row>
      <xdr:rowOff>0</xdr:rowOff>
    </xdr:from>
    <xdr:to>
      <xdr:col>9</xdr:col>
      <xdr:colOff>66675</xdr:colOff>
      <xdr:row>811</xdr:row>
      <xdr:rowOff>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15975672-3A42-FC7B-B757-C9E3198A7B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</xdr:col>
      <xdr:colOff>0</xdr:colOff>
      <xdr:row>815</xdr:row>
      <xdr:rowOff>0</xdr:rowOff>
    </xdr:from>
    <xdr:to>
      <xdr:col>10</xdr:col>
      <xdr:colOff>0</xdr:colOff>
      <xdr:row>832</xdr:row>
      <xdr:rowOff>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B5451D5E-80EF-64CD-BD68-F17B3219CE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596900</xdr:colOff>
      <xdr:row>333</xdr:row>
      <xdr:rowOff>0</xdr:rowOff>
    </xdr:from>
    <xdr:to>
      <xdr:col>5</xdr:col>
      <xdr:colOff>12700</xdr:colOff>
      <xdr:row>333</xdr:row>
      <xdr:rowOff>25400</xdr:rowOff>
    </xdr:to>
    <xdr:sp macro="" textlink="">
      <xdr:nvSpPr>
        <xdr:cNvPr id="22" name="XP807058" hidden="1">
          <a:extLst>
            <a:ext uri="{FF2B5EF4-FFF2-40B4-BE49-F238E27FC236}">
              <a16:creationId xmlns:a16="http://schemas.microsoft.com/office/drawing/2014/main" id="{A4AC9388-2267-08E6-CD3E-86DED2EDA0FE}"/>
            </a:ext>
          </a:extLst>
        </xdr:cNvPr>
        <xdr:cNvSpPr txBox="1"/>
      </xdr:nvSpPr>
      <xdr:spPr>
        <a:xfrm>
          <a:off x="3625850" y="63579375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IN" sz="1100"/>
            <a:t>regression*SEP*Summary statistics (Quantitative data)*SEP*$F$349
regression*SEP*Summary statistics (Qualitative data)*SEP*$F$357
regression*SEP*Correlation matrix*SEP*$F$364
regression*SEP*Multicolinearity statistics*SEP*$F$373
regression*SEP*Regression of variable output (Control category = 0)*SEP*$F$380
regression*SEP*Goodness of fit statistics (Variable output)*SEP*$F$382
regression*SEP*Test of the null hypothesis H0: Pr(output=1)=0.545*SEP*$F$397
regression*SEP*Type II analysis (Variable output)*SEP*$F$405
regression*SEP*Hosmer-Lemeshow test (Variable output)*SEP*$F$413
regression*SEP*Model parameters (Variable output)*SEP*$F$419
regression*SEP*Equation of the model (Variable output)*SEP*$F$428
regression*SEP*Standardized coefficients (Variable output)*SEP*$F$433
regression*SEP*Predictions and residuals (Variable output)*SEP*$F$460
regression*SEP*Classification table for the training sample (Variable output)*SEP*$F$787
regression*SEP*ROC Curve (Variable output)*SEP*$F$814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345</xdr:row>
          <xdr:rowOff>0</xdr:rowOff>
        </xdr:from>
        <xdr:to>
          <xdr:col>8</xdr:col>
          <xdr:colOff>600075</xdr:colOff>
          <xdr:row>346</xdr:row>
          <xdr:rowOff>0</xdr:rowOff>
        </xdr:to>
        <xdr:sp macro="" textlink="">
          <xdr:nvSpPr>
            <xdr:cNvPr id="2052" name="DD12437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 editAs="absolute">
    <xdr:from>
      <xdr:col>53</xdr:col>
      <xdr:colOff>81152</xdr:colOff>
      <xdr:row>1</xdr:row>
      <xdr:rowOff>40005</xdr:rowOff>
    </xdr:from>
    <xdr:to>
      <xdr:col>54</xdr:col>
      <xdr:colOff>568832</xdr:colOff>
      <xdr:row>2</xdr:row>
      <xdr:rowOff>160020</xdr:rowOff>
    </xdr:to>
    <xdr:sp macro="[0]!OrderXLSTAT" textlink="">
      <xdr:nvSpPr>
        <xdr:cNvPr id="24" name="BT777264">
          <a:extLst>
            <a:ext uri="{FF2B5EF4-FFF2-40B4-BE49-F238E27FC236}">
              <a16:creationId xmlns:a16="http://schemas.microsoft.com/office/drawing/2014/main" id="{983358A7-7140-3C3B-CFD9-EC4AB13B4203}"/>
            </a:ext>
          </a:extLst>
        </xdr:cNvPr>
        <xdr:cNvSpPr txBox="1"/>
      </xdr:nvSpPr>
      <xdr:spPr>
        <a:xfrm>
          <a:off x="34333052" y="230505"/>
          <a:ext cx="1097280" cy="320040"/>
        </a:xfrm>
        <a:prstGeom prst="rect">
          <a:avLst/>
        </a:prstGeom>
        <a:solidFill>
          <a:srgbClr val="FFFFFF"/>
        </a:solidFill>
        <a:ln w="9525" cmpd="sng">
          <a:solidFill>
            <a:srgbClr val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IN" sz="1100"/>
            <a:t>Order</a:t>
          </a:r>
        </a:p>
      </xdr:txBody>
    </xdr:sp>
    <xdr:clientData/>
  </xdr:twoCellAnchor>
  <xdr:twoCellAnchor editAs="oneCell">
    <xdr:from>
      <xdr:col>44</xdr:col>
      <xdr:colOff>12700</xdr:colOff>
      <xdr:row>8</xdr:row>
      <xdr:rowOff>0</xdr:rowOff>
    </xdr:from>
    <xdr:to>
      <xdr:col>44</xdr:col>
      <xdr:colOff>38100</xdr:colOff>
      <xdr:row>8</xdr:row>
      <xdr:rowOff>25400</xdr:rowOff>
    </xdr:to>
    <xdr:sp macro="" textlink="">
      <xdr:nvSpPr>
        <xdr:cNvPr id="25" name="TX413513" hidden="1">
          <a:extLst>
            <a:ext uri="{FF2B5EF4-FFF2-40B4-BE49-F238E27FC236}">
              <a16:creationId xmlns:a16="http://schemas.microsoft.com/office/drawing/2014/main" id="{FB044545-8523-31D3-DBC2-D557AB3D5502}"/>
            </a:ext>
          </a:extLst>
        </xdr:cNvPr>
        <xdr:cNvSpPr txBox="1"/>
      </xdr:nvSpPr>
      <xdr:spPr>
        <a:xfrm>
          <a:off x="28749625" y="1552575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IN" sz="1100"/>
            <a:t>RunProcREG
Form53.txt
TextBoxList,TextBox,,False,03,False,,False,,,
CheckBoxTrans,CheckBox,0,False,04,False,Trans,False,,,
ComboBox_TestMethod,ComboBox,0,True,200000000300_Validation,True,Select the method for the extraction of validation data,False,,,
TextBoxTestNumber,TextBox,1,True,200000000500_Validation,True,,False,,,
RefEditGroup,RefEdit0,,True,200000000700_Validation,True,Group variable:,False,,,
CheckBox_Validation,CheckBox,0,True,200000000100_Validation,True,Validation,False,,,
CheckBoxSort,CheckBox,0,True,510000000201_Outputs|Means,True,Sort up,False,,,
CheckBoxApplyAll,CheckBox,0,True,510000000101_Outputs|Means,True,Apply to all factors,False,,,
CheckBoxMCompare,CheckBox,0,True,510000000001_Outputs|Means,True,Multiple comparisons,False,,,
CheckBoxCIMeans,CheckBox,0,True,510000000301_Outputs|Means,True,Confidence intervals,False,,,
CheckBoxSlopes,CheckBox,0,False,510000000401_Outputs|Means,False,Comparison of slopes,False,,,
CheckBoxPairwise,CheckBox,0,True,510000000002_Outputs|Means,True,Pairwise comparisons,False,,,
CheckBoxControl,CheckBox,0,True,510000000202_Outputs|Means,True,Comparisons with a control,False,,,
CheckBoxMeanSq,CheckBox,0,True,510000000402_Outputs|Means,True,Choose the MSE,False,,,
CheckBoxProtected,CheckBox,0,True,510000000502_Outputs|Means,True,Protected,False,,,
CheckBoxTB,CheckBox,0,True,510000000602_Outputs|Means,True,Top/Bottom boxes,False,,,
OptionButtonTB2,OptionButton,-1,True,510000000702_Outputs|Means,True,2,False,,,
OptionButtonTB3,OptionButton,0,True,510000000802_Outputs|Means,True,3,False,,,
ListBoxControl,ListBox,,True,510000000302_Outputs|Means,True,Comparisons with a control:,False,,,
ListBoxPairwise,ListBox,,True,510000000102_Outputs|Means,True,Pairwise comparisons:,False,,,
CheckBoxMeanConfTab,CheckBox,-1,True,510000000300_Outputs|Means,True,Confidence interval,False,,,
CheckBoxMeans,CheckBox,-1,True,510000000000_Outputs|Means,True,Means,False,,,
CheckBoxMeanStdError,CheckBox,-1,True,510000000200_Outputs|Means,True,Standard errors,False,,,
CheckBoxLSM,CheckBox,-1,True,510000000100_Outputs|Means,True,LS means,False,,,
CheckBox_Desc,CheckBox,-1,True,500000000000_Outputs|General,True,Descriptive statistics,False,,,
CheckBox_Corr,CheckBox,-1,True,500000000100_Outputs|General,True,Correlations,False,,,
CheckBox_AV,CheckBox,-1,True,500000000400_Outputs|General,True,Analysis of variance,False,,,
CheckBoxPress,CheckBox,0,True,500000000600_Outputs|General,True,Press,False,,,
CheckBox_TISS,CheckBox,0,True,500000000500_Outputs|General,True,Type I/III SS,False,,,
CheckBoxMultiCo,CheckBox,0,True,500000000200_Outputs|General,True,Multicolinearity statistics,False,,,
CheckBoxInterpret,CheckBox,0,True,500000000700_Outputs|General,True,Interpretation,False,,,
CheckBox_Resid,CheckBox,-1,True,500000000101_Outputs|General,True,Predictions and residuals,False,,,
CheckBoxStdCoeff,CheckBox,-1,True,500000000001_Outputs|General,True,Standardized coefficients,False,,,
CheckBoxDiag,CheckBox,0,True,500000000501_Outputs|General,True,Influence diagnostics,False,,,
CheckBoxAdjPred,CheckBox,0,True,500000000401_Outputs|General,True,Adjusted predictions,False,,,
CheckBoxWelch,CheckBox,0,False,500000000601_Outputs|General,False,Welch statistic,False,,,
CheckBoxDispX,CheckBox,0,True,500000000201_Outputs|General,True,X,False,,,
CheckBoxPredConf,CheckBox,-1,True,500000000301_Outputs|General,True,Confidence intervals,False,,,
CheckBoxContrasts,CheckBox,0,True,520000000000_Outputs|Contrasts,True,Compute contrasts,False,,,
RefEditContrasts,RefEdit,,True,520000000200_Outputs|Contrasts,True,Definition:,False,,,
CheckBoxLevene,CheckBox,0,False,530000000100_Outputs|Test assumptions,False,Levene's test,False,,,
CheckBox_Intercept,CheckBox,0,True,100000000000_Options|Model,True,Fixed Intercept,False,,,
TextBox_Intercept,TextBox,0,True,100000010000_Options|Model,True,Fixed Intercept:,False,,,
TextBoxTol,TextBox,0.0001,True,100000030000_Options|Model,True,Tolerance:,False,,,
TextBox_Conf,TextBox,95,True,100000010200_Options|Model,True,Confidence interval (%):,False,,,
CheckBox_Interactions,CheckBox,0,True,100000000100_Options|Model,True,Interactions / Level,False,,,
TextBoxLevel,TextBox,2,True,100000010100_Options|Model,True,,False,,,
ComboBox_Selection,ComboBox,0,True,100000000101_Options|Model,True,Choose a model selection method,False,,,
CheckBox_Selection,CheckBox,0,True,100000000001_Options|Model,True,Model selection,False,,,
ComboBox_Criterion,ComboBox,0,True,100000000301_Options|Model,True,Criterion:,False,,,
TextBox_Threshold,TextBox,0.1,False,100000000501_Options|Model,False,Probability for removal:,False,,,
TextBox_MinVar,TextBox,2,True,100000000701_Options|Model,True,Min variables:,False,,,
TextBox_MaxVar,TextBox,2,True,100000000901_Options|Model,True,Max variables:,False,,,
TextBoxEntrance,TextBox,0.05,False,100000001101_Options|Model,False,Probability for entry:,False,,,
ComboBox_Constraints,ComboBox,1,True,110000010000_Options|ANOVA / ANCOVA,True,Select the type of constraint to apply to the qualitative variables of the OLS model,False,,,
CheckBoxNested,CheckBox,0,True,110000000100_Options|ANOVA / ANCOVA,True,Nested effects,False,,,
CheckBoxHetero,CheckBox,0,True,120000000100_Options|Covariances,True,Heteroscedasticity,False,,,
ComboBoxHACMethod,ComboBox,0,True,120000010200_Options|Covariances,True,Method:,False,,,
CheckBoxAutoCorr,CheckBox,0,True,120000000300_Options|Covariances,True,Autocorrelation,False,,,
TextBoxLag,TextBox,1,True,120000010400_Options|Covariances,True,Lag: ,False,,,
CheckBox_Predict,CheckBox,0,True,300000000102_Prediction,True,Prediction,False,,,
RefEdit_QPred,RefEdit0,,True,300000000402_Prediction,True,Qualitative:,False,,,
RefEdit_XPred,RefEdit0,,True,300000000302_Prediction,True,Quantitative:,False,,,
CheckBox_ObsLabelsPred,CheckBox,0,True,300000000502_Prediction,True,Observation labels,False,,,
RefEdit_PredLabels,RefEdit0,,True,300000000602_Prediction,True,,False,,,
OptionButton_MVEstimate,OptionButton,0,True,400000000400_Missing data,True,Estimate missing data,False,,,
OptionButton_MeanMode,OptionButton,-1,True,400000000500_Missing data,True,Mean or mode,False,,,
OptionButton_NN,OptionButton,0,True,400000010500_Missing data,True,Nearest neighbor,False,,,
OptionButton_MVRemove,OptionButton,-1,True,400000000100_Missing data,True,Remove the observations,False,,,
OptionButtonEachY,OptionButton,0,True,400000000200_Missing data,True,Check for each Y separately,False,,,
OptionButtonAcrossAll,OptionButton,-1,True,400000010200_Missing data,True,Across all Ys,False,,,
OptionButtonMVRefuse,OptionButton,0,True,400000000000_Missing data,True,Do not accept missing data,False,,,
OptionButton_MVIgnore,OptionButton,0,True,400000000300_Missing data,True,Ignore missing data,False,,,
CheckBoxResidCharts,CheckBox,0,True,600000000200_Charts,True,Predictions and residuals,False,,,
CheckBoxRegCharts,CheckBox,-1,True,600000000000_Charts,True,Regression charts,False,,,
CheckBoxChartsCoeff,CheckBox,0,True,600000000100_Charts,True,Standardized coefficients,False,,,
CheckBox_Conf,CheckBox,-1,True,600000000300_Charts,True,Confidence intervals,False,,,
OptionButtonCol,OptionButton,-1,True,000000010000_General,True,Column,False,,,
OptionButtonTab,OptionButton,0,True,000000020000_General,True,Table,False,,,
RefEditDataTable,RefEdit0,,True,000000010100_General,True,Data table:,False,,,
TextBoxNbFactors,TextBox,1,True,000001030100_General,True,Number of factors:,False,,,
OptionButton_W,OptionButton,0,True,000000000001_General,True,Workbook,False,,,
OptionButton_R,OptionButton,-1,True,000000010001_General,True,Range,False,,,
OptionButton_S,OptionButton,0,True,000000020001_General,True,Sheet,False,,,
RefEdit_R,RefEdit,'Sheet5'!$AR$2,True,000000000101_General,True,Range:,False,,0,0
CheckBoxVarLabels,CheckBox,-1,True,000000000201_General,True,Variable labels,False,,,
CheckBox_ObsLabels,CheckBox,0,True,000000010301_General,True,Observation labels,False,,,
RefEdit_Wr,RefEdit0,,True,000000060301_General,True,Regression weights:,False,,,
CheckBox_Wr,CheckBox,0,True,000000050301_General,True,Regression weights,False,,,
RefEdit_ObsLabels,RefEdit0,,True,000000020301_General,True,Observation labels:,False,,,
CheckBox_W,CheckBox,0,True,000000030301_General,True,Observation weights,False,,,
RefEdit_W,RefEdit0,,True,000000040301_General,True,Observation weights:,False,,,
FileSelect2,CommandButton,,False,300000000702_Prediction,False,,False,,,
CheckBoxNorm,CheckBox,0,True,530000000000_Outputs|Test assumptions,True,Normality test,False,,,
OptionButtonMean,OptionButton,-1,False,530000000200_Outputs|Test assumptions,False,Mean,False,,,
OptionButtonMedian,OptionButton,0,False,530000010200_Outputs|Test assumptions,False,Median,False,,,
RefEdit_Y,RefEdit0,'Sheet5'!$V$1:$V$304,True,000000030200_General,True,Y / Dependent variables:,False,,304,1
FileSelect1,CommandButton,,False,000000040200_General,False,,False,,,
ScrollBarSelect,ScrollBar,0,False,05,False,,,,,
CheckBox_X,CheckBox,-1,True,000001050200_General,True,Quantitative,False,,,
RefEdit_X,RefEdit0,'Sheet5'!$X$1:$X$304,True,000002050200_General,True,X / Explanatory variables:,False,,304,1
CheckBox_Q,CheckBox,0,True,000003050200_General,True,Qualitative,False,,,
RefEdit_Q,RefEdit0,,True,000004050200_General,True,Qualitative:,False,,,
CheckBoxMeansCharts,CheckBox,-1,True,600000000400_Charts,True,Means charts,False,,,
CheckBoxMeanConf,CheckBox,0,True,600000010400_Charts,True,Confidence intervals,False,,,
CheckBoxBar,CheckBox,0,True,600000020400_Charts,True,Bar chart,False,,,
CheckBox_PredVarLabels,CheckBox,0,True,300000001002_Prediction,True,Variable labels,False,,,
ScrollBarLevel,SpinButton,2,True,100000020100_Options|Model,False,,,,,
CheckBoxRand,CheckBox,0,True,110000000200_Options|ANOVA / ANCOVA,True,Random effects,False,,,
CheckBoxRestricted,CheckBox,0,True,110000010200_Options|ANOVA / ANCOVA,True,Restricted ANOVA,False,,,
CheckBoxProp,CheckBox,0,True,600000030400_Charts,True,Proportional,False,,,
CheckBoxSummary,CheckBox,-1,True,510000000902_Outputs|Means,True,Summary,False,,,
CheckBoxSumCharts,CheckBox,0,True,600000000001_Charts,True,Summary charts,False,,,
CheckBoxFilterY,CheckBox,0,True,600000000101_Charts,True,Filter Ys,False,,,
CheckBoxDemsar,CheckBox,0,False,600000040400_Charts,False,Demsar plots,False,,,
CheckBoxContBonf,CheckBox,-1,True,520000000300_Outputs|Contrasts,True,Bonferroni correction,False,,,
SpinButtonNbFactors,SpinButton,5,True,000002030100_General,False,,,,,
CheckBoxWithEta,CheckBox,0,True,500000000300_Outputs|General,True,Effect size measures,False,,,
RefEdit_G,RefEdit0,,True,000000080301_General,True,Groups:,False,,,
CheckBox_G,CheckBox,0,True,000000070301_General,True,Groups,False,,,
CheckBoxSortMeans,CheckBox,0,True,510000000400_Outputs|Means,True,Sort the means,False,,,
RefEditClusters,RefEdit0,,True,120000010500_Options|Covariances,True,Clusters:,False,,,
CheckBoxPoints,CheckBox,0,True,600000050400_Charts,True,With points,False,,,
CheckBoxValues,CheckBox,0,True,600000000201_Charts,True,Values,False,,,
CheckBoxHoriz,CheckBox,0,True,600000000301_Charts,True,Display horizontally,False,,,
</a:t>
          </a:r>
        </a:p>
      </xdr:txBody>
    </xdr:sp>
    <xdr:clientData/>
  </xdr:twoCellAnchor>
  <xdr:twoCellAnchor editAs="absolute">
    <xdr:from>
      <xdr:col>43</xdr:col>
      <xdr:colOff>6350</xdr:colOff>
      <xdr:row>8</xdr:row>
      <xdr:rowOff>6350</xdr:rowOff>
    </xdr:from>
    <xdr:to>
      <xdr:col>45</xdr:col>
      <xdr:colOff>615950</xdr:colOff>
      <xdr:row>8</xdr:row>
      <xdr:rowOff>466725</xdr:rowOff>
    </xdr:to>
    <xdr:sp macro="" textlink="">
      <xdr:nvSpPr>
        <xdr:cNvPr id="26" name="BK413513">
          <a:extLst>
            <a:ext uri="{FF2B5EF4-FFF2-40B4-BE49-F238E27FC236}">
              <a16:creationId xmlns:a16="http://schemas.microsoft.com/office/drawing/2014/main" id="{A7192584-909F-E51A-5925-134031C1D880}"/>
            </a:ext>
          </a:extLst>
        </xdr:cNvPr>
        <xdr:cNvSpPr/>
      </xdr:nvSpPr>
      <xdr:spPr>
        <a:xfrm>
          <a:off x="28133675" y="1558925"/>
          <a:ext cx="1828800" cy="460375"/>
        </a:xfrm>
        <a:prstGeom prst="roundRect">
          <a:avLst/>
        </a:prstGeom>
        <a:solidFill>
          <a:srgbClr val="F5F5F5"/>
        </a:solidFill>
        <a:ln w="12700">
          <a:solidFill>
            <a:srgbClr val="C9521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43</xdr:col>
      <xdr:colOff>66039</xdr:colOff>
      <xdr:row>8</xdr:row>
      <xdr:rowOff>53975</xdr:rowOff>
    </xdr:from>
    <xdr:to>
      <xdr:col>43</xdr:col>
      <xdr:colOff>427989</xdr:colOff>
      <xdr:row>8</xdr:row>
      <xdr:rowOff>415925</xdr:rowOff>
    </xdr:to>
    <xdr:pic macro="[0]!ReRunXLSTAT">
      <xdr:nvPicPr>
        <xdr:cNvPr id="27" name="BT413513">
          <a:extLst>
            <a:ext uri="{FF2B5EF4-FFF2-40B4-BE49-F238E27FC236}">
              <a16:creationId xmlns:a16="http://schemas.microsoft.com/office/drawing/2014/main" id="{3530F9E3-5005-261D-A2A7-1AE7865881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8193364" y="1606550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43</xdr:col>
      <xdr:colOff>515621</xdr:colOff>
      <xdr:row>8</xdr:row>
      <xdr:rowOff>53975</xdr:rowOff>
    </xdr:from>
    <xdr:to>
      <xdr:col>44</xdr:col>
      <xdr:colOff>267971</xdr:colOff>
      <xdr:row>8</xdr:row>
      <xdr:rowOff>415925</xdr:rowOff>
    </xdr:to>
    <xdr:pic macro="[0]!AddRemovGrid">
      <xdr:nvPicPr>
        <xdr:cNvPr id="28" name="RM413513">
          <a:extLst>
            <a:ext uri="{FF2B5EF4-FFF2-40B4-BE49-F238E27FC236}">
              <a16:creationId xmlns:a16="http://schemas.microsoft.com/office/drawing/2014/main" id="{7C38DB14-39E2-A8D7-DC16-2280A88FE5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8642946" y="1606550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43</xdr:col>
      <xdr:colOff>515621</xdr:colOff>
      <xdr:row>8</xdr:row>
      <xdr:rowOff>53975</xdr:rowOff>
    </xdr:from>
    <xdr:to>
      <xdr:col>44</xdr:col>
      <xdr:colOff>267971</xdr:colOff>
      <xdr:row>8</xdr:row>
      <xdr:rowOff>415925</xdr:rowOff>
    </xdr:to>
    <xdr:pic macro="[0]!AddRemovGrid">
      <xdr:nvPicPr>
        <xdr:cNvPr id="29" name="AD413513" hidden="1">
          <a:extLst>
            <a:ext uri="{FF2B5EF4-FFF2-40B4-BE49-F238E27FC236}">
              <a16:creationId xmlns:a16="http://schemas.microsoft.com/office/drawing/2014/main" id="{72D139F0-01A0-539D-CA29-26D87DECE5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8642946" y="1606550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44</xdr:col>
      <xdr:colOff>355600</xdr:colOff>
      <xdr:row>8</xdr:row>
      <xdr:rowOff>53975</xdr:rowOff>
    </xdr:from>
    <xdr:to>
      <xdr:col>45</xdr:col>
      <xdr:colOff>107950</xdr:colOff>
      <xdr:row>8</xdr:row>
      <xdr:rowOff>415925</xdr:rowOff>
    </xdr:to>
    <xdr:pic macro="[0]!SendToOfficeLocal">
      <xdr:nvPicPr>
        <xdr:cNvPr id="30" name="WD413513">
          <a:extLst>
            <a:ext uri="{FF2B5EF4-FFF2-40B4-BE49-F238E27FC236}">
              <a16:creationId xmlns:a16="http://schemas.microsoft.com/office/drawing/2014/main" id="{25B0E371-4093-6FD0-1AD9-699408343C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9092525" y="1606550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45</xdr:col>
      <xdr:colOff>195579</xdr:colOff>
      <xdr:row>8</xdr:row>
      <xdr:rowOff>53975</xdr:rowOff>
    </xdr:from>
    <xdr:to>
      <xdr:col>45</xdr:col>
      <xdr:colOff>557529</xdr:colOff>
      <xdr:row>8</xdr:row>
      <xdr:rowOff>415925</xdr:rowOff>
    </xdr:to>
    <xdr:pic macro="[0]!SendToOfficeLocal">
      <xdr:nvPicPr>
        <xdr:cNvPr id="31" name="PT413513">
          <a:extLst>
            <a:ext uri="{FF2B5EF4-FFF2-40B4-BE49-F238E27FC236}">
              <a16:creationId xmlns:a16="http://schemas.microsoft.com/office/drawing/2014/main" id="{5B119815-36AC-D027-514C-DA32980E07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9542104" y="1606550"/>
          <a:ext cx="361950" cy="361950"/>
        </a:xfrm>
        <a:prstGeom prst="rect">
          <a:avLst/>
        </a:prstGeom>
      </xdr:spPr>
    </xdr:pic>
    <xdr:clientData/>
  </xdr:twoCellAnchor>
  <xdr:twoCellAnchor editAs="oneCell">
    <xdr:from>
      <xdr:col>42</xdr:col>
      <xdr:colOff>596900</xdr:colOff>
      <xdr:row>3</xdr:row>
      <xdr:rowOff>0</xdr:rowOff>
    </xdr:from>
    <xdr:to>
      <xdr:col>43</xdr:col>
      <xdr:colOff>12700</xdr:colOff>
      <xdr:row>3</xdr:row>
      <xdr:rowOff>25400</xdr:rowOff>
    </xdr:to>
    <xdr:sp macro="" textlink="">
      <xdr:nvSpPr>
        <xdr:cNvPr id="32" name="XP413513" hidden="1">
          <a:extLst>
            <a:ext uri="{FF2B5EF4-FFF2-40B4-BE49-F238E27FC236}">
              <a16:creationId xmlns:a16="http://schemas.microsoft.com/office/drawing/2014/main" id="{18299CE8-73B0-4C1A-3941-062BD59941F0}"/>
            </a:ext>
          </a:extLst>
        </xdr:cNvPr>
        <xdr:cNvSpPr txBox="1"/>
      </xdr:nvSpPr>
      <xdr:spPr>
        <a:xfrm>
          <a:off x="28114625" y="59055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IN" sz="1100"/>
            <a:t>regression*SEP*Summary statistics*SEP*$AR$13
regression*SEP*Correlation matrix*SEP*$AR$20
regression*SEP*Regression of variable age*SEP*$AR$27
regression*SEP*Goodness of fit statistics (age)*SEP*$AR$29
regression*SEP*Analysis of variance (age)*SEP*$AR$47
regression*SEP*Model parameters (age)*SEP*$AR$57
regression*SEP*Equation of the model (age)*SEP*$AR$65
regression*SEP*Standardized coefficients (age)*SEP*$AR$70
regression*SEP*Predictions and residuals (age)*SEP*$AR$77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609600</xdr:colOff>
          <xdr:row>9</xdr:row>
          <xdr:rowOff>0</xdr:rowOff>
        </xdr:from>
        <xdr:to>
          <xdr:col>45</xdr:col>
          <xdr:colOff>638175</xdr:colOff>
          <xdr:row>10</xdr:row>
          <xdr:rowOff>0</xdr:rowOff>
        </xdr:to>
        <xdr:sp macro="" textlink="">
          <xdr:nvSpPr>
            <xdr:cNvPr id="2053" name="DD950296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4</xdr:row>
      <xdr:rowOff>33337</xdr:rowOff>
    </xdr:from>
    <xdr:to>
      <xdr:col>12</xdr:col>
      <xdr:colOff>333375</xdr:colOff>
      <xdr:row>18</xdr:row>
      <xdr:rowOff>109537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6D5E22-7340-C5A1-F64F-09DFC6E521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umud" refreshedDate="45507.460007407404" createdVersion="8" refreshedVersion="8" minRefreshableVersion="3" recordCount="303" xr:uid="{86064990-4BB5-4034-A4DB-E9C4ED429AB4}">
  <cacheSource type="worksheet">
    <worksheetSource ref="A1:N304" sheet="orginal data"/>
  </cacheSource>
  <cacheFields count="14">
    <cacheField name="age" numFmtId="0">
      <sharedItems containsSemiMixedTypes="0" containsString="0" containsNumber="1" containsInteger="1" minValue="29" maxValue="77" count="41">
        <n v="63"/>
        <n v="37"/>
        <n v="41"/>
        <n v="56"/>
        <n v="57"/>
        <n v="44"/>
        <n v="52"/>
        <n v="54"/>
        <n v="48"/>
        <n v="49"/>
        <n v="64"/>
        <n v="58"/>
        <n v="50"/>
        <n v="66"/>
        <n v="43"/>
        <n v="69"/>
        <n v="59"/>
        <n v="42"/>
        <n v="61"/>
        <n v="40"/>
        <n v="71"/>
        <n v="51"/>
        <n v="65"/>
        <n v="53"/>
        <n v="46"/>
        <n v="45"/>
        <n v="39"/>
        <n v="47"/>
        <n v="62"/>
        <n v="34"/>
        <n v="35"/>
        <n v="29"/>
        <n v="55"/>
        <n v="60"/>
        <n v="67"/>
        <n v="68"/>
        <n v="74"/>
        <n v="76"/>
        <n v="70"/>
        <n v="38"/>
        <n v="77"/>
      </sharedItems>
      <fieldGroup base="0">
        <rangePr startNum="29" endNum="77" groupInterval="5"/>
        <groupItems count="12">
          <s v="&lt;29"/>
          <s v="29-33"/>
          <s v="34-38"/>
          <s v="39-43"/>
          <s v="44-48"/>
          <s v="49-53"/>
          <s v="54-58"/>
          <s v="59-63"/>
          <s v="64-68"/>
          <s v="69-73"/>
          <s v="74-78"/>
          <s v="&gt;79"/>
        </groupItems>
      </fieldGroup>
    </cacheField>
    <cacheField name="sex" numFmtId="0">
      <sharedItems containsSemiMixedTypes="0" containsString="0" containsNumber="1" containsInteger="1" minValue="0" maxValue="1" count="2">
        <n v="1"/>
        <n v="0"/>
      </sharedItems>
    </cacheField>
    <cacheField name="cp" numFmtId="0">
      <sharedItems containsSemiMixedTypes="0" containsString="0" containsNumber="1" containsInteger="1" minValue="0" maxValue="3"/>
    </cacheField>
    <cacheField name="trtbps" numFmtId="0">
      <sharedItems containsSemiMixedTypes="0" containsString="0" containsNumber="1" containsInteger="1" minValue="94" maxValue="200"/>
    </cacheField>
    <cacheField name="chol" numFmtId="0">
      <sharedItems containsSemiMixedTypes="0" containsString="0" containsNumber="1" containsInteger="1" minValue="126" maxValue="564" count="152">
        <n v="233"/>
        <n v="250"/>
        <n v="204"/>
        <n v="236"/>
        <n v="354"/>
        <n v="192"/>
        <n v="294"/>
        <n v="263"/>
        <n v="199"/>
        <n v="168"/>
        <n v="239"/>
        <n v="275"/>
        <n v="266"/>
        <n v="211"/>
        <n v="283"/>
        <n v="219"/>
        <n v="340"/>
        <n v="226"/>
        <n v="247"/>
        <n v="234"/>
        <n v="243"/>
        <n v="302"/>
        <n v="212"/>
        <n v="175"/>
        <n v="417"/>
        <n v="197"/>
        <n v="198"/>
        <n v="177"/>
        <n v="273"/>
        <n v="213"/>
        <n v="304"/>
        <n v="232"/>
        <n v="269"/>
        <n v="360"/>
        <n v="308"/>
        <n v="245"/>
        <n v="208"/>
        <n v="264"/>
        <n v="321"/>
        <n v="325"/>
        <n v="235"/>
        <n v="257"/>
        <n v="216"/>
        <n v="256"/>
        <n v="231"/>
        <n v="141"/>
        <n v="252"/>
        <n v="201"/>
        <n v="222"/>
        <n v="260"/>
        <n v="182"/>
        <n v="303"/>
        <n v="265"/>
        <n v="309"/>
        <n v="186"/>
        <n v="203"/>
        <n v="183"/>
        <n v="220"/>
        <n v="209"/>
        <n v="258"/>
        <n v="227"/>
        <n v="261"/>
        <n v="221"/>
        <n v="205"/>
        <n v="240"/>
        <n v="318"/>
        <n v="298"/>
        <n v="564"/>
        <n v="277"/>
        <n v="214"/>
        <n v="248"/>
        <n v="255"/>
        <n v="207"/>
        <n v="223"/>
        <n v="288"/>
        <n v="160"/>
        <n v="394"/>
        <n v="315"/>
        <n v="246"/>
        <n v="244"/>
        <n v="270"/>
        <n v="195"/>
        <n v="196"/>
        <n v="254"/>
        <n v="126"/>
        <n v="313"/>
        <n v="262"/>
        <n v="215"/>
        <n v="193"/>
        <n v="271"/>
        <n v="268"/>
        <n v="267"/>
        <n v="210"/>
        <n v="295"/>
        <n v="306"/>
        <n v="178"/>
        <n v="242"/>
        <n v="180"/>
        <n v="228"/>
        <n v="149"/>
        <n v="278"/>
        <n v="253"/>
        <n v="342"/>
        <n v="157"/>
        <n v="286"/>
        <n v="229"/>
        <n v="284"/>
        <n v="224"/>
        <n v="206"/>
        <n v="167"/>
        <n v="230"/>
        <n v="335"/>
        <n v="276"/>
        <n v="353"/>
        <n v="225"/>
        <n v="330"/>
        <n v="290"/>
        <n v="172"/>
        <n v="305"/>
        <n v="188"/>
        <n v="282"/>
        <n v="185"/>
        <n v="326"/>
        <n v="274"/>
        <n v="164"/>
        <n v="307"/>
        <n v="249"/>
        <n v="341"/>
        <n v="407"/>
        <n v="217"/>
        <n v="174"/>
        <n v="281"/>
        <n v="289"/>
        <n v="322"/>
        <n v="299"/>
        <n v="300"/>
        <n v="293"/>
        <n v="184"/>
        <n v="409"/>
        <n v="259"/>
        <n v="200"/>
        <n v="327"/>
        <n v="237"/>
        <n v="218"/>
        <n v="319"/>
        <n v="166"/>
        <n v="311"/>
        <n v="169"/>
        <n v="187"/>
        <n v="176"/>
        <n v="241"/>
        <n v="131"/>
      </sharedItems>
    </cacheField>
    <cacheField name="fbs" numFmtId="0">
      <sharedItems containsSemiMixedTypes="0" containsString="0" containsNumber="1" containsInteger="1" minValue="0" maxValue="1"/>
    </cacheField>
    <cacheField name="restecg" numFmtId="0">
      <sharedItems containsSemiMixedTypes="0" containsString="0" containsNumber="1" containsInteger="1" minValue="0" maxValue="2"/>
    </cacheField>
    <cacheField name="thalachh" numFmtId="0">
      <sharedItems containsSemiMixedTypes="0" containsString="0" containsNumber="1" containsInteger="1" minValue="71" maxValue="202"/>
    </cacheField>
    <cacheField name="exng" numFmtId="0">
      <sharedItems containsSemiMixedTypes="0" containsString="0" containsNumber="1" containsInteger="1" minValue="0" maxValue="1"/>
    </cacheField>
    <cacheField name="oldpeak" numFmtId="0">
      <sharedItems containsSemiMixedTypes="0" containsString="0" containsNumber="1" minValue="0" maxValue="6.2"/>
    </cacheField>
    <cacheField name="slp" numFmtId="0">
      <sharedItems containsSemiMixedTypes="0" containsString="0" containsNumber="1" containsInteger="1" minValue="0" maxValue="2"/>
    </cacheField>
    <cacheField name="caa" numFmtId="0">
      <sharedItems containsSemiMixedTypes="0" containsString="0" containsNumber="1" containsInteger="1" minValue="0" maxValue="4"/>
    </cacheField>
    <cacheField name="thall" numFmtId="0">
      <sharedItems containsSemiMixedTypes="0" containsString="0" containsNumber="1" containsInteger="1" minValue="0" maxValue="3"/>
    </cacheField>
    <cacheField name="output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akrati gupta" refreshedDate="45528.530182175928" createdVersion="8" refreshedVersion="8" minRefreshableVersion="3" recordCount="303" xr:uid="{4587401E-1C8E-450C-80DA-0C1F7D538B50}">
  <cacheSource type="worksheet">
    <worksheetSource name="Table1"/>
  </cacheSource>
  <cacheFields count="2">
    <cacheField name="exng" numFmtId="0">
      <sharedItems containsSemiMixedTypes="0" containsString="0" containsNumber="1" containsInteger="1" minValue="0" maxValue="1" count="2">
        <n v="0"/>
        <n v="1"/>
      </sharedItems>
    </cacheField>
    <cacheField name="output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3">
  <r>
    <x v="0"/>
    <x v="0"/>
    <n v="3"/>
    <n v="145"/>
    <x v="0"/>
    <n v="1"/>
    <n v="0"/>
    <n v="150"/>
    <n v="0"/>
    <n v="2.2999999999999998"/>
    <n v="0"/>
    <n v="0"/>
    <n v="1"/>
    <x v="0"/>
  </r>
  <r>
    <x v="1"/>
    <x v="0"/>
    <n v="2"/>
    <n v="130"/>
    <x v="1"/>
    <n v="0"/>
    <n v="1"/>
    <n v="187"/>
    <n v="0"/>
    <n v="3.5"/>
    <n v="0"/>
    <n v="0"/>
    <n v="2"/>
    <x v="0"/>
  </r>
  <r>
    <x v="2"/>
    <x v="1"/>
    <n v="1"/>
    <n v="130"/>
    <x v="2"/>
    <n v="0"/>
    <n v="0"/>
    <n v="172"/>
    <n v="0"/>
    <n v="1.4"/>
    <n v="2"/>
    <n v="0"/>
    <n v="2"/>
    <x v="0"/>
  </r>
  <r>
    <x v="3"/>
    <x v="0"/>
    <n v="1"/>
    <n v="120"/>
    <x v="3"/>
    <n v="0"/>
    <n v="1"/>
    <n v="178"/>
    <n v="0"/>
    <n v="0.8"/>
    <n v="2"/>
    <n v="0"/>
    <n v="2"/>
    <x v="0"/>
  </r>
  <r>
    <x v="4"/>
    <x v="1"/>
    <n v="0"/>
    <n v="120"/>
    <x v="4"/>
    <n v="0"/>
    <n v="1"/>
    <n v="163"/>
    <n v="1"/>
    <n v="0.6"/>
    <n v="2"/>
    <n v="0"/>
    <n v="2"/>
    <x v="0"/>
  </r>
  <r>
    <x v="4"/>
    <x v="0"/>
    <n v="0"/>
    <n v="140"/>
    <x v="5"/>
    <n v="0"/>
    <n v="1"/>
    <n v="148"/>
    <n v="0"/>
    <n v="0.4"/>
    <n v="1"/>
    <n v="0"/>
    <n v="1"/>
    <x v="0"/>
  </r>
  <r>
    <x v="3"/>
    <x v="1"/>
    <n v="1"/>
    <n v="140"/>
    <x v="6"/>
    <n v="0"/>
    <n v="0"/>
    <n v="153"/>
    <n v="0"/>
    <n v="1.3"/>
    <n v="1"/>
    <n v="0"/>
    <n v="2"/>
    <x v="0"/>
  </r>
  <r>
    <x v="5"/>
    <x v="0"/>
    <n v="1"/>
    <n v="120"/>
    <x v="7"/>
    <n v="0"/>
    <n v="1"/>
    <n v="173"/>
    <n v="0"/>
    <n v="0"/>
    <n v="2"/>
    <n v="0"/>
    <n v="3"/>
    <x v="0"/>
  </r>
  <r>
    <x v="6"/>
    <x v="0"/>
    <n v="2"/>
    <n v="172"/>
    <x v="8"/>
    <n v="1"/>
    <n v="1"/>
    <n v="162"/>
    <n v="0"/>
    <n v="0.5"/>
    <n v="2"/>
    <n v="0"/>
    <n v="3"/>
    <x v="0"/>
  </r>
  <r>
    <x v="4"/>
    <x v="0"/>
    <n v="2"/>
    <n v="150"/>
    <x v="9"/>
    <n v="0"/>
    <n v="1"/>
    <n v="174"/>
    <n v="0"/>
    <n v="1.6"/>
    <n v="2"/>
    <n v="0"/>
    <n v="2"/>
    <x v="0"/>
  </r>
  <r>
    <x v="7"/>
    <x v="0"/>
    <n v="0"/>
    <n v="140"/>
    <x v="10"/>
    <n v="0"/>
    <n v="1"/>
    <n v="160"/>
    <n v="0"/>
    <n v="1.2"/>
    <n v="2"/>
    <n v="0"/>
    <n v="2"/>
    <x v="0"/>
  </r>
  <r>
    <x v="8"/>
    <x v="1"/>
    <n v="2"/>
    <n v="130"/>
    <x v="11"/>
    <n v="0"/>
    <n v="1"/>
    <n v="139"/>
    <n v="0"/>
    <n v="0.2"/>
    <n v="2"/>
    <n v="0"/>
    <n v="2"/>
    <x v="0"/>
  </r>
  <r>
    <x v="9"/>
    <x v="0"/>
    <n v="1"/>
    <n v="130"/>
    <x v="12"/>
    <n v="0"/>
    <n v="1"/>
    <n v="171"/>
    <n v="0"/>
    <n v="0.6"/>
    <n v="2"/>
    <n v="0"/>
    <n v="2"/>
    <x v="0"/>
  </r>
  <r>
    <x v="10"/>
    <x v="0"/>
    <n v="3"/>
    <n v="110"/>
    <x v="13"/>
    <n v="0"/>
    <n v="0"/>
    <n v="144"/>
    <n v="1"/>
    <n v="1.8"/>
    <n v="1"/>
    <n v="0"/>
    <n v="2"/>
    <x v="0"/>
  </r>
  <r>
    <x v="11"/>
    <x v="1"/>
    <n v="3"/>
    <n v="150"/>
    <x v="14"/>
    <n v="1"/>
    <n v="0"/>
    <n v="162"/>
    <n v="0"/>
    <n v="1"/>
    <n v="2"/>
    <n v="0"/>
    <n v="2"/>
    <x v="0"/>
  </r>
  <r>
    <x v="12"/>
    <x v="1"/>
    <n v="2"/>
    <n v="120"/>
    <x v="15"/>
    <n v="0"/>
    <n v="1"/>
    <n v="158"/>
    <n v="0"/>
    <n v="1.6"/>
    <n v="1"/>
    <n v="0"/>
    <n v="2"/>
    <x v="0"/>
  </r>
  <r>
    <x v="11"/>
    <x v="1"/>
    <n v="2"/>
    <n v="120"/>
    <x v="16"/>
    <n v="0"/>
    <n v="1"/>
    <n v="172"/>
    <n v="0"/>
    <n v="0"/>
    <n v="2"/>
    <n v="0"/>
    <n v="2"/>
    <x v="0"/>
  </r>
  <r>
    <x v="13"/>
    <x v="1"/>
    <n v="3"/>
    <n v="150"/>
    <x v="17"/>
    <n v="0"/>
    <n v="1"/>
    <n v="114"/>
    <n v="0"/>
    <n v="2.6"/>
    <n v="0"/>
    <n v="0"/>
    <n v="2"/>
    <x v="0"/>
  </r>
  <r>
    <x v="14"/>
    <x v="0"/>
    <n v="0"/>
    <n v="150"/>
    <x v="18"/>
    <n v="0"/>
    <n v="1"/>
    <n v="171"/>
    <n v="0"/>
    <n v="1.5"/>
    <n v="2"/>
    <n v="0"/>
    <n v="2"/>
    <x v="0"/>
  </r>
  <r>
    <x v="15"/>
    <x v="1"/>
    <n v="3"/>
    <n v="140"/>
    <x v="10"/>
    <n v="0"/>
    <n v="1"/>
    <n v="151"/>
    <n v="0"/>
    <n v="1.8"/>
    <n v="2"/>
    <n v="2"/>
    <n v="2"/>
    <x v="0"/>
  </r>
  <r>
    <x v="16"/>
    <x v="0"/>
    <n v="0"/>
    <n v="135"/>
    <x v="19"/>
    <n v="0"/>
    <n v="1"/>
    <n v="161"/>
    <n v="0"/>
    <n v="0.5"/>
    <n v="1"/>
    <n v="0"/>
    <n v="3"/>
    <x v="0"/>
  </r>
  <r>
    <x v="5"/>
    <x v="0"/>
    <n v="2"/>
    <n v="130"/>
    <x v="0"/>
    <n v="0"/>
    <n v="1"/>
    <n v="179"/>
    <n v="1"/>
    <n v="0.4"/>
    <n v="2"/>
    <n v="0"/>
    <n v="2"/>
    <x v="0"/>
  </r>
  <r>
    <x v="17"/>
    <x v="0"/>
    <n v="0"/>
    <n v="140"/>
    <x v="17"/>
    <n v="0"/>
    <n v="1"/>
    <n v="178"/>
    <n v="0"/>
    <n v="0"/>
    <n v="2"/>
    <n v="0"/>
    <n v="2"/>
    <x v="0"/>
  </r>
  <r>
    <x v="18"/>
    <x v="0"/>
    <n v="2"/>
    <n v="150"/>
    <x v="20"/>
    <n v="1"/>
    <n v="1"/>
    <n v="137"/>
    <n v="1"/>
    <n v="1"/>
    <n v="1"/>
    <n v="0"/>
    <n v="2"/>
    <x v="0"/>
  </r>
  <r>
    <x v="19"/>
    <x v="0"/>
    <n v="3"/>
    <n v="140"/>
    <x v="8"/>
    <n v="0"/>
    <n v="1"/>
    <n v="178"/>
    <n v="1"/>
    <n v="1.4"/>
    <n v="2"/>
    <n v="0"/>
    <n v="3"/>
    <x v="0"/>
  </r>
  <r>
    <x v="20"/>
    <x v="1"/>
    <n v="1"/>
    <n v="160"/>
    <x v="21"/>
    <n v="0"/>
    <n v="1"/>
    <n v="162"/>
    <n v="0"/>
    <n v="0.4"/>
    <n v="2"/>
    <n v="2"/>
    <n v="2"/>
    <x v="0"/>
  </r>
  <r>
    <x v="16"/>
    <x v="0"/>
    <n v="2"/>
    <n v="150"/>
    <x v="22"/>
    <n v="1"/>
    <n v="1"/>
    <n v="157"/>
    <n v="0"/>
    <n v="1.6"/>
    <n v="2"/>
    <n v="0"/>
    <n v="2"/>
    <x v="0"/>
  </r>
  <r>
    <x v="21"/>
    <x v="0"/>
    <n v="2"/>
    <n v="110"/>
    <x v="23"/>
    <n v="0"/>
    <n v="1"/>
    <n v="123"/>
    <n v="0"/>
    <n v="0.6"/>
    <n v="2"/>
    <n v="0"/>
    <n v="2"/>
    <x v="0"/>
  </r>
  <r>
    <x v="22"/>
    <x v="1"/>
    <n v="2"/>
    <n v="140"/>
    <x v="24"/>
    <n v="1"/>
    <n v="0"/>
    <n v="157"/>
    <n v="0"/>
    <n v="0.8"/>
    <n v="2"/>
    <n v="1"/>
    <n v="2"/>
    <x v="0"/>
  </r>
  <r>
    <x v="23"/>
    <x v="0"/>
    <n v="2"/>
    <n v="130"/>
    <x v="25"/>
    <n v="1"/>
    <n v="0"/>
    <n v="152"/>
    <n v="0"/>
    <n v="1.2"/>
    <n v="0"/>
    <n v="0"/>
    <n v="2"/>
    <x v="0"/>
  </r>
  <r>
    <x v="2"/>
    <x v="1"/>
    <n v="1"/>
    <n v="105"/>
    <x v="26"/>
    <n v="0"/>
    <n v="1"/>
    <n v="168"/>
    <n v="0"/>
    <n v="0"/>
    <n v="2"/>
    <n v="1"/>
    <n v="2"/>
    <x v="0"/>
  </r>
  <r>
    <x v="22"/>
    <x v="0"/>
    <n v="0"/>
    <n v="120"/>
    <x v="27"/>
    <n v="0"/>
    <n v="1"/>
    <n v="140"/>
    <n v="0"/>
    <n v="0.4"/>
    <n v="2"/>
    <n v="0"/>
    <n v="3"/>
    <x v="0"/>
  </r>
  <r>
    <x v="5"/>
    <x v="0"/>
    <n v="1"/>
    <n v="130"/>
    <x v="15"/>
    <n v="0"/>
    <n v="0"/>
    <n v="188"/>
    <n v="0"/>
    <n v="0"/>
    <n v="2"/>
    <n v="0"/>
    <n v="2"/>
    <x v="0"/>
  </r>
  <r>
    <x v="7"/>
    <x v="0"/>
    <n v="2"/>
    <n v="125"/>
    <x v="28"/>
    <n v="0"/>
    <n v="0"/>
    <n v="152"/>
    <n v="0"/>
    <n v="0.5"/>
    <n v="0"/>
    <n v="1"/>
    <n v="2"/>
    <x v="0"/>
  </r>
  <r>
    <x v="21"/>
    <x v="0"/>
    <n v="3"/>
    <n v="125"/>
    <x v="29"/>
    <n v="0"/>
    <n v="0"/>
    <n v="125"/>
    <n v="1"/>
    <n v="1.4"/>
    <n v="2"/>
    <n v="1"/>
    <n v="2"/>
    <x v="0"/>
  </r>
  <r>
    <x v="24"/>
    <x v="1"/>
    <n v="2"/>
    <n v="142"/>
    <x v="27"/>
    <n v="0"/>
    <n v="0"/>
    <n v="160"/>
    <n v="1"/>
    <n v="1.4"/>
    <n v="0"/>
    <n v="0"/>
    <n v="2"/>
    <x v="0"/>
  </r>
  <r>
    <x v="7"/>
    <x v="1"/>
    <n v="2"/>
    <n v="135"/>
    <x v="30"/>
    <n v="1"/>
    <n v="1"/>
    <n v="170"/>
    <n v="0"/>
    <n v="0"/>
    <n v="2"/>
    <n v="0"/>
    <n v="2"/>
    <x v="0"/>
  </r>
  <r>
    <x v="7"/>
    <x v="0"/>
    <n v="2"/>
    <n v="150"/>
    <x v="31"/>
    <n v="0"/>
    <n v="0"/>
    <n v="165"/>
    <n v="0"/>
    <n v="1.6"/>
    <n v="2"/>
    <n v="0"/>
    <n v="3"/>
    <x v="0"/>
  </r>
  <r>
    <x v="22"/>
    <x v="1"/>
    <n v="2"/>
    <n v="155"/>
    <x v="32"/>
    <n v="0"/>
    <n v="1"/>
    <n v="148"/>
    <n v="0"/>
    <n v="0.8"/>
    <n v="2"/>
    <n v="0"/>
    <n v="2"/>
    <x v="0"/>
  </r>
  <r>
    <x v="22"/>
    <x v="1"/>
    <n v="2"/>
    <n v="160"/>
    <x v="33"/>
    <n v="0"/>
    <n v="0"/>
    <n v="151"/>
    <n v="0"/>
    <n v="0.8"/>
    <n v="2"/>
    <n v="0"/>
    <n v="2"/>
    <x v="0"/>
  </r>
  <r>
    <x v="21"/>
    <x v="1"/>
    <n v="2"/>
    <n v="140"/>
    <x v="34"/>
    <n v="0"/>
    <n v="0"/>
    <n v="142"/>
    <n v="0"/>
    <n v="1.5"/>
    <n v="2"/>
    <n v="1"/>
    <n v="2"/>
    <x v="0"/>
  </r>
  <r>
    <x v="8"/>
    <x v="0"/>
    <n v="1"/>
    <n v="130"/>
    <x v="35"/>
    <n v="0"/>
    <n v="0"/>
    <n v="180"/>
    <n v="0"/>
    <n v="0.2"/>
    <n v="1"/>
    <n v="0"/>
    <n v="2"/>
    <x v="0"/>
  </r>
  <r>
    <x v="25"/>
    <x v="0"/>
    <n v="0"/>
    <n v="104"/>
    <x v="36"/>
    <n v="0"/>
    <n v="0"/>
    <n v="148"/>
    <n v="1"/>
    <n v="3"/>
    <n v="1"/>
    <n v="0"/>
    <n v="2"/>
    <x v="0"/>
  </r>
  <r>
    <x v="23"/>
    <x v="1"/>
    <n v="0"/>
    <n v="130"/>
    <x v="37"/>
    <n v="0"/>
    <n v="0"/>
    <n v="143"/>
    <n v="0"/>
    <n v="0.4"/>
    <n v="1"/>
    <n v="0"/>
    <n v="2"/>
    <x v="0"/>
  </r>
  <r>
    <x v="26"/>
    <x v="0"/>
    <n v="2"/>
    <n v="140"/>
    <x v="38"/>
    <n v="0"/>
    <n v="0"/>
    <n v="182"/>
    <n v="0"/>
    <n v="0"/>
    <n v="2"/>
    <n v="0"/>
    <n v="2"/>
    <x v="0"/>
  </r>
  <r>
    <x v="6"/>
    <x v="0"/>
    <n v="1"/>
    <n v="120"/>
    <x v="39"/>
    <n v="0"/>
    <n v="1"/>
    <n v="172"/>
    <n v="0"/>
    <n v="0.2"/>
    <n v="2"/>
    <n v="0"/>
    <n v="2"/>
    <x v="0"/>
  </r>
  <r>
    <x v="5"/>
    <x v="0"/>
    <n v="2"/>
    <n v="140"/>
    <x v="40"/>
    <n v="0"/>
    <n v="0"/>
    <n v="180"/>
    <n v="0"/>
    <n v="0"/>
    <n v="2"/>
    <n v="0"/>
    <n v="2"/>
    <x v="0"/>
  </r>
  <r>
    <x v="27"/>
    <x v="0"/>
    <n v="2"/>
    <n v="138"/>
    <x v="41"/>
    <n v="0"/>
    <n v="0"/>
    <n v="156"/>
    <n v="0"/>
    <n v="0"/>
    <n v="2"/>
    <n v="0"/>
    <n v="2"/>
    <x v="0"/>
  </r>
  <r>
    <x v="23"/>
    <x v="1"/>
    <n v="2"/>
    <n v="128"/>
    <x v="42"/>
    <n v="0"/>
    <n v="0"/>
    <n v="115"/>
    <n v="0"/>
    <n v="0"/>
    <n v="2"/>
    <n v="0"/>
    <n v="0"/>
    <x v="0"/>
  </r>
  <r>
    <x v="23"/>
    <x v="1"/>
    <n v="0"/>
    <n v="138"/>
    <x v="19"/>
    <n v="0"/>
    <n v="0"/>
    <n v="160"/>
    <n v="0"/>
    <n v="0"/>
    <n v="2"/>
    <n v="0"/>
    <n v="2"/>
    <x v="0"/>
  </r>
  <r>
    <x v="21"/>
    <x v="1"/>
    <n v="2"/>
    <n v="130"/>
    <x v="43"/>
    <n v="0"/>
    <n v="0"/>
    <n v="149"/>
    <n v="0"/>
    <n v="0.5"/>
    <n v="2"/>
    <n v="0"/>
    <n v="2"/>
    <x v="0"/>
  </r>
  <r>
    <x v="13"/>
    <x v="0"/>
    <n v="0"/>
    <n v="120"/>
    <x v="21"/>
    <n v="0"/>
    <n v="0"/>
    <n v="151"/>
    <n v="0"/>
    <n v="0.4"/>
    <n v="1"/>
    <n v="0"/>
    <n v="2"/>
    <x v="0"/>
  </r>
  <r>
    <x v="28"/>
    <x v="0"/>
    <n v="2"/>
    <n v="130"/>
    <x v="44"/>
    <n v="0"/>
    <n v="1"/>
    <n v="146"/>
    <n v="0"/>
    <n v="1.8"/>
    <n v="1"/>
    <n v="3"/>
    <n v="3"/>
    <x v="0"/>
  </r>
  <r>
    <x v="5"/>
    <x v="1"/>
    <n v="2"/>
    <n v="108"/>
    <x v="45"/>
    <n v="0"/>
    <n v="1"/>
    <n v="175"/>
    <n v="0"/>
    <n v="0.6"/>
    <n v="1"/>
    <n v="0"/>
    <n v="2"/>
    <x v="0"/>
  </r>
  <r>
    <x v="0"/>
    <x v="1"/>
    <n v="2"/>
    <n v="135"/>
    <x v="46"/>
    <n v="0"/>
    <n v="0"/>
    <n v="172"/>
    <n v="0"/>
    <n v="0"/>
    <n v="2"/>
    <n v="0"/>
    <n v="2"/>
    <x v="0"/>
  </r>
  <r>
    <x v="6"/>
    <x v="0"/>
    <n v="1"/>
    <n v="134"/>
    <x v="47"/>
    <n v="0"/>
    <n v="1"/>
    <n v="158"/>
    <n v="0"/>
    <n v="0.8"/>
    <n v="2"/>
    <n v="1"/>
    <n v="2"/>
    <x v="0"/>
  </r>
  <r>
    <x v="8"/>
    <x v="0"/>
    <n v="0"/>
    <n v="122"/>
    <x v="48"/>
    <n v="0"/>
    <n v="0"/>
    <n v="186"/>
    <n v="0"/>
    <n v="0"/>
    <n v="2"/>
    <n v="0"/>
    <n v="2"/>
    <x v="0"/>
  </r>
  <r>
    <x v="25"/>
    <x v="0"/>
    <n v="0"/>
    <n v="115"/>
    <x v="49"/>
    <n v="0"/>
    <n v="0"/>
    <n v="185"/>
    <n v="0"/>
    <n v="0"/>
    <n v="2"/>
    <n v="0"/>
    <n v="2"/>
    <x v="0"/>
  </r>
  <r>
    <x v="29"/>
    <x v="0"/>
    <n v="3"/>
    <n v="118"/>
    <x v="50"/>
    <n v="0"/>
    <n v="0"/>
    <n v="174"/>
    <n v="0"/>
    <n v="0"/>
    <n v="2"/>
    <n v="0"/>
    <n v="2"/>
    <x v="0"/>
  </r>
  <r>
    <x v="4"/>
    <x v="1"/>
    <n v="0"/>
    <n v="128"/>
    <x v="51"/>
    <n v="0"/>
    <n v="0"/>
    <n v="159"/>
    <n v="0"/>
    <n v="0"/>
    <n v="2"/>
    <n v="1"/>
    <n v="2"/>
    <x v="0"/>
  </r>
  <r>
    <x v="20"/>
    <x v="1"/>
    <n v="2"/>
    <n v="110"/>
    <x v="52"/>
    <n v="1"/>
    <n v="0"/>
    <n v="130"/>
    <n v="0"/>
    <n v="0"/>
    <n v="2"/>
    <n v="1"/>
    <n v="2"/>
    <x v="0"/>
  </r>
  <r>
    <x v="7"/>
    <x v="0"/>
    <n v="1"/>
    <n v="108"/>
    <x v="53"/>
    <n v="0"/>
    <n v="1"/>
    <n v="156"/>
    <n v="0"/>
    <n v="0"/>
    <n v="2"/>
    <n v="0"/>
    <n v="3"/>
    <x v="0"/>
  </r>
  <r>
    <x v="6"/>
    <x v="0"/>
    <n v="3"/>
    <n v="118"/>
    <x v="54"/>
    <n v="0"/>
    <n v="0"/>
    <n v="190"/>
    <n v="0"/>
    <n v="0"/>
    <n v="1"/>
    <n v="0"/>
    <n v="1"/>
    <x v="0"/>
  </r>
  <r>
    <x v="2"/>
    <x v="0"/>
    <n v="1"/>
    <n v="135"/>
    <x v="55"/>
    <n v="0"/>
    <n v="1"/>
    <n v="132"/>
    <n v="0"/>
    <n v="0"/>
    <n v="1"/>
    <n v="0"/>
    <n v="1"/>
    <x v="0"/>
  </r>
  <r>
    <x v="11"/>
    <x v="0"/>
    <n v="2"/>
    <n v="140"/>
    <x v="13"/>
    <n v="1"/>
    <n v="0"/>
    <n v="165"/>
    <n v="0"/>
    <n v="0"/>
    <n v="2"/>
    <n v="0"/>
    <n v="2"/>
    <x v="0"/>
  </r>
  <r>
    <x v="30"/>
    <x v="1"/>
    <n v="0"/>
    <n v="138"/>
    <x v="56"/>
    <n v="0"/>
    <n v="1"/>
    <n v="182"/>
    <n v="0"/>
    <n v="1.4"/>
    <n v="2"/>
    <n v="0"/>
    <n v="2"/>
    <x v="0"/>
  </r>
  <r>
    <x v="21"/>
    <x v="0"/>
    <n v="2"/>
    <n v="100"/>
    <x v="48"/>
    <n v="0"/>
    <n v="1"/>
    <n v="143"/>
    <n v="1"/>
    <n v="1.2"/>
    <n v="1"/>
    <n v="0"/>
    <n v="2"/>
    <x v="0"/>
  </r>
  <r>
    <x v="25"/>
    <x v="1"/>
    <n v="1"/>
    <n v="130"/>
    <x v="19"/>
    <n v="0"/>
    <n v="0"/>
    <n v="175"/>
    <n v="0"/>
    <n v="0.6"/>
    <n v="1"/>
    <n v="0"/>
    <n v="2"/>
    <x v="0"/>
  </r>
  <r>
    <x v="5"/>
    <x v="0"/>
    <n v="1"/>
    <n v="120"/>
    <x v="57"/>
    <n v="0"/>
    <n v="1"/>
    <n v="170"/>
    <n v="0"/>
    <n v="0"/>
    <n v="2"/>
    <n v="0"/>
    <n v="2"/>
    <x v="0"/>
  </r>
  <r>
    <x v="28"/>
    <x v="1"/>
    <n v="0"/>
    <n v="124"/>
    <x v="58"/>
    <n v="0"/>
    <n v="1"/>
    <n v="163"/>
    <n v="0"/>
    <n v="0"/>
    <n v="2"/>
    <n v="0"/>
    <n v="2"/>
    <x v="0"/>
  </r>
  <r>
    <x v="7"/>
    <x v="0"/>
    <n v="2"/>
    <n v="120"/>
    <x v="59"/>
    <n v="0"/>
    <n v="0"/>
    <n v="147"/>
    <n v="0"/>
    <n v="0.4"/>
    <n v="1"/>
    <n v="0"/>
    <n v="3"/>
    <x v="0"/>
  </r>
  <r>
    <x v="21"/>
    <x v="0"/>
    <n v="2"/>
    <n v="94"/>
    <x v="60"/>
    <n v="0"/>
    <n v="1"/>
    <n v="154"/>
    <n v="1"/>
    <n v="0"/>
    <n v="2"/>
    <n v="1"/>
    <n v="3"/>
    <x v="0"/>
  </r>
  <r>
    <x v="31"/>
    <x v="0"/>
    <n v="1"/>
    <n v="130"/>
    <x v="2"/>
    <n v="0"/>
    <n v="0"/>
    <n v="202"/>
    <n v="0"/>
    <n v="0"/>
    <n v="2"/>
    <n v="0"/>
    <n v="2"/>
    <x v="0"/>
  </r>
  <r>
    <x v="21"/>
    <x v="0"/>
    <n v="0"/>
    <n v="140"/>
    <x v="61"/>
    <n v="0"/>
    <n v="0"/>
    <n v="186"/>
    <n v="1"/>
    <n v="0"/>
    <n v="2"/>
    <n v="0"/>
    <n v="2"/>
    <x v="0"/>
  </r>
  <r>
    <x v="14"/>
    <x v="1"/>
    <n v="2"/>
    <n v="122"/>
    <x v="29"/>
    <n v="0"/>
    <n v="1"/>
    <n v="165"/>
    <n v="0"/>
    <n v="0.2"/>
    <n v="1"/>
    <n v="0"/>
    <n v="2"/>
    <x v="0"/>
  </r>
  <r>
    <x v="32"/>
    <x v="1"/>
    <n v="1"/>
    <n v="135"/>
    <x v="1"/>
    <n v="0"/>
    <n v="0"/>
    <n v="161"/>
    <n v="0"/>
    <n v="1.4"/>
    <n v="1"/>
    <n v="0"/>
    <n v="2"/>
    <x v="0"/>
  </r>
  <r>
    <x v="21"/>
    <x v="0"/>
    <n v="2"/>
    <n v="125"/>
    <x v="35"/>
    <n v="1"/>
    <n v="0"/>
    <n v="166"/>
    <n v="0"/>
    <n v="2.4"/>
    <n v="1"/>
    <n v="0"/>
    <n v="2"/>
    <x v="0"/>
  </r>
  <r>
    <x v="16"/>
    <x v="0"/>
    <n v="1"/>
    <n v="140"/>
    <x v="62"/>
    <n v="0"/>
    <n v="1"/>
    <n v="164"/>
    <n v="1"/>
    <n v="0"/>
    <n v="2"/>
    <n v="0"/>
    <n v="2"/>
    <x v="0"/>
  </r>
  <r>
    <x v="6"/>
    <x v="0"/>
    <n v="1"/>
    <n v="128"/>
    <x v="63"/>
    <n v="1"/>
    <n v="1"/>
    <n v="184"/>
    <n v="0"/>
    <n v="0"/>
    <n v="2"/>
    <n v="0"/>
    <n v="2"/>
    <x v="0"/>
  </r>
  <r>
    <x v="11"/>
    <x v="0"/>
    <n v="2"/>
    <n v="105"/>
    <x v="64"/>
    <n v="0"/>
    <n v="0"/>
    <n v="154"/>
    <n v="1"/>
    <n v="0.6"/>
    <n v="1"/>
    <n v="0"/>
    <n v="3"/>
    <x v="0"/>
  </r>
  <r>
    <x v="2"/>
    <x v="0"/>
    <n v="2"/>
    <n v="112"/>
    <x v="1"/>
    <n v="0"/>
    <n v="1"/>
    <n v="179"/>
    <n v="0"/>
    <n v="0"/>
    <n v="2"/>
    <n v="0"/>
    <n v="2"/>
    <x v="0"/>
  </r>
  <r>
    <x v="25"/>
    <x v="0"/>
    <n v="1"/>
    <n v="128"/>
    <x v="34"/>
    <n v="0"/>
    <n v="0"/>
    <n v="170"/>
    <n v="0"/>
    <n v="0"/>
    <n v="2"/>
    <n v="0"/>
    <n v="2"/>
    <x v="0"/>
  </r>
  <r>
    <x v="33"/>
    <x v="1"/>
    <n v="2"/>
    <n v="102"/>
    <x v="65"/>
    <n v="0"/>
    <n v="1"/>
    <n v="160"/>
    <n v="0"/>
    <n v="0"/>
    <n v="2"/>
    <n v="1"/>
    <n v="2"/>
    <x v="0"/>
  </r>
  <r>
    <x v="6"/>
    <x v="0"/>
    <n v="3"/>
    <n v="152"/>
    <x v="66"/>
    <n v="1"/>
    <n v="1"/>
    <n v="178"/>
    <n v="0"/>
    <n v="1.2"/>
    <n v="1"/>
    <n v="0"/>
    <n v="3"/>
    <x v="0"/>
  </r>
  <r>
    <x v="17"/>
    <x v="1"/>
    <n v="0"/>
    <n v="102"/>
    <x v="52"/>
    <n v="0"/>
    <n v="0"/>
    <n v="122"/>
    <n v="0"/>
    <n v="0.6"/>
    <n v="1"/>
    <n v="0"/>
    <n v="2"/>
    <x v="0"/>
  </r>
  <r>
    <x v="34"/>
    <x v="1"/>
    <n v="2"/>
    <n v="115"/>
    <x v="67"/>
    <n v="0"/>
    <n v="0"/>
    <n v="160"/>
    <n v="0"/>
    <n v="1.6"/>
    <n v="1"/>
    <n v="0"/>
    <n v="3"/>
    <x v="0"/>
  </r>
  <r>
    <x v="35"/>
    <x v="0"/>
    <n v="2"/>
    <n v="118"/>
    <x v="68"/>
    <n v="0"/>
    <n v="1"/>
    <n v="151"/>
    <n v="0"/>
    <n v="1"/>
    <n v="2"/>
    <n v="1"/>
    <n v="3"/>
    <x v="0"/>
  </r>
  <r>
    <x v="24"/>
    <x v="0"/>
    <n v="1"/>
    <n v="101"/>
    <x v="25"/>
    <n v="1"/>
    <n v="1"/>
    <n v="156"/>
    <n v="0"/>
    <n v="0"/>
    <n v="2"/>
    <n v="0"/>
    <n v="3"/>
    <x v="0"/>
  </r>
  <r>
    <x v="7"/>
    <x v="1"/>
    <n v="2"/>
    <n v="110"/>
    <x v="69"/>
    <n v="0"/>
    <n v="1"/>
    <n v="158"/>
    <n v="0"/>
    <n v="1.6"/>
    <n v="1"/>
    <n v="0"/>
    <n v="2"/>
    <x v="0"/>
  </r>
  <r>
    <x v="11"/>
    <x v="1"/>
    <n v="0"/>
    <n v="100"/>
    <x v="70"/>
    <n v="0"/>
    <n v="0"/>
    <n v="122"/>
    <n v="0"/>
    <n v="1"/>
    <n v="1"/>
    <n v="0"/>
    <n v="2"/>
    <x v="0"/>
  </r>
  <r>
    <x v="8"/>
    <x v="0"/>
    <n v="2"/>
    <n v="124"/>
    <x v="71"/>
    <n v="1"/>
    <n v="1"/>
    <n v="175"/>
    <n v="0"/>
    <n v="0"/>
    <n v="2"/>
    <n v="2"/>
    <n v="2"/>
    <x v="0"/>
  </r>
  <r>
    <x v="4"/>
    <x v="0"/>
    <n v="0"/>
    <n v="132"/>
    <x v="72"/>
    <n v="0"/>
    <n v="1"/>
    <n v="168"/>
    <n v="1"/>
    <n v="0"/>
    <n v="2"/>
    <n v="0"/>
    <n v="3"/>
    <x v="0"/>
  </r>
  <r>
    <x v="6"/>
    <x v="0"/>
    <n v="2"/>
    <n v="138"/>
    <x v="73"/>
    <n v="0"/>
    <n v="1"/>
    <n v="169"/>
    <n v="0"/>
    <n v="0"/>
    <n v="2"/>
    <n v="4"/>
    <n v="2"/>
    <x v="0"/>
  </r>
  <r>
    <x v="7"/>
    <x v="1"/>
    <n v="1"/>
    <n v="132"/>
    <x v="74"/>
    <n v="1"/>
    <n v="0"/>
    <n v="159"/>
    <n v="1"/>
    <n v="0"/>
    <n v="2"/>
    <n v="1"/>
    <n v="2"/>
    <x v="0"/>
  </r>
  <r>
    <x v="25"/>
    <x v="1"/>
    <n v="1"/>
    <n v="112"/>
    <x v="75"/>
    <n v="0"/>
    <n v="1"/>
    <n v="138"/>
    <n v="0"/>
    <n v="0"/>
    <n v="1"/>
    <n v="0"/>
    <n v="2"/>
    <x v="0"/>
  </r>
  <r>
    <x v="23"/>
    <x v="0"/>
    <n v="0"/>
    <n v="142"/>
    <x v="17"/>
    <n v="0"/>
    <n v="0"/>
    <n v="111"/>
    <n v="1"/>
    <n v="0"/>
    <n v="2"/>
    <n v="0"/>
    <n v="3"/>
    <x v="0"/>
  </r>
  <r>
    <x v="28"/>
    <x v="1"/>
    <n v="0"/>
    <n v="140"/>
    <x v="76"/>
    <n v="0"/>
    <n v="0"/>
    <n v="157"/>
    <n v="0"/>
    <n v="1.2"/>
    <n v="1"/>
    <n v="0"/>
    <n v="2"/>
    <x v="0"/>
  </r>
  <r>
    <x v="6"/>
    <x v="0"/>
    <n v="0"/>
    <n v="108"/>
    <x v="0"/>
    <n v="1"/>
    <n v="1"/>
    <n v="147"/>
    <n v="0"/>
    <n v="0.1"/>
    <n v="2"/>
    <n v="3"/>
    <n v="3"/>
    <x v="0"/>
  </r>
  <r>
    <x v="14"/>
    <x v="0"/>
    <n v="2"/>
    <n v="130"/>
    <x v="77"/>
    <n v="0"/>
    <n v="1"/>
    <n v="162"/>
    <n v="0"/>
    <n v="1.9"/>
    <n v="2"/>
    <n v="1"/>
    <n v="2"/>
    <x v="0"/>
  </r>
  <r>
    <x v="23"/>
    <x v="0"/>
    <n v="2"/>
    <n v="130"/>
    <x v="78"/>
    <n v="1"/>
    <n v="0"/>
    <n v="173"/>
    <n v="0"/>
    <n v="0"/>
    <n v="2"/>
    <n v="3"/>
    <n v="2"/>
    <x v="0"/>
  </r>
  <r>
    <x v="17"/>
    <x v="0"/>
    <n v="3"/>
    <n v="148"/>
    <x v="79"/>
    <n v="0"/>
    <n v="0"/>
    <n v="178"/>
    <n v="0"/>
    <n v="0.8"/>
    <n v="2"/>
    <n v="2"/>
    <n v="2"/>
    <x v="0"/>
  </r>
  <r>
    <x v="16"/>
    <x v="0"/>
    <n v="3"/>
    <n v="178"/>
    <x v="80"/>
    <n v="0"/>
    <n v="0"/>
    <n v="145"/>
    <n v="0"/>
    <n v="4.2"/>
    <n v="0"/>
    <n v="0"/>
    <n v="3"/>
    <x v="0"/>
  </r>
  <r>
    <x v="0"/>
    <x v="1"/>
    <n v="1"/>
    <n v="140"/>
    <x v="81"/>
    <n v="0"/>
    <n v="1"/>
    <n v="179"/>
    <n v="0"/>
    <n v="0"/>
    <n v="2"/>
    <n v="2"/>
    <n v="2"/>
    <x v="0"/>
  </r>
  <r>
    <x v="17"/>
    <x v="0"/>
    <n v="2"/>
    <n v="120"/>
    <x v="64"/>
    <n v="1"/>
    <n v="1"/>
    <n v="194"/>
    <n v="0"/>
    <n v="0.8"/>
    <n v="0"/>
    <n v="0"/>
    <n v="3"/>
    <x v="0"/>
  </r>
  <r>
    <x v="12"/>
    <x v="0"/>
    <n v="2"/>
    <n v="129"/>
    <x v="82"/>
    <n v="0"/>
    <n v="1"/>
    <n v="163"/>
    <n v="0"/>
    <n v="0"/>
    <n v="2"/>
    <n v="0"/>
    <n v="2"/>
    <x v="0"/>
  </r>
  <r>
    <x v="35"/>
    <x v="1"/>
    <n v="2"/>
    <n v="120"/>
    <x v="13"/>
    <n v="0"/>
    <n v="0"/>
    <n v="115"/>
    <n v="0"/>
    <n v="1.5"/>
    <n v="1"/>
    <n v="0"/>
    <n v="2"/>
    <x v="0"/>
  </r>
  <r>
    <x v="15"/>
    <x v="0"/>
    <n v="3"/>
    <n v="160"/>
    <x v="19"/>
    <n v="1"/>
    <n v="0"/>
    <n v="131"/>
    <n v="0"/>
    <n v="0.1"/>
    <n v="1"/>
    <n v="1"/>
    <n v="2"/>
    <x v="0"/>
  </r>
  <r>
    <x v="25"/>
    <x v="1"/>
    <n v="0"/>
    <n v="138"/>
    <x v="3"/>
    <n v="0"/>
    <n v="0"/>
    <n v="152"/>
    <n v="1"/>
    <n v="0.2"/>
    <n v="1"/>
    <n v="0"/>
    <n v="2"/>
    <x v="0"/>
  </r>
  <r>
    <x v="12"/>
    <x v="1"/>
    <n v="1"/>
    <n v="120"/>
    <x v="79"/>
    <n v="0"/>
    <n v="1"/>
    <n v="162"/>
    <n v="0"/>
    <n v="1.1000000000000001"/>
    <n v="2"/>
    <n v="0"/>
    <n v="2"/>
    <x v="0"/>
  </r>
  <r>
    <x v="12"/>
    <x v="1"/>
    <n v="0"/>
    <n v="110"/>
    <x v="83"/>
    <n v="0"/>
    <n v="0"/>
    <n v="159"/>
    <n v="0"/>
    <n v="0"/>
    <n v="2"/>
    <n v="0"/>
    <n v="2"/>
    <x v="0"/>
  </r>
  <r>
    <x v="10"/>
    <x v="1"/>
    <n v="0"/>
    <n v="180"/>
    <x v="39"/>
    <n v="0"/>
    <n v="1"/>
    <n v="154"/>
    <n v="1"/>
    <n v="0"/>
    <n v="2"/>
    <n v="0"/>
    <n v="2"/>
    <x v="0"/>
  </r>
  <r>
    <x v="4"/>
    <x v="0"/>
    <n v="2"/>
    <n v="150"/>
    <x v="84"/>
    <n v="1"/>
    <n v="1"/>
    <n v="173"/>
    <n v="0"/>
    <n v="0.2"/>
    <n v="2"/>
    <n v="1"/>
    <n v="3"/>
    <x v="0"/>
  </r>
  <r>
    <x v="10"/>
    <x v="1"/>
    <n v="2"/>
    <n v="140"/>
    <x v="85"/>
    <n v="0"/>
    <n v="1"/>
    <n v="133"/>
    <n v="0"/>
    <n v="0.2"/>
    <n v="2"/>
    <n v="0"/>
    <n v="3"/>
    <x v="0"/>
  </r>
  <r>
    <x v="14"/>
    <x v="0"/>
    <n v="0"/>
    <n v="110"/>
    <x v="13"/>
    <n v="0"/>
    <n v="1"/>
    <n v="161"/>
    <n v="0"/>
    <n v="0"/>
    <n v="2"/>
    <n v="0"/>
    <n v="3"/>
    <x v="0"/>
  </r>
  <r>
    <x v="32"/>
    <x v="0"/>
    <n v="1"/>
    <n v="130"/>
    <x v="86"/>
    <n v="0"/>
    <n v="1"/>
    <n v="155"/>
    <n v="0"/>
    <n v="0"/>
    <n v="2"/>
    <n v="0"/>
    <n v="2"/>
    <x v="0"/>
  </r>
  <r>
    <x v="1"/>
    <x v="1"/>
    <n v="2"/>
    <n v="120"/>
    <x v="87"/>
    <n v="0"/>
    <n v="1"/>
    <n v="170"/>
    <n v="0"/>
    <n v="0"/>
    <n v="2"/>
    <n v="0"/>
    <n v="2"/>
    <x v="0"/>
  </r>
  <r>
    <x v="2"/>
    <x v="0"/>
    <n v="2"/>
    <n v="130"/>
    <x v="69"/>
    <n v="0"/>
    <n v="0"/>
    <n v="168"/>
    <n v="0"/>
    <n v="2"/>
    <n v="1"/>
    <n v="0"/>
    <n v="2"/>
    <x v="0"/>
  </r>
  <r>
    <x v="3"/>
    <x v="0"/>
    <n v="3"/>
    <n v="120"/>
    <x v="88"/>
    <n v="0"/>
    <n v="0"/>
    <n v="162"/>
    <n v="0"/>
    <n v="1.9"/>
    <n v="1"/>
    <n v="0"/>
    <n v="3"/>
    <x v="0"/>
  </r>
  <r>
    <x v="24"/>
    <x v="1"/>
    <n v="1"/>
    <n v="105"/>
    <x v="2"/>
    <n v="0"/>
    <n v="1"/>
    <n v="172"/>
    <n v="0"/>
    <n v="0"/>
    <n v="2"/>
    <n v="0"/>
    <n v="2"/>
    <x v="0"/>
  </r>
  <r>
    <x v="24"/>
    <x v="1"/>
    <n v="0"/>
    <n v="138"/>
    <x v="20"/>
    <n v="0"/>
    <n v="0"/>
    <n v="152"/>
    <n v="1"/>
    <n v="0"/>
    <n v="1"/>
    <n v="0"/>
    <n v="2"/>
    <x v="0"/>
  </r>
  <r>
    <x v="10"/>
    <x v="1"/>
    <n v="0"/>
    <n v="130"/>
    <x v="51"/>
    <n v="0"/>
    <n v="1"/>
    <n v="122"/>
    <n v="0"/>
    <n v="2"/>
    <n v="1"/>
    <n v="2"/>
    <n v="2"/>
    <x v="0"/>
  </r>
  <r>
    <x v="16"/>
    <x v="0"/>
    <n v="0"/>
    <n v="138"/>
    <x v="89"/>
    <n v="0"/>
    <n v="0"/>
    <n v="182"/>
    <n v="0"/>
    <n v="0"/>
    <n v="2"/>
    <n v="0"/>
    <n v="2"/>
    <x v="0"/>
  </r>
  <r>
    <x v="2"/>
    <x v="1"/>
    <n v="2"/>
    <n v="112"/>
    <x v="90"/>
    <n v="0"/>
    <n v="0"/>
    <n v="172"/>
    <n v="1"/>
    <n v="0"/>
    <n v="2"/>
    <n v="0"/>
    <n v="2"/>
    <x v="0"/>
  </r>
  <r>
    <x v="7"/>
    <x v="1"/>
    <n v="2"/>
    <n v="108"/>
    <x v="91"/>
    <n v="0"/>
    <n v="0"/>
    <n v="167"/>
    <n v="0"/>
    <n v="0"/>
    <n v="2"/>
    <n v="0"/>
    <n v="2"/>
    <x v="0"/>
  </r>
  <r>
    <x v="26"/>
    <x v="1"/>
    <n v="2"/>
    <n v="94"/>
    <x v="8"/>
    <n v="0"/>
    <n v="1"/>
    <n v="179"/>
    <n v="0"/>
    <n v="0"/>
    <n v="2"/>
    <n v="0"/>
    <n v="2"/>
    <x v="0"/>
  </r>
  <r>
    <x v="29"/>
    <x v="1"/>
    <n v="1"/>
    <n v="118"/>
    <x v="92"/>
    <n v="0"/>
    <n v="1"/>
    <n v="192"/>
    <n v="0"/>
    <n v="0.7"/>
    <n v="2"/>
    <n v="0"/>
    <n v="2"/>
    <x v="0"/>
  </r>
  <r>
    <x v="27"/>
    <x v="0"/>
    <n v="0"/>
    <n v="112"/>
    <x v="2"/>
    <n v="0"/>
    <n v="1"/>
    <n v="143"/>
    <n v="0"/>
    <n v="0.1"/>
    <n v="2"/>
    <n v="0"/>
    <n v="2"/>
    <x v="0"/>
  </r>
  <r>
    <x v="34"/>
    <x v="1"/>
    <n v="2"/>
    <n v="152"/>
    <x v="68"/>
    <n v="0"/>
    <n v="1"/>
    <n v="172"/>
    <n v="0"/>
    <n v="0"/>
    <n v="2"/>
    <n v="1"/>
    <n v="2"/>
    <x v="0"/>
  </r>
  <r>
    <x v="6"/>
    <x v="1"/>
    <n v="2"/>
    <n v="136"/>
    <x v="82"/>
    <n v="0"/>
    <n v="0"/>
    <n v="169"/>
    <n v="0"/>
    <n v="0.1"/>
    <n v="1"/>
    <n v="0"/>
    <n v="2"/>
    <x v="0"/>
  </r>
  <r>
    <x v="36"/>
    <x v="1"/>
    <n v="1"/>
    <n v="120"/>
    <x v="32"/>
    <n v="0"/>
    <n v="0"/>
    <n v="121"/>
    <n v="1"/>
    <n v="0.2"/>
    <n v="2"/>
    <n v="1"/>
    <n v="2"/>
    <x v="0"/>
  </r>
  <r>
    <x v="7"/>
    <x v="1"/>
    <n v="2"/>
    <n v="160"/>
    <x v="47"/>
    <n v="0"/>
    <n v="1"/>
    <n v="163"/>
    <n v="0"/>
    <n v="0"/>
    <n v="2"/>
    <n v="1"/>
    <n v="2"/>
    <x v="0"/>
  </r>
  <r>
    <x v="9"/>
    <x v="1"/>
    <n v="1"/>
    <n v="134"/>
    <x v="89"/>
    <n v="0"/>
    <n v="1"/>
    <n v="162"/>
    <n v="0"/>
    <n v="0"/>
    <n v="1"/>
    <n v="0"/>
    <n v="2"/>
    <x v="0"/>
  </r>
  <r>
    <x v="17"/>
    <x v="0"/>
    <n v="1"/>
    <n v="120"/>
    <x v="93"/>
    <n v="0"/>
    <n v="1"/>
    <n v="162"/>
    <n v="0"/>
    <n v="0"/>
    <n v="2"/>
    <n v="0"/>
    <n v="2"/>
    <x v="0"/>
  </r>
  <r>
    <x v="2"/>
    <x v="0"/>
    <n v="1"/>
    <n v="110"/>
    <x v="40"/>
    <n v="0"/>
    <n v="1"/>
    <n v="153"/>
    <n v="0"/>
    <n v="0"/>
    <n v="2"/>
    <n v="0"/>
    <n v="2"/>
    <x v="0"/>
  </r>
  <r>
    <x v="2"/>
    <x v="1"/>
    <n v="1"/>
    <n v="126"/>
    <x v="94"/>
    <n v="0"/>
    <n v="1"/>
    <n v="163"/>
    <n v="0"/>
    <n v="0"/>
    <n v="2"/>
    <n v="0"/>
    <n v="2"/>
    <x v="0"/>
  </r>
  <r>
    <x v="9"/>
    <x v="1"/>
    <n v="0"/>
    <n v="130"/>
    <x v="32"/>
    <n v="0"/>
    <n v="1"/>
    <n v="163"/>
    <n v="0"/>
    <n v="0"/>
    <n v="2"/>
    <n v="0"/>
    <n v="2"/>
    <x v="0"/>
  </r>
  <r>
    <x v="33"/>
    <x v="1"/>
    <n v="2"/>
    <n v="120"/>
    <x v="95"/>
    <n v="1"/>
    <n v="1"/>
    <n v="96"/>
    <n v="0"/>
    <n v="0"/>
    <n v="2"/>
    <n v="0"/>
    <n v="2"/>
    <x v="0"/>
  </r>
  <r>
    <x v="28"/>
    <x v="0"/>
    <n v="1"/>
    <n v="128"/>
    <x v="36"/>
    <n v="1"/>
    <n v="0"/>
    <n v="140"/>
    <n v="0"/>
    <n v="0"/>
    <n v="2"/>
    <n v="0"/>
    <n v="2"/>
    <x v="0"/>
  </r>
  <r>
    <x v="4"/>
    <x v="0"/>
    <n v="0"/>
    <n v="110"/>
    <x v="47"/>
    <n v="0"/>
    <n v="1"/>
    <n v="126"/>
    <n v="1"/>
    <n v="1.5"/>
    <n v="1"/>
    <n v="0"/>
    <n v="1"/>
    <x v="0"/>
  </r>
  <r>
    <x v="10"/>
    <x v="0"/>
    <n v="0"/>
    <n v="128"/>
    <x v="7"/>
    <n v="0"/>
    <n v="1"/>
    <n v="105"/>
    <n v="1"/>
    <n v="0.2"/>
    <n v="1"/>
    <n v="1"/>
    <n v="3"/>
    <x v="0"/>
  </r>
  <r>
    <x v="21"/>
    <x v="1"/>
    <n v="2"/>
    <n v="120"/>
    <x v="93"/>
    <n v="0"/>
    <n v="0"/>
    <n v="157"/>
    <n v="0"/>
    <n v="0.6"/>
    <n v="2"/>
    <n v="0"/>
    <n v="2"/>
    <x v="0"/>
  </r>
  <r>
    <x v="14"/>
    <x v="0"/>
    <n v="0"/>
    <n v="115"/>
    <x v="51"/>
    <n v="0"/>
    <n v="1"/>
    <n v="181"/>
    <n v="0"/>
    <n v="1.2"/>
    <n v="1"/>
    <n v="0"/>
    <n v="2"/>
    <x v="0"/>
  </r>
  <r>
    <x v="17"/>
    <x v="1"/>
    <n v="2"/>
    <n v="120"/>
    <x v="58"/>
    <n v="0"/>
    <n v="1"/>
    <n v="173"/>
    <n v="0"/>
    <n v="0"/>
    <n v="1"/>
    <n v="0"/>
    <n v="2"/>
    <x v="0"/>
  </r>
  <r>
    <x v="34"/>
    <x v="1"/>
    <n v="0"/>
    <n v="106"/>
    <x v="73"/>
    <n v="0"/>
    <n v="1"/>
    <n v="142"/>
    <n v="0"/>
    <n v="0.3"/>
    <n v="2"/>
    <n v="2"/>
    <n v="2"/>
    <x v="0"/>
  </r>
  <r>
    <x v="37"/>
    <x v="1"/>
    <n v="2"/>
    <n v="140"/>
    <x v="25"/>
    <n v="0"/>
    <n v="2"/>
    <n v="116"/>
    <n v="0"/>
    <n v="1.1000000000000001"/>
    <n v="1"/>
    <n v="0"/>
    <n v="2"/>
    <x v="0"/>
  </r>
  <r>
    <x v="38"/>
    <x v="0"/>
    <n v="1"/>
    <n v="156"/>
    <x v="35"/>
    <n v="0"/>
    <n v="0"/>
    <n v="143"/>
    <n v="0"/>
    <n v="0"/>
    <n v="2"/>
    <n v="0"/>
    <n v="2"/>
    <x v="0"/>
  </r>
  <r>
    <x v="5"/>
    <x v="1"/>
    <n v="2"/>
    <n v="118"/>
    <x v="96"/>
    <n v="0"/>
    <n v="1"/>
    <n v="149"/>
    <n v="0"/>
    <n v="0.3"/>
    <n v="1"/>
    <n v="1"/>
    <n v="2"/>
    <x v="0"/>
  </r>
  <r>
    <x v="33"/>
    <x v="1"/>
    <n v="3"/>
    <n v="150"/>
    <x v="64"/>
    <n v="0"/>
    <n v="1"/>
    <n v="171"/>
    <n v="0"/>
    <n v="0.9"/>
    <n v="2"/>
    <n v="0"/>
    <n v="2"/>
    <x v="0"/>
  </r>
  <r>
    <x v="5"/>
    <x v="0"/>
    <n v="2"/>
    <n v="120"/>
    <x v="17"/>
    <n v="0"/>
    <n v="1"/>
    <n v="169"/>
    <n v="0"/>
    <n v="0"/>
    <n v="2"/>
    <n v="0"/>
    <n v="2"/>
    <x v="0"/>
  </r>
  <r>
    <x v="17"/>
    <x v="0"/>
    <n v="2"/>
    <n v="130"/>
    <x v="97"/>
    <n v="0"/>
    <n v="1"/>
    <n v="150"/>
    <n v="0"/>
    <n v="0"/>
    <n v="2"/>
    <n v="0"/>
    <n v="2"/>
    <x v="0"/>
  </r>
  <r>
    <x v="13"/>
    <x v="0"/>
    <n v="0"/>
    <n v="160"/>
    <x v="98"/>
    <n v="0"/>
    <n v="0"/>
    <n v="138"/>
    <n v="0"/>
    <n v="2.2999999999999998"/>
    <n v="2"/>
    <n v="0"/>
    <n v="1"/>
    <x v="0"/>
  </r>
  <r>
    <x v="20"/>
    <x v="1"/>
    <n v="0"/>
    <n v="112"/>
    <x v="99"/>
    <n v="0"/>
    <n v="1"/>
    <n v="125"/>
    <n v="0"/>
    <n v="1.6"/>
    <n v="1"/>
    <n v="0"/>
    <n v="2"/>
    <x v="0"/>
  </r>
  <r>
    <x v="10"/>
    <x v="0"/>
    <n v="3"/>
    <n v="170"/>
    <x v="60"/>
    <n v="0"/>
    <n v="0"/>
    <n v="155"/>
    <n v="0"/>
    <n v="0.6"/>
    <n v="1"/>
    <n v="0"/>
    <n v="3"/>
    <x v="0"/>
  </r>
  <r>
    <x v="13"/>
    <x v="1"/>
    <n v="2"/>
    <n v="146"/>
    <x v="100"/>
    <n v="0"/>
    <n v="0"/>
    <n v="152"/>
    <n v="0"/>
    <n v="0"/>
    <n v="1"/>
    <n v="1"/>
    <n v="2"/>
    <x v="0"/>
  </r>
  <r>
    <x v="26"/>
    <x v="1"/>
    <n v="2"/>
    <n v="138"/>
    <x v="57"/>
    <n v="0"/>
    <n v="1"/>
    <n v="152"/>
    <n v="0"/>
    <n v="0"/>
    <n v="1"/>
    <n v="0"/>
    <n v="2"/>
    <x v="0"/>
  </r>
  <r>
    <x v="11"/>
    <x v="1"/>
    <n v="0"/>
    <n v="130"/>
    <x v="25"/>
    <n v="0"/>
    <n v="1"/>
    <n v="131"/>
    <n v="0"/>
    <n v="0.6"/>
    <n v="1"/>
    <n v="0"/>
    <n v="2"/>
    <x v="0"/>
  </r>
  <r>
    <x v="27"/>
    <x v="0"/>
    <n v="2"/>
    <n v="130"/>
    <x v="101"/>
    <n v="0"/>
    <n v="1"/>
    <n v="179"/>
    <n v="0"/>
    <n v="0"/>
    <n v="2"/>
    <n v="0"/>
    <n v="2"/>
    <x v="0"/>
  </r>
  <r>
    <x v="30"/>
    <x v="0"/>
    <n v="1"/>
    <n v="122"/>
    <x v="5"/>
    <n v="0"/>
    <n v="1"/>
    <n v="174"/>
    <n v="0"/>
    <n v="0"/>
    <n v="2"/>
    <n v="0"/>
    <n v="2"/>
    <x v="0"/>
  </r>
  <r>
    <x v="11"/>
    <x v="0"/>
    <n v="1"/>
    <n v="125"/>
    <x v="57"/>
    <n v="0"/>
    <n v="1"/>
    <n v="144"/>
    <n v="0"/>
    <n v="0.4"/>
    <n v="1"/>
    <n v="4"/>
    <n v="3"/>
    <x v="0"/>
  </r>
  <r>
    <x v="3"/>
    <x v="0"/>
    <n v="1"/>
    <n v="130"/>
    <x v="62"/>
    <n v="0"/>
    <n v="0"/>
    <n v="163"/>
    <n v="0"/>
    <n v="0"/>
    <n v="2"/>
    <n v="0"/>
    <n v="3"/>
    <x v="0"/>
  </r>
  <r>
    <x v="3"/>
    <x v="0"/>
    <n v="1"/>
    <n v="120"/>
    <x v="64"/>
    <n v="0"/>
    <n v="1"/>
    <n v="169"/>
    <n v="0"/>
    <n v="0"/>
    <n v="0"/>
    <n v="0"/>
    <n v="2"/>
    <x v="0"/>
  </r>
  <r>
    <x v="32"/>
    <x v="1"/>
    <n v="1"/>
    <n v="132"/>
    <x v="102"/>
    <n v="0"/>
    <n v="1"/>
    <n v="166"/>
    <n v="0"/>
    <n v="1.2"/>
    <n v="2"/>
    <n v="0"/>
    <n v="2"/>
    <x v="0"/>
  </r>
  <r>
    <x v="2"/>
    <x v="0"/>
    <n v="1"/>
    <n v="120"/>
    <x v="103"/>
    <n v="0"/>
    <n v="1"/>
    <n v="182"/>
    <n v="0"/>
    <n v="0"/>
    <n v="2"/>
    <n v="0"/>
    <n v="2"/>
    <x v="0"/>
  </r>
  <r>
    <x v="39"/>
    <x v="0"/>
    <n v="2"/>
    <n v="138"/>
    <x v="23"/>
    <n v="0"/>
    <n v="1"/>
    <n v="173"/>
    <n v="0"/>
    <n v="0"/>
    <n v="2"/>
    <n v="4"/>
    <n v="2"/>
    <x v="0"/>
  </r>
  <r>
    <x v="39"/>
    <x v="0"/>
    <n v="2"/>
    <n v="138"/>
    <x v="23"/>
    <n v="0"/>
    <n v="1"/>
    <n v="173"/>
    <n v="0"/>
    <n v="0"/>
    <n v="2"/>
    <n v="4"/>
    <n v="2"/>
    <x v="0"/>
  </r>
  <r>
    <x v="34"/>
    <x v="0"/>
    <n v="0"/>
    <n v="160"/>
    <x v="104"/>
    <n v="0"/>
    <n v="0"/>
    <n v="108"/>
    <n v="1"/>
    <n v="1.5"/>
    <n v="1"/>
    <n v="3"/>
    <n v="2"/>
    <x v="1"/>
  </r>
  <r>
    <x v="34"/>
    <x v="0"/>
    <n v="0"/>
    <n v="120"/>
    <x v="105"/>
    <n v="0"/>
    <n v="0"/>
    <n v="129"/>
    <n v="1"/>
    <n v="2.6"/>
    <n v="1"/>
    <n v="2"/>
    <n v="3"/>
    <x v="1"/>
  </r>
  <r>
    <x v="28"/>
    <x v="1"/>
    <n v="0"/>
    <n v="140"/>
    <x v="90"/>
    <n v="0"/>
    <n v="0"/>
    <n v="160"/>
    <n v="0"/>
    <n v="3.6"/>
    <n v="0"/>
    <n v="2"/>
    <n v="2"/>
    <x v="1"/>
  </r>
  <r>
    <x v="0"/>
    <x v="0"/>
    <n v="0"/>
    <n v="130"/>
    <x v="83"/>
    <n v="0"/>
    <n v="0"/>
    <n v="147"/>
    <n v="0"/>
    <n v="1.4"/>
    <n v="1"/>
    <n v="1"/>
    <n v="3"/>
    <x v="1"/>
  </r>
  <r>
    <x v="23"/>
    <x v="0"/>
    <n v="0"/>
    <n v="140"/>
    <x v="55"/>
    <n v="1"/>
    <n v="0"/>
    <n v="155"/>
    <n v="1"/>
    <n v="3.1"/>
    <n v="0"/>
    <n v="0"/>
    <n v="3"/>
    <x v="1"/>
  </r>
  <r>
    <x v="3"/>
    <x v="0"/>
    <n v="2"/>
    <n v="130"/>
    <x v="43"/>
    <n v="1"/>
    <n v="0"/>
    <n v="142"/>
    <n v="1"/>
    <n v="0.6"/>
    <n v="1"/>
    <n v="1"/>
    <n v="1"/>
    <x v="1"/>
  </r>
  <r>
    <x v="8"/>
    <x v="0"/>
    <n v="1"/>
    <n v="110"/>
    <x v="105"/>
    <n v="0"/>
    <n v="1"/>
    <n v="168"/>
    <n v="0"/>
    <n v="1"/>
    <n v="0"/>
    <n v="0"/>
    <n v="3"/>
    <x v="1"/>
  </r>
  <r>
    <x v="11"/>
    <x v="0"/>
    <n v="1"/>
    <n v="120"/>
    <x v="106"/>
    <n v="0"/>
    <n v="0"/>
    <n v="160"/>
    <n v="0"/>
    <n v="1.8"/>
    <n v="1"/>
    <n v="0"/>
    <n v="2"/>
    <x v="1"/>
  </r>
  <r>
    <x v="11"/>
    <x v="0"/>
    <n v="2"/>
    <n v="132"/>
    <x v="107"/>
    <n v="0"/>
    <n v="0"/>
    <n v="173"/>
    <n v="0"/>
    <n v="3.2"/>
    <n v="2"/>
    <n v="2"/>
    <n v="3"/>
    <x v="1"/>
  </r>
  <r>
    <x v="33"/>
    <x v="0"/>
    <n v="0"/>
    <n v="130"/>
    <x v="108"/>
    <n v="0"/>
    <n v="0"/>
    <n v="132"/>
    <n v="1"/>
    <n v="2.4"/>
    <n v="1"/>
    <n v="2"/>
    <n v="3"/>
    <x v="1"/>
  </r>
  <r>
    <x v="19"/>
    <x v="0"/>
    <n v="0"/>
    <n v="110"/>
    <x v="109"/>
    <n v="0"/>
    <n v="0"/>
    <n v="114"/>
    <n v="1"/>
    <n v="2"/>
    <n v="1"/>
    <n v="0"/>
    <n v="3"/>
    <x v="1"/>
  </r>
  <r>
    <x v="33"/>
    <x v="0"/>
    <n v="0"/>
    <n v="117"/>
    <x v="110"/>
    <n v="1"/>
    <n v="1"/>
    <n v="160"/>
    <n v="1"/>
    <n v="1.4"/>
    <n v="2"/>
    <n v="2"/>
    <n v="3"/>
    <x v="1"/>
  </r>
  <r>
    <x v="10"/>
    <x v="0"/>
    <n v="2"/>
    <n v="140"/>
    <x v="111"/>
    <n v="0"/>
    <n v="1"/>
    <n v="158"/>
    <n v="0"/>
    <n v="0"/>
    <n v="2"/>
    <n v="0"/>
    <n v="2"/>
    <x v="1"/>
  </r>
  <r>
    <x v="14"/>
    <x v="0"/>
    <n v="0"/>
    <n v="120"/>
    <x v="27"/>
    <n v="0"/>
    <n v="0"/>
    <n v="120"/>
    <n v="1"/>
    <n v="2.5"/>
    <n v="1"/>
    <n v="0"/>
    <n v="3"/>
    <x v="1"/>
  </r>
  <r>
    <x v="4"/>
    <x v="0"/>
    <n v="0"/>
    <n v="150"/>
    <x v="112"/>
    <n v="0"/>
    <n v="0"/>
    <n v="112"/>
    <n v="1"/>
    <n v="0.6"/>
    <n v="1"/>
    <n v="1"/>
    <n v="1"/>
    <x v="1"/>
  </r>
  <r>
    <x v="32"/>
    <x v="0"/>
    <n v="0"/>
    <n v="132"/>
    <x v="113"/>
    <n v="0"/>
    <n v="1"/>
    <n v="132"/>
    <n v="1"/>
    <n v="1.2"/>
    <n v="1"/>
    <n v="1"/>
    <n v="3"/>
    <x v="1"/>
  </r>
  <r>
    <x v="22"/>
    <x v="1"/>
    <n v="0"/>
    <n v="150"/>
    <x v="114"/>
    <n v="0"/>
    <n v="0"/>
    <n v="114"/>
    <n v="0"/>
    <n v="1"/>
    <n v="1"/>
    <n v="3"/>
    <n v="3"/>
    <x v="1"/>
  </r>
  <r>
    <x v="18"/>
    <x v="1"/>
    <n v="0"/>
    <n v="130"/>
    <x v="115"/>
    <n v="0"/>
    <n v="0"/>
    <n v="169"/>
    <n v="0"/>
    <n v="0"/>
    <n v="2"/>
    <n v="0"/>
    <n v="2"/>
    <x v="1"/>
  </r>
  <r>
    <x v="11"/>
    <x v="0"/>
    <n v="2"/>
    <n v="112"/>
    <x v="110"/>
    <n v="0"/>
    <n v="0"/>
    <n v="165"/>
    <n v="0"/>
    <n v="2.5"/>
    <n v="1"/>
    <n v="1"/>
    <n v="3"/>
    <x v="1"/>
  </r>
  <r>
    <x v="12"/>
    <x v="0"/>
    <n v="0"/>
    <n v="150"/>
    <x v="20"/>
    <n v="0"/>
    <n v="0"/>
    <n v="128"/>
    <n v="0"/>
    <n v="2.6"/>
    <n v="1"/>
    <n v="0"/>
    <n v="3"/>
    <x v="1"/>
  </r>
  <r>
    <x v="5"/>
    <x v="0"/>
    <n v="0"/>
    <n v="112"/>
    <x v="116"/>
    <n v="0"/>
    <n v="0"/>
    <n v="153"/>
    <n v="0"/>
    <n v="0"/>
    <n v="2"/>
    <n v="1"/>
    <n v="2"/>
    <x v="1"/>
  </r>
  <r>
    <x v="33"/>
    <x v="0"/>
    <n v="0"/>
    <n v="130"/>
    <x v="101"/>
    <n v="0"/>
    <n v="1"/>
    <n v="144"/>
    <n v="1"/>
    <n v="1.4"/>
    <n v="2"/>
    <n v="1"/>
    <n v="3"/>
    <x v="1"/>
  </r>
  <r>
    <x v="7"/>
    <x v="0"/>
    <n v="0"/>
    <n v="124"/>
    <x v="12"/>
    <n v="0"/>
    <n v="0"/>
    <n v="109"/>
    <n v="1"/>
    <n v="2.2000000000000002"/>
    <n v="1"/>
    <n v="1"/>
    <n v="3"/>
    <x v="1"/>
  </r>
  <r>
    <x v="12"/>
    <x v="0"/>
    <n v="2"/>
    <n v="140"/>
    <x v="0"/>
    <n v="0"/>
    <n v="1"/>
    <n v="163"/>
    <n v="0"/>
    <n v="0.6"/>
    <n v="1"/>
    <n v="1"/>
    <n v="3"/>
    <x v="1"/>
  </r>
  <r>
    <x v="2"/>
    <x v="0"/>
    <n v="0"/>
    <n v="110"/>
    <x v="117"/>
    <n v="0"/>
    <n v="0"/>
    <n v="158"/>
    <n v="0"/>
    <n v="0"/>
    <n v="2"/>
    <n v="0"/>
    <n v="3"/>
    <x v="1"/>
  </r>
  <r>
    <x v="21"/>
    <x v="1"/>
    <n v="0"/>
    <n v="130"/>
    <x v="118"/>
    <n v="0"/>
    <n v="1"/>
    <n v="142"/>
    <n v="1"/>
    <n v="1.2"/>
    <n v="1"/>
    <n v="0"/>
    <n v="3"/>
    <x v="1"/>
  </r>
  <r>
    <x v="11"/>
    <x v="0"/>
    <n v="0"/>
    <n v="128"/>
    <x v="42"/>
    <n v="0"/>
    <n v="0"/>
    <n v="131"/>
    <n v="1"/>
    <n v="2.2000000000000002"/>
    <n v="1"/>
    <n v="3"/>
    <n v="3"/>
    <x v="1"/>
  </r>
  <r>
    <x v="7"/>
    <x v="0"/>
    <n v="0"/>
    <n v="120"/>
    <x v="119"/>
    <n v="0"/>
    <n v="1"/>
    <n v="113"/>
    <n v="0"/>
    <n v="1.4"/>
    <n v="1"/>
    <n v="1"/>
    <n v="3"/>
    <x v="1"/>
  </r>
  <r>
    <x v="33"/>
    <x v="0"/>
    <n v="0"/>
    <n v="145"/>
    <x v="120"/>
    <n v="0"/>
    <n v="0"/>
    <n v="142"/>
    <n v="1"/>
    <n v="2.8"/>
    <n v="1"/>
    <n v="2"/>
    <n v="3"/>
    <x v="1"/>
  </r>
  <r>
    <x v="33"/>
    <x v="0"/>
    <n v="2"/>
    <n v="140"/>
    <x v="121"/>
    <n v="0"/>
    <n v="0"/>
    <n v="155"/>
    <n v="0"/>
    <n v="3"/>
    <n v="1"/>
    <n v="0"/>
    <n v="2"/>
    <x v="1"/>
  </r>
  <r>
    <x v="16"/>
    <x v="0"/>
    <n v="0"/>
    <n v="170"/>
    <x v="122"/>
    <n v="0"/>
    <n v="0"/>
    <n v="140"/>
    <n v="1"/>
    <n v="3.4"/>
    <n v="0"/>
    <n v="0"/>
    <n v="3"/>
    <x v="1"/>
  </r>
  <r>
    <x v="24"/>
    <x v="0"/>
    <n v="2"/>
    <n v="150"/>
    <x v="44"/>
    <n v="0"/>
    <n v="1"/>
    <n v="147"/>
    <n v="0"/>
    <n v="3.6"/>
    <n v="1"/>
    <n v="0"/>
    <n v="2"/>
    <x v="1"/>
  </r>
  <r>
    <x v="34"/>
    <x v="0"/>
    <n v="0"/>
    <n v="125"/>
    <x v="83"/>
    <n v="1"/>
    <n v="1"/>
    <n v="163"/>
    <n v="0"/>
    <n v="0.2"/>
    <n v="1"/>
    <n v="2"/>
    <n v="3"/>
    <x v="1"/>
  </r>
  <r>
    <x v="28"/>
    <x v="0"/>
    <n v="0"/>
    <n v="120"/>
    <x v="91"/>
    <n v="0"/>
    <n v="1"/>
    <n v="99"/>
    <n v="1"/>
    <n v="1.8"/>
    <n v="1"/>
    <n v="2"/>
    <n v="3"/>
    <x v="1"/>
  </r>
  <r>
    <x v="22"/>
    <x v="0"/>
    <n v="0"/>
    <n v="110"/>
    <x v="70"/>
    <n v="0"/>
    <n v="0"/>
    <n v="158"/>
    <n v="0"/>
    <n v="0.6"/>
    <n v="2"/>
    <n v="2"/>
    <n v="1"/>
    <x v="1"/>
  </r>
  <r>
    <x v="5"/>
    <x v="0"/>
    <n v="0"/>
    <n v="110"/>
    <x v="25"/>
    <n v="0"/>
    <n v="0"/>
    <n v="177"/>
    <n v="0"/>
    <n v="0"/>
    <n v="2"/>
    <n v="1"/>
    <n v="2"/>
    <x v="1"/>
  </r>
  <r>
    <x v="33"/>
    <x v="0"/>
    <n v="0"/>
    <n v="125"/>
    <x v="59"/>
    <n v="0"/>
    <n v="0"/>
    <n v="141"/>
    <n v="1"/>
    <n v="2.8"/>
    <n v="1"/>
    <n v="1"/>
    <n v="3"/>
    <x v="1"/>
  </r>
  <r>
    <x v="11"/>
    <x v="0"/>
    <n v="0"/>
    <n v="150"/>
    <x v="80"/>
    <n v="0"/>
    <n v="0"/>
    <n v="111"/>
    <n v="1"/>
    <n v="0.8"/>
    <n v="2"/>
    <n v="0"/>
    <n v="3"/>
    <x v="1"/>
  </r>
  <r>
    <x v="35"/>
    <x v="0"/>
    <n v="2"/>
    <n v="180"/>
    <x v="123"/>
    <n v="1"/>
    <n v="0"/>
    <n v="150"/>
    <n v="1"/>
    <n v="1.6"/>
    <n v="1"/>
    <n v="0"/>
    <n v="3"/>
    <x v="1"/>
  </r>
  <r>
    <x v="28"/>
    <x v="1"/>
    <n v="0"/>
    <n v="160"/>
    <x v="124"/>
    <n v="0"/>
    <n v="0"/>
    <n v="145"/>
    <n v="0"/>
    <n v="6.2"/>
    <n v="0"/>
    <n v="3"/>
    <n v="3"/>
    <x v="1"/>
  </r>
  <r>
    <x v="6"/>
    <x v="0"/>
    <n v="0"/>
    <n v="128"/>
    <x v="71"/>
    <n v="0"/>
    <n v="1"/>
    <n v="161"/>
    <n v="1"/>
    <n v="0"/>
    <n v="2"/>
    <n v="1"/>
    <n v="3"/>
    <x v="1"/>
  </r>
  <r>
    <x v="16"/>
    <x v="0"/>
    <n v="0"/>
    <n v="110"/>
    <x v="10"/>
    <n v="0"/>
    <n v="0"/>
    <n v="142"/>
    <n v="1"/>
    <n v="1.2"/>
    <n v="1"/>
    <n v="1"/>
    <n v="3"/>
    <x v="1"/>
  </r>
  <r>
    <x v="33"/>
    <x v="1"/>
    <n v="0"/>
    <n v="150"/>
    <x v="59"/>
    <n v="0"/>
    <n v="0"/>
    <n v="157"/>
    <n v="0"/>
    <n v="2.6"/>
    <n v="1"/>
    <n v="2"/>
    <n v="3"/>
    <x v="1"/>
  </r>
  <r>
    <x v="9"/>
    <x v="0"/>
    <n v="2"/>
    <n v="120"/>
    <x v="119"/>
    <n v="0"/>
    <n v="1"/>
    <n v="139"/>
    <n v="0"/>
    <n v="2"/>
    <n v="1"/>
    <n v="3"/>
    <n v="3"/>
    <x v="1"/>
  </r>
  <r>
    <x v="16"/>
    <x v="0"/>
    <n v="0"/>
    <n v="140"/>
    <x v="27"/>
    <n v="0"/>
    <n v="1"/>
    <n v="162"/>
    <n v="1"/>
    <n v="0"/>
    <n v="2"/>
    <n v="1"/>
    <n v="3"/>
    <x v="1"/>
  </r>
  <r>
    <x v="4"/>
    <x v="0"/>
    <n v="2"/>
    <n v="128"/>
    <x v="105"/>
    <n v="0"/>
    <n v="0"/>
    <n v="150"/>
    <n v="0"/>
    <n v="0.4"/>
    <n v="1"/>
    <n v="1"/>
    <n v="3"/>
    <x v="1"/>
  </r>
  <r>
    <x v="18"/>
    <x v="0"/>
    <n v="0"/>
    <n v="120"/>
    <x v="49"/>
    <n v="0"/>
    <n v="1"/>
    <n v="140"/>
    <n v="1"/>
    <n v="3.6"/>
    <n v="1"/>
    <n v="1"/>
    <n v="3"/>
    <x v="1"/>
  </r>
  <r>
    <x v="26"/>
    <x v="0"/>
    <n v="0"/>
    <n v="118"/>
    <x v="15"/>
    <n v="0"/>
    <n v="1"/>
    <n v="140"/>
    <n v="0"/>
    <n v="1.2"/>
    <n v="1"/>
    <n v="0"/>
    <n v="3"/>
    <x v="1"/>
  </r>
  <r>
    <x v="18"/>
    <x v="1"/>
    <n v="0"/>
    <n v="145"/>
    <x v="125"/>
    <n v="0"/>
    <n v="0"/>
    <n v="146"/>
    <n v="1"/>
    <n v="1"/>
    <n v="1"/>
    <n v="0"/>
    <n v="3"/>
    <x v="1"/>
  </r>
  <r>
    <x v="3"/>
    <x v="0"/>
    <n v="0"/>
    <n v="125"/>
    <x v="126"/>
    <n v="1"/>
    <n v="0"/>
    <n v="144"/>
    <n v="1"/>
    <n v="1.2"/>
    <n v="1"/>
    <n v="1"/>
    <n v="2"/>
    <x v="1"/>
  </r>
  <r>
    <x v="14"/>
    <x v="1"/>
    <n v="0"/>
    <n v="132"/>
    <x v="127"/>
    <n v="1"/>
    <n v="0"/>
    <n v="136"/>
    <n v="1"/>
    <n v="3"/>
    <n v="1"/>
    <n v="0"/>
    <n v="3"/>
    <x v="1"/>
  </r>
  <r>
    <x v="28"/>
    <x v="1"/>
    <n v="2"/>
    <n v="130"/>
    <x v="7"/>
    <n v="0"/>
    <n v="1"/>
    <n v="97"/>
    <n v="0"/>
    <n v="1.2"/>
    <n v="1"/>
    <n v="1"/>
    <n v="3"/>
    <x v="1"/>
  </r>
  <r>
    <x v="0"/>
    <x v="0"/>
    <n v="0"/>
    <n v="130"/>
    <x v="115"/>
    <n v="1"/>
    <n v="0"/>
    <n v="132"/>
    <n v="1"/>
    <n v="1.8"/>
    <n v="2"/>
    <n v="3"/>
    <n v="3"/>
    <x v="1"/>
  </r>
  <r>
    <x v="22"/>
    <x v="0"/>
    <n v="0"/>
    <n v="135"/>
    <x v="83"/>
    <n v="0"/>
    <n v="0"/>
    <n v="127"/>
    <n v="0"/>
    <n v="2.8"/>
    <n v="1"/>
    <n v="1"/>
    <n v="3"/>
    <x v="1"/>
  </r>
  <r>
    <x v="8"/>
    <x v="0"/>
    <n v="0"/>
    <n v="130"/>
    <x v="43"/>
    <n v="1"/>
    <n v="0"/>
    <n v="150"/>
    <n v="1"/>
    <n v="0"/>
    <n v="2"/>
    <n v="2"/>
    <n v="3"/>
    <x v="1"/>
  </r>
  <r>
    <x v="0"/>
    <x v="1"/>
    <n v="0"/>
    <n v="150"/>
    <x v="128"/>
    <n v="0"/>
    <n v="0"/>
    <n v="154"/>
    <n v="0"/>
    <n v="4"/>
    <n v="1"/>
    <n v="3"/>
    <n v="3"/>
    <x v="1"/>
  </r>
  <r>
    <x v="32"/>
    <x v="0"/>
    <n v="0"/>
    <n v="140"/>
    <x v="129"/>
    <n v="0"/>
    <n v="1"/>
    <n v="111"/>
    <n v="1"/>
    <n v="5.6"/>
    <n v="0"/>
    <n v="0"/>
    <n v="3"/>
    <x v="1"/>
  </r>
  <r>
    <x v="22"/>
    <x v="0"/>
    <n v="3"/>
    <n v="138"/>
    <x v="120"/>
    <n v="1"/>
    <n v="0"/>
    <n v="174"/>
    <n v="0"/>
    <n v="1.4"/>
    <n v="1"/>
    <n v="1"/>
    <n v="2"/>
    <x v="1"/>
  </r>
  <r>
    <x v="3"/>
    <x v="1"/>
    <n v="0"/>
    <n v="200"/>
    <x v="74"/>
    <n v="1"/>
    <n v="0"/>
    <n v="133"/>
    <n v="1"/>
    <n v="4"/>
    <n v="0"/>
    <n v="2"/>
    <n v="3"/>
    <x v="1"/>
  </r>
  <r>
    <x v="7"/>
    <x v="0"/>
    <n v="0"/>
    <n v="110"/>
    <x v="10"/>
    <n v="0"/>
    <n v="1"/>
    <n v="126"/>
    <n v="1"/>
    <n v="2.8"/>
    <n v="1"/>
    <n v="1"/>
    <n v="3"/>
    <x v="1"/>
  </r>
  <r>
    <x v="38"/>
    <x v="0"/>
    <n v="0"/>
    <n v="145"/>
    <x v="130"/>
    <n v="0"/>
    <n v="1"/>
    <n v="125"/>
    <n v="1"/>
    <n v="2.6"/>
    <n v="0"/>
    <n v="0"/>
    <n v="3"/>
    <x v="1"/>
  </r>
  <r>
    <x v="28"/>
    <x v="0"/>
    <n v="1"/>
    <n v="120"/>
    <x v="131"/>
    <n v="0"/>
    <n v="0"/>
    <n v="103"/>
    <n v="0"/>
    <n v="1.4"/>
    <n v="1"/>
    <n v="1"/>
    <n v="3"/>
    <x v="1"/>
  </r>
  <r>
    <x v="30"/>
    <x v="0"/>
    <n v="0"/>
    <n v="120"/>
    <x v="26"/>
    <n v="0"/>
    <n v="1"/>
    <n v="130"/>
    <n v="1"/>
    <n v="1.6"/>
    <n v="1"/>
    <n v="0"/>
    <n v="3"/>
    <x v="1"/>
  </r>
  <r>
    <x v="16"/>
    <x v="0"/>
    <n v="3"/>
    <n v="170"/>
    <x v="74"/>
    <n v="0"/>
    <n v="0"/>
    <n v="159"/>
    <n v="0"/>
    <n v="0.2"/>
    <n v="1"/>
    <n v="0"/>
    <n v="3"/>
    <x v="1"/>
  </r>
  <r>
    <x v="10"/>
    <x v="0"/>
    <n v="2"/>
    <n v="125"/>
    <x v="53"/>
    <n v="0"/>
    <n v="1"/>
    <n v="131"/>
    <n v="1"/>
    <n v="1.8"/>
    <n v="1"/>
    <n v="0"/>
    <n v="3"/>
    <x v="1"/>
  </r>
  <r>
    <x v="27"/>
    <x v="0"/>
    <n v="2"/>
    <n v="108"/>
    <x v="20"/>
    <n v="0"/>
    <n v="1"/>
    <n v="152"/>
    <n v="0"/>
    <n v="0"/>
    <n v="2"/>
    <n v="0"/>
    <n v="2"/>
    <x v="1"/>
  </r>
  <r>
    <x v="4"/>
    <x v="0"/>
    <n v="0"/>
    <n v="165"/>
    <x v="132"/>
    <n v="1"/>
    <n v="0"/>
    <n v="124"/>
    <n v="0"/>
    <n v="1"/>
    <n v="1"/>
    <n v="3"/>
    <n v="3"/>
    <x v="1"/>
  </r>
  <r>
    <x v="32"/>
    <x v="0"/>
    <n v="0"/>
    <n v="160"/>
    <x v="132"/>
    <n v="0"/>
    <n v="0"/>
    <n v="145"/>
    <n v="1"/>
    <n v="0.8"/>
    <n v="1"/>
    <n v="1"/>
    <n v="3"/>
    <x v="1"/>
  </r>
  <r>
    <x v="10"/>
    <x v="0"/>
    <n v="0"/>
    <n v="120"/>
    <x v="78"/>
    <n v="0"/>
    <n v="0"/>
    <n v="96"/>
    <n v="1"/>
    <n v="2.2000000000000002"/>
    <n v="0"/>
    <n v="1"/>
    <n v="2"/>
    <x v="1"/>
  </r>
  <r>
    <x v="38"/>
    <x v="0"/>
    <n v="0"/>
    <n v="130"/>
    <x v="133"/>
    <n v="0"/>
    <n v="0"/>
    <n v="109"/>
    <n v="0"/>
    <n v="2.4"/>
    <n v="1"/>
    <n v="3"/>
    <n v="2"/>
    <x v="1"/>
  </r>
  <r>
    <x v="21"/>
    <x v="0"/>
    <n v="0"/>
    <n v="140"/>
    <x v="134"/>
    <n v="0"/>
    <n v="1"/>
    <n v="173"/>
    <n v="1"/>
    <n v="1.6"/>
    <n v="2"/>
    <n v="0"/>
    <n v="3"/>
    <x v="1"/>
  </r>
  <r>
    <x v="11"/>
    <x v="0"/>
    <n v="0"/>
    <n v="125"/>
    <x v="135"/>
    <n v="0"/>
    <n v="0"/>
    <n v="171"/>
    <n v="0"/>
    <n v="0"/>
    <n v="2"/>
    <n v="2"/>
    <n v="3"/>
    <x v="1"/>
  </r>
  <r>
    <x v="33"/>
    <x v="0"/>
    <n v="0"/>
    <n v="140"/>
    <x v="136"/>
    <n v="0"/>
    <n v="0"/>
    <n v="170"/>
    <n v="0"/>
    <n v="1.2"/>
    <n v="1"/>
    <n v="2"/>
    <n v="3"/>
    <x v="1"/>
  </r>
  <r>
    <x v="40"/>
    <x v="0"/>
    <n v="0"/>
    <n v="125"/>
    <x v="30"/>
    <n v="0"/>
    <n v="0"/>
    <n v="162"/>
    <n v="1"/>
    <n v="0"/>
    <n v="2"/>
    <n v="3"/>
    <n v="2"/>
    <x v="1"/>
  </r>
  <r>
    <x v="30"/>
    <x v="0"/>
    <n v="0"/>
    <n v="126"/>
    <x v="120"/>
    <n v="0"/>
    <n v="0"/>
    <n v="156"/>
    <n v="1"/>
    <n v="0"/>
    <n v="2"/>
    <n v="0"/>
    <n v="3"/>
    <x v="1"/>
  </r>
  <r>
    <x v="38"/>
    <x v="0"/>
    <n v="2"/>
    <n v="160"/>
    <x v="32"/>
    <n v="0"/>
    <n v="1"/>
    <n v="112"/>
    <n v="1"/>
    <n v="2.9"/>
    <n v="1"/>
    <n v="1"/>
    <n v="3"/>
    <x v="1"/>
  </r>
  <r>
    <x v="16"/>
    <x v="1"/>
    <n v="0"/>
    <n v="174"/>
    <x v="126"/>
    <n v="0"/>
    <n v="1"/>
    <n v="143"/>
    <n v="1"/>
    <n v="0"/>
    <n v="1"/>
    <n v="0"/>
    <n v="2"/>
    <x v="1"/>
  </r>
  <r>
    <x v="10"/>
    <x v="0"/>
    <n v="0"/>
    <n v="145"/>
    <x v="22"/>
    <n v="0"/>
    <n v="0"/>
    <n v="132"/>
    <n v="0"/>
    <n v="2"/>
    <n v="1"/>
    <n v="2"/>
    <n v="1"/>
    <x v="1"/>
  </r>
  <r>
    <x v="4"/>
    <x v="0"/>
    <n v="0"/>
    <n v="152"/>
    <x v="123"/>
    <n v="0"/>
    <n v="1"/>
    <n v="88"/>
    <n v="1"/>
    <n v="1.2"/>
    <n v="1"/>
    <n v="1"/>
    <n v="3"/>
    <x v="1"/>
  </r>
  <r>
    <x v="3"/>
    <x v="0"/>
    <n v="0"/>
    <n v="132"/>
    <x v="137"/>
    <n v="0"/>
    <n v="0"/>
    <n v="105"/>
    <n v="1"/>
    <n v="2.1"/>
    <n v="1"/>
    <n v="1"/>
    <n v="1"/>
    <x v="1"/>
  </r>
  <r>
    <x v="8"/>
    <x v="0"/>
    <n v="0"/>
    <n v="124"/>
    <x v="123"/>
    <n v="0"/>
    <n v="0"/>
    <n v="166"/>
    <n v="0"/>
    <n v="0.5"/>
    <n v="1"/>
    <n v="0"/>
    <n v="3"/>
    <x v="1"/>
  </r>
  <r>
    <x v="3"/>
    <x v="1"/>
    <n v="0"/>
    <n v="134"/>
    <x v="138"/>
    <n v="0"/>
    <n v="0"/>
    <n v="150"/>
    <n v="1"/>
    <n v="1.9"/>
    <n v="1"/>
    <n v="2"/>
    <n v="3"/>
    <x v="1"/>
  </r>
  <r>
    <x v="13"/>
    <x v="0"/>
    <n v="1"/>
    <n v="160"/>
    <x v="78"/>
    <n v="0"/>
    <n v="1"/>
    <n v="120"/>
    <n v="1"/>
    <n v="0"/>
    <n v="1"/>
    <n v="3"/>
    <n v="1"/>
    <x v="1"/>
  </r>
  <r>
    <x v="7"/>
    <x v="0"/>
    <n v="1"/>
    <n v="192"/>
    <x v="14"/>
    <n v="0"/>
    <n v="0"/>
    <n v="195"/>
    <n v="0"/>
    <n v="0"/>
    <n v="2"/>
    <n v="1"/>
    <n v="3"/>
    <x v="1"/>
  </r>
  <r>
    <x v="15"/>
    <x v="0"/>
    <n v="2"/>
    <n v="140"/>
    <x v="83"/>
    <n v="0"/>
    <n v="0"/>
    <n v="146"/>
    <n v="0"/>
    <n v="2"/>
    <n v="1"/>
    <n v="3"/>
    <n v="3"/>
    <x v="1"/>
  </r>
  <r>
    <x v="21"/>
    <x v="0"/>
    <n v="0"/>
    <n v="140"/>
    <x v="66"/>
    <n v="0"/>
    <n v="1"/>
    <n v="122"/>
    <n v="1"/>
    <n v="4.2"/>
    <n v="1"/>
    <n v="3"/>
    <n v="3"/>
    <x v="1"/>
  </r>
  <r>
    <x v="14"/>
    <x v="0"/>
    <n v="0"/>
    <n v="132"/>
    <x v="18"/>
    <n v="1"/>
    <n v="0"/>
    <n v="143"/>
    <n v="1"/>
    <n v="0.1"/>
    <n v="1"/>
    <n v="4"/>
    <n v="3"/>
    <x v="1"/>
  </r>
  <r>
    <x v="28"/>
    <x v="1"/>
    <n v="0"/>
    <n v="138"/>
    <x v="6"/>
    <n v="1"/>
    <n v="1"/>
    <n v="106"/>
    <n v="0"/>
    <n v="1.9"/>
    <n v="1"/>
    <n v="3"/>
    <n v="2"/>
    <x v="1"/>
  </r>
  <r>
    <x v="34"/>
    <x v="0"/>
    <n v="0"/>
    <n v="100"/>
    <x v="134"/>
    <n v="0"/>
    <n v="0"/>
    <n v="125"/>
    <n v="1"/>
    <n v="0.9"/>
    <n v="1"/>
    <n v="2"/>
    <n v="2"/>
    <x v="1"/>
  </r>
  <r>
    <x v="16"/>
    <x v="0"/>
    <n v="3"/>
    <n v="160"/>
    <x v="28"/>
    <n v="0"/>
    <n v="0"/>
    <n v="125"/>
    <n v="0"/>
    <n v="0"/>
    <n v="2"/>
    <n v="0"/>
    <n v="2"/>
    <x v="1"/>
  </r>
  <r>
    <x v="25"/>
    <x v="0"/>
    <n v="0"/>
    <n v="142"/>
    <x v="53"/>
    <n v="0"/>
    <n v="0"/>
    <n v="147"/>
    <n v="1"/>
    <n v="0"/>
    <n v="1"/>
    <n v="3"/>
    <n v="3"/>
    <x v="1"/>
  </r>
  <r>
    <x v="11"/>
    <x v="0"/>
    <n v="0"/>
    <n v="128"/>
    <x v="139"/>
    <n v="0"/>
    <n v="0"/>
    <n v="130"/>
    <n v="1"/>
    <n v="3"/>
    <n v="1"/>
    <n v="2"/>
    <n v="3"/>
    <x v="1"/>
  </r>
  <r>
    <x v="12"/>
    <x v="0"/>
    <n v="0"/>
    <n v="144"/>
    <x v="140"/>
    <n v="0"/>
    <n v="0"/>
    <n v="126"/>
    <n v="1"/>
    <n v="0.9"/>
    <n v="1"/>
    <n v="0"/>
    <n v="3"/>
    <x v="1"/>
  </r>
  <r>
    <x v="28"/>
    <x v="1"/>
    <n v="0"/>
    <n v="150"/>
    <x v="79"/>
    <n v="0"/>
    <n v="1"/>
    <n v="154"/>
    <n v="1"/>
    <n v="1.4"/>
    <n v="1"/>
    <n v="0"/>
    <n v="2"/>
    <x v="1"/>
  </r>
  <r>
    <x v="39"/>
    <x v="0"/>
    <n v="3"/>
    <n v="120"/>
    <x v="44"/>
    <n v="0"/>
    <n v="1"/>
    <n v="182"/>
    <n v="1"/>
    <n v="3.8"/>
    <n v="1"/>
    <n v="0"/>
    <n v="3"/>
    <x v="1"/>
  </r>
  <r>
    <x v="13"/>
    <x v="1"/>
    <n v="0"/>
    <n v="178"/>
    <x v="98"/>
    <n v="1"/>
    <n v="1"/>
    <n v="165"/>
    <n v="1"/>
    <n v="1"/>
    <n v="1"/>
    <n v="2"/>
    <n v="3"/>
    <x v="1"/>
  </r>
  <r>
    <x v="6"/>
    <x v="0"/>
    <n v="0"/>
    <n v="112"/>
    <x v="110"/>
    <n v="0"/>
    <n v="1"/>
    <n v="160"/>
    <n v="0"/>
    <n v="0"/>
    <n v="2"/>
    <n v="1"/>
    <n v="2"/>
    <x v="1"/>
  </r>
  <r>
    <x v="23"/>
    <x v="0"/>
    <n v="0"/>
    <n v="123"/>
    <x v="120"/>
    <n v="0"/>
    <n v="1"/>
    <n v="95"/>
    <n v="1"/>
    <n v="2"/>
    <n v="1"/>
    <n v="2"/>
    <n v="3"/>
    <x v="1"/>
  </r>
  <r>
    <x v="0"/>
    <x v="1"/>
    <n v="0"/>
    <n v="108"/>
    <x v="32"/>
    <n v="0"/>
    <n v="1"/>
    <n v="169"/>
    <n v="1"/>
    <n v="1.8"/>
    <n v="1"/>
    <n v="2"/>
    <n v="2"/>
    <x v="1"/>
  </r>
  <r>
    <x v="7"/>
    <x v="0"/>
    <n v="0"/>
    <n v="110"/>
    <x v="108"/>
    <n v="0"/>
    <n v="0"/>
    <n v="108"/>
    <n v="1"/>
    <n v="0"/>
    <n v="1"/>
    <n v="1"/>
    <n v="2"/>
    <x v="1"/>
  </r>
  <r>
    <x v="13"/>
    <x v="0"/>
    <n v="0"/>
    <n v="112"/>
    <x v="22"/>
    <n v="0"/>
    <n v="0"/>
    <n v="132"/>
    <n v="1"/>
    <n v="0.1"/>
    <n v="2"/>
    <n v="1"/>
    <n v="2"/>
    <x v="1"/>
  </r>
  <r>
    <x v="32"/>
    <x v="1"/>
    <n v="0"/>
    <n v="180"/>
    <x v="141"/>
    <n v="0"/>
    <n v="2"/>
    <n v="117"/>
    <n v="1"/>
    <n v="3.4"/>
    <n v="1"/>
    <n v="0"/>
    <n v="2"/>
    <x v="1"/>
  </r>
  <r>
    <x v="9"/>
    <x v="0"/>
    <n v="2"/>
    <n v="118"/>
    <x v="99"/>
    <n v="0"/>
    <n v="0"/>
    <n v="126"/>
    <n v="0"/>
    <n v="0.8"/>
    <n v="2"/>
    <n v="3"/>
    <n v="2"/>
    <x v="1"/>
  </r>
  <r>
    <x v="7"/>
    <x v="0"/>
    <n v="0"/>
    <n v="122"/>
    <x v="104"/>
    <n v="0"/>
    <n v="0"/>
    <n v="116"/>
    <n v="1"/>
    <n v="3.2"/>
    <n v="1"/>
    <n v="2"/>
    <n v="2"/>
    <x v="1"/>
  </r>
  <r>
    <x v="3"/>
    <x v="0"/>
    <n v="0"/>
    <n v="130"/>
    <x v="14"/>
    <n v="1"/>
    <n v="0"/>
    <n v="103"/>
    <n v="1"/>
    <n v="1.6"/>
    <n v="0"/>
    <n v="0"/>
    <n v="3"/>
    <x v="1"/>
  </r>
  <r>
    <x v="24"/>
    <x v="0"/>
    <n v="0"/>
    <n v="120"/>
    <x v="126"/>
    <n v="0"/>
    <n v="0"/>
    <n v="144"/>
    <n v="0"/>
    <n v="0.8"/>
    <n v="2"/>
    <n v="0"/>
    <n v="3"/>
    <x v="1"/>
  </r>
  <r>
    <x v="18"/>
    <x v="0"/>
    <n v="3"/>
    <n v="134"/>
    <x v="19"/>
    <n v="0"/>
    <n v="1"/>
    <n v="145"/>
    <n v="0"/>
    <n v="2.6"/>
    <n v="1"/>
    <n v="2"/>
    <n v="2"/>
    <x v="1"/>
  </r>
  <r>
    <x v="34"/>
    <x v="0"/>
    <n v="0"/>
    <n v="120"/>
    <x v="142"/>
    <n v="0"/>
    <n v="1"/>
    <n v="71"/>
    <n v="0"/>
    <n v="1"/>
    <n v="1"/>
    <n v="0"/>
    <n v="2"/>
    <x v="1"/>
  </r>
  <r>
    <x v="11"/>
    <x v="0"/>
    <n v="0"/>
    <n v="100"/>
    <x v="19"/>
    <n v="0"/>
    <n v="1"/>
    <n v="156"/>
    <n v="0"/>
    <n v="0.1"/>
    <n v="2"/>
    <n v="1"/>
    <n v="3"/>
    <x v="1"/>
  </r>
  <r>
    <x v="27"/>
    <x v="0"/>
    <n v="0"/>
    <n v="110"/>
    <x v="11"/>
    <n v="0"/>
    <n v="0"/>
    <n v="118"/>
    <n v="1"/>
    <n v="1"/>
    <n v="1"/>
    <n v="1"/>
    <n v="2"/>
    <x v="1"/>
  </r>
  <r>
    <x v="6"/>
    <x v="0"/>
    <n v="0"/>
    <n v="125"/>
    <x v="22"/>
    <n v="0"/>
    <n v="1"/>
    <n v="168"/>
    <n v="0"/>
    <n v="1"/>
    <n v="2"/>
    <n v="2"/>
    <n v="3"/>
    <x v="1"/>
  </r>
  <r>
    <x v="11"/>
    <x v="0"/>
    <n v="0"/>
    <n v="146"/>
    <x v="143"/>
    <n v="0"/>
    <n v="1"/>
    <n v="105"/>
    <n v="0"/>
    <n v="2"/>
    <n v="1"/>
    <n v="1"/>
    <n v="3"/>
    <x v="1"/>
  </r>
  <r>
    <x v="4"/>
    <x v="0"/>
    <n v="1"/>
    <n v="124"/>
    <x v="61"/>
    <n v="0"/>
    <n v="1"/>
    <n v="141"/>
    <n v="0"/>
    <n v="0.3"/>
    <n v="2"/>
    <n v="0"/>
    <n v="3"/>
    <x v="1"/>
  </r>
  <r>
    <x v="11"/>
    <x v="1"/>
    <n v="1"/>
    <n v="136"/>
    <x v="144"/>
    <n v="1"/>
    <n v="0"/>
    <n v="152"/>
    <n v="0"/>
    <n v="0"/>
    <n v="2"/>
    <n v="2"/>
    <n v="2"/>
    <x v="1"/>
  </r>
  <r>
    <x v="18"/>
    <x v="0"/>
    <n v="0"/>
    <n v="138"/>
    <x v="145"/>
    <n v="0"/>
    <n v="0"/>
    <n v="125"/>
    <n v="1"/>
    <n v="3.6"/>
    <n v="1"/>
    <n v="1"/>
    <n v="2"/>
    <x v="1"/>
  </r>
  <r>
    <x v="17"/>
    <x v="0"/>
    <n v="0"/>
    <n v="136"/>
    <x v="77"/>
    <n v="0"/>
    <n v="1"/>
    <n v="125"/>
    <n v="1"/>
    <n v="1.8"/>
    <n v="1"/>
    <n v="0"/>
    <n v="1"/>
    <x v="1"/>
  </r>
  <r>
    <x v="6"/>
    <x v="0"/>
    <n v="0"/>
    <n v="128"/>
    <x v="2"/>
    <n v="1"/>
    <n v="1"/>
    <n v="156"/>
    <n v="1"/>
    <n v="1"/>
    <n v="1"/>
    <n v="0"/>
    <n v="0"/>
    <x v="1"/>
  </r>
  <r>
    <x v="16"/>
    <x v="0"/>
    <n v="2"/>
    <n v="126"/>
    <x v="143"/>
    <n v="1"/>
    <n v="1"/>
    <n v="134"/>
    <n v="0"/>
    <n v="2.2000000000000002"/>
    <n v="1"/>
    <n v="1"/>
    <n v="1"/>
    <x v="1"/>
  </r>
  <r>
    <x v="19"/>
    <x v="0"/>
    <n v="0"/>
    <n v="152"/>
    <x v="73"/>
    <n v="0"/>
    <n v="1"/>
    <n v="181"/>
    <n v="0"/>
    <n v="0"/>
    <n v="2"/>
    <n v="0"/>
    <n v="3"/>
    <x v="1"/>
  </r>
  <r>
    <x v="18"/>
    <x v="0"/>
    <n v="0"/>
    <n v="140"/>
    <x v="72"/>
    <n v="0"/>
    <n v="0"/>
    <n v="138"/>
    <n v="1"/>
    <n v="1.9"/>
    <n v="2"/>
    <n v="1"/>
    <n v="3"/>
    <x v="1"/>
  </r>
  <r>
    <x v="24"/>
    <x v="0"/>
    <n v="0"/>
    <n v="140"/>
    <x v="146"/>
    <n v="0"/>
    <n v="1"/>
    <n v="120"/>
    <n v="1"/>
    <n v="1.8"/>
    <n v="1"/>
    <n v="2"/>
    <n v="3"/>
    <x v="1"/>
  </r>
  <r>
    <x v="16"/>
    <x v="0"/>
    <n v="3"/>
    <n v="134"/>
    <x v="2"/>
    <n v="0"/>
    <n v="1"/>
    <n v="162"/>
    <n v="0"/>
    <n v="0.8"/>
    <n v="2"/>
    <n v="2"/>
    <n v="2"/>
    <x v="1"/>
  </r>
  <r>
    <x v="4"/>
    <x v="0"/>
    <n v="1"/>
    <n v="154"/>
    <x v="31"/>
    <n v="0"/>
    <n v="0"/>
    <n v="164"/>
    <n v="0"/>
    <n v="0"/>
    <n v="2"/>
    <n v="1"/>
    <n v="2"/>
    <x v="1"/>
  </r>
  <r>
    <x v="4"/>
    <x v="0"/>
    <n v="0"/>
    <n v="110"/>
    <x v="111"/>
    <n v="0"/>
    <n v="1"/>
    <n v="143"/>
    <n v="1"/>
    <n v="3"/>
    <n v="1"/>
    <n v="1"/>
    <n v="3"/>
    <x v="1"/>
  </r>
  <r>
    <x v="32"/>
    <x v="1"/>
    <n v="0"/>
    <n v="128"/>
    <x v="63"/>
    <n v="0"/>
    <n v="2"/>
    <n v="130"/>
    <n v="1"/>
    <n v="2"/>
    <n v="1"/>
    <n v="1"/>
    <n v="3"/>
    <x v="1"/>
  </r>
  <r>
    <x v="18"/>
    <x v="0"/>
    <n v="0"/>
    <n v="148"/>
    <x v="55"/>
    <n v="0"/>
    <n v="1"/>
    <n v="161"/>
    <n v="0"/>
    <n v="0"/>
    <n v="2"/>
    <n v="1"/>
    <n v="3"/>
    <x v="1"/>
  </r>
  <r>
    <x v="11"/>
    <x v="0"/>
    <n v="0"/>
    <n v="114"/>
    <x v="65"/>
    <n v="0"/>
    <n v="2"/>
    <n v="140"/>
    <n v="0"/>
    <n v="4.4000000000000004"/>
    <n v="0"/>
    <n v="3"/>
    <n v="1"/>
    <x v="1"/>
  </r>
  <r>
    <x v="11"/>
    <x v="1"/>
    <n v="0"/>
    <n v="170"/>
    <x v="114"/>
    <n v="1"/>
    <n v="0"/>
    <n v="146"/>
    <n v="1"/>
    <n v="2.8"/>
    <n v="1"/>
    <n v="2"/>
    <n v="1"/>
    <x v="1"/>
  </r>
  <r>
    <x v="34"/>
    <x v="0"/>
    <n v="2"/>
    <n v="152"/>
    <x v="22"/>
    <n v="0"/>
    <n v="0"/>
    <n v="150"/>
    <n v="0"/>
    <n v="0.8"/>
    <n v="1"/>
    <n v="0"/>
    <n v="3"/>
    <x v="1"/>
  </r>
  <r>
    <x v="5"/>
    <x v="0"/>
    <n v="0"/>
    <n v="120"/>
    <x v="147"/>
    <n v="0"/>
    <n v="1"/>
    <n v="144"/>
    <n v="1"/>
    <n v="2.8"/>
    <n v="0"/>
    <n v="0"/>
    <n v="1"/>
    <x v="1"/>
  </r>
  <r>
    <x v="0"/>
    <x v="0"/>
    <n v="0"/>
    <n v="140"/>
    <x v="148"/>
    <n v="0"/>
    <n v="0"/>
    <n v="144"/>
    <n v="1"/>
    <n v="4"/>
    <n v="2"/>
    <n v="2"/>
    <n v="3"/>
    <x v="1"/>
  </r>
  <r>
    <x v="0"/>
    <x v="1"/>
    <n v="0"/>
    <n v="124"/>
    <x v="25"/>
    <n v="0"/>
    <n v="1"/>
    <n v="136"/>
    <n v="1"/>
    <n v="0"/>
    <n v="1"/>
    <n v="0"/>
    <n v="2"/>
    <x v="1"/>
  </r>
  <r>
    <x v="16"/>
    <x v="0"/>
    <n v="0"/>
    <n v="164"/>
    <x v="149"/>
    <n v="1"/>
    <n v="0"/>
    <n v="90"/>
    <n v="0"/>
    <n v="1"/>
    <n v="1"/>
    <n v="2"/>
    <n v="1"/>
    <x v="1"/>
  </r>
  <r>
    <x v="4"/>
    <x v="1"/>
    <n v="0"/>
    <n v="140"/>
    <x v="150"/>
    <n v="0"/>
    <n v="1"/>
    <n v="123"/>
    <n v="1"/>
    <n v="0.2"/>
    <n v="1"/>
    <n v="0"/>
    <n v="3"/>
    <x v="1"/>
  </r>
  <r>
    <x v="25"/>
    <x v="0"/>
    <n v="3"/>
    <n v="110"/>
    <x v="37"/>
    <n v="0"/>
    <n v="1"/>
    <n v="132"/>
    <n v="0"/>
    <n v="1.2"/>
    <n v="1"/>
    <n v="0"/>
    <n v="3"/>
    <x v="1"/>
  </r>
  <r>
    <x v="35"/>
    <x v="0"/>
    <n v="0"/>
    <n v="144"/>
    <x v="88"/>
    <n v="1"/>
    <n v="1"/>
    <n v="141"/>
    <n v="0"/>
    <n v="3.4"/>
    <n v="1"/>
    <n v="2"/>
    <n v="3"/>
    <x v="1"/>
  </r>
  <r>
    <x v="4"/>
    <x v="0"/>
    <n v="0"/>
    <n v="130"/>
    <x v="151"/>
    <n v="0"/>
    <n v="1"/>
    <n v="115"/>
    <n v="1"/>
    <n v="1.2"/>
    <n v="1"/>
    <n v="1"/>
    <n v="3"/>
    <x v="1"/>
  </r>
  <r>
    <x v="4"/>
    <x v="1"/>
    <n v="1"/>
    <n v="130"/>
    <x v="3"/>
    <n v="0"/>
    <n v="0"/>
    <n v="174"/>
    <n v="0"/>
    <n v="0"/>
    <n v="1"/>
    <n v="1"/>
    <n v="2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3">
  <r>
    <x v="0"/>
    <x v="0"/>
  </r>
  <r>
    <x v="0"/>
    <x v="0"/>
  </r>
  <r>
    <x v="0"/>
    <x v="0"/>
  </r>
  <r>
    <x v="0"/>
    <x v="0"/>
  </r>
  <r>
    <x v="1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0"/>
    <x v="0"/>
  </r>
  <r>
    <x v="1"/>
    <x v="0"/>
  </r>
  <r>
    <x v="1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1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0"/>
    <x v="0"/>
  </r>
  <r>
    <x v="0"/>
    <x v="0"/>
  </r>
  <r>
    <x v="0"/>
    <x v="0"/>
  </r>
  <r>
    <x v="0"/>
    <x v="0"/>
  </r>
  <r>
    <x v="1"/>
    <x v="0"/>
  </r>
  <r>
    <x v="0"/>
    <x v="0"/>
  </r>
  <r>
    <x v="1"/>
    <x v="0"/>
  </r>
  <r>
    <x v="0"/>
    <x v="0"/>
  </r>
  <r>
    <x v="0"/>
    <x v="0"/>
  </r>
  <r>
    <x v="0"/>
    <x v="0"/>
  </r>
  <r>
    <x v="1"/>
    <x v="0"/>
  </r>
  <r>
    <x v="0"/>
    <x v="0"/>
  </r>
  <r>
    <x v="1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0"/>
    <x v="0"/>
  </r>
  <r>
    <x v="1"/>
    <x v="0"/>
  </r>
  <r>
    <x v="0"/>
    <x v="0"/>
  </r>
  <r>
    <x v="1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0"/>
    <x v="0"/>
  </r>
  <r>
    <x v="0"/>
    <x v="0"/>
  </r>
  <r>
    <x v="1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0"/>
    <x v="0"/>
  </r>
  <r>
    <x v="0"/>
    <x v="0"/>
  </r>
  <r>
    <x v="1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1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1"/>
  </r>
  <r>
    <x v="1"/>
    <x v="1"/>
  </r>
  <r>
    <x v="0"/>
    <x v="1"/>
  </r>
  <r>
    <x v="0"/>
    <x v="1"/>
  </r>
  <r>
    <x v="1"/>
    <x v="1"/>
  </r>
  <r>
    <x v="1"/>
    <x v="1"/>
  </r>
  <r>
    <x v="0"/>
    <x v="1"/>
  </r>
  <r>
    <x v="0"/>
    <x v="1"/>
  </r>
  <r>
    <x v="0"/>
    <x v="1"/>
  </r>
  <r>
    <x v="1"/>
    <x v="1"/>
  </r>
  <r>
    <x v="1"/>
    <x v="1"/>
  </r>
  <r>
    <x v="1"/>
    <x v="1"/>
  </r>
  <r>
    <x v="0"/>
    <x v="1"/>
  </r>
  <r>
    <x v="1"/>
    <x v="1"/>
  </r>
  <r>
    <x v="1"/>
    <x v="1"/>
  </r>
  <r>
    <x v="1"/>
    <x v="1"/>
  </r>
  <r>
    <x v="0"/>
    <x v="1"/>
  </r>
  <r>
    <x v="0"/>
    <x v="1"/>
  </r>
  <r>
    <x v="0"/>
    <x v="1"/>
  </r>
  <r>
    <x v="0"/>
    <x v="1"/>
  </r>
  <r>
    <x v="0"/>
    <x v="1"/>
  </r>
  <r>
    <x v="1"/>
    <x v="1"/>
  </r>
  <r>
    <x v="1"/>
    <x v="1"/>
  </r>
  <r>
    <x v="0"/>
    <x v="1"/>
  </r>
  <r>
    <x v="0"/>
    <x v="1"/>
  </r>
  <r>
    <x v="1"/>
    <x v="1"/>
  </r>
  <r>
    <x v="1"/>
    <x v="1"/>
  </r>
  <r>
    <x v="0"/>
    <x v="1"/>
  </r>
  <r>
    <x v="1"/>
    <x v="1"/>
  </r>
  <r>
    <x v="0"/>
    <x v="1"/>
  </r>
  <r>
    <x v="1"/>
    <x v="1"/>
  </r>
  <r>
    <x v="0"/>
    <x v="1"/>
  </r>
  <r>
    <x v="0"/>
    <x v="1"/>
  </r>
  <r>
    <x v="1"/>
    <x v="1"/>
  </r>
  <r>
    <x v="0"/>
    <x v="1"/>
  </r>
  <r>
    <x v="0"/>
    <x v="1"/>
  </r>
  <r>
    <x v="1"/>
    <x v="1"/>
  </r>
  <r>
    <x v="1"/>
    <x v="1"/>
  </r>
  <r>
    <x v="1"/>
    <x v="1"/>
  </r>
  <r>
    <x v="0"/>
    <x v="1"/>
  </r>
  <r>
    <x v="1"/>
    <x v="1"/>
  </r>
  <r>
    <x v="1"/>
    <x v="1"/>
  </r>
  <r>
    <x v="0"/>
    <x v="1"/>
  </r>
  <r>
    <x v="0"/>
    <x v="1"/>
  </r>
  <r>
    <x v="1"/>
    <x v="1"/>
  </r>
  <r>
    <x v="0"/>
    <x v="1"/>
  </r>
  <r>
    <x v="1"/>
    <x v="1"/>
  </r>
  <r>
    <x v="0"/>
    <x v="1"/>
  </r>
  <r>
    <x v="1"/>
    <x v="1"/>
  </r>
  <r>
    <x v="1"/>
    <x v="1"/>
  </r>
  <r>
    <x v="1"/>
    <x v="1"/>
  </r>
  <r>
    <x v="0"/>
    <x v="1"/>
  </r>
  <r>
    <x v="1"/>
    <x v="1"/>
  </r>
  <r>
    <x v="0"/>
    <x v="1"/>
  </r>
  <r>
    <x v="1"/>
    <x v="1"/>
  </r>
  <r>
    <x v="0"/>
    <x v="1"/>
  </r>
  <r>
    <x v="1"/>
    <x v="1"/>
  </r>
  <r>
    <x v="0"/>
    <x v="1"/>
  </r>
  <r>
    <x v="1"/>
    <x v="1"/>
  </r>
  <r>
    <x v="1"/>
    <x v="1"/>
  </r>
  <r>
    <x v="1"/>
    <x v="1"/>
  </r>
  <r>
    <x v="0"/>
    <x v="1"/>
  </r>
  <r>
    <x v="1"/>
    <x v="1"/>
  </r>
  <r>
    <x v="0"/>
    <x v="1"/>
  </r>
  <r>
    <x v="1"/>
    <x v="1"/>
  </r>
  <r>
    <x v="0"/>
    <x v="1"/>
  </r>
  <r>
    <x v="0"/>
    <x v="1"/>
  </r>
  <r>
    <x v="1"/>
    <x v="1"/>
  </r>
  <r>
    <x v="1"/>
    <x v="1"/>
  </r>
  <r>
    <x v="0"/>
    <x v="1"/>
  </r>
  <r>
    <x v="1"/>
    <x v="1"/>
  </r>
  <r>
    <x v="0"/>
    <x v="1"/>
  </r>
  <r>
    <x v="0"/>
    <x v="1"/>
  </r>
  <r>
    <x v="1"/>
    <x v="1"/>
  </r>
  <r>
    <x v="1"/>
    <x v="1"/>
  </r>
  <r>
    <x v="1"/>
    <x v="1"/>
  </r>
  <r>
    <x v="1"/>
    <x v="1"/>
  </r>
  <r>
    <x v="0"/>
    <x v="1"/>
  </r>
  <r>
    <x v="1"/>
    <x v="1"/>
  </r>
  <r>
    <x v="1"/>
    <x v="1"/>
  </r>
  <r>
    <x v="0"/>
    <x v="1"/>
  </r>
  <r>
    <x v="1"/>
    <x v="1"/>
  </r>
  <r>
    <x v="1"/>
    <x v="1"/>
  </r>
  <r>
    <x v="0"/>
    <x v="1"/>
  </r>
  <r>
    <x v="0"/>
    <x v="1"/>
  </r>
  <r>
    <x v="1"/>
    <x v="1"/>
  </r>
  <r>
    <x v="1"/>
    <x v="1"/>
  </r>
  <r>
    <x v="0"/>
    <x v="1"/>
  </r>
  <r>
    <x v="1"/>
    <x v="1"/>
  </r>
  <r>
    <x v="0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0"/>
    <x v="1"/>
  </r>
  <r>
    <x v="1"/>
    <x v="1"/>
  </r>
  <r>
    <x v="1"/>
    <x v="1"/>
  </r>
  <r>
    <x v="1"/>
    <x v="1"/>
  </r>
  <r>
    <x v="1"/>
    <x v="1"/>
  </r>
  <r>
    <x v="1"/>
    <x v="1"/>
  </r>
  <r>
    <x v="0"/>
    <x v="1"/>
  </r>
  <r>
    <x v="1"/>
    <x v="1"/>
  </r>
  <r>
    <x v="1"/>
    <x v="1"/>
  </r>
  <r>
    <x v="0"/>
    <x v="1"/>
  </r>
  <r>
    <x v="0"/>
    <x v="1"/>
  </r>
  <r>
    <x v="0"/>
    <x v="1"/>
  </r>
  <r>
    <x v="0"/>
    <x v="1"/>
  </r>
  <r>
    <x v="1"/>
    <x v="1"/>
  </r>
  <r>
    <x v="0"/>
    <x v="1"/>
  </r>
  <r>
    <x v="0"/>
    <x v="1"/>
  </r>
  <r>
    <x v="0"/>
    <x v="1"/>
  </r>
  <r>
    <x v="0"/>
    <x v="1"/>
  </r>
  <r>
    <x v="1"/>
    <x v="1"/>
  </r>
  <r>
    <x v="1"/>
    <x v="1"/>
  </r>
  <r>
    <x v="1"/>
    <x v="1"/>
  </r>
  <r>
    <x v="0"/>
    <x v="1"/>
  </r>
  <r>
    <x v="0"/>
    <x v="1"/>
  </r>
  <r>
    <x v="1"/>
    <x v="1"/>
  </r>
  <r>
    <x v="1"/>
    <x v="1"/>
  </r>
  <r>
    <x v="0"/>
    <x v="1"/>
  </r>
  <r>
    <x v="0"/>
    <x v="1"/>
  </r>
  <r>
    <x v="1"/>
    <x v="1"/>
  </r>
  <r>
    <x v="1"/>
    <x v="1"/>
  </r>
  <r>
    <x v="0"/>
    <x v="1"/>
  </r>
  <r>
    <x v="0"/>
    <x v="1"/>
  </r>
  <r>
    <x v="1"/>
    <x v="1"/>
  </r>
  <r>
    <x v="0"/>
    <x v="1"/>
  </r>
  <r>
    <x v="1"/>
    <x v="1"/>
  </r>
  <r>
    <x v="1"/>
    <x v="1"/>
  </r>
  <r>
    <x v="1"/>
    <x v="1"/>
  </r>
  <r>
    <x v="0"/>
    <x v="1"/>
  </r>
  <r>
    <x v="1"/>
    <x v="1"/>
  </r>
  <r>
    <x v="0"/>
    <x v="1"/>
  </r>
  <r>
    <x v="0"/>
    <x v="1"/>
  </r>
  <r>
    <x v="1"/>
    <x v="1"/>
  </r>
  <r>
    <x v="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A3CC59-CADB-4C0F-A52D-E8F4CC339BDB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L17:O21" firstHeaderRow="1" firstDataRow="2" firstDataCol="1"/>
  <pivotFields count="2">
    <pivotField axis="axisRow" showAll="0">
      <items count="3">
        <item x="0"/>
        <item x="1"/>
        <item t="default"/>
      </items>
    </pivotField>
    <pivotField axis="axisCol" dataField="1" showAll="0">
      <items count="3">
        <item x="1"/>
        <item x="0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Count of output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ECCCE6-B83B-4772-AF32-EE41783399B7}" name="PivotTable1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4" firstHeaderRow="1" firstDataRow="1" firstDataCol="1"/>
  <pivotFields count="14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11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dataFields count="1">
    <dataField name="Average of thalachh" fld="7" subtotal="average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DCD50DD-F26C-4292-9038-1DB064A2B049}" name="Table1" displayName="Table1" ref="C1:D304" totalsRowShown="0" headerRowDxfId="5" headerRowBorderDxfId="4" tableBorderDxfId="3" totalsRowBorderDxfId="2">
  <autoFilter ref="C1:D304" xr:uid="{9DCD50DD-F26C-4292-9038-1DB064A2B049}"/>
  <tableColumns count="2">
    <tableColumn id="1" xr3:uid="{270B8A02-6056-45FD-A712-4ACE3D5B1459}" name="exng" dataDxfId="1"/>
    <tableColumn id="2" xr3:uid="{BF2D7C76-490B-4B62-BDD2-D6B3B9AA6CC5}" name="output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E9BED-2176-45A6-87F2-F1DEE4DC3578}">
  <sheetPr codeName="Sheet1"/>
  <dimension ref="A1:N304"/>
  <sheetViews>
    <sheetView workbookViewId="0">
      <selection activeCell="N1" sqref="N1:N304"/>
    </sheetView>
  </sheetViews>
  <sheetFormatPr defaultRowHeight="15"/>
  <cols>
    <col min="17" max="17" width="11.140625" bestFit="1" customWidth="1"/>
    <col min="18" max="18" width="19.85546875" bestFit="1" customWidth="1"/>
  </cols>
  <sheetData>
    <row r="1" spans="1:1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</row>
    <row r="2" spans="1:14">
      <c r="A2">
        <v>63</v>
      </c>
      <c r="B2">
        <v>1</v>
      </c>
      <c r="C2">
        <v>3</v>
      </c>
      <c r="D2">
        <v>145</v>
      </c>
      <c r="E2">
        <v>233</v>
      </c>
      <c r="F2">
        <v>1</v>
      </c>
      <c r="G2">
        <v>0</v>
      </c>
      <c r="H2">
        <v>150</v>
      </c>
      <c r="I2">
        <v>0</v>
      </c>
      <c r="J2">
        <v>2.2999999999999998</v>
      </c>
      <c r="K2">
        <v>0</v>
      </c>
      <c r="L2">
        <v>0</v>
      </c>
      <c r="M2">
        <v>1</v>
      </c>
      <c r="N2">
        <v>1</v>
      </c>
    </row>
    <row r="3" spans="1:14">
      <c r="A3">
        <v>37</v>
      </c>
      <c r="B3">
        <v>1</v>
      </c>
      <c r="C3">
        <v>2</v>
      </c>
      <c r="D3">
        <v>130</v>
      </c>
      <c r="E3">
        <v>250</v>
      </c>
      <c r="F3">
        <v>0</v>
      </c>
      <c r="G3">
        <v>1</v>
      </c>
      <c r="H3">
        <v>187</v>
      </c>
      <c r="I3">
        <v>0</v>
      </c>
      <c r="J3">
        <v>3.5</v>
      </c>
      <c r="K3">
        <v>0</v>
      </c>
      <c r="L3">
        <v>0</v>
      </c>
      <c r="M3">
        <v>2</v>
      </c>
      <c r="N3">
        <v>1</v>
      </c>
    </row>
    <row r="4" spans="1:14">
      <c r="A4">
        <v>41</v>
      </c>
      <c r="B4">
        <v>0</v>
      </c>
      <c r="C4">
        <v>1</v>
      </c>
      <c r="D4">
        <v>130</v>
      </c>
      <c r="E4">
        <v>204</v>
      </c>
      <c r="F4">
        <v>0</v>
      </c>
      <c r="G4">
        <v>0</v>
      </c>
      <c r="H4">
        <v>172</v>
      </c>
      <c r="I4">
        <v>0</v>
      </c>
      <c r="J4">
        <v>1.4</v>
      </c>
      <c r="K4">
        <v>2</v>
      </c>
      <c r="L4">
        <v>0</v>
      </c>
      <c r="M4">
        <v>2</v>
      </c>
      <c r="N4">
        <v>1</v>
      </c>
    </row>
    <row r="5" spans="1:14">
      <c r="A5">
        <v>56</v>
      </c>
      <c r="B5">
        <v>1</v>
      </c>
      <c r="C5">
        <v>1</v>
      </c>
      <c r="D5">
        <v>120</v>
      </c>
      <c r="E5">
        <v>236</v>
      </c>
      <c r="F5">
        <v>0</v>
      </c>
      <c r="G5">
        <v>1</v>
      </c>
      <c r="H5">
        <v>178</v>
      </c>
      <c r="I5">
        <v>0</v>
      </c>
      <c r="J5">
        <v>0.8</v>
      </c>
      <c r="K5">
        <v>2</v>
      </c>
      <c r="L5">
        <v>0</v>
      </c>
      <c r="M5">
        <v>2</v>
      </c>
      <c r="N5">
        <v>1</v>
      </c>
    </row>
    <row r="6" spans="1:14">
      <c r="A6">
        <v>57</v>
      </c>
      <c r="B6">
        <v>0</v>
      </c>
      <c r="C6">
        <v>0</v>
      </c>
      <c r="D6">
        <v>120</v>
      </c>
      <c r="E6">
        <v>354</v>
      </c>
      <c r="F6">
        <v>0</v>
      </c>
      <c r="G6">
        <v>1</v>
      </c>
      <c r="H6">
        <v>163</v>
      </c>
      <c r="I6">
        <v>1</v>
      </c>
      <c r="J6">
        <v>0.6</v>
      </c>
      <c r="K6">
        <v>2</v>
      </c>
      <c r="L6">
        <v>0</v>
      </c>
      <c r="M6">
        <v>2</v>
      </c>
      <c r="N6">
        <v>1</v>
      </c>
    </row>
    <row r="7" spans="1:14">
      <c r="A7">
        <v>57</v>
      </c>
      <c r="B7">
        <v>1</v>
      </c>
      <c r="C7">
        <v>0</v>
      </c>
      <c r="D7">
        <v>140</v>
      </c>
      <c r="E7">
        <v>192</v>
      </c>
      <c r="F7">
        <v>0</v>
      </c>
      <c r="G7">
        <v>1</v>
      </c>
      <c r="H7">
        <v>148</v>
      </c>
      <c r="I7">
        <v>0</v>
      </c>
      <c r="J7">
        <v>0.4</v>
      </c>
      <c r="K7">
        <v>1</v>
      </c>
      <c r="L7">
        <v>0</v>
      </c>
      <c r="M7">
        <v>1</v>
      </c>
      <c r="N7">
        <v>1</v>
      </c>
    </row>
    <row r="8" spans="1:14">
      <c r="A8">
        <v>56</v>
      </c>
      <c r="B8">
        <v>0</v>
      </c>
      <c r="C8">
        <v>1</v>
      </c>
      <c r="D8">
        <v>140</v>
      </c>
      <c r="E8">
        <v>294</v>
      </c>
      <c r="F8">
        <v>0</v>
      </c>
      <c r="G8">
        <v>0</v>
      </c>
      <c r="H8">
        <v>153</v>
      </c>
      <c r="I8">
        <v>0</v>
      </c>
      <c r="J8">
        <v>1.3</v>
      </c>
      <c r="K8">
        <v>1</v>
      </c>
      <c r="L8">
        <v>0</v>
      </c>
      <c r="M8">
        <v>2</v>
      </c>
      <c r="N8">
        <v>1</v>
      </c>
    </row>
    <row r="9" spans="1:14">
      <c r="A9">
        <v>44</v>
      </c>
      <c r="B9">
        <v>1</v>
      </c>
      <c r="C9">
        <v>1</v>
      </c>
      <c r="D9">
        <v>120</v>
      </c>
      <c r="E9">
        <v>263</v>
      </c>
      <c r="F9">
        <v>0</v>
      </c>
      <c r="G9">
        <v>1</v>
      </c>
      <c r="H9">
        <v>173</v>
      </c>
      <c r="I9">
        <v>0</v>
      </c>
      <c r="J9">
        <v>0</v>
      </c>
      <c r="K9">
        <v>2</v>
      </c>
      <c r="L9">
        <v>0</v>
      </c>
      <c r="M9">
        <v>3</v>
      </c>
      <c r="N9">
        <v>1</v>
      </c>
    </row>
    <row r="10" spans="1:14">
      <c r="A10">
        <v>52</v>
      </c>
      <c r="B10">
        <v>1</v>
      </c>
      <c r="C10">
        <v>2</v>
      </c>
      <c r="D10">
        <v>172</v>
      </c>
      <c r="E10">
        <v>199</v>
      </c>
      <c r="F10">
        <v>1</v>
      </c>
      <c r="G10">
        <v>1</v>
      </c>
      <c r="H10">
        <v>162</v>
      </c>
      <c r="I10">
        <v>0</v>
      </c>
      <c r="J10">
        <v>0.5</v>
      </c>
      <c r="K10">
        <v>2</v>
      </c>
      <c r="L10">
        <v>0</v>
      </c>
      <c r="M10">
        <v>3</v>
      </c>
      <c r="N10">
        <v>1</v>
      </c>
    </row>
    <row r="11" spans="1:14">
      <c r="A11">
        <v>57</v>
      </c>
      <c r="B11">
        <v>1</v>
      </c>
      <c r="C11">
        <v>2</v>
      </c>
      <c r="D11">
        <v>150</v>
      </c>
      <c r="E11">
        <v>168</v>
      </c>
      <c r="F11">
        <v>0</v>
      </c>
      <c r="G11">
        <v>1</v>
      </c>
      <c r="H11">
        <v>174</v>
      </c>
      <c r="I11">
        <v>0</v>
      </c>
      <c r="J11">
        <v>1.6</v>
      </c>
      <c r="K11">
        <v>2</v>
      </c>
      <c r="L11">
        <v>0</v>
      </c>
      <c r="M11">
        <v>2</v>
      </c>
      <c r="N11">
        <v>1</v>
      </c>
    </row>
    <row r="12" spans="1:14">
      <c r="A12">
        <v>54</v>
      </c>
      <c r="B12">
        <v>1</v>
      </c>
      <c r="C12">
        <v>0</v>
      </c>
      <c r="D12">
        <v>140</v>
      </c>
      <c r="E12">
        <v>239</v>
      </c>
      <c r="F12">
        <v>0</v>
      </c>
      <c r="G12">
        <v>1</v>
      </c>
      <c r="H12">
        <v>160</v>
      </c>
      <c r="I12">
        <v>0</v>
      </c>
      <c r="J12">
        <v>1.2</v>
      </c>
      <c r="K12">
        <v>2</v>
      </c>
      <c r="L12">
        <v>0</v>
      </c>
      <c r="M12">
        <v>2</v>
      </c>
      <c r="N12">
        <v>1</v>
      </c>
    </row>
    <row r="13" spans="1:14">
      <c r="A13">
        <v>48</v>
      </c>
      <c r="B13">
        <v>0</v>
      </c>
      <c r="C13">
        <v>2</v>
      </c>
      <c r="D13">
        <v>130</v>
      </c>
      <c r="E13">
        <v>275</v>
      </c>
      <c r="F13">
        <v>0</v>
      </c>
      <c r="G13">
        <v>1</v>
      </c>
      <c r="H13">
        <v>139</v>
      </c>
      <c r="I13">
        <v>0</v>
      </c>
      <c r="J13">
        <v>0.2</v>
      </c>
      <c r="K13">
        <v>2</v>
      </c>
      <c r="L13">
        <v>0</v>
      </c>
      <c r="M13">
        <v>2</v>
      </c>
      <c r="N13">
        <v>1</v>
      </c>
    </row>
    <row r="14" spans="1:14">
      <c r="A14">
        <v>49</v>
      </c>
      <c r="B14">
        <v>1</v>
      </c>
      <c r="C14">
        <v>1</v>
      </c>
      <c r="D14">
        <v>130</v>
      </c>
      <c r="E14">
        <v>266</v>
      </c>
      <c r="F14">
        <v>0</v>
      </c>
      <c r="G14">
        <v>1</v>
      </c>
      <c r="H14">
        <v>171</v>
      </c>
      <c r="I14">
        <v>0</v>
      </c>
      <c r="J14">
        <v>0.6</v>
      </c>
      <c r="K14">
        <v>2</v>
      </c>
      <c r="L14">
        <v>0</v>
      </c>
      <c r="M14">
        <v>2</v>
      </c>
      <c r="N14">
        <v>1</v>
      </c>
    </row>
    <row r="15" spans="1:14">
      <c r="A15">
        <v>64</v>
      </c>
      <c r="B15">
        <v>1</v>
      </c>
      <c r="C15">
        <v>3</v>
      </c>
      <c r="D15">
        <v>110</v>
      </c>
      <c r="E15">
        <v>211</v>
      </c>
      <c r="F15">
        <v>0</v>
      </c>
      <c r="G15">
        <v>0</v>
      </c>
      <c r="H15">
        <v>144</v>
      </c>
      <c r="I15">
        <v>1</v>
      </c>
      <c r="J15">
        <v>1.8</v>
      </c>
      <c r="K15">
        <v>1</v>
      </c>
      <c r="L15">
        <v>0</v>
      </c>
      <c r="M15">
        <v>2</v>
      </c>
      <c r="N15">
        <v>1</v>
      </c>
    </row>
    <row r="16" spans="1:14">
      <c r="A16">
        <v>58</v>
      </c>
      <c r="B16">
        <v>0</v>
      </c>
      <c r="C16">
        <v>3</v>
      </c>
      <c r="D16">
        <v>150</v>
      </c>
      <c r="E16">
        <v>283</v>
      </c>
      <c r="F16">
        <v>1</v>
      </c>
      <c r="G16">
        <v>0</v>
      </c>
      <c r="H16">
        <v>162</v>
      </c>
      <c r="I16">
        <v>0</v>
      </c>
      <c r="J16">
        <v>1</v>
      </c>
      <c r="K16">
        <v>2</v>
      </c>
      <c r="L16">
        <v>0</v>
      </c>
      <c r="M16">
        <v>2</v>
      </c>
      <c r="N16">
        <v>1</v>
      </c>
    </row>
    <row r="17" spans="1:14">
      <c r="A17">
        <v>50</v>
      </c>
      <c r="B17">
        <v>0</v>
      </c>
      <c r="C17">
        <v>2</v>
      </c>
      <c r="D17">
        <v>120</v>
      </c>
      <c r="E17">
        <v>219</v>
      </c>
      <c r="F17">
        <v>0</v>
      </c>
      <c r="G17">
        <v>1</v>
      </c>
      <c r="H17">
        <v>158</v>
      </c>
      <c r="I17">
        <v>0</v>
      </c>
      <c r="J17">
        <v>1.6</v>
      </c>
      <c r="K17">
        <v>1</v>
      </c>
      <c r="L17">
        <v>0</v>
      </c>
      <c r="M17">
        <v>2</v>
      </c>
      <c r="N17">
        <v>1</v>
      </c>
    </row>
    <row r="18" spans="1:14">
      <c r="A18">
        <v>58</v>
      </c>
      <c r="B18">
        <v>0</v>
      </c>
      <c r="C18">
        <v>2</v>
      </c>
      <c r="D18">
        <v>120</v>
      </c>
      <c r="E18">
        <v>340</v>
      </c>
      <c r="F18">
        <v>0</v>
      </c>
      <c r="G18">
        <v>1</v>
      </c>
      <c r="H18">
        <v>172</v>
      </c>
      <c r="I18">
        <v>0</v>
      </c>
      <c r="J18">
        <v>0</v>
      </c>
      <c r="K18">
        <v>2</v>
      </c>
      <c r="L18">
        <v>0</v>
      </c>
      <c r="M18">
        <v>2</v>
      </c>
      <c r="N18">
        <v>1</v>
      </c>
    </row>
    <row r="19" spans="1:14">
      <c r="A19">
        <v>66</v>
      </c>
      <c r="B19">
        <v>0</v>
      </c>
      <c r="C19">
        <v>3</v>
      </c>
      <c r="D19">
        <v>150</v>
      </c>
      <c r="E19">
        <v>226</v>
      </c>
      <c r="F19">
        <v>0</v>
      </c>
      <c r="G19">
        <v>1</v>
      </c>
      <c r="H19">
        <v>114</v>
      </c>
      <c r="I19">
        <v>0</v>
      </c>
      <c r="J19">
        <v>2.6</v>
      </c>
      <c r="K19">
        <v>0</v>
      </c>
      <c r="L19">
        <v>0</v>
      </c>
      <c r="M19">
        <v>2</v>
      </c>
      <c r="N19">
        <v>1</v>
      </c>
    </row>
    <row r="20" spans="1:14">
      <c r="A20">
        <v>43</v>
      </c>
      <c r="B20">
        <v>1</v>
      </c>
      <c r="C20">
        <v>0</v>
      </c>
      <c r="D20">
        <v>150</v>
      </c>
      <c r="E20">
        <v>247</v>
      </c>
      <c r="F20">
        <v>0</v>
      </c>
      <c r="G20">
        <v>1</v>
      </c>
      <c r="H20">
        <v>171</v>
      </c>
      <c r="I20">
        <v>0</v>
      </c>
      <c r="J20">
        <v>1.5</v>
      </c>
      <c r="K20">
        <v>2</v>
      </c>
      <c r="L20">
        <v>0</v>
      </c>
      <c r="M20">
        <v>2</v>
      </c>
      <c r="N20">
        <v>1</v>
      </c>
    </row>
    <row r="21" spans="1:14">
      <c r="A21">
        <v>69</v>
      </c>
      <c r="B21">
        <v>0</v>
      </c>
      <c r="C21">
        <v>3</v>
      </c>
      <c r="D21">
        <v>140</v>
      </c>
      <c r="E21">
        <v>239</v>
      </c>
      <c r="F21">
        <v>0</v>
      </c>
      <c r="G21">
        <v>1</v>
      </c>
      <c r="H21">
        <v>151</v>
      </c>
      <c r="I21">
        <v>0</v>
      </c>
      <c r="J21">
        <v>1.8</v>
      </c>
      <c r="K21">
        <v>2</v>
      </c>
      <c r="L21">
        <v>2</v>
      </c>
      <c r="M21">
        <v>2</v>
      </c>
      <c r="N21">
        <v>1</v>
      </c>
    </row>
    <row r="22" spans="1:14">
      <c r="A22">
        <v>59</v>
      </c>
      <c r="B22">
        <v>1</v>
      </c>
      <c r="C22">
        <v>0</v>
      </c>
      <c r="D22">
        <v>135</v>
      </c>
      <c r="E22">
        <v>234</v>
      </c>
      <c r="F22">
        <v>0</v>
      </c>
      <c r="G22">
        <v>1</v>
      </c>
      <c r="H22">
        <v>161</v>
      </c>
      <c r="I22">
        <v>0</v>
      </c>
      <c r="J22">
        <v>0.5</v>
      </c>
      <c r="K22">
        <v>1</v>
      </c>
      <c r="L22">
        <v>0</v>
      </c>
      <c r="M22">
        <v>3</v>
      </c>
      <c r="N22">
        <v>1</v>
      </c>
    </row>
    <row r="23" spans="1:14">
      <c r="A23">
        <v>44</v>
      </c>
      <c r="B23">
        <v>1</v>
      </c>
      <c r="C23">
        <v>2</v>
      </c>
      <c r="D23">
        <v>130</v>
      </c>
      <c r="E23">
        <v>233</v>
      </c>
      <c r="F23">
        <v>0</v>
      </c>
      <c r="G23">
        <v>1</v>
      </c>
      <c r="H23">
        <v>179</v>
      </c>
      <c r="I23">
        <v>1</v>
      </c>
      <c r="J23">
        <v>0.4</v>
      </c>
      <c r="K23">
        <v>2</v>
      </c>
      <c r="L23">
        <v>0</v>
      </c>
      <c r="M23">
        <v>2</v>
      </c>
      <c r="N23">
        <v>1</v>
      </c>
    </row>
    <row r="24" spans="1:14">
      <c r="A24">
        <v>42</v>
      </c>
      <c r="B24">
        <v>1</v>
      </c>
      <c r="C24">
        <v>0</v>
      </c>
      <c r="D24">
        <v>140</v>
      </c>
      <c r="E24">
        <v>226</v>
      </c>
      <c r="F24">
        <v>0</v>
      </c>
      <c r="G24">
        <v>1</v>
      </c>
      <c r="H24">
        <v>178</v>
      </c>
      <c r="I24">
        <v>0</v>
      </c>
      <c r="J24">
        <v>0</v>
      </c>
      <c r="K24">
        <v>2</v>
      </c>
      <c r="L24">
        <v>0</v>
      </c>
      <c r="M24">
        <v>2</v>
      </c>
      <c r="N24">
        <v>1</v>
      </c>
    </row>
    <row r="25" spans="1:14">
      <c r="A25">
        <v>61</v>
      </c>
      <c r="B25">
        <v>1</v>
      </c>
      <c r="C25">
        <v>2</v>
      </c>
      <c r="D25">
        <v>150</v>
      </c>
      <c r="E25">
        <v>243</v>
      </c>
      <c r="F25">
        <v>1</v>
      </c>
      <c r="G25">
        <v>1</v>
      </c>
      <c r="H25">
        <v>137</v>
      </c>
      <c r="I25">
        <v>1</v>
      </c>
      <c r="J25">
        <v>1</v>
      </c>
      <c r="K25">
        <v>1</v>
      </c>
      <c r="L25">
        <v>0</v>
      </c>
      <c r="M25">
        <v>2</v>
      </c>
      <c r="N25">
        <v>1</v>
      </c>
    </row>
    <row r="26" spans="1:14">
      <c r="A26">
        <v>40</v>
      </c>
      <c r="B26">
        <v>1</v>
      </c>
      <c r="C26">
        <v>3</v>
      </c>
      <c r="D26">
        <v>140</v>
      </c>
      <c r="E26">
        <v>199</v>
      </c>
      <c r="F26">
        <v>0</v>
      </c>
      <c r="G26">
        <v>1</v>
      </c>
      <c r="H26">
        <v>178</v>
      </c>
      <c r="I26">
        <v>1</v>
      </c>
      <c r="J26">
        <v>1.4</v>
      </c>
      <c r="K26">
        <v>2</v>
      </c>
      <c r="L26">
        <v>0</v>
      </c>
      <c r="M26">
        <v>3</v>
      </c>
      <c r="N26">
        <v>1</v>
      </c>
    </row>
    <row r="27" spans="1:14">
      <c r="A27">
        <v>71</v>
      </c>
      <c r="B27">
        <v>0</v>
      </c>
      <c r="C27">
        <v>1</v>
      </c>
      <c r="D27">
        <v>160</v>
      </c>
      <c r="E27">
        <v>302</v>
      </c>
      <c r="F27">
        <v>0</v>
      </c>
      <c r="G27">
        <v>1</v>
      </c>
      <c r="H27">
        <v>162</v>
      </c>
      <c r="I27">
        <v>0</v>
      </c>
      <c r="J27">
        <v>0.4</v>
      </c>
      <c r="K27">
        <v>2</v>
      </c>
      <c r="L27">
        <v>2</v>
      </c>
      <c r="M27">
        <v>2</v>
      </c>
      <c r="N27">
        <v>1</v>
      </c>
    </row>
    <row r="28" spans="1:14">
      <c r="A28">
        <v>59</v>
      </c>
      <c r="B28">
        <v>1</v>
      </c>
      <c r="C28">
        <v>2</v>
      </c>
      <c r="D28">
        <v>150</v>
      </c>
      <c r="E28">
        <v>212</v>
      </c>
      <c r="F28">
        <v>1</v>
      </c>
      <c r="G28">
        <v>1</v>
      </c>
      <c r="H28">
        <v>157</v>
      </c>
      <c r="I28">
        <v>0</v>
      </c>
      <c r="J28">
        <v>1.6</v>
      </c>
      <c r="K28">
        <v>2</v>
      </c>
      <c r="L28">
        <v>0</v>
      </c>
      <c r="M28">
        <v>2</v>
      </c>
      <c r="N28">
        <v>1</v>
      </c>
    </row>
    <row r="29" spans="1:14">
      <c r="A29">
        <v>51</v>
      </c>
      <c r="B29">
        <v>1</v>
      </c>
      <c r="C29">
        <v>2</v>
      </c>
      <c r="D29">
        <v>110</v>
      </c>
      <c r="E29">
        <v>175</v>
      </c>
      <c r="F29">
        <v>0</v>
      </c>
      <c r="G29">
        <v>1</v>
      </c>
      <c r="H29">
        <v>123</v>
      </c>
      <c r="I29">
        <v>0</v>
      </c>
      <c r="J29">
        <v>0.6</v>
      </c>
      <c r="K29">
        <v>2</v>
      </c>
      <c r="L29">
        <v>0</v>
      </c>
      <c r="M29">
        <v>2</v>
      </c>
      <c r="N29">
        <v>1</v>
      </c>
    </row>
    <row r="30" spans="1:14">
      <c r="A30">
        <v>65</v>
      </c>
      <c r="B30">
        <v>0</v>
      </c>
      <c r="C30">
        <v>2</v>
      </c>
      <c r="D30">
        <v>140</v>
      </c>
      <c r="E30">
        <v>417</v>
      </c>
      <c r="F30">
        <v>1</v>
      </c>
      <c r="G30">
        <v>0</v>
      </c>
      <c r="H30">
        <v>157</v>
      </c>
      <c r="I30">
        <v>0</v>
      </c>
      <c r="J30">
        <v>0.8</v>
      </c>
      <c r="K30">
        <v>2</v>
      </c>
      <c r="L30">
        <v>1</v>
      </c>
      <c r="M30">
        <v>2</v>
      </c>
      <c r="N30">
        <v>1</v>
      </c>
    </row>
    <row r="31" spans="1:14">
      <c r="A31">
        <v>53</v>
      </c>
      <c r="B31">
        <v>1</v>
      </c>
      <c r="C31">
        <v>2</v>
      </c>
      <c r="D31">
        <v>130</v>
      </c>
      <c r="E31">
        <v>197</v>
      </c>
      <c r="F31">
        <v>1</v>
      </c>
      <c r="G31">
        <v>0</v>
      </c>
      <c r="H31">
        <v>152</v>
      </c>
      <c r="I31">
        <v>0</v>
      </c>
      <c r="J31">
        <v>1.2</v>
      </c>
      <c r="K31">
        <v>0</v>
      </c>
      <c r="L31">
        <v>0</v>
      </c>
      <c r="M31">
        <v>2</v>
      </c>
      <c r="N31">
        <v>1</v>
      </c>
    </row>
    <row r="32" spans="1:14">
      <c r="A32">
        <v>41</v>
      </c>
      <c r="B32">
        <v>0</v>
      </c>
      <c r="C32">
        <v>1</v>
      </c>
      <c r="D32">
        <v>105</v>
      </c>
      <c r="E32">
        <v>198</v>
      </c>
      <c r="F32">
        <v>0</v>
      </c>
      <c r="G32">
        <v>1</v>
      </c>
      <c r="H32">
        <v>168</v>
      </c>
      <c r="I32">
        <v>0</v>
      </c>
      <c r="J32">
        <v>0</v>
      </c>
      <c r="K32">
        <v>2</v>
      </c>
      <c r="L32">
        <v>1</v>
      </c>
      <c r="M32">
        <v>2</v>
      </c>
      <c r="N32">
        <v>1</v>
      </c>
    </row>
    <row r="33" spans="1:14">
      <c r="A33">
        <v>65</v>
      </c>
      <c r="B33">
        <v>1</v>
      </c>
      <c r="C33">
        <v>0</v>
      </c>
      <c r="D33">
        <v>120</v>
      </c>
      <c r="E33">
        <v>177</v>
      </c>
      <c r="F33">
        <v>0</v>
      </c>
      <c r="G33">
        <v>1</v>
      </c>
      <c r="H33">
        <v>140</v>
      </c>
      <c r="I33">
        <v>0</v>
      </c>
      <c r="J33">
        <v>0.4</v>
      </c>
      <c r="K33">
        <v>2</v>
      </c>
      <c r="L33">
        <v>0</v>
      </c>
      <c r="M33">
        <v>3</v>
      </c>
      <c r="N33">
        <v>1</v>
      </c>
    </row>
    <row r="34" spans="1:14">
      <c r="A34">
        <v>44</v>
      </c>
      <c r="B34">
        <v>1</v>
      </c>
      <c r="C34">
        <v>1</v>
      </c>
      <c r="D34">
        <v>130</v>
      </c>
      <c r="E34">
        <v>219</v>
      </c>
      <c r="F34">
        <v>0</v>
      </c>
      <c r="G34">
        <v>0</v>
      </c>
      <c r="H34">
        <v>188</v>
      </c>
      <c r="I34">
        <v>0</v>
      </c>
      <c r="J34">
        <v>0</v>
      </c>
      <c r="K34">
        <v>2</v>
      </c>
      <c r="L34">
        <v>0</v>
      </c>
      <c r="M34">
        <v>2</v>
      </c>
      <c r="N34">
        <v>1</v>
      </c>
    </row>
    <row r="35" spans="1:14">
      <c r="A35">
        <v>54</v>
      </c>
      <c r="B35">
        <v>1</v>
      </c>
      <c r="C35">
        <v>2</v>
      </c>
      <c r="D35">
        <v>125</v>
      </c>
      <c r="E35">
        <v>273</v>
      </c>
      <c r="F35">
        <v>0</v>
      </c>
      <c r="G35">
        <v>0</v>
      </c>
      <c r="H35">
        <v>152</v>
      </c>
      <c r="I35">
        <v>0</v>
      </c>
      <c r="J35">
        <v>0.5</v>
      </c>
      <c r="K35">
        <v>0</v>
      </c>
      <c r="L35">
        <v>1</v>
      </c>
      <c r="M35">
        <v>2</v>
      </c>
      <c r="N35">
        <v>1</v>
      </c>
    </row>
    <row r="36" spans="1:14">
      <c r="A36">
        <v>51</v>
      </c>
      <c r="B36">
        <v>1</v>
      </c>
      <c r="C36">
        <v>3</v>
      </c>
      <c r="D36">
        <v>125</v>
      </c>
      <c r="E36">
        <v>213</v>
      </c>
      <c r="F36">
        <v>0</v>
      </c>
      <c r="G36">
        <v>0</v>
      </c>
      <c r="H36">
        <v>125</v>
      </c>
      <c r="I36">
        <v>1</v>
      </c>
      <c r="J36">
        <v>1.4</v>
      </c>
      <c r="K36">
        <v>2</v>
      </c>
      <c r="L36">
        <v>1</v>
      </c>
      <c r="M36">
        <v>2</v>
      </c>
      <c r="N36">
        <v>1</v>
      </c>
    </row>
    <row r="37" spans="1:14">
      <c r="A37">
        <v>46</v>
      </c>
      <c r="B37">
        <v>0</v>
      </c>
      <c r="C37">
        <v>2</v>
      </c>
      <c r="D37">
        <v>142</v>
      </c>
      <c r="E37">
        <v>177</v>
      </c>
      <c r="F37">
        <v>0</v>
      </c>
      <c r="G37">
        <v>0</v>
      </c>
      <c r="H37">
        <v>160</v>
      </c>
      <c r="I37">
        <v>1</v>
      </c>
      <c r="J37">
        <v>1.4</v>
      </c>
      <c r="K37">
        <v>0</v>
      </c>
      <c r="L37">
        <v>0</v>
      </c>
      <c r="M37">
        <v>2</v>
      </c>
      <c r="N37">
        <v>1</v>
      </c>
    </row>
    <row r="38" spans="1:14">
      <c r="A38">
        <v>54</v>
      </c>
      <c r="B38">
        <v>0</v>
      </c>
      <c r="C38">
        <v>2</v>
      </c>
      <c r="D38">
        <v>135</v>
      </c>
      <c r="E38">
        <v>304</v>
      </c>
      <c r="F38">
        <v>1</v>
      </c>
      <c r="G38">
        <v>1</v>
      </c>
      <c r="H38">
        <v>170</v>
      </c>
      <c r="I38">
        <v>0</v>
      </c>
      <c r="J38">
        <v>0</v>
      </c>
      <c r="K38">
        <v>2</v>
      </c>
      <c r="L38">
        <v>0</v>
      </c>
      <c r="M38">
        <v>2</v>
      </c>
      <c r="N38">
        <v>1</v>
      </c>
    </row>
    <row r="39" spans="1:14">
      <c r="A39">
        <v>54</v>
      </c>
      <c r="B39">
        <v>1</v>
      </c>
      <c r="C39">
        <v>2</v>
      </c>
      <c r="D39">
        <v>150</v>
      </c>
      <c r="E39">
        <v>232</v>
      </c>
      <c r="F39">
        <v>0</v>
      </c>
      <c r="G39">
        <v>0</v>
      </c>
      <c r="H39">
        <v>165</v>
      </c>
      <c r="I39">
        <v>0</v>
      </c>
      <c r="J39">
        <v>1.6</v>
      </c>
      <c r="K39">
        <v>2</v>
      </c>
      <c r="L39">
        <v>0</v>
      </c>
      <c r="M39">
        <v>3</v>
      </c>
      <c r="N39">
        <v>1</v>
      </c>
    </row>
    <row r="40" spans="1:14">
      <c r="A40">
        <v>65</v>
      </c>
      <c r="B40">
        <v>0</v>
      </c>
      <c r="C40">
        <v>2</v>
      </c>
      <c r="D40">
        <v>155</v>
      </c>
      <c r="E40">
        <v>269</v>
      </c>
      <c r="F40">
        <v>0</v>
      </c>
      <c r="G40">
        <v>1</v>
      </c>
      <c r="H40">
        <v>148</v>
      </c>
      <c r="I40">
        <v>0</v>
      </c>
      <c r="J40">
        <v>0.8</v>
      </c>
      <c r="K40">
        <v>2</v>
      </c>
      <c r="L40">
        <v>0</v>
      </c>
      <c r="M40">
        <v>2</v>
      </c>
      <c r="N40">
        <v>1</v>
      </c>
    </row>
    <row r="41" spans="1:14">
      <c r="A41">
        <v>65</v>
      </c>
      <c r="B41">
        <v>0</v>
      </c>
      <c r="C41">
        <v>2</v>
      </c>
      <c r="D41">
        <v>160</v>
      </c>
      <c r="E41">
        <v>360</v>
      </c>
      <c r="F41">
        <v>0</v>
      </c>
      <c r="G41">
        <v>0</v>
      </c>
      <c r="H41">
        <v>151</v>
      </c>
      <c r="I41">
        <v>0</v>
      </c>
      <c r="J41">
        <v>0.8</v>
      </c>
      <c r="K41">
        <v>2</v>
      </c>
      <c r="L41">
        <v>0</v>
      </c>
      <c r="M41">
        <v>2</v>
      </c>
      <c r="N41">
        <v>1</v>
      </c>
    </row>
    <row r="42" spans="1:14">
      <c r="A42">
        <v>51</v>
      </c>
      <c r="B42">
        <v>0</v>
      </c>
      <c r="C42">
        <v>2</v>
      </c>
      <c r="D42">
        <v>140</v>
      </c>
      <c r="E42">
        <v>308</v>
      </c>
      <c r="F42">
        <v>0</v>
      </c>
      <c r="G42">
        <v>0</v>
      </c>
      <c r="H42">
        <v>142</v>
      </c>
      <c r="I42">
        <v>0</v>
      </c>
      <c r="J42">
        <v>1.5</v>
      </c>
      <c r="K42">
        <v>2</v>
      </c>
      <c r="L42">
        <v>1</v>
      </c>
      <c r="M42">
        <v>2</v>
      </c>
      <c r="N42">
        <v>1</v>
      </c>
    </row>
    <row r="43" spans="1:14">
      <c r="A43">
        <v>48</v>
      </c>
      <c r="B43">
        <v>1</v>
      </c>
      <c r="C43">
        <v>1</v>
      </c>
      <c r="D43">
        <v>130</v>
      </c>
      <c r="E43">
        <v>245</v>
      </c>
      <c r="F43">
        <v>0</v>
      </c>
      <c r="G43">
        <v>0</v>
      </c>
      <c r="H43">
        <v>180</v>
      </c>
      <c r="I43">
        <v>0</v>
      </c>
      <c r="J43">
        <v>0.2</v>
      </c>
      <c r="K43">
        <v>1</v>
      </c>
      <c r="L43">
        <v>0</v>
      </c>
      <c r="M43">
        <v>2</v>
      </c>
      <c r="N43">
        <v>1</v>
      </c>
    </row>
    <row r="44" spans="1:14">
      <c r="A44">
        <v>45</v>
      </c>
      <c r="B44">
        <v>1</v>
      </c>
      <c r="C44">
        <v>0</v>
      </c>
      <c r="D44">
        <v>104</v>
      </c>
      <c r="E44">
        <v>208</v>
      </c>
      <c r="F44">
        <v>0</v>
      </c>
      <c r="G44">
        <v>0</v>
      </c>
      <c r="H44">
        <v>148</v>
      </c>
      <c r="I44">
        <v>1</v>
      </c>
      <c r="J44">
        <v>3</v>
      </c>
      <c r="K44">
        <v>1</v>
      </c>
      <c r="L44">
        <v>0</v>
      </c>
      <c r="M44">
        <v>2</v>
      </c>
      <c r="N44">
        <v>1</v>
      </c>
    </row>
    <row r="45" spans="1:14">
      <c r="A45">
        <v>53</v>
      </c>
      <c r="B45">
        <v>0</v>
      </c>
      <c r="C45">
        <v>0</v>
      </c>
      <c r="D45">
        <v>130</v>
      </c>
      <c r="E45">
        <v>264</v>
      </c>
      <c r="F45">
        <v>0</v>
      </c>
      <c r="G45">
        <v>0</v>
      </c>
      <c r="H45">
        <v>143</v>
      </c>
      <c r="I45">
        <v>0</v>
      </c>
      <c r="J45">
        <v>0.4</v>
      </c>
      <c r="K45">
        <v>1</v>
      </c>
      <c r="L45">
        <v>0</v>
      </c>
      <c r="M45">
        <v>2</v>
      </c>
      <c r="N45">
        <v>1</v>
      </c>
    </row>
    <row r="46" spans="1:14">
      <c r="A46">
        <v>39</v>
      </c>
      <c r="B46">
        <v>1</v>
      </c>
      <c r="C46">
        <v>2</v>
      </c>
      <c r="D46">
        <v>140</v>
      </c>
      <c r="E46">
        <v>321</v>
      </c>
      <c r="F46">
        <v>0</v>
      </c>
      <c r="G46">
        <v>0</v>
      </c>
      <c r="H46">
        <v>182</v>
      </c>
      <c r="I46">
        <v>0</v>
      </c>
      <c r="J46">
        <v>0</v>
      </c>
      <c r="K46">
        <v>2</v>
      </c>
      <c r="L46">
        <v>0</v>
      </c>
      <c r="M46">
        <v>2</v>
      </c>
      <c r="N46">
        <v>1</v>
      </c>
    </row>
    <row r="47" spans="1:14">
      <c r="A47">
        <v>52</v>
      </c>
      <c r="B47">
        <v>1</v>
      </c>
      <c r="C47">
        <v>1</v>
      </c>
      <c r="D47">
        <v>120</v>
      </c>
      <c r="E47">
        <v>325</v>
      </c>
      <c r="F47">
        <v>0</v>
      </c>
      <c r="G47">
        <v>1</v>
      </c>
      <c r="H47">
        <v>172</v>
      </c>
      <c r="I47">
        <v>0</v>
      </c>
      <c r="J47">
        <v>0.2</v>
      </c>
      <c r="K47">
        <v>2</v>
      </c>
      <c r="L47">
        <v>0</v>
      </c>
      <c r="M47">
        <v>2</v>
      </c>
      <c r="N47">
        <v>1</v>
      </c>
    </row>
    <row r="48" spans="1:14">
      <c r="A48">
        <v>44</v>
      </c>
      <c r="B48">
        <v>1</v>
      </c>
      <c r="C48">
        <v>2</v>
      </c>
      <c r="D48">
        <v>140</v>
      </c>
      <c r="E48">
        <v>235</v>
      </c>
      <c r="F48">
        <v>0</v>
      </c>
      <c r="G48">
        <v>0</v>
      </c>
      <c r="H48">
        <v>180</v>
      </c>
      <c r="I48">
        <v>0</v>
      </c>
      <c r="J48">
        <v>0</v>
      </c>
      <c r="K48">
        <v>2</v>
      </c>
      <c r="L48">
        <v>0</v>
      </c>
      <c r="M48">
        <v>2</v>
      </c>
      <c r="N48">
        <v>1</v>
      </c>
    </row>
    <row r="49" spans="1:14">
      <c r="A49">
        <v>47</v>
      </c>
      <c r="B49">
        <v>1</v>
      </c>
      <c r="C49">
        <v>2</v>
      </c>
      <c r="D49">
        <v>138</v>
      </c>
      <c r="E49">
        <v>257</v>
      </c>
      <c r="F49">
        <v>0</v>
      </c>
      <c r="G49">
        <v>0</v>
      </c>
      <c r="H49">
        <v>156</v>
      </c>
      <c r="I49">
        <v>0</v>
      </c>
      <c r="J49">
        <v>0</v>
      </c>
      <c r="K49">
        <v>2</v>
      </c>
      <c r="L49">
        <v>0</v>
      </c>
      <c r="M49">
        <v>2</v>
      </c>
      <c r="N49">
        <v>1</v>
      </c>
    </row>
    <row r="50" spans="1:14">
      <c r="A50">
        <v>53</v>
      </c>
      <c r="B50">
        <v>0</v>
      </c>
      <c r="C50">
        <v>2</v>
      </c>
      <c r="D50">
        <v>128</v>
      </c>
      <c r="E50">
        <v>216</v>
      </c>
      <c r="F50">
        <v>0</v>
      </c>
      <c r="G50">
        <v>0</v>
      </c>
      <c r="H50">
        <v>115</v>
      </c>
      <c r="I50">
        <v>0</v>
      </c>
      <c r="J50">
        <v>0</v>
      </c>
      <c r="K50">
        <v>2</v>
      </c>
      <c r="L50">
        <v>0</v>
      </c>
      <c r="M50">
        <v>0</v>
      </c>
      <c r="N50">
        <v>1</v>
      </c>
    </row>
    <row r="51" spans="1:14">
      <c r="A51">
        <v>53</v>
      </c>
      <c r="B51">
        <v>0</v>
      </c>
      <c r="C51">
        <v>0</v>
      </c>
      <c r="D51">
        <v>138</v>
      </c>
      <c r="E51">
        <v>234</v>
      </c>
      <c r="F51">
        <v>0</v>
      </c>
      <c r="G51">
        <v>0</v>
      </c>
      <c r="H51">
        <v>160</v>
      </c>
      <c r="I51">
        <v>0</v>
      </c>
      <c r="J51">
        <v>0</v>
      </c>
      <c r="K51">
        <v>2</v>
      </c>
      <c r="L51">
        <v>0</v>
      </c>
      <c r="M51">
        <v>2</v>
      </c>
      <c r="N51">
        <v>1</v>
      </c>
    </row>
    <row r="52" spans="1:14">
      <c r="A52">
        <v>51</v>
      </c>
      <c r="B52">
        <v>0</v>
      </c>
      <c r="C52">
        <v>2</v>
      </c>
      <c r="D52">
        <v>130</v>
      </c>
      <c r="E52">
        <v>256</v>
      </c>
      <c r="F52">
        <v>0</v>
      </c>
      <c r="G52">
        <v>0</v>
      </c>
      <c r="H52">
        <v>149</v>
      </c>
      <c r="I52">
        <v>0</v>
      </c>
      <c r="J52">
        <v>0.5</v>
      </c>
      <c r="K52">
        <v>2</v>
      </c>
      <c r="L52">
        <v>0</v>
      </c>
      <c r="M52">
        <v>2</v>
      </c>
      <c r="N52">
        <v>1</v>
      </c>
    </row>
    <row r="53" spans="1:14">
      <c r="A53">
        <v>66</v>
      </c>
      <c r="B53">
        <v>1</v>
      </c>
      <c r="C53">
        <v>0</v>
      </c>
      <c r="D53">
        <v>120</v>
      </c>
      <c r="E53">
        <v>302</v>
      </c>
      <c r="F53">
        <v>0</v>
      </c>
      <c r="G53">
        <v>0</v>
      </c>
      <c r="H53">
        <v>151</v>
      </c>
      <c r="I53">
        <v>0</v>
      </c>
      <c r="J53">
        <v>0.4</v>
      </c>
      <c r="K53">
        <v>1</v>
      </c>
      <c r="L53">
        <v>0</v>
      </c>
      <c r="M53">
        <v>2</v>
      </c>
      <c r="N53">
        <v>1</v>
      </c>
    </row>
    <row r="54" spans="1:14">
      <c r="A54">
        <v>62</v>
      </c>
      <c r="B54">
        <v>1</v>
      </c>
      <c r="C54">
        <v>2</v>
      </c>
      <c r="D54">
        <v>130</v>
      </c>
      <c r="E54">
        <v>231</v>
      </c>
      <c r="F54">
        <v>0</v>
      </c>
      <c r="G54">
        <v>1</v>
      </c>
      <c r="H54">
        <v>146</v>
      </c>
      <c r="I54">
        <v>0</v>
      </c>
      <c r="J54">
        <v>1.8</v>
      </c>
      <c r="K54">
        <v>1</v>
      </c>
      <c r="L54">
        <v>3</v>
      </c>
      <c r="M54">
        <v>3</v>
      </c>
      <c r="N54">
        <v>1</v>
      </c>
    </row>
    <row r="55" spans="1:14">
      <c r="A55">
        <v>44</v>
      </c>
      <c r="B55">
        <v>0</v>
      </c>
      <c r="C55">
        <v>2</v>
      </c>
      <c r="D55">
        <v>108</v>
      </c>
      <c r="E55">
        <v>141</v>
      </c>
      <c r="F55">
        <v>0</v>
      </c>
      <c r="G55">
        <v>1</v>
      </c>
      <c r="H55">
        <v>175</v>
      </c>
      <c r="I55">
        <v>0</v>
      </c>
      <c r="J55">
        <v>0.6</v>
      </c>
      <c r="K55">
        <v>1</v>
      </c>
      <c r="L55">
        <v>0</v>
      </c>
      <c r="M55">
        <v>2</v>
      </c>
      <c r="N55">
        <v>1</v>
      </c>
    </row>
    <row r="56" spans="1:14">
      <c r="A56">
        <v>63</v>
      </c>
      <c r="B56">
        <v>0</v>
      </c>
      <c r="C56">
        <v>2</v>
      </c>
      <c r="D56">
        <v>135</v>
      </c>
      <c r="E56">
        <v>252</v>
      </c>
      <c r="F56">
        <v>0</v>
      </c>
      <c r="G56">
        <v>0</v>
      </c>
      <c r="H56">
        <v>172</v>
      </c>
      <c r="I56">
        <v>0</v>
      </c>
      <c r="J56">
        <v>0</v>
      </c>
      <c r="K56">
        <v>2</v>
      </c>
      <c r="L56">
        <v>0</v>
      </c>
      <c r="M56">
        <v>2</v>
      </c>
      <c r="N56">
        <v>1</v>
      </c>
    </row>
    <row r="57" spans="1:14">
      <c r="A57">
        <v>52</v>
      </c>
      <c r="B57">
        <v>1</v>
      </c>
      <c r="C57">
        <v>1</v>
      </c>
      <c r="D57">
        <v>134</v>
      </c>
      <c r="E57">
        <v>201</v>
      </c>
      <c r="F57">
        <v>0</v>
      </c>
      <c r="G57">
        <v>1</v>
      </c>
      <c r="H57">
        <v>158</v>
      </c>
      <c r="I57">
        <v>0</v>
      </c>
      <c r="J57">
        <v>0.8</v>
      </c>
      <c r="K57">
        <v>2</v>
      </c>
      <c r="L57">
        <v>1</v>
      </c>
      <c r="M57">
        <v>2</v>
      </c>
      <c r="N57">
        <v>1</v>
      </c>
    </row>
    <row r="58" spans="1:14">
      <c r="A58">
        <v>48</v>
      </c>
      <c r="B58">
        <v>1</v>
      </c>
      <c r="C58">
        <v>0</v>
      </c>
      <c r="D58">
        <v>122</v>
      </c>
      <c r="E58">
        <v>222</v>
      </c>
      <c r="F58">
        <v>0</v>
      </c>
      <c r="G58">
        <v>0</v>
      </c>
      <c r="H58">
        <v>186</v>
      </c>
      <c r="I58">
        <v>0</v>
      </c>
      <c r="J58">
        <v>0</v>
      </c>
      <c r="K58">
        <v>2</v>
      </c>
      <c r="L58">
        <v>0</v>
      </c>
      <c r="M58">
        <v>2</v>
      </c>
      <c r="N58">
        <v>1</v>
      </c>
    </row>
    <row r="59" spans="1:14">
      <c r="A59">
        <v>45</v>
      </c>
      <c r="B59">
        <v>1</v>
      </c>
      <c r="C59">
        <v>0</v>
      </c>
      <c r="D59">
        <v>115</v>
      </c>
      <c r="E59">
        <v>260</v>
      </c>
      <c r="F59">
        <v>0</v>
      </c>
      <c r="G59">
        <v>0</v>
      </c>
      <c r="H59">
        <v>185</v>
      </c>
      <c r="I59">
        <v>0</v>
      </c>
      <c r="J59">
        <v>0</v>
      </c>
      <c r="K59">
        <v>2</v>
      </c>
      <c r="L59">
        <v>0</v>
      </c>
      <c r="M59">
        <v>2</v>
      </c>
      <c r="N59">
        <v>1</v>
      </c>
    </row>
    <row r="60" spans="1:14">
      <c r="A60">
        <v>34</v>
      </c>
      <c r="B60">
        <v>1</v>
      </c>
      <c r="C60">
        <v>3</v>
      </c>
      <c r="D60">
        <v>118</v>
      </c>
      <c r="E60">
        <v>182</v>
      </c>
      <c r="F60">
        <v>0</v>
      </c>
      <c r="G60">
        <v>0</v>
      </c>
      <c r="H60">
        <v>174</v>
      </c>
      <c r="I60">
        <v>0</v>
      </c>
      <c r="J60">
        <v>0</v>
      </c>
      <c r="K60">
        <v>2</v>
      </c>
      <c r="L60">
        <v>0</v>
      </c>
      <c r="M60">
        <v>2</v>
      </c>
      <c r="N60">
        <v>1</v>
      </c>
    </row>
    <row r="61" spans="1:14">
      <c r="A61">
        <v>57</v>
      </c>
      <c r="B61">
        <v>0</v>
      </c>
      <c r="C61">
        <v>0</v>
      </c>
      <c r="D61">
        <v>128</v>
      </c>
      <c r="E61">
        <v>303</v>
      </c>
      <c r="F61">
        <v>0</v>
      </c>
      <c r="G61">
        <v>0</v>
      </c>
      <c r="H61">
        <v>159</v>
      </c>
      <c r="I61">
        <v>0</v>
      </c>
      <c r="J61">
        <v>0</v>
      </c>
      <c r="K61">
        <v>2</v>
      </c>
      <c r="L61">
        <v>1</v>
      </c>
      <c r="M61">
        <v>2</v>
      </c>
      <c r="N61">
        <v>1</v>
      </c>
    </row>
    <row r="62" spans="1:14">
      <c r="A62">
        <v>71</v>
      </c>
      <c r="B62">
        <v>0</v>
      </c>
      <c r="C62">
        <v>2</v>
      </c>
      <c r="D62">
        <v>110</v>
      </c>
      <c r="E62">
        <v>265</v>
      </c>
      <c r="F62">
        <v>1</v>
      </c>
      <c r="G62">
        <v>0</v>
      </c>
      <c r="H62">
        <v>130</v>
      </c>
      <c r="I62">
        <v>0</v>
      </c>
      <c r="J62">
        <v>0</v>
      </c>
      <c r="K62">
        <v>2</v>
      </c>
      <c r="L62">
        <v>1</v>
      </c>
      <c r="M62">
        <v>2</v>
      </c>
      <c r="N62">
        <v>1</v>
      </c>
    </row>
    <row r="63" spans="1:14">
      <c r="A63">
        <v>54</v>
      </c>
      <c r="B63">
        <v>1</v>
      </c>
      <c r="C63">
        <v>1</v>
      </c>
      <c r="D63">
        <v>108</v>
      </c>
      <c r="E63">
        <v>309</v>
      </c>
      <c r="F63">
        <v>0</v>
      </c>
      <c r="G63">
        <v>1</v>
      </c>
      <c r="H63">
        <v>156</v>
      </c>
      <c r="I63">
        <v>0</v>
      </c>
      <c r="J63">
        <v>0</v>
      </c>
      <c r="K63">
        <v>2</v>
      </c>
      <c r="L63">
        <v>0</v>
      </c>
      <c r="M63">
        <v>3</v>
      </c>
      <c r="N63">
        <v>1</v>
      </c>
    </row>
    <row r="64" spans="1:14">
      <c r="A64">
        <v>52</v>
      </c>
      <c r="B64">
        <v>1</v>
      </c>
      <c r="C64">
        <v>3</v>
      </c>
      <c r="D64">
        <v>118</v>
      </c>
      <c r="E64">
        <v>186</v>
      </c>
      <c r="F64">
        <v>0</v>
      </c>
      <c r="G64">
        <v>0</v>
      </c>
      <c r="H64">
        <v>190</v>
      </c>
      <c r="I64">
        <v>0</v>
      </c>
      <c r="J64">
        <v>0</v>
      </c>
      <c r="K64">
        <v>1</v>
      </c>
      <c r="L64">
        <v>0</v>
      </c>
      <c r="M64">
        <v>1</v>
      </c>
      <c r="N64">
        <v>1</v>
      </c>
    </row>
    <row r="65" spans="1:14">
      <c r="A65">
        <v>41</v>
      </c>
      <c r="B65">
        <v>1</v>
      </c>
      <c r="C65">
        <v>1</v>
      </c>
      <c r="D65">
        <v>135</v>
      </c>
      <c r="E65">
        <v>203</v>
      </c>
      <c r="F65">
        <v>0</v>
      </c>
      <c r="G65">
        <v>1</v>
      </c>
      <c r="H65">
        <v>132</v>
      </c>
      <c r="I65">
        <v>0</v>
      </c>
      <c r="J65">
        <v>0</v>
      </c>
      <c r="K65">
        <v>1</v>
      </c>
      <c r="L65">
        <v>0</v>
      </c>
      <c r="M65">
        <v>1</v>
      </c>
      <c r="N65">
        <v>1</v>
      </c>
    </row>
    <row r="66" spans="1:14">
      <c r="A66">
        <v>58</v>
      </c>
      <c r="B66">
        <v>1</v>
      </c>
      <c r="C66">
        <v>2</v>
      </c>
      <c r="D66">
        <v>140</v>
      </c>
      <c r="E66">
        <v>211</v>
      </c>
      <c r="F66">
        <v>1</v>
      </c>
      <c r="G66">
        <v>0</v>
      </c>
      <c r="H66">
        <v>165</v>
      </c>
      <c r="I66">
        <v>0</v>
      </c>
      <c r="J66">
        <v>0</v>
      </c>
      <c r="K66">
        <v>2</v>
      </c>
      <c r="L66">
        <v>0</v>
      </c>
      <c r="M66">
        <v>2</v>
      </c>
      <c r="N66">
        <v>1</v>
      </c>
    </row>
    <row r="67" spans="1:14">
      <c r="A67">
        <v>35</v>
      </c>
      <c r="B67">
        <v>0</v>
      </c>
      <c r="C67">
        <v>0</v>
      </c>
      <c r="D67">
        <v>138</v>
      </c>
      <c r="E67">
        <v>183</v>
      </c>
      <c r="F67">
        <v>0</v>
      </c>
      <c r="G67">
        <v>1</v>
      </c>
      <c r="H67">
        <v>182</v>
      </c>
      <c r="I67">
        <v>0</v>
      </c>
      <c r="J67">
        <v>1.4</v>
      </c>
      <c r="K67">
        <v>2</v>
      </c>
      <c r="L67">
        <v>0</v>
      </c>
      <c r="M67">
        <v>2</v>
      </c>
      <c r="N67">
        <v>1</v>
      </c>
    </row>
    <row r="68" spans="1:14">
      <c r="A68">
        <v>51</v>
      </c>
      <c r="B68">
        <v>1</v>
      </c>
      <c r="C68">
        <v>2</v>
      </c>
      <c r="D68">
        <v>100</v>
      </c>
      <c r="E68">
        <v>222</v>
      </c>
      <c r="F68">
        <v>0</v>
      </c>
      <c r="G68">
        <v>1</v>
      </c>
      <c r="H68">
        <v>143</v>
      </c>
      <c r="I68">
        <v>1</v>
      </c>
      <c r="J68">
        <v>1.2</v>
      </c>
      <c r="K68">
        <v>1</v>
      </c>
      <c r="L68">
        <v>0</v>
      </c>
      <c r="M68">
        <v>2</v>
      </c>
      <c r="N68">
        <v>1</v>
      </c>
    </row>
    <row r="69" spans="1:14">
      <c r="A69">
        <v>45</v>
      </c>
      <c r="B69">
        <v>0</v>
      </c>
      <c r="C69">
        <v>1</v>
      </c>
      <c r="D69">
        <v>130</v>
      </c>
      <c r="E69">
        <v>234</v>
      </c>
      <c r="F69">
        <v>0</v>
      </c>
      <c r="G69">
        <v>0</v>
      </c>
      <c r="H69">
        <v>175</v>
      </c>
      <c r="I69">
        <v>0</v>
      </c>
      <c r="J69">
        <v>0.6</v>
      </c>
      <c r="K69">
        <v>1</v>
      </c>
      <c r="L69">
        <v>0</v>
      </c>
      <c r="M69">
        <v>2</v>
      </c>
      <c r="N69">
        <v>1</v>
      </c>
    </row>
    <row r="70" spans="1:14">
      <c r="A70">
        <v>44</v>
      </c>
      <c r="B70">
        <v>1</v>
      </c>
      <c r="C70">
        <v>1</v>
      </c>
      <c r="D70">
        <v>120</v>
      </c>
      <c r="E70">
        <v>220</v>
      </c>
      <c r="F70">
        <v>0</v>
      </c>
      <c r="G70">
        <v>1</v>
      </c>
      <c r="H70">
        <v>170</v>
      </c>
      <c r="I70">
        <v>0</v>
      </c>
      <c r="J70">
        <v>0</v>
      </c>
      <c r="K70">
        <v>2</v>
      </c>
      <c r="L70">
        <v>0</v>
      </c>
      <c r="M70">
        <v>2</v>
      </c>
      <c r="N70">
        <v>1</v>
      </c>
    </row>
    <row r="71" spans="1:14">
      <c r="A71">
        <v>62</v>
      </c>
      <c r="B71">
        <v>0</v>
      </c>
      <c r="C71">
        <v>0</v>
      </c>
      <c r="D71">
        <v>124</v>
      </c>
      <c r="E71">
        <v>209</v>
      </c>
      <c r="F71">
        <v>0</v>
      </c>
      <c r="G71">
        <v>1</v>
      </c>
      <c r="H71">
        <v>163</v>
      </c>
      <c r="I71">
        <v>0</v>
      </c>
      <c r="J71">
        <v>0</v>
      </c>
      <c r="K71">
        <v>2</v>
      </c>
      <c r="L71">
        <v>0</v>
      </c>
      <c r="M71">
        <v>2</v>
      </c>
      <c r="N71">
        <v>1</v>
      </c>
    </row>
    <row r="72" spans="1:14">
      <c r="A72">
        <v>54</v>
      </c>
      <c r="B72">
        <v>1</v>
      </c>
      <c r="C72">
        <v>2</v>
      </c>
      <c r="D72">
        <v>120</v>
      </c>
      <c r="E72">
        <v>258</v>
      </c>
      <c r="F72">
        <v>0</v>
      </c>
      <c r="G72">
        <v>0</v>
      </c>
      <c r="H72">
        <v>147</v>
      </c>
      <c r="I72">
        <v>0</v>
      </c>
      <c r="J72">
        <v>0.4</v>
      </c>
      <c r="K72">
        <v>1</v>
      </c>
      <c r="L72">
        <v>0</v>
      </c>
      <c r="M72">
        <v>3</v>
      </c>
      <c r="N72">
        <v>1</v>
      </c>
    </row>
    <row r="73" spans="1:14">
      <c r="A73">
        <v>51</v>
      </c>
      <c r="B73">
        <v>1</v>
      </c>
      <c r="C73">
        <v>2</v>
      </c>
      <c r="D73">
        <v>94</v>
      </c>
      <c r="E73">
        <v>227</v>
      </c>
      <c r="F73">
        <v>0</v>
      </c>
      <c r="G73">
        <v>1</v>
      </c>
      <c r="H73">
        <v>154</v>
      </c>
      <c r="I73">
        <v>1</v>
      </c>
      <c r="J73">
        <v>0</v>
      </c>
      <c r="K73">
        <v>2</v>
      </c>
      <c r="L73">
        <v>1</v>
      </c>
      <c r="M73">
        <v>3</v>
      </c>
      <c r="N73">
        <v>1</v>
      </c>
    </row>
    <row r="74" spans="1:14">
      <c r="A74">
        <v>29</v>
      </c>
      <c r="B74">
        <v>1</v>
      </c>
      <c r="C74">
        <v>1</v>
      </c>
      <c r="D74">
        <v>130</v>
      </c>
      <c r="E74">
        <v>204</v>
      </c>
      <c r="F74">
        <v>0</v>
      </c>
      <c r="G74">
        <v>0</v>
      </c>
      <c r="H74">
        <v>202</v>
      </c>
      <c r="I74">
        <v>0</v>
      </c>
      <c r="J74">
        <v>0</v>
      </c>
      <c r="K74">
        <v>2</v>
      </c>
      <c r="L74">
        <v>0</v>
      </c>
      <c r="M74">
        <v>2</v>
      </c>
      <c r="N74">
        <v>1</v>
      </c>
    </row>
    <row r="75" spans="1:14">
      <c r="A75">
        <v>51</v>
      </c>
      <c r="B75">
        <v>1</v>
      </c>
      <c r="C75">
        <v>0</v>
      </c>
      <c r="D75">
        <v>140</v>
      </c>
      <c r="E75">
        <v>261</v>
      </c>
      <c r="F75">
        <v>0</v>
      </c>
      <c r="G75">
        <v>0</v>
      </c>
      <c r="H75">
        <v>186</v>
      </c>
      <c r="I75">
        <v>1</v>
      </c>
      <c r="J75">
        <v>0</v>
      </c>
      <c r="K75">
        <v>2</v>
      </c>
      <c r="L75">
        <v>0</v>
      </c>
      <c r="M75">
        <v>2</v>
      </c>
      <c r="N75">
        <v>1</v>
      </c>
    </row>
    <row r="76" spans="1:14">
      <c r="A76">
        <v>43</v>
      </c>
      <c r="B76">
        <v>0</v>
      </c>
      <c r="C76">
        <v>2</v>
      </c>
      <c r="D76">
        <v>122</v>
      </c>
      <c r="E76">
        <v>213</v>
      </c>
      <c r="F76">
        <v>0</v>
      </c>
      <c r="G76">
        <v>1</v>
      </c>
      <c r="H76">
        <v>165</v>
      </c>
      <c r="I76">
        <v>0</v>
      </c>
      <c r="J76">
        <v>0.2</v>
      </c>
      <c r="K76">
        <v>1</v>
      </c>
      <c r="L76">
        <v>0</v>
      </c>
      <c r="M76">
        <v>2</v>
      </c>
      <c r="N76">
        <v>1</v>
      </c>
    </row>
    <row r="77" spans="1:14">
      <c r="A77">
        <v>55</v>
      </c>
      <c r="B77">
        <v>0</v>
      </c>
      <c r="C77">
        <v>1</v>
      </c>
      <c r="D77">
        <v>135</v>
      </c>
      <c r="E77">
        <v>250</v>
      </c>
      <c r="F77">
        <v>0</v>
      </c>
      <c r="G77">
        <v>0</v>
      </c>
      <c r="H77">
        <v>161</v>
      </c>
      <c r="I77">
        <v>0</v>
      </c>
      <c r="J77">
        <v>1.4</v>
      </c>
      <c r="K77">
        <v>1</v>
      </c>
      <c r="L77">
        <v>0</v>
      </c>
      <c r="M77">
        <v>2</v>
      </c>
      <c r="N77">
        <v>1</v>
      </c>
    </row>
    <row r="78" spans="1:14">
      <c r="A78">
        <v>51</v>
      </c>
      <c r="B78">
        <v>1</v>
      </c>
      <c r="C78">
        <v>2</v>
      </c>
      <c r="D78">
        <v>125</v>
      </c>
      <c r="E78">
        <v>245</v>
      </c>
      <c r="F78">
        <v>1</v>
      </c>
      <c r="G78">
        <v>0</v>
      </c>
      <c r="H78">
        <v>166</v>
      </c>
      <c r="I78">
        <v>0</v>
      </c>
      <c r="J78">
        <v>2.4</v>
      </c>
      <c r="K78">
        <v>1</v>
      </c>
      <c r="L78">
        <v>0</v>
      </c>
      <c r="M78">
        <v>2</v>
      </c>
      <c r="N78">
        <v>1</v>
      </c>
    </row>
    <row r="79" spans="1:14">
      <c r="A79">
        <v>59</v>
      </c>
      <c r="B79">
        <v>1</v>
      </c>
      <c r="C79">
        <v>1</v>
      </c>
      <c r="D79">
        <v>140</v>
      </c>
      <c r="E79">
        <v>221</v>
      </c>
      <c r="F79">
        <v>0</v>
      </c>
      <c r="G79">
        <v>1</v>
      </c>
      <c r="H79">
        <v>164</v>
      </c>
      <c r="I79">
        <v>1</v>
      </c>
      <c r="J79">
        <v>0</v>
      </c>
      <c r="K79">
        <v>2</v>
      </c>
      <c r="L79">
        <v>0</v>
      </c>
      <c r="M79">
        <v>2</v>
      </c>
      <c r="N79">
        <v>1</v>
      </c>
    </row>
    <row r="80" spans="1:14">
      <c r="A80">
        <v>52</v>
      </c>
      <c r="B80">
        <v>1</v>
      </c>
      <c r="C80">
        <v>1</v>
      </c>
      <c r="D80">
        <v>128</v>
      </c>
      <c r="E80">
        <v>205</v>
      </c>
      <c r="F80">
        <v>1</v>
      </c>
      <c r="G80">
        <v>1</v>
      </c>
      <c r="H80">
        <v>184</v>
      </c>
      <c r="I80">
        <v>0</v>
      </c>
      <c r="J80">
        <v>0</v>
      </c>
      <c r="K80">
        <v>2</v>
      </c>
      <c r="L80">
        <v>0</v>
      </c>
      <c r="M80">
        <v>2</v>
      </c>
      <c r="N80">
        <v>1</v>
      </c>
    </row>
    <row r="81" spans="1:14">
      <c r="A81">
        <v>58</v>
      </c>
      <c r="B81">
        <v>1</v>
      </c>
      <c r="C81">
        <v>2</v>
      </c>
      <c r="D81">
        <v>105</v>
      </c>
      <c r="E81">
        <v>240</v>
      </c>
      <c r="F81">
        <v>0</v>
      </c>
      <c r="G81">
        <v>0</v>
      </c>
      <c r="H81">
        <v>154</v>
      </c>
      <c r="I81">
        <v>1</v>
      </c>
      <c r="J81">
        <v>0.6</v>
      </c>
      <c r="K81">
        <v>1</v>
      </c>
      <c r="L81">
        <v>0</v>
      </c>
      <c r="M81">
        <v>3</v>
      </c>
      <c r="N81">
        <v>1</v>
      </c>
    </row>
    <row r="82" spans="1:14">
      <c r="A82">
        <v>41</v>
      </c>
      <c r="B82">
        <v>1</v>
      </c>
      <c r="C82">
        <v>2</v>
      </c>
      <c r="D82">
        <v>112</v>
      </c>
      <c r="E82">
        <v>250</v>
      </c>
      <c r="F82">
        <v>0</v>
      </c>
      <c r="G82">
        <v>1</v>
      </c>
      <c r="H82">
        <v>179</v>
      </c>
      <c r="I82">
        <v>0</v>
      </c>
      <c r="J82">
        <v>0</v>
      </c>
      <c r="K82">
        <v>2</v>
      </c>
      <c r="L82">
        <v>0</v>
      </c>
      <c r="M82">
        <v>2</v>
      </c>
      <c r="N82">
        <v>1</v>
      </c>
    </row>
    <row r="83" spans="1:14">
      <c r="A83">
        <v>45</v>
      </c>
      <c r="B83">
        <v>1</v>
      </c>
      <c r="C83">
        <v>1</v>
      </c>
      <c r="D83">
        <v>128</v>
      </c>
      <c r="E83">
        <v>308</v>
      </c>
      <c r="F83">
        <v>0</v>
      </c>
      <c r="G83">
        <v>0</v>
      </c>
      <c r="H83">
        <v>170</v>
      </c>
      <c r="I83">
        <v>0</v>
      </c>
      <c r="J83">
        <v>0</v>
      </c>
      <c r="K83">
        <v>2</v>
      </c>
      <c r="L83">
        <v>0</v>
      </c>
      <c r="M83">
        <v>2</v>
      </c>
      <c r="N83">
        <v>1</v>
      </c>
    </row>
    <row r="84" spans="1:14">
      <c r="A84">
        <v>60</v>
      </c>
      <c r="B84">
        <v>0</v>
      </c>
      <c r="C84">
        <v>2</v>
      </c>
      <c r="D84">
        <v>102</v>
      </c>
      <c r="E84">
        <v>318</v>
      </c>
      <c r="F84">
        <v>0</v>
      </c>
      <c r="G84">
        <v>1</v>
      </c>
      <c r="H84">
        <v>160</v>
      </c>
      <c r="I84">
        <v>0</v>
      </c>
      <c r="J84">
        <v>0</v>
      </c>
      <c r="K84">
        <v>2</v>
      </c>
      <c r="L84">
        <v>1</v>
      </c>
      <c r="M84">
        <v>2</v>
      </c>
      <c r="N84">
        <v>1</v>
      </c>
    </row>
    <row r="85" spans="1:14">
      <c r="A85">
        <v>52</v>
      </c>
      <c r="B85">
        <v>1</v>
      </c>
      <c r="C85">
        <v>3</v>
      </c>
      <c r="D85">
        <v>152</v>
      </c>
      <c r="E85">
        <v>298</v>
      </c>
      <c r="F85">
        <v>1</v>
      </c>
      <c r="G85">
        <v>1</v>
      </c>
      <c r="H85">
        <v>178</v>
      </c>
      <c r="I85">
        <v>0</v>
      </c>
      <c r="J85">
        <v>1.2</v>
      </c>
      <c r="K85">
        <v>1</v>
      </c>
      <c r="L85">
        <v>0</v>
      </c>
      <c r="M85">
        <v>3</v>
      </c>
      <c r="N85">
        <v>1</v>
      </c>
    </row>
    <row r="86" spans="1:14">
      <c r="A86">
        <v>42</v>
      </c>
      <c r="B86">
        <v>0</v>
      </c>
      <c r="C86">
        <v>0</v>
      </c>
      <c r="D86">
        <v>102</v>
      </c>
      <c r="E86">
        <v>265</v>
      </c>
      <c r="F86">
        <v>0</v>
      </c>
      <c r="G86">
        <v>0</v>
      </c>
      <c r="H86">
        <v>122</v>
      </c>
      <c r="I86">
        <v>0</v>
      </c>
      <c r="J86">
        <v>0.6</v>
      </c>
      <c r="K86">
        <v>1</v>
      </c>
      <c r="L86">
        <v>0</v>
      </c>
      <c r="M86">
        <v>2</v>
      </c>
      <c r="N86">
        <v>1</v>
      </c>
    </row>
    <row r="87" spans="1:14">
      <c r="A87">
        <v>67</v>
      </c>
      <c r="B87">
        <v>0</v>
      </c>
      <c r="C87">
        <v>2</v>
      </c>
      <c r="D87">
        <v>115</v>
      </c>
      <c r="E87">
        <v>564</v>
      </c>
      <c r="F87">
        <v>0</v>
      </c>
      <c r="G87">
        <v>0</v>
      </c>
      <c r="H87">
        <v>160</v>
      </c>
      <c r="I87">
        <v>0</v>
      </c>
      <c r="J87">
        <v>1.6</v>
      </c>
      <c r="K87">
        <v>1</v>
      </c>
      <c r="L87">
        <v>0</v>
      </c>
      <c r="M87">
        <v>3</v>
      </c>
      <c r="N87">
        <v>1</v>
      </c>
    </row>
    <row r="88" spans="1:14">
      <c r="A88">
        <v>68</v>
      </c>
      <c r="B88">
        <v>1</v>
      </c>
      <c r="C88">
        <v>2</v>
      </c>
      <c r="D88">
        <v>118</v>
      </c>
      <c r="E88">
        <v>277</v>
      </c>
      <c r="F88">
        <v>0</v>
      </c>
      <c r="G88">
        <v>1</v>
      </c>
      <c r="H88">
        <v>151</v>
      </c>
      <c r="I88">
        <v>0</v>
      </c>
      <c r="J88">
        <v>1</v>
      </c>
      <c r="K88">
        <v>2</v>
      </c>
      <c r="L88">
        <v>1</v>
      </c>
      <c r="M88">
        <v>3</v>
      </c>
      <c r="N88">
        <v>1</v>
      </c>
    </row>
    <row r="89" spans="1:14">
      <c r="A89">
        <v>46</v>
      </c>
      <c r="B89">
        <v>1</v>
      </c>
      <c r="C89">
        <v>1</v>
      </c>
      <c r="D89">
        <v>101</v>
      </c>
      <c r="E89">
        <v>197</v>
      </c>
      <c r="F89">
        <v>1</v>
      </c>
      <c r="G89">
        <v>1</v>
      </c>
      <c r="H89">
        <v>156</v>
      </c>
      <c r="I89">
        <v>0</v>
      </c>
      <c r="J89">
        <v>0</v>
      </c>
      <c r="K89">
        <v>2</v>
      </c>
      <c r="L89">
        <v>0</v>
      </c>
      <c r="M89">
        <v>3</v>
      </c>
      <c r="N89">
        <v>1</v>
      </c>
    </row>
    <row r="90" spans="1:14">
      <c r="A90">
        <v>54</v>
      </c>
      <c r="B90">
        <v>0</v>
      </c>
      <c r="C90">
        <v>2</v>
      </c>
      <c r="D90">
        <v>110</v>
      </c>
      <c r="E90">
        <v>214</v>
      </c>
      <c r="F90">
        <v>0</v>
      </c>
      <c r="G90">
        <v>1</v>
      </c>
      <c r="H90">
        <v>158</v>
      </c>
      <c r="I90">
        <v>0</v>
      </c>
      <c r="J90">
        <v>1.6</v>
      </c>
      <c r="K90">
        <v>1</v>
      </c>
      <c r="L90">
        <v>0</v>
      </c>
      <c r="M90">
        <v>2</v>
      </c>
      <c r="N90">
        <v>1</v>
      </c>
    </row>
    <row r="91" spans="1:14">
      <c r="A91">
        <v>58</v>
      </c>
      <c r="B91">
        <v>0</v>
      </c>
      <c r="C91">
        <v>0</v>
      </c>
      <c r="D91">
        <v>100</v>
      </c>
      <c r="E91">
        <v>248</v>
      </c>
      <c r="F91">
        <v>0</v>
      </c>
      <c r="G91">
        <v>0</v>
      </c>
      <c r="H91">
        <v>122</v>
      </c>
      <c r="I91">
        <v>0</v>
      </c>
      <c r="J91">
        <v>1</v>
      </c>
      <c r="K91">
        <v>1</v>
      </c>
      <c r="L91">
        <v>0</v>
      </c>
      <c r="M91">
        <v>2</v>
      </c>
      <c r="N91">
        <v>1</v>
      </c>
    </row>
    <row r="92" spans="1:14">
      <c r="A92">
        <v>48</v>
      </c>
      <c r="B92">
        <v>1</v>
      </c>
      <c r="C92">
        <v>2</v>
      </c>
      <c r="D92">
        <v>124</v>
      </c>
      <c r="E92">
        <v>255</v>
      </c>
      <c r="F92">
        <v>1</v>
      </c>
      <c r="G92">
        <v>1</v>
      </c>
      <c r="H92">
        <v>175</v>
      </c>
      <c r="I92">
        <v>0</v>
      </c>
      <c r="J92">
        <v>0</v>
      </c>
      <c r="K92">
        <v>2</v>
      </c>
      <c r="L92">
        <v>2</v>
      </c>
      <c r="M92">
        <v>2</v>
      </c>
      <c r="N92">
        <v>1</v>
      </c>
    </row>
    <row r="93" spans="1:14">
      <c r="A93">
        <v>57</v>
      </c>
      <c r="B93">
        <v>1</v>
      </c>
      <c r="C93">
        <v>0</v>
      </c>
      <c r="D93">
        <v>132</v>
      </c>
      <c r="E93">
        <v>207</v>
      </c>
      <c r="F93">
        <v>0</v>
      </c>
      <c r="G93">
        <v>1</v>
      </c>
      <c r="H93">
        <v>168</v>
      </c>
      <c r="I93">
        <v>1</v>
      </c>
      <c r="J93">
        <v>0</v>
      </c>
      <c r="K93">
        <v>2</v>
      </c>
      <c r="L93">
        <v>0</v>
      </c>
      <c r="M93">
        <v>3</v>
      </c>
      <c r="N93">
        <v>1</v>
      </c>
    </row>
    <row r="94" spans="1:14">
      <c r="A94">
        <v>52</v>
      </c>
      <c r="B94">
        <v>1</v>
      </c>
      <c r="C94">
        <v>2</v>
      </c>
      <c r="D94">
        <v>138</v>
      </c>
      <c r="E94">
        <v>223</v>
      </c>
      <c r="F94">
        <v>0</v>
      </c>
      <c r="G94">
        <v>1</v>
      </c>
      <c r="H94">
        <v>169</v>
      </c>
      <c r="I94">
        <v>0</v>
      </c>
      <c r="J94">
        <v>0</v>
      </c>
      <c r="K94">
        <v>2</v>
      </c>
      <c r="L94">
        <v>4</v>
      </c>
      <c r="M94">
        <v>2</v>
      </c>
      <c r="N94">
        <v>1</v>
      </c>
    </row>
    <row r="95" spans="1:14">
      <c r="A95">
        <v>54</v>
      </c>
      <c r="B95">
        <v>0</v>
      </c>
      <c r="C95">
        <v>1</v>
      </c>
      <c r="D95">
        <v>132</v>
      </c>
      <c r="E95">
        <v>288</v>
      </c>
      <c r="F95">
        <v>1</v>
      </c>
      <c r="G95">
        <v>0</v>
      </c>
      <c r="H95">
        <v>159</v>
      </c>
      <c r="I95">
        <v>1</v>
      </c>
      <c r="J95">
        <v>0</v>
      </c>
      <c r="K95">
        <v>2</v>
      </c>
      <c r="L95">
        <v>1</v>
      </c>
      <c r="M95">
        <v>2</v>
      </c>
      <c r="N95">
        <v>1</v>
      </c>
    </row>
    <row r="96" spans="1:14">
      <c r="A96">
        <v>45</v>
      </c>
      <c r="B96">
        <v>0</v>
      </c>
      <c r="C96">
        <v>1</v>
      </c>
      <c r="D96">
        <v>112</v>
      </c>
      <c r="E96">
        <v>160</v>
      </c>
      <c r="F96">
        <v>0</v>
      </c>
      <c r="G96">
        <v>1</v>
      </c>
      <c r="H96">
        <v>138</v>
      </c>
      <c r="I96">
        <v>0</v>
      </c>
      <c r="J96">
        <v>0</v>
      </c>
      <c r="K96">
        <v>1</v>
      </c>
      <c r="L96">
        <v>0</v>
      </c>
      <c r="M96">
        <v>2</v>
      </c>
      <c r="N96">
        <v>1</v>
      </c>
    </row>
    <row r="97" spans="1:14">
      <c r="A97">
        <v>53</v>
      </c>
      <c r="B97">
        <v>1</v>
      </c>
      <c r="C97">
        <v>0</v>
      </c>
      <c r="D97">
        <v>142</v>
      </c>
      <c r="E97">
        <v>226</v>
      </c>
      <c r="F97">
        <v>0</v>
      </c>
      <c r="G97">
        <v>0</v>
      </c>
      <c r="H97">
        <v>111</v>
      </c>
      <c r="I97">
        <v>1</v>
      </c>
      <c r="J97">
        <v>0</v>
      </c>
      <c r="K97">
        <v>2</v>
      </c>
      <c r="L97">
        <v>0</v>
      </c>
      <c r="M97">
        <v>3</v>
      </c>
      <c r="N97">
        <v>1</v>
      </c>
    </row>
    <row r="98" spans="1:14">
      <c r="A98">
        <v>62</v>
      </c>
      <c r="B98">
        <v>0</v>
      </c>
      <c r="C98">
        <v>0</v>
      </c>
      <c r="D98">
        <v>140</v>
      </c>
      <c r="E98">
        <v>394</v>
      </c>
      <c r="F98">
        <v>0</v>
      </c>
      <c r="G98">
        <v>0</v>
      </c>
      <c r="H98">
        <v>157</v>
      </c>
      <c r="I98">
        <v>0</v>
      </c>
      <c r="J98">
        <v>1.2</v>
      </c>
      <c r="K98">
        <v>1</v>
      </c>
      <c r="L98">
        <v>0</v>
      </c>
      <c r="M98">
        <v>2</v>
      </c>
      <c r="N98">
        <v>1</v>
      </c>
    </row>
    <row r="99" spans="1:14">
      <c r="A99">
        <v>52</v>
      </c>
      <c r="B99">
        <v>1</v>
      </c>
      <c r="C99">
        <v>0</v>
      </c>
      <c r="D99">
        <v>108</v>
      </c>
      <c r="E99">
        <v>233</v>
      </c>
      <c r="F99">
        <v>1</v>
      </c>
      <c r="G99">
        <v>1</v>
      </c>
      <c r="H99">
        <v>147</v>
      </c>
      <c r="I99">
        <v>0</v>
      </c>
      <c r="J99">
        <v>0.1</v>
      </c>
      <c r="K99">
        <v>2</v>
      </c>
      <c r="L99">
        <v>3</v>
      </c>
      <c r="M99">
        <v>3</v>
      </c>
      <c r="N99">
        <v>1</v>
      </c>
    </row>
    <row r="100" spans="1:14">
      <c r="A100">
        <v>43</v>
      </c>
      <c r="B100">
        <v>1</v>
      </c>
      <c r="C100">
        <v>2</v>
      </c>
      <c r="D100">
        <v>130</v>
      </c>
      <c r="E100">
        <v>315</v>
      </c>
      <c r="F100">
        <v>0</v>
      </c>
      <c r="G100">
        <v>1</v>
      </c>
      <c r="H100">
        <v>162</v>
      </c>
      <c r="I100">
        <v>0</v>
      </c>
      <c r="J100">
        <v>1.9</v>
      </c>
      <c r="K100">
        <v>2</v>
      </c>
      <c r="L100">
        <v>1</v>
      </c>
      <c r="M100">
        <v>2</v>
      </c>
      <c r="N100">
        <v>1</v>
      </c>
    </row>
    <row r="101" spans="1:14">
      <c r="A101">
        <v>53</v>
      </c>
      <c r="B101">
        <v>1</v>
      </c>
      <c r="C101">
        <v>2</v>
      </c>
      <c r="D101">
        <v>130</v>
      </c>
      <c r="E101">
        <v>246</v>
      </c>
      <c r="F101">
        <v>1</v>
      </c>
      <c r="G101">
        <v>0</v>
      </c>
      <c r="H101">
        <v>173</v>
      </c>
      <c r="I101">
        <v>0</v>
      </c>
      <c r="J101">
        <v>0</v>
      </c>
      <c r="K101">
        <v>2</v>
      </c>
      <c r="L101">
        <v>3</v>
      </c>
      <c r="M101">
        <v>2</v>
      </c>
      <c r="N101">
        <v>1</v>
      </c>
    </row>
    <row r="102" spans="1:14">
      <c r="A102">
        <v>42</v>
      </c>
      <c r="B102">
        <v>1</v>
      </c>
      <c r="C102">
        <v>3</v>
      </c>
      <c r="D102">
        <v>148</v>
      </c>
      <c r="E102">
        <v>244</v>
      </c>
      <c r="F102">
        <v>0</v>
      </c>
      <c r="G102">
        <v>0</v>
      </c>
      <c r="H102">
        <v>178</v>
      </c>
      <c r="I102">
        <v>0</v>
      </c>
      <c r="J102">
        <v>0.8</v>
      </c>
      <c r="K102">
        <v>2</v>
      </c>
      <c r="L102">
        <v>2</v>
      </c>
      <c r="M102">
        <v>2</v>
      </c>
      <c r="N102">
        <v>1</v>
      </c>
    </row>
    <row r="103" spans="1:14">
      <c r="A103">
        <v>59</v>
      </c>
      <c r="B103">
        <v>1</v>
      </c>
      <c r="C103">
        <v>3</v>
      </c>
      <c r="D103">
        <v>178</v>
      </c>
      <c r="E103">
        <v>270</v>
      </c>
      <c r="F103">
        <v>0</v>
      </c>
      <c r="G103">
        <v>0</v>
      </c>
      <c r="H103">
        <v>145</v>
      </c>
      <c r="I103">
        <v>0</v>
      </c>
      <c r="J103">
        <v>4.2</v>
      </c>
      <c r="K103">
        <v>0</v>
      </c>
      <c r="L103">
        <v>0</v>
      </c>
      <c r="M103">
        <v>3</v>
      </c>
      <c r="N103">
        <v>1</v>
      </c>
    </row>
    <row r="104" spans="1:14">
      <c r="A104">
        <v>63</v>
      </c>
      <c r="B104">
        <v>0</v>
      </c>
      <c r="C104">
        <v>1</v>
      </c>
      <c r="D104">
        <v>140</v>
      </c>
      <c r="E104">
        <v>195</v>
      </c>
      <c r="F104">
        <v>0</v>
      </c>
      <c r="G104">
        <v>1</v>
      </c>
      <c r="H104">
        <v>179</v>
      </c>
      <c r="I104">
        <v>0</v>
      </c>
      <c r="J104">
        <v>0</v>
      </c>
      <c r="K104">
        <v>2</v>
      </c>
      <c r="L104">
        <v>2</v>
      </c>
      <c r="M104">
        <v>2</v>
      </c>
      <c r="N104">
        <v>1</v>
      </c>
    </row>
    <row r="105" spans="1:14">
      <c r="A105">
        <v>42</v>
      </c>
      <c r="B105">
        <v>1</v>
      </c>
      <c r="C105">
        <v>2</v>
      </c>
      <c r="D105">
        <v>120</v>
      </c>
      <c r="E105">
        <v>240</v>
      </c>
      <c r="F105">
        <v>1</v>
      </c>
      <c r="G105">
        <v>1</v>
      </c>
      <c r="H105">
        <v>194</v>
      </c>
      <c r="I105">
        <v>0</v>
      </c>
      <c r="J105">
        <v>0.8</v>
      </c>
      <c r="K105">
        <v>0</v>
      </c>
      <c r="L105">
        <v>0</v>
      </c>
      <c r="M105">
        <v>3</v>
      </c>
      <c r="N105">
        <v>1</v>
      </c>
    </row>
    <row r="106" spans="1:14">
      <c r="A106">
        <v>50</v>
      </c>
      <c r="B106">
        <v>1</v>
      </c>
      <c r="C106">
        <v>2</v>
      </c>
      <c r="D106">
        <v>129</v>
      </c>
      <c r="E106">
        <v>196</v>
      </c>
      <c r="F106">
        <v>0</v>
      </c>
      <c r="G106">
        <v>1</v>
      </c>
      <c r="H106">
        <v>163</v>
      </c>
      <c r="I106">
        <v>0</v>
      </c>
      <c r="J106">
        <v>0</v>
      </c>
      <c r="K106">
        <v>2</v>
      </c>
      <c r="L106">
        <v>0</v>
      </c>
      <c r="M106">
        <v>2</v>
      </c>
      <c r="N106">
        <v>1</v>
      </c>
    </row>
    <row r="107" spans="1:14">
      <c r="A107">
        <v>68</v>
      </c>
      <c r="B107">
        <v>0</v>
      </c>
      <c r="C107">
        <v>2</v>
      </c>
      <c r="D107">
        <v>120</v>
      </c>
      <c r="E107">
        <v>211</v>
      </c>
      <c r="F107">
        <v>0</v>
      </c>
      <c r="G107">
        <v>0</v>
      </c>
      <c r="H107">
        <v>115</v>
      </c>
      <c r="I107">
        <v>0</v>
      </c>
      <c r="J107">
        <v>1.5</v>
      </c>
      <c r="K107">
        <v>1</v>
      </c>
      <c r="L107">
        <v>0</v>
      </c>
      <c r="M107">
        <v>2</v>
      </c>
      <c r="N107">
        <v>1</v>
      </c>
    </row>
    <row r="108" spans="1:14">
      <c r="A108">
        <v>69</v>
      </c>
      <c r="B108">
        <v>1</v>
      </c>
      <c r="C108">
        <v>3</v>
      </c>
      <c r="D108">
        <v>160</v>
      </c>
      <c r="E108">
        <v>234</v>
      </c>
      <c r="F108">
        <v>1</v>
      </c>
      <c r="G108">
        <v>0</v>
      </c>
      <c r="H108">
        <v>131</v>
      </c>
      <c r="I108">
        <v>0</v>
      </c>
      <c r="J108">
        <v>0.1</v>
      </c>
      <c r="K108">
        <v>1</v>
      </c>
      <c r="L108">
        <v>1</v>
      </c>
      <c r="M108">
        <v>2</v>
      </c>
      <c r="N108">
        <v>1</v>
      </c>
    </row>
    <row r="109" spans="1:14">
      <c r="A109">
        <v>45</v>
      </c>
      <c r="B109">
        <v>0</v>
      </c>
      <c r="C109">
        <v>0</v>
      </c>
      <c r="D109">
        <v>138</v>
      </c>
      <c r="E109">
        <v>236</v>
      </c>
      <c r="F109">
        <v>0</v>
      </c>
      <c r="G109">
        <v>0</v>
      </c>
      <c r="H109">
        <v>152</v>
      </c>
      <c r="I109">
        <v>1</v>
      </c>
      <c r="J109">
        <v>0.2</v>
      </c>
      <c r="K109">
        <v>1</v>
      </c>
      <c r="L109">
        <v>0</v>
      </c>
      <c r="M109">
        <v>2</v>
      </c>
      <c r="N109">
        <v>1</v>
      </c>
    </row>
    <row r="110" spans="1:14">
      <c r="A110">
        <v>50</v>
      </c>
      <c r="B110">
        <v>0</v>
      </c>
      <c r="C110">
        <v>1</v>
      </c>
      <c r="D110">
        <v>120</v>
      </c>
      <c r="E110">
        <v>244</v>
      </c>
      <c r="F110">
        <v>0</v>
      </c>
      <c r="G110">
        <v>1</v>
      </c>
      <c r="H110">
        <v>162</v>
      </c>
      <c r="I110">
        <v>0</v>
      </c>
      <c r="J110">
        <v>1.1000000000000001</v>
      </c>
      <c r="K110">
        <v>2</v>
      </c>
      <c r="L110">
        <v>0</v>
      </c>
      <c r="M110">
        <v>2</v>
      </c>
      <c r="N110">
        <v>1</v>
      </c>
    </row>
    <row r="111" spans="1:14">
      <c r="A111">
        <v>50</v>
      </c>
      <c r="B111">
        <v>0</v>
      </c>
      <c r="C111">
        <v>0</v>
      </c>
      <c r="D111">
        <v>110</v>
      </c>
      <c r="E111">
        <v>254</v>
      </c>
      <c r="F111">
        <v>0</v>
      </c>
      <c r="G111">
        <v>0</v>
      </c>
      <c r="H111">
        <v>159</v>
      </c>
      <c r="I111">
        <v>0</v>
      </c>
      <c r="J111">
        <v>0</v>
      </c>
      <c r="K111">
        <v>2</v>
      </c>
      <c r="L111">
        <v>0</v>
      </c>
      <c r="M111">
        <v>2</v>
      </c>
      <c r="N111">
        <v>1</v>
      </c>
    </row>
    <row r="112" spans="1:14">
      <c r="A112">
        <v>64</v>
      </c>
      <c r="B112">
        <v>0</v>
      </c>
      <c r="C112">
        <v>0</v>
      </c>
      <c r="D112">
        <v>180</v>
      </c>
      <c r="E112">
        <v>325</v>
      </c>
      <c r="F112">
        <v>0</v>
      </c>
      <c r="G112">
        <v>1</v>
      </c>
      <c r="H112">
        <v>154</v>
      </c>
      <c r="I112">
        <v>1</v>
      </c>
      <c r="J112">
        <v>0</v>
      </c>
      <c r="K112">
        <v>2</v>
      </c>
      <c r="L112">
        <v>0</v>
      </c>
      <c r="M112">
        <v>2</v>
      </c>
      <c r="N112">
        <v>1</v>
      </c>
    </row>
    <row r="113" spans="1:14">
      <c r="A113">
        <v>57</v>
      </c>
      <c r="B113">
        <v>1</v>
      </c>
      <c r="C113">
        <v>2</v>
      </c>
      <c r="D113">
        <v>150</v>
      </c>
      <c r="E113">
        <v>126</v>
      </c>
      <c r="F113">
        <v>1</v>
      </c>
      <c r="G113">
        <v>1</v>
      </c>
      <c r="H113">
        <v>173</v>
      </c>
      <c r="I113">
        <v>0</v>
      </c>
      <c r="J113">
        <v>0.2</v>
      </c>
      <c r="K113">
        <v>2</v>
      </c>
      <c r="L113">
        <v>1</v>
      </c>
      <c r="M113">
        <v>3</v>
      </c>
      <c r="N113">
        <v>1</v>
      </c>
    </row>
    <row r="114" spans="1:14">
      <c r="A114">
        <v>64</v>
      </c>
      <c r="B114">
        <v>0</v>
      </c>
      <c r="C114">
        <v>2</v>
      </c>
      <c r="D114">
        <v>140</v>
      </c>
      <c r="E114">
        <v>313</v>
      </c>
      <c r="F114">
        <v>0</v>
      </c>
      <c r="G114">
        <v>1</v>
      </c>
      <c r="H114">
        <v>133</v>
      </c>
      <c r="I114">
        <v>0</v>
      </c>
      <c r="J114">
        <v>0.2</v>
      </c>
      <c r="K114">
        <v>2</v>
      </c>
      <c r="L114">
        <v>0</v>
      </c>
      <c r="M114">
        <v>3</v>
      </c>
      <c r="N114">
        <v>1</v>
      </c>
    </row>
    <row r="115" spans="1:14">
      <c r="A115">
        <v>43</v>
      </c>
      <c r="B115">
        <v>1</v>
      </c>
      <c r="C115">
        <v>0</v>
      </c>
      <c r="D115">
        <v>110</v>
      </c>
      <c r="E115">
        <v>211</v>
      </c>
      <c r="F115">
        <v>0</v>
      </c>
      <c r="G115">
        <v>1</v>
      </c>
      <c r="H115">
        <v>161</v>
      </c>
      <c r="I115">
        <v>0</v>
      </c>
      <c r="J115">
        <v>0</v>
      </c>
      <c r="K115">
        <v>2</v>
      </c>
      <c r="L115">
        <v>0</v>
      </c>
      <c r="M115">
        <v>3</v>
      </c>
      <c r="N115">
        <v>1</v>
      </c>
    </row>
    <row r="116" spans="1:14">
      <c r="A116">
        <v>55</v>
      </c>
      <c r="B116">
        <v>1</v>
      </c>
      <c r="C116">
        <v>1</v>
      </c>
      <c r="D116">
        <v>130</v>
      </c>
      <c r="E116">
        <v>262</v>
      </c>
      <c r="F116">
        <v>0</v>
      </c>
      <c r="G116">
        <v>1</v>
      </c>
      <c r="H116">
        <v>155</v>
      </c>
      <c r="I116">
        <v>0</v>
      </c>
      <c r="J116">
        <v>0</v>
      </c>
      <c r="K116">
        <v>2</v>
      </c>
      <c r="L116">
        <v>0</v>
      </c>
      <c r="M116">
        <v>2</v>
      </c>
      <c r="N116">
        <v>1</v>
      </c>
    </row>
    <row r="117" spans="1:14">
      <c r="A117">
        <v>37</v>
      </c>
      <c r="B117">
        <v>0</v>
      </c>
      <c r="C117">
        <v>2</v>
      </c>
      <c r="D117">
        <v>120</v>
      </c>
      <c r="E117">
        <v>215</v>
      </c>
      <c r="F117">
        <v>0</v>
      </c>
      <c r="G117">
        <v>1</v>
      </c>
      <c r="H117">
        <v>170</v>
      </c>
      <c r="I117">
        <v>0</v>
      </c>
      <c r="J117">
        <v>0</v>
      </c>
      <c r="K117">
        <v>2</v>
      </c>
      <c r="L117">
        <v>0</v>
      </c>
      <c r="M117">
        <v>2</v>
      </c>
      <c r="N117">
        <v>1</v>
      </c>
    </row>
    <row r="118" spans="1:14">
      <c r="A118">
        <v>41</v>
      </c>
      <c r="B118">
        <v>1</v>
      </c>
      <c r="C118">
        <v>2</v>
      </c>
      <c r="D118">
        <v>130</v>
      </c>
      <c r="E118">
        <v>214</v>
      </c>
      <c r="F118">
        <v>0</v>
      </c>
      <c r="G118">
        <v>0</v>
      </c>
      <c r="H118">
        <v>168</v>
      </c>
      <c r="I118">
        <v>0</v>
      </c>
      <c r="J118">
        <v>2</v>
      </c>
      <c r="K118">
        <v>1</v>
      </c>
      <c r="L118">
        <v>0</v>
      </c>
      <c r="M118">
        <v>2</v>
      </c>
      <c r="N118">
        <v>1</v>
      </c>
    </row>
    <row r="119" spans="1:14">
      <c r="A119">
        <v>56</v>
      </c>
      <c r="B119">
        <v>1</v>
      </c>
      <c r="C119">
        <v>3</v>
      </c>
      <c r="D119">
        <v>120</v>
      </c>
      <c r="E119">
        <v>193</v>
      </c>
      <c r="F119">
        <v>0</v>
      </c>
      <c r="G119">
        <v>0</v>
      </c>
      <c r="H119">
        <v>162</v>
      </c>
      <c r="I119">
        <v>0</v>
      </c>
      <c r="J119">
        <v>1.9</v>
      </c>
      <c r="K119">
        <v>1</v>
      </c>
      <c r="L119">
        <v>0</v>
      </c>
      <c r="M119">
        <v>3</v>
      </c>
      <c r="N119">
        <v>1</v>
      </c>
    </row>
    <row r="120" spans="1:14">
      <c r="A120">
        <v>46</v>
      </c>
      <c r="B120">
        <v>0</v>
      </c>
      <c r="C120">
        <v>1</v>
      </c>
      <c r="D120">
        <v>105</v>
      </c>
      <c r="E120">
        <v>204</v>
      </c>
      <c r="F120">
        <v>0</v>
      </c>
      <c r="G120">
        <v>1</v>
      </c>
      <c r="H120">
        <v>172</v>
      </c>
      <c r="I120">
        <v>0</v>
      </c>
      <c r="J120">
        <v>0</v>
      </c>
      <c r="K120">
        <v>2</v>
      </c>
      <c r="L120">
        <v>0</v>
      </c>
      <c r="M120">
        <v>2</v>
      </c>
      <c r="N120">
        <v>1</v>
      </c>
    </row>
    <row r="121" spans="1:14">
      <c r="A121">
        <v>46</v>
      </c>
      <c r="B121">
        <v>0</v>
      </c>
      <c r="C121">
        <v>0</v>
      </c>
      <c r="D121">
        <v>138</v>
      </c>
      <c r="E121">
        <v>243</v>
      </c>
      <c r="F121">
        <v>0</v>
      </c>
      <c r="G121">
        <v>0</v>
      </c>
      <c r="H121">
        <v>152</v>
      </c>
      <c r="I121">
        <v>1</v>
      </c>
      <c r="J121">
        <v>0</v>
      </c>
      <c r="K121">
        <v>1</v>
      </c>
      <c r="L121">
        <v>0</v>
      </c>
      <c r="M121">
        <v>2</v>
      </c>
      <c r="N121">
        <v>1</v>
      </c>
    </row>
    <row r="122" spans="1:14">
      <c r="A122">
        <v>64</v>
      </c>
      <c r="B122">
        <v>0</v>
      </c>
      <c r="C122">
        <v>0</v>
      </c>
      <c r="D122">
        <v>130</v>
      </c>
      <c r="E122">
        <v>303</v>
      </c>
      <c r="F122">
        <v>0</v>
      </c>
      <c r="G122">
        <v>1</v>
      </c>
      <c r="H122">
        <v>122</v>
      </c>
      <c r="I122">
        <v>0</v>
      </c>
      <c r="J122">
        <v>2</v>
      </c>
      <c r="K122">
        <v>1</v>
      </c>
      <c r="L122">
        <v>2</v>
      </c>
      <c r="M122">
        <v>2</v>
      </c>
      <c r="N122">
        <v>1</v>
      </c>
    </row>
    <row r="123" spans="1:14">
      <c r="A123">
        <v>59</v>
      </c>
      <c r="B123">
        <v>1</v>
      </c>
      <c r="C123">
        <v>0</v>
      </c>
      <c r="D123">
        <v>138</v>
      </c>
      <c r="E123">
        <v>271</v>
      </c>
      <c r="F123">
        <v>0</v>
      </c>
      <c r="G123">
        <v>0</v>
      </c>
      <c r="H123">
        <v>182</v>
      </c>
      <c r="I123">
        <v>0</v>
      </c>
      <c r="J123">
        <v>0</v>
      </c>
      <c r="K123">
        <v>2</v>
      </c>
      <c r="L123">
        <v>0</v>
      </c>
      <c r="M123">
        <v>2</v>
      </c>
      <c r="N123">
        <v>1</v>
      </c>
    </row>
    <row r="124" spans="1:14">
      <c r="A124">
        <v>41</v>
      </c>
      <c r="B124">
        <v>0</v>
      </c>
      <c r="C124">
        <v>2</v>
      </c>
      <c r="D124">
        <v>112</v>
      </c>
      <c r="E124">
        <v>268</v>
      </c>
      <c r="F124">
        <v>0</v>
      </c>
      <c r="G124">
        <v>0</v>
      </c>
      <c r="H124">
        <v>172</v>
      </c>
      <c r="I124">
        <v>1</v>
      </c>
      <c r="J124">
        <v>0</v>
      </c>
      <c r="K124">
        <v>2</v>
      </c>
      <c r="L124">
        <v>0</v>
      </c>
      <c r="M124">
        <v>2</v>
      </c>
      <c r="N124">
        <v>1</v>
      </c>
    </row>
    <row r="125" spans="1:14">
      <c r="A125">
        <v>54</v>
      </c>
      <c r="B125">
        <v>0</v>
      </c>
      <c r="C125">
        <v>2</v>
      </c>
      <c r="D125">
        <v>108</v>
      </c>
      <c r="E125">
        <v>267</v>
      </c>
      <c r="F125">
        <v>0</v>
      </c>
      <c r="G125">
        <v>0</v>
      </c>
      <c r="H125">
        <v>167</v>
      </c>
      <c r="I125">
        <v>0</v>
      </c>
      <c r="J125">
        <v>0</v>
      </c>
      <c r="K125">
        <v>2</v>
      </c>
      <c r="L125">
        <v>0</v>
      </c>
      <c r="M125">
        <v>2</v>
      </c>
      <c r="N125">
        <v>1</v>
      </c>
    </row>
    <row r="126" spans="1:14">
      <c r="A126">
        <v>39</v>
      </c>
      <c r="B126">
        <v>0</v>
      </c>
      <c r="C126">
        <v>2</v>
      </c>
      <c r="D126">
        <v>94</v>
      </c>
      <c r="E126">
        <v>199</v>
      </c>
      <c r="F126">
        <v>0</v>
      </c>
      <c r="G126">
        <v>1</v>
      </c>
      <c r="H126">
        <v>179</v>
      </c>
      <c r="I126">
        <v>0</v>
      </c>
      <c r="J126">
        <v>0</v>
      </c>
      <c r="K126">
        <v>2</v>
      </c>
      <c r="L126">
        <v>0</v>
      </c>
      <c r="M126">
        <v>2</v>
      </c>
      <c r="N126">
        <v>1</v>
      </c>
    </row>
    <row r="127" spans="1:14">
      <c r="A127">
        <v>34</v>
      </c>
      <c r="B127">
        <v>0</v>
      </c>
      <c r="C127">
        <v>1</v>
      </c>
      <c r="D127">
        <v>118</v>
      </c>
      <c r="E127">
        <v>210</v>
      </c>
      <c r="F127">
        <v>0</v>
      </c>
      <c r="G127">
        <v>1</v>
      </c>
      <c r="H127">
        <v>192</v>
      </c>
      <c r="I127">
        <v>0</v>
      </c>
      <c r="J127">
        <v>0.7</v>
      </c>
      <c r="K127">
        <v>2</v>
      </c>
      <c r="L127">
        <v>0</v>
      </c>
      <c r="M127">
        <v>2</v>
      </c>
      <c r="N127">
        <v>1</v>
      </c>
    </row>
    <row r="128" spans="1:14">
      <c r="A128">
        <v>47</v>
      </c>
      <c r="B128">
        <v>1</v>
      </c>
      <c r="C128">
        <v>0</v>
      </c>
      <c r="D128">
        <v>112</v>
      </c>
      <c r="E128">
        <v>204</v>
      </c>
      <c r="F128">
        <v>0</v>
      </c>
      <c r="G128">
        <v>1</v>
      </c>
      <c r="H128">
        <v>143</v>
      </c>
      <c r="I128">
        <v>0</v>
      </c>
      <c r="J128">
        <v>0.1</v>
      </c>
      <c r="K128">
        <v>2</v>
      </c>
      <c r="L128">
        <v>0</v>
      </c>
      <c r="M128">
        <v>2</v>
      </c>
      <c r="N128">
        <v>1</v>
      </c>
    </row>
    <row r="129" spans="1:14">
      <c r="A129">
        <v>67</v>
      </c>
      <c r="B129">
        <v>0</v>
      </c>
      <c r="C129">
        <v>2</v>
      </c>
      <c r="D129">
        <v>152</v>
      </c>
      <c r="E129">
        <v>277</v>
      </c>
      <c r="F129">
        <v>0</v>
      </c>
      <c r="G129">
        <v>1</v>
      </c>
      <c r="H129">
        <v>172</v>
      </c>
      <c r="I129">
        <v>0</v>
      </c>
      <c r="J129">
        <v>0</v>
      </c>
      <c r="K129">
        <v>2</v>
      </c>
      <c r="L129">
        <v>1</v>
      </c>
      <c r="M129">
        <v>2</v>
      </c>
      <c r="N129">
        <v>1</v>
      </c>
    </row>
    <row r="130" spans="1:14">
      <c r="A130">
        <v>52</v>
      </c>
      <c r="B130">
        <v>0</v>
      </c>
      <c r="C130">
        <v>2</v>
      </c>
      <c r="D130">
        <v>136</v>
      </c>
      <c r="E130">
        <v>196</v>
      </c>
      <c r="F130">
        <v>0</v>
      </c>
      <c r="G130">
        <v>0</v>
      </c>
      <c r="H130">
        <v>169</v>
      </c>
      <c r="I130">
        <v>0</v>
      </c>
      <c r="J130">
        <v>0.1</v>
      </c>
      <c r="K130">
        <v>1</v>
      </c>
      <c r="L130">
        <v>0</v>
      </c>
      <c r="M130">
        <v>2</v>
      </c>
      <c r="N130">
        <v>1</v>
      </c>
    </row>
    <row r="131" spans="1:14">
      <c r="A131">
        <v>74</v>
      </c>
      <c r="B131">
        <v>0</v>
      </c>
      <c r="C131">
        <v>1</v>
      </c>
      <c r="D131">
        <v>120</v>
      </c>
      <c r="E131">
        <v>269</v>
      </c>
      <c r="F131">
        <v>0</v>
      </c>
      <c r="G131">
        <v>0</v>
      </c>
      <c r="H131">
        <v>121</v>
      </c>
      <c r="I131">
        <v>1</v>
      </c>
      <c r="J131">
        <v>0.2</v>
      </c>
      <c r="K131">
        <v>2</v>
      </c>
      <c r="L131">
        <v>1</v>
      </c>
      <c r="M131">
        <v>2</v>
      </c>
      <c r="N131">
        <v>1</v>
      </c>
    </row>
    <row r="132" spans="1:14">
      <c r="A132">
        <v>54</v>
      </c>
      <c r="B132">
        <v>0</v>
      </c>
      <c r="C132">
        <v>2</v>
      </c>
      <c r="D132">
        <v>160</v>
      </c>
      <c r="E132">
        <v>201</v>
      </c>
      <c r="F132">
        <v>0</v>
      </c>
      <c r="G132">
        <v>1</v>
      </c>
      <c r="H132">
        <v>163</v>
      </c>
      <c r="I132">
        <v>0</v>
      </c>
      <c r="J132">
        <v>0</v>
      </c>
      <c r="K132">
        <v>2</v>
      </c>
      <c r="L132">
        <v>1</v>
      </c>
      <c r="M132">
        <v>2</v>
      </c>
      <c r="N132">
        <v>1</v>
      </c>
    </row>
    <row r="133" spans="1:14">
      <c r="A133">
        <v>49</v>
      </c>
      <c r="B133">
        <v>0</v>
      </c>
      <c r="C133">
        <v>1</v>
      </c>
      <c r="D133">
        <v>134</v>
      </c>
      <c r="E133">
        <v>271</v>
      </c>
      <c r="F133">
        <v>0</v>
      </c>
      <c r="G133">
        <v>1</v>
      </c>
      <c r="H133">
        <v>162</v>
      </c>
      <c r="I133">
        <v>0</v>
      </c>
      <c r="J133">
        <v>0</v>
      </c>
      <c r="K133">
        <v>1</v>
      </c>
      <c r="L133">
        <v>0</v>
      </c>
      <c r="M133">
        <v>2</v>
      </c>
      <c r="N133">
        <v>1</v>
      </c>
    </row>
    <row r="134" spans="1:14">
      <c r="A134">
        <v>42</v>
      </c>
      <c r="B134">
        <v>1</v>
      </c>
      <c r="C134">
        <v>1</v>
      </c>
      <c r="D134">
        <v>120</v>
      </c>
      <c r="E134">
        <v>295</v>
      </c>
      <c r="F134">
        <v>0</v>
      </c>
      <c r="G134">
        <v>1</v>
      </c>
      <c r="H134">
        <v>162</v>
      </c>
      <c r="I134">
        <v>0</v>
      </c>
      <c r="J134">
        <v>0</v>
      </c>
      <c r="K134">
        <v>2</v>
      </c>
      <c r="L134">
        <v>0</v>
      </c>
      <c r="M134">
        <v>2</v>
      </c>
      <c r="N134">
        <v>1</v>
      </c>
    </row>
    <row r="135" spans="1:14">
      <c r="A135">
        <v>41</v>
      </c>
      <c r="B135">
        <v>1</v>
      </c>
      <c r="C135">
        <v>1</v>
      </c>
      <c r="D135">
        <v>110</v>
      </c>
      <c r="E135">
        <v>235</v>
      </c>
      <c r="F135">
        <v>0</v>
      </c>
      <c r="G135">
        <v>1</v>
      </c>
      <c r="H135">
        <v>153</v>
      </c>
      <c r="I135">
        <v>0</v>
      </c>
      <c r="J135">
        <v>0</v>
      </c>
      <c r="K135">
        <v>2</v>
      </c>
      <c r="L135">
        <v>0</v>
      </c>
      <c r="M135">
        <v>2</v>
      </c>
      <c r="N135">
        <v>1</v>
      </c>
    </row>
    <row r="136" spans="1:14">
      <c r="A136">
        <v>41</v>
      </c>
      <c r="B136">
        <v>0</v>
      </c>
      <c r="C136">
        <v>1</v>
      </c>
      <c r="D136">
        <v>126</v>
      </c>
      <c r="E136">
        <v>306</v>
      </c>
      <c r="F136">
        <v>0</v>
      </c>
      <c r="G136">
        <v>1</v>
      </c>
      <c r="H136">
        <v>163</v>
      </c>
      <c r="I136">
        <v>0</v>
      </c>
      <c r="J136">
        <v>0</v>
      </c>
      <c r="K136">
        <v>2</v>
      </c>
      <c r="L136">
        <v>0</v>
      </c>
      <c r="M136">
        <v>2</v>
      </c>
      <c r="N136">
        <v>1</v>
      </c>
    </row>
    <row r="137" spans="1:14">
      <c r="A137">
        <v>49</v>
      </c>
      <c r="B137">
        <v>0</v>
      </c>
      <c r="C137">
        <v>0</v>
      </c>
      <c r="D137">
        <v>130</v>
      </c>
      <c r="E137">
        <v>269</v>
      </c>
      <c r="F137">
        <v>0</v>
      </c>
      <c r="G137">
        <v>1</v>
      </c>
      <c r="H137">
        <v>163</v>
      </c>
      <c r="I137">
        <v>0</v>
      </c>
      <c r="J137">
        <v>0</v>
      </c>
      <c r="K137">
        <v>2</v>
      </c>
      <c r="L137">
        <v>0</v>
      </c>
      <c r="M137">
        <v>2</v>
      </c>
      <c r="N137">
        <v>1</v>
      </c>
    </row>
    <row r="138" spans="1:14">
      <c r="A138">
        <v>60</v>
      </c>
      <c r="B138">
        <v>0</v>
      </c>
      <c r="C138">
        <v>2</v>
      </c>
      <c r="D138">
        <v>120</v>
      </c>
      <c r="E138">
        <v>178</v>
      </c>
      <c r="F138">
        <v>1</v>
      </c>
      <c r="G138">
        <v>1</v>
      </c>
      <c r="H138">
        <v>96</v>
      </c>
      <c r="I138">
        <v>0</v>
      </c>
      <c r="J138">
        <v>0</v>
      </c>
      <c r="K138">
        <v>2</v>
      </c>
      <c r="L138">
        <v>0</v>
      </c>
      <c r="M138">
        <v>2</v>
      </c>
      <c r="N138">
        <v>1</v>
      </c>
    </row>
    <row r="139" spans="1:14">
      <c r="A139">
        <v>62</v>
      </c>
      <c r="B139">
        <v>1</v>
      </c>
      <c r="C139">
        <v>1</v>
      </c>
      <c r="D139">
        <v>128</v>
      </c>
      <c r="E139">
        <v>208</v>
      </c>
      <c r="F139">
        <v>1</v>
      </c>
      <c r="G139">
        <v>0</v>
      </c>
      <c r="H139">
        <v>140</v>
      </c>
      <c r="I139">
        <v>0</v>
      </c>
      <c r="J139">
        <v>0</v>
      </c>
      <c r="K139">
        <v>2</v>
      </c>
      <c r="L139">
        <v>0</v>
      </c>
      <c r="M139">
        <v>2</v>
      </c>
      <c r="N139">
        <v>1</v>
      </c>
    </row>
    <row r="140" spans="1:14">
      <c r="A140">
        <v>57</v>
      </c>
      <c r="B140">
        <v>1</v>
      </c>
      <c r="C140">
        <v>0</v>
      </c>
      <c r="D140">
        <v>110</v>
      </c>
      <c r="E140">
        <v>201</v>
      </c>
      <c r="F140">
        <v>0</v>
      </c>
      <c r="G140">
        <v>1</v>
      </c>
      <c r="H140">
        <v>126</v>
      </c>
      <c r="I140">
        <v>1</v>
      </c>
      <c r="J140">
        <v>1.5</v>
      </c>
      <c r="K140">
        <v>1</v>
      </c>
      <c r="L140">
        <v>0</v>
      </c>
      <c r="M140">
        <v>1</v>
      </c>
      <c r="N140">
        <v>1</v>
      </c>
    </row>
    <row r="141" spans="1:14">
      <c r="A141">
        <v>64</v>
      </c>
      <c r="B141">
        <v>1</v>
      </c>
      <c r="C141">
        <v>0</v>
      </c>
      <c r="D141">
        <v>128</v>
      </c>
      <c r="E141">
        <v>263</v>
      </c>
      <c r="F141">
        <v>0</v>
      </c>
      <c r="G141">
        <v>1</v>
      </c>
      <c r="H141">
        <v>105</v>
      </c>
      <c r="I141">
        <v>1</v>
      </c>
      <c r="J141">
        <v>0.2</v>
      </c>
      <c r="K141">
        <v>1</v>
      </c>
      <c r="L141">
        <v>1</v>
      </c>
      <c r="M141">
        <v>3</v>
      </c>
      <c r="N141">
        <v>1</v>
      </c>
    </row>
    <row r="142" spans="1:14">
      <c r="A142">
        <v>51</v>
      </c>
      <c r="B142">
        <v>0</v>
      </c>
      <c r="C142">
        <v>2</v>
      </c>
      <c r="D142">
        <v>120</v>
      </c>
      <c r="E142">
        <v>295</v>
      </c>
      <c r="F142">
        <v>0</v>
      </c>
      <c r="G142">
        <v>0</v>
      </c>
      <c r="H142">
        <v>157</v>
      </c>
      <c r="I142">
        <v>0</v>
      </c>
      <c r="J142">
        <v>0.6</v>
      </c>
      <c r="K142">
        <v>2</v>
      </c>
      <c r="L142">
        <v>0</v>
      </c>
      <c r="M142">
        <v>2</v>
      </c>
      <c r="N142">
        <v>1</v>
      </c>
    </row>
    <row r="143" spans="1:14">
      <c r="A143">
        <v>43</v>
      </c>
      <c r="B143">
        <v>1</v>
      </c>
      <c r="C143">
        <v>0</v>
      </c>
      <c r="D143">
        <v>115</v>
      </c>
      <c r="E143">
        <v>303</v>
      </c>
      <c r="F143">
        <v>0</v>
      </c>
      <c r="G143">
        <v>1</v>
      </c>
      <c r="H143">
        <v>181</v>
      </c>
      <c r="I143">
        <v>0</v>
      </c>
      <c r="J143">
        <v>1.2</v>
      </c>
      <c r="K143">
        <v>1</v>
      </c>
      <c r="L143">
        <v>0</v>
      </c>
      <c r="M143">
        <v>2</v>
      </c>
      <c r="N143">
        <v>1</v>
      </c>
    </row>
    <row r="144" spans="1:14">
      <c r="A144">
        <v>42</v>
      </c>
      <c r="B144">
        <v>0</v>
      </c>
      <c r="C144">
        <v>2</v>
      </c>
      <c r="D144">
        <v>120</v>
      </c>
      <c r="E144">
        <v>209</v>
      </c>
      <c r="F144">
        <v>0</v>
      </c>
      <c r="G144">
        <v>1</v>
      </c>
      <c r="H144">
        <v>173</v>
      </c>
      <c r="I144">
        <v>0</v>
      </c>
      <c r="J144">
        <v>0</v>
      </c>
      <c r="K144">
        <v>1</v>
      </c>
      <c r="L144">
        <v>0</v>
      </c>
      <c r="M144">
        <v>2</v>
      </c>
      <c r="N144">
        <v>1</v>
      </c>
    </row>
    <row r="145" spans="1:14">
      <c r="A145">
        <v>67</v>
      </c>
      <c r="B145">
        <v>0</v>
      </c>
      <c r="C145">
        <v>0</v>
      </c>
      <c r="D145">
        <v>106</v>
      </c>
      <c r="E145">
        <v>223</v>
      </c>
      <c r="F145">
        <v>0</v>
      </c>
      <c r="G145">
        <v>1</v>
      </c>
      <c r="H145">
        <v>142</v>
      </c>
      <c r="I145">
        <v>0</v>
      </c>
      <c r="J145">
        <v>0.3</v>
      </c>
      <c r="K145">
        <v>2</v>
      </c>
      <c r="L145">
        <v>2</v>
      </c>
      <c r="M145">
        <v>2</v>
      </c>
      <c r="N145">
        <v>1</v>
      </c>
    </row>
    <row r="146" spans="1:14">
      <c r="A146">
        <v>76</v>
      </c>
      <c r="B146">
        <v>0</v>
      </c>
      <c r="C146">
        <v>2</v>
      </c>
      <c r="D146">
        <v>140</v>
      </c>
      <c r="E146">
        <v>197</v>
      </c>
      <c r="F146">
        <v>0</v>
      </c>
      <c r="G146">
        <v>2</v>
      </c>
      <c r="H146">
        <v>116</v>
      </c>
      <c r="I146">
        <v>0</v>
      </c>
      <c r="J146">
        <v>1.1000000000000001</v>
      </c>
      <c r="K146">
        <v>1</v>
      </c>
      <c r="L146">
        <v>0</v>
      </c>
      <c r="M146">
        <v>2</v>
      </c>
      <c r="N146">
        <v>1</v>
      </c>
    </row>
    <row r="147" spans="1:14">
      <c r="A147">
        <v>70</v>
      </c>
      <c r="B147">
        <v>1</v>
      </c>
      <c r="C147">
        <v>1</v>
      </c>
      <c r="D147">
        <v>156</v>
      </c>
      <c r="E147">
        <v>245</v>
      </c>
      <c r="F147">
        <v>0</v>
      </c>
      <c r="G147">
        <v>0</v>
      </c>
      <c r="H147">
        <v>143</v>
      </c>
      <c r="I147">
        <v>0</v>
      </c>
      <c r="J147">
        <v>0</v>
      </c>
      <c r="K147">
        <v>2</v>
      </c>
      <c r="L147">
        <v>0</v>
      </c>
      <c r="M147">
        <v>2</v>
      </c>
      <c r="N147">
        <v>1</v>
      </c>
    </row>
    <row r="148" spans="1:14">
      <c r="A148">
        <v>44</v>
      </c>
      <c r="B148">
        <v>0</v>
      </c>
      <c r="C148">
        <v>2</v>
      </c>
      <c r="D148">
        <v>118</v>
      </c>
      <c r="E148">
        <v>242</v>
      </c>
      <c r="F148">
        <v>0</v>
      </c>
      <c r="G148">
        <v>1</v>
      </c>
      <c r="H148">
        <v>149</v>
      </c>
      <c r="I148">
        <v>0</v>
      </c>
      <c r="J148">
        <v>0.3</v>
      </c>
      <c r="K148">
        <v>1</v>
      </c>
      <c r="L148">
        <v>1</v>
      </c>
      <c r="M148">
        <v>2</v>
      </c>
      <c r="N148">
        <v>1</v>
      </c>
    </row>
    <row r="149" spans="1:14">
      <c r="A149">
        <v>60</v>
      </c>
      <c r="B149">
        <v>0</v>
      </c>
      <c r="C149">
        <v>3</v>
      </c>
      <c r="D149">
        <v>150</v>
      </c>
      <c r="E149">
        <v>240</v>
      </c>
      <c r="F149">
        <v>0</v>
      </c>
      <c r="G149">
        <v>1</v>
      </c>
      <c r="H149">
        <v>171</v>
      </c>
      <c r="I149">
        <v>0</v>
      </c>
      <c r="J149">
        <v>0.9</v>
      </c>
      <c r="K149">
        <v>2</v>
      </c>
      <c r="L149">
        <v>0</v>
      </c>
      <c r="M149">
        <v>2</v>
      </c>
      <c r="N149">
        <v>1</v>
      </c>
    </row>
    <row r="150" spans="1:14">
      <c r="A150">
        <v>44</v>
      </c>
      <c r="B150">
        <v>1</v>
      </c>
      <c r="C150">
        <v>2</v>
      </c>
      <c r="D150">
        <v>120</v>
      </c>
      <c r="E150">
        <v>226</v>
      </c>
      <c r="F150">
        <v>0</v>
      </c>
      <c r="G150">
        <v>1</v>
      </c>
      <c r="H150">
        <v>169</v>
      </c>
      <c r="I150">
        <v>0</v>
      </c>
      <c r="J150">
        <v>0</v>
      </c>
      <c r="K150">
        <v>2</v>
      </c>
      <c r="L150">
        <v>0</v>
      </c>
      <c r="M150">
        <v>2</v>
      </c>
      <c r="N150">
        <v>1</v>
      </c>
    </row>
    <row r="151" spans="1:14">
      <c r="A151">
        <v>42</v>
      </c>
      <c r="B151">
        <v>1</v>
      </c>
      <c r="C151">
        <v>2</v>
      </c>
      <c r="D151">
        <v>130</v>
      </c>
      <c r="E151">
        <v>180</v>
      </c>
      <c r="F151">
        <v>0</v>
      </c>
      <c r="G151">
        <v>1</v>
      </c>
      <c r="H151">
        <v>150</v>
      </c>
      <c r="I151">
        <v>0</v>
      </c>
      <c r="J151">
        <v>0</v>
      </c>
      <c r="K151">
        <v>2</v>
      </c>
      <c r="L151">
        <v>0</v>
      </c>
      <c r="M151">
        <v>2</v>
      </c>
      <c r="N151">
        <v>1</v>
      </c>
    </row>
    <row r="152" spans="1:14">
      <c r="A152">
        <v>66</v>
      </c>
      <c r="B152">
        <v>1</v>
      </c>
      <c r="C152">
        <v>0</v>
      </c>
      <c r="D152">
        <v>160</v>
      </c>
      <c r="E152">
        <v>228</v>
      </c>
      <c r="F152">
        <v>0</v>
      </c>
      <c r="G152">
        <v>0</v>
      </c>
      <c r="H152">
        <v>138</v>
      </c>
      <c r="I152">
        <v>0</v>
      </c>
      <c r="J152">
        <v>2.2999999999999998</v>
      </c>
      <c r="K152">
        <v>2</v>
      </c>
      <c r="L152">
        <v>0</v>
      </c>
      <c r="M152">
        <v>1</v>
      </c>
      <c r="N152">
        <v>1</v>
      </c>
    </row>
    <row r="153" spans="1:14">
      <c r="A153">
        <v>71</v>
      </c>
      <c r="B153">
        <v>0</v>
      </c>
      <c r="C153">
        <v>0</v>
      </c>
      <c r="D153">
        <v>112</v>
      </c>
      <c r="E153">
        <v>149</v>
      </c>
      <c r="F153">
        <v>0</v>
      </c>
      <c r="G153">
        <v>1</v>
      </c>
      <c r="H153">
        <v>125</v>
      </c>
      <c r="I153">
        <v>0</v>
      </c>
      <c r="J153">
        <v>1.6</v>
      </c>
      <c r="K153">
        <v>1</v>
      </c>
      <c r="L153">
        <v>0</v>
      </c>
      <c r="M153">
        <v>2</v>
      </c>
      <c r="N153">
        <v>1</v>
      </c>
    </row>
    <row r="154" spans="1:14">
      <c r="A154">
        <v>64</v>
      </c>
      <c r="B154">
        <v>1</v>
      </c>
      <c r="C154">
        <v>3</v>
      </c>
      <c r="D154">
        <v>170</v>
      </c>
      <c r="E154">
        <v>227</v>
      </c>
      <c r="F154">
        <v>0</v>
      </c>
      <c r="G154">
        <v>0</v>
      </c>
      <c r="H154">
        <v>155</v>
      </c>
      <c r="I154">
        <v>0</v>
      </c>
      <c r="J154">
        <v>0.6</v>
      </c>
      <c r="K154">
        <v>1</v>
      </c>
      <c r="L154">
        <v>0</v>
      </c>
      <c r="M154">
        <v>3</v>
      </c>
      <c r="N154">
        <v>1</v>
      </c>
    </row>
    <row r="155" spans="1:14">
      <c r="A155">
        <v>66</v>
      </c>
      <c r="B155">
        <v>0</v>
      </c>
      <c r="C155">
        <v>2</v>
      </c>
      <c r="D155">
        <v>146</v>
      </c>
      <c r="E155">
        <v>278</v>
      </c>
      <c r="F155">
        <v>0</v>
      </c>
      <c r="G155">
        <v>0</v>
      </c>
      <c r="H155">
        <v>152</v>
      </c>
      <c r="I155">
        <v>0</v>
      </c>
      <c r="J155">
        <v>0</v>
      </c>
      <c r="K155">
        <v>1</v>
      </c>
      <c r="L155">
        <v>1</v>
      </c>
      <c r="M155">
        <v>2</v>
      </c>
      <c r="N155">
        <v>1</v>
      </c>
    </row>
    <row r="156" spans="1:14">
      <c r="A156">
        <v>39</v>
      </c>
      <c r="B156">
        <v>0</v>
      </c>
      <c r="C156">
        <v>2</v>
      </c>
      <c r="D156">
        <v>138</v>
      </c>
      <c r="E156">
        <v>220</v>
      </c>
      <c r="F156">
        <v>0</v>
      </c>
      <c r="G156">
        <v>1</v>
      </c>
      <c r="H156">
        <v>152</v>
      </c>
      <c r="I156">
        <v>0</v>
      </c>
      <c r="J156">
        <v>0</v>
      </c>
      <c r="K156">
        <v>1</v>
      </c>
      <c r="L156">
        <v>0</v>
      </c>
      <c r="M156">
        <v>2</v>
      </c>
      <c r="N156">
        <v>1</v>
      </c>
    </row>
    <row r="157" spans="1:14">
      <c r="A157">
        <v>58</v>
      </c>
      <c r="B157">
        <v>0</v>
      </c>
      <c r="C157">
        <v>0</v>
      </c>
      <c r="D157">
        <v>130</v>
      </c>
      <c r="E157">
        <v>197</v>
      </c>
      <c r="F157">
        <v>0</v>
      </c>
      <c r="G157">
        <v>1</v>
      </c>
      <c r="H157">
        <v>131</v>
      </c>
      <c r="I157">
        <v>0</v>
      </c>
      <c r="J157">
        <v>0.6</v>
      </c>
      <c r="K157">
        <v>1</v>
      </c>
      <c r="L157">
        <v>0</v>
      </c>
      <c r="M157">
        <v>2</v>
      </c>
      <c r="N157">
        <v>1</v>
      </c>
    </row>
    <row r="158" spans="1:14">
      <c r="A158">
        <v>47</v>
      </c>
      <c r="B158">
        <v>1</v>
      </c>
      <c r="C158">
        <v>2</v>
      </c>
      <c r="D158">
        <v>130</v>
      </c>
      <c r="E158">
        <v>253</v>
      </c>
      <c r="F158">
        <v>0</v>
      </c>
      <c r="G158">
        <v>1</v>
      </c>
      <c r="H158">
        <v>179</v>
      </c>
      <c r="I158">
        <v>0</v>
      </c>
      <c r="J158">
        <v>0</v>
      </c>
      <c r="K158">
        <v>2</v>
      </c>
      <c r="L158">
        <v>0</v>
      </c>
      <c r="M158">
        <v>2</v>
      </c>
      <c r="N158">
        <v>1</v>
      </c>
    </row>
    <row r="159" spans="1:14">
      <c r="A159">
        <v>35</v>
      </c>
      <c r="B159">
        <v>1</v>
      </c>
      <c r="C159">
        <v>1</v>
      </c>
      <c r="D159">
        <v>122</v>
      </c>
      <c r="E159">
        <v>192</v>
      </c>
      <c r="F159">
        <v>0</v>
      </c>
      <c r="G159">
        <v>1</v>
      </c>
      <c r="H159">
        <v>174</v>
      </c>
      <c r="I159">
        <v>0</v>
      </c>
      <c r="J159">
        <v>0</v>
      </c>
      <c r="K159">
        <v>2</v>
      </c>
      <c r="L159">
        <v>0</v>
      </c>
      <c r="M159">
        <v>2</v>
      </c>
      <c r="N159">
        <v>1</v>
      </c>
    </row>
    <row r="160" spans="1:14">
      <c r="A160">
        <v>58</v>
      </c>
      <c r="B160">
        <v>1</v>
      </c>
      <c r="C160">
        <v>1</v>
      </c>
      <c r="D160">
        <v>125</v>
      </c>
      <c r="E160">
        <v>220</v>
      </c>
      <c r="F160">
        <v>0</v>
      </c>
      <c r="G160">
        <v>1</v>
      </c>
      <c r="H160">
        <v>144</v>
      </c>
      <c r="I160">
        <v>0</v>
      </c>
      <c r="J160">
        <v>0.4</v>
      </c>
      <c r="K160">
        <v>1</v>
      </c>
      <c r="L160">
        <v>4</v>
      </c>
      <c r="M160">
        <v>3</v>
      </c>
      <c r="N160">
        <v>1</v>
      </c>
    </row>
    <row r="161" spans="1:14">
      <c r="A161">
        <v>56</v>
      </c>
      <c r="B161">
        <v>1</v>
      </c>
      <c r="C161">
        <v>1</v>
      </c>
      <c r="D161">
        <v>130</v>
      </c>
      <c r="E161">
        <v>221</v>
      </c>
      <c r="F161">
        <v>0</v>
      </c>
      <c r="G161">
        <v>0</v>
      </c>
      <c r="H161">
        <v>163</v>
      </c>
      <c r="I161">
        <v>0</v>
      </c>
      <c r="J161">
        <v>0</v>
      </c>
      <c r="K161">
        <v>2</v>
      </c>
      <c r="L161">
        <v>0</v>
      </c>
      <c r="M161">
        <v>3</v>
      </c>
      <c r="N161">
        <v>1</v>
      </c>
    </row>
    <row r="162" spans="1:14">
      <c r="A162">
        <v>56</v>
      </c>
      <c r="B162">
        <v>1</v>
      </c>
      <c r="C162">
        <v>1</v>
      </c>
      <c r="D162">
        <v>120</v>
      </c>
      <c r="E162">
        <v>240</v>
      </c>
      <c r="F162">
        <v>0</v>
      </c>
      <c r="G162">
        <v>1</v>
      </c>
      <c r="H162">
        <v>169</v>
      </c>
      <c r="I162">
        <v>0</v>
      </c>
      <c r="J162">
        <v>0</v>
      </c>
      <c r="K162">
        <v>0</v>
      </c>
      <c r="L162">
        <v>0</v>
      </c>
      <c r="M162">
        <v>2</v>
      </c>
      <c r="N162">
        <v>1</v>
      </c>
    </row>
    <row r="163" spans="1:14">
      <c r="A163">
        <v>55</v>
      </c>
      <c r="B163">
        <v>0</v>
      </c>
      <c r="C163">
        <v>1</v>
      </c>
      <c r="D163">
        <v>132</v>
      </c>
      <c r="E163">
        <v>342</v>
      </c>
      <c r="F163">
        <v>0</v>
      </c>
      <c r="G163">
        <v>1</v>
      </c>
      <c r="H163">
        <v>166</v>
      </c>
      <c r="I163">
        <v>0</v>
      </c>
      <c r="J163">
        <v>1.2</v>
      </c>
      <c r="K163">
        <v>2</v>
      </c>
      <c r="L163">
        <v>0</v>
      </c>
      <c r="M163">
        <v>2</v>
      </c>
      <c r="N163">
        <v>1</v>
      </c>
    </row>
    <row r="164" spans="1:14">
      <c r="A164">
        <v>41</v>
      </c>
      <c r="B164">
        <v>1</v>
      </c>
      <c r="C164">
        <v>1</v>
      </c>
      <c r="D164">
        <v>120</v>
      </c>
      <c r="E164">
        <v>157</v>
      </c>
      <c r="F164">
        <v>0</v>
      </c>
      <c r="G164">
        <v>1</v>
      </c>
      <c r="H164">
        <v>182</v>
      </c>
      <c r="I164">
        <v>0</v>
      </c>
      <c r="J164">
        <v>0</v>
      </c>
      <c r="K164">
        <v>2</v>
      </c>
      <c r="L164">
        <v>0</v>
      </c>
      <c r="M164">
        <v>2</v>
      </c>
      <c r="N164">
        <v>1</v>
      </c>
    </row>
    <row r="165" spans="1:14">
      <c r="A165">
        <v>38</v>
      </c>
      <c r="B165">
        <v>1</v>
      </c>
      <c r="C165">
        <v>2</v>
      </c>
      <c r="D165">
        <v>138</v>
      </c>
      <c r="E165">
        <v>175</v>
      </c>
      <c r="F165">
        <v>0</v>
      </c>
      <c r="G165">
        <v>1</v>
      </c>
      <c r="H165">
        <v>173</v>
      </c>
      <c r="I165">
        <v>0</v>
      </c>
      <c r="J165">
        <v>0</v>
      </c>
      <c r="K165">
        <v>2</v>
      </c>
      <c r="L165">
        <v>4</v>
      </c>
      <c r="M165">
        <v>2</v>
      </c>
      <c r="N165">
        <v>1</v>
      </c>
    </row>
    <row r="166" spans="1:14">
      <c r="A166">
        <v>38</v>
      </c>
      <c r="B166">
        <v>1</v>
      </c>
      <c r="C166">
        <v>2</v>
      </c>
      <c r="D166">
        <v>138</v>
      </c>
      <c r="E166">
        <v>175</v>
      </c>
      <c r="F166">
        <v>0</v>
      </c>
      <c r="G166">
        <v>1</v>
      </c>
      <c r="H166">
        <v>173</v>
      </c>
      <c r="I166">
        <v>0</v>
      </c>
      <c r="J166">
        <v>0</v>
      </c>
      <c r="K166">
        <v>2</v>
      </c>
      <c r="L166">
        <v>4</v>
      </c>
      <c r="M166">
        <v>2</v>
      </c>
      <c r="N166">
        <v>1</v>
      </c>
    </row>
    <row r="167" spans="1:14">
      <c r="A167">
        <v>67</v>
      </c>
      <c r="B167">
        <v>1</v>
      </c>
      <c r="C167">
        <v>0</v>
      </c>
      <c r="D167">
        <v>160</v>
      </c>
      <c r="E167">
        <v>286</v>
      </c>
      <c r="F167">
        <v>0</v>
      </c>
      <c r="G167">
        <v>0</v>
      </c>
      <c r="H167">
        <v>108</v>
      </c>
      <c r="I167">
        <v>1</v>
      </c>
      <c r="J167">
        <v>1.5</v>
      </c>
      <c r="K167">
        <v>1</v>
      </c>
      <c r="L167">
        <v>3</v>
      </c>
      <c r="M167">
        <v>2</v>
      </c>
      <c r="N167">
        <v>0</v>
      </c>
    </row>
    <row r="168" spans="1:14">
      <c r="A168">
        <v>67</v>
      </c>
      <c r="B168">
        <v>1</v>
      </c>
      <c r="C168">
        <v>0</v>
      </c>
      <c r="D168">
        <v>120</v>
      </c>
      <c r="E168">
        <v>229</v>
      </c>
      <c r="F168">
        <v>0</v>
      </c>
      <c r="G168">
        <v>0</v>
      </c>
      <c r="H168">
        <v>129</v>
      </c>
      <c r="I168">
        <v>1</v>
      </c>
      <c r="J168">
        <v>2.6</v>
      </c>
      <c r="K168">
        <v>1</v>
      </c>
      <c r="L168">
        <v>2</v>
      </c>
      <c r="M168">
        <v>3</v>
      </c>
      <c r="N168">
        <v>0</v>
      </c>
    </row>
    <row r="169" spans="1:14">
      <c r="A169">
        <v>62</v>
      </c>
      <c r="B169">
        <v>0</v>
      </c>
      <c r="C169">
        <v>0</v>
      </c>
      <c r="D169">
        <v>140</v>
      </c>
      <c r="E169">
        <v>268</v>
      </c>
      <c r="F169">
        <v>0</v>
      </c>
      <c r="G169">
        <v>0</v>
      </c>
      <c r="H169">
        <v>160</v>
      </c>
      <c r="I169">
        <v>0</v>
      </c>
      <c r="J169">
        <v>3.6</v>
      </c>
      <c r="K169">
        <v>0</v>
      </c>
      <c r="L169">
        <v>2</v>
      </c>
      <c r="M169">
        <v>2</v>
      </c>
      <c r="N169">
        <v>0</v>
      </c>
    </row>
    <row r="170" spans="1:14">
      <c r="A170">
        <v>63</v>
      </c>
      <c r="B170">
        <v>1</v>
      </c>
      <c r="C170">
        <v>0</v>
      </c>
      <c r="D170">
        <v>130</v>
      </c>
      <c r="E170">
        <v>254</v>
      </c>
      <c r="F170">
        <v>0</v>
      </c>
      <c r="G170">
        <v>0</v>
      </c>
      <c r="H170">
        <v>147</v>
      </c>
      <c r="I170">
        <v>0</v>
      </c>
      <c r="J170">
        <v>1.4</v>
      </c>
      <c r="K170">
        <v>1</v>
      </c>
      <c r="L170">
        <v>1</v>
      </c>
      <c r="M170">
        <v>3</v>
      </c>
      <c r="N170">
        <v>0</v>
      </c>
    </row>
    <row r="171" spans="1:14">
      <c r="A171">
        <v>53</v>
      </c>
      <c r="B171">
        <v>1</v>
      </c>
      <c r="C171">
        <v>0</v>
      </c>
      <c r="D171">
        <v>140</v>
      </c>
      <c r="E171">
        <v>203</v>
      </c>
      <c r="F171">
        <v>1</v>
      </c>
      <c r="G171">
        <v>0</v>
      </c>
      <c r="H171">
        <v>155</v>
      </c>
      <c r="I171">
        <v>1</v>
      </c>
      <c r="J171">
        <v>3.1</v>
      </c>
      <c r="K171">
        <v>0</v>
      </c>
      <c r="L171">
        <v>0</v>
      </c>
      <c r="M171">
        <v>3</v>
      </c>
      <c r="N171">
        <v>0</v>
      </c>
    </row>
    <row r="172" spans="1:14">
      <c r="A172">
        <v>56</v>
      </c>
      <c r="B172">
        <v>1</v>
      </c>
      <c r="C172">
        <v>2</v>
      </c>
      <c r="D172">
        <v>130</v>
      </c>
      <c r="E172">
        <v>256</v>
      </c>
      <c r="F172">
        <v>1</v>
      </c>
      <c r="G172">
        <v>0</v>
      </c>
      <c r="H172">
        <v>142</v>
      </c>
      <c r="I172">
        <v>1</v>
      </c>
      <c r="J172">
        <v>0.6</v>
      </c>
      <c r="K172">
        <v>1</v>
      </c>
      <c r="L172">
        <v>1</v>
      </c>
      <c r="M172">
        <v>1</v>
      </c>
      <c r="N172">
        <v>0</v>
      </c>
    </row>
    <row r="173" spans="1:14">
      <c r="A173">
        <v>48</v>
      </c>
      <c r="B173">
        <v>1</v>
      </c>
      <c r="C173">
        <v>1</v>
      </c>
      <c r="D173">
        <v>110</v>
      </c>
      <c r="E173">
        <v>229</v>
      </c>
      <c r="F173">
        <v>0</v>
      </c>
      <c r="G173">
        <v>1</v>
      </c>
      <c r="H173">
        <v>168</v>
      </c>
      <c r="I173">
        <v>0</v>
      </c>
      <c r="J173">
        <v>1</v>
      </c>
      <c r="K173">
        <v>0</v>
      </c>
      <c r="L173">
        <v>0</v>
      </c>
      <c r="M173">
        <v>3</v>
      </c>
      <c r="N173">
        <v>0</v>
      </c>
    </row>
    <row r="174" spans="1:14">
      <c r="A174">
        <v>58</v>
      </c>
      <c r="B174">
        <v>1</v>
      </c>
      <c r="C174">
        <v>1</v>
      </c>
      <c r="D174">
        <v>120</v>
      </c>
      <c r="E174">
        <v>284</v>
      </c>
      <c r="F174">
        <v>0</v>
      </c>
      <c r="G174">
        <v>0</v>
      </c>
      <c r="H174">
        <v>160</v>
      </c>
      <c r="I174">
        <v>0</v>
      </c>
      <c r="J174">
        <v>1.8</v>
      </c>
      <c r="K174">
        <v>1</v>
      </c>
      <c r="L174">
        <v>0</v>
      </c>
      <c r="M174">
        <v>2</v>
      </c>
      <c r="N174">
        <v>0</v>
      </c>
    </row>
    <row r="175" spans="1:14">
      <c r="A175">
        <v>58</v>
      </c>
      <c r="B175">
        <v>1</v>
      </c>
      <c r="C175">
        <v>2</v>
      </c>
      <c r="D175">
        <v>132</v>
      </c>
      <c r="E175">
        <v>224</v>
      </c>
      <c r="F175">
        <v>0</v>
      </c>
      <c r="G175">
        <v>0</v>
      </c>
      <c r="H175">
        <v>173</v>
      </c>
      <c r="I175">
        <v>0</v>
      </c>
      <c r="J175">
        <v>3.2</v>
      </c>
      <c r="K175">
        <v>2</v>
      </c>
      <c r="L175">
        <v>2</v>
      </c>
      <c r="M175">
        <v>3</v>
      </c>
      <c r="N175">
        <v>0</v>
      </c>
    </row>
    <row r="176" spans="1:14">
      <c r="A176">
        <v>60</v>
      </c>
      <c r="B176">
        <v>1</v>
      </c>
      <c r="C176">
        <v>0</v>
      </c>
      <c r="D176">
        <v>130</v>
      </c>
      <c r="E176">
        <v>206</v>
      </c>
      <c r="F176">
        <v>0</v>
      </c>
      <c r="G176">
        <v>0</v>
      </c>
      <c r="H176">
        <v>132</v>
      </c>
      <c r="I176">
        <v>1</v>
      </c>
      <c r="J176">
        <v>2.4</v>
      </c>
      <c r="K176">
        <v>1</v>
      </c>
      <c r="L176">
        <v>2</v>
      </c>
      <c r="M176">
        <v>3</v>
      </c>
      <c r="N176">
        <v>0</v>
      </c>
    </row>
    <row r="177" spans="1:14">
      <c r="A177">
        <v>40</v>
      </c>
      <c r="B177">
        <v>1</v>
      </c>
      <c r="C177">
        <v>0</v>
      </c>
      <c r="D177">
        <v>110</v>
      </c>
      <c r="E177">
        <v>167</v>
      </c>
      <c r="F177">
        <v>0</v>
      </c>
      <c r="G177">
        <v>0</v>
      </c>
      <c r="H177">
        <v>114</v>
      </c>
      <c r="I177">
        <v>1</v>
      </c>
      <c r="J177">
        <v>2</v>
      </c>
      <c r="K177">
        <v>1</v>
      </c>
      <c r="L177">
        <v>0</v>
      </c>
      <c r="M177">
        <v>3</v>
      </c>
      <c r="N177">
        <v>0</v>
      </c>
    </row>
    <row r="178" spans="1:14">
      <c r="A178">
        <v>60</v>
      </c>
      <c r="B178">
        <v>1</v>
      </c>
      <c r="C178">
        <v>0</v>
      </c>
      <c r="D178">
        <v>117</v>
      </c>
      <c r="E178">
        <v>230</v>
      </c>
      <c r="F178">
        <v>1</v>
      </c>
      <c r="G178">
        <v>1</v>
      </c>
      <c r="H178">
        <v>160</v>
      </c>
      <c r="I178">
        <v>1</v>
      </c>
      <c r="J178">
        <v>1.4</v>
      </c>
      <c r="K178">
        <v>2</v>
      </c>
      <c r="L178">
        <v>2</v>
      </c>
      <c r="M178">
        <v>3</v>
      </c>
      <c r="N178">
        <v>0</v>
      </c>
    </row>
    <row r="179" spans="1:14">
      <c r="A179">
        <v>64</v>
      </c>
      <c r="B179">
        <v>1</v>
      </c>
      <c r="C179">
        <v>2</v>
      </c>
      <c r="D179">
        <v>140</v>
      </c>
      <c r="E179">
        <v>335</v>
      </c>
      <c r="F179">
        <v>0</v>
      </c>
      <c r="G179">
        <v>1</v>
      </c>
      <c r="H179">
        <v>158</v>
      </c>
      <c r="I179">
        <v>0</v>
      </c>
      <c r="J179">
        <v>0</v>
      </c>
      <c r="K179">
        <v>2</v>
      </c>
      <c r="L179">
        <v>0</v>
      </c>
      <c r="M179">
        <v>2</v>
      </c>
      <c r="N179">
        <v>0</v>
      </c>
    </row>
    <row r="180" spans="1:14">
      <c r="A180">
        <v>43</v>
      </c>
      <c r="B180">
        <v>1</v>
      </c>
      <c r="C180">
        <v>0</v>
      </c>
      <c r="D180">
        <v>120</v>
      </c>
      <c r="E180">
        <v>177</v>
      </c>
      <c r="F180">
        <v>0</v>
      </c>
      <c r="G180">
        <v>0</v>
      </c>
      <c r="H180">
        <v>120</v>
      </c>
      <c r="I180">
        <v>1</v>
      </c>
      <c r="J180">
        <v>2.5</v>
      </c>
      <c r="K180">
        <v>1</v>
      </c>
      <c r="L180">
        <v>0</v>
      </c>
      <c r="M180">
        <v>3</v>
      </c>
      <c r="N180">
        <v>0</v>
      </c>
    </row>
    <row r="181" spans="1:14">
      <c r="A181">
        <v>57</v>
      </c>
      <c r="B181">
        <v>1</v>
      </c>
      <c r="C181">
        <v>0</v>
      </c>
      <c r="D181">
        <v>150</v>
      </c>
      <c r="E181">
        <v>276</v>
      </c>
      <c r="F181">
        <v>0</v>
      </c>
      <c r="G181">
        <v>0</v>
      </c>
      <c r="H181">
        <v>112</v>
      </c>
      <c r="I181">
        <v>1</v>
      </c>
      <c r="J181">
        <v>0.6</v>
      </c>
      <c r="K181">
        <v>1</v>
      </c>
      <c r="L181">
        <v>1</v>
      </c>
      <c r="M181">
        <v>1</v>
      </c>
      <c r="N181">
        <v>0</v>
      </c>
    </row>
    <row r="182" spans="1:14">
      <c r="A182">
        <v>55</v>
      </c>
      <c r="B182">
        <v>1</v>
      </c>
      <c r="C182">
        <v>0</v>
      </c>
      <c r="D182">
        <v>132</v>
      </c>
      <c r="E182">
        <v>353</v>
      </c>
      <c r="F182">
        <v>0</v>
      </c>
      <c r="G182">
        <v>1</v>
      </c>
      <c r="H182">
        <v>132</v>
      </c>
      <c r="I182">
        <v>1</v>
      </c>
      <c r="J182">
        <v>1.2</v>
      </c>
      <c r="K182">
        <v>1</v>
      </c>
      <c r="L182">
        <v>1</v>
      </c>
      <c r="M182">
        <v>3</v>
      </c>
      <c r="N182">
        <v>0</v>
      </c>
    </row>
    <row r="183" spans="1:14">
      <c r="A183">
        <v>65</v>
      </c>
      <c r="B183">
        <v>0</v>
      </c>
      <c r="C183">
        <v>0</v>
      </c>
      <c r="D183">
        <v>150</v>
      </c>
      <c r="E183">
        <v>225</v>
      </c>
      <c r="F183">
        <v>0</v>
      </c>
      <c r="G183">
        <v>0</v>
      </c>
      <c r="H183">
        <v>114</v>
      </c>
      <c r="I183">
        <v>0</v>
      </c>
      <c r="J183">
        <v>1</v>
      </c>
      <c r="K183">
        <v>1</v>
      </c>
      <c r="L183">
        <v>3</v>
      </c>
      <c r="M183">
        <v>3</v>
      </c>
      <c r="N183">
        <v>0</v>
      </c>
    </row>
    <row r="184" spans="1:14">
      <c r="A184">
        <v>61</v>
      </c>
      <c r="B184">
        <v>0</v>
      </c>
      <c r="C184">
        <v>0</v>
      </c>
      <c r="D184">
        <v>130</v>
      </c>
      <c r="E184">
        <v>330</v>
      </c>
      <c r="F184">
        <v>0</v>
      </c>
      <c r="G184">
        <v>0</v>
      </c>
      <c r="H184">
        <v>169</v>
      </c>
      <c r="I184">
        <v>0</v>
      </c>
      <c r="J184">
        <v>0</v>
      </c>
      <c r="K184">
        <v>2</v>
      </c>
      <c r="L184">
        <v>0</v>
      </c>
      <c r="M184">
        <v>2</v>
      </c>
      <c r="N184">
        <v>0</v>
      </c>
    </row>
    <row r="185" spans="1:14">
      <c r="A185">
        <v>58</v>
      </c>
      <c r="B185">
        <v>1</v>
      </c>
      <c r="C185">
        <v>2</v>
      </c>
      <c r="D185">
        <v>112</v>
      </c>
      <c r="E185">
        <v>230</v>
      </c>
      <c r="F185">
        <v>0</v>
      </c>
      <c r="G185">
        <v>0</v>
      </c>
      <c r="H185">
        <v>165</v>
      </c>
      <c r="I185">
        <v>0</v>
      </c>
      <c r="J185">
        <v>2.5</v>
      </c>
      <c r="K185">
        <v>1</v>
      </c>
      <c r="L185">
        <v>1</v>
      </c>
      <c r="M185">
        <v>3</v>
      </c>
      <c r="N185">
        <v>0</v>
      </c>
    </row>
    <row r="186" spans="1:14">
      <c r="A186">
        <v>50</v>
      </c>
      <c r="B186">
        <v>1</v>
      </c>
      <c r="C186">
        <v>0</v>
      </c>
      <c r="D186">
        <v>150</v>
      </c>
      <c r="E186">
        <v>243</v>
      </c>
      <c r="F186">
        <v>0</v>
      </c>
      <c r="G186">
        <v>0</v>
      </c>
      <c r="H186">
        <v>128</v>
      </c>
      <c r="I186">
        <v>0</v>
      </c>
      <c r="J186">
        <v>2.6</v>
      </c>
      <c r="K186">
        <v>1</v>
      </c>
      <c r="L186">
        <v>0</v>
      </c>
      <c r="M186">
        <v>3</v>
      </c>
      <c r="N186">
        <v>0</v>
      </c>
    </row>
    <row r="187" spans="1:14">
      <c r="A187">
        <v>44</v>
      </c>
      <c r="B187">
        <v>1</v>
      </c>
      <c r="C187">
        <v>0</v>
      </c>
      <c r="D187">
        <v>112</v>
      </c>
      <c r="E187">
        <v>290</v>
      </c>
      <c r="F187">
        <v>0</v>
      </c>
      <c r="G187">
        <v>0</v>
      </c>
      <c r="H187">
        <v>153</v>
      </c>
      <c r="I187">
        <v>0</v>
      </c>
      <c r="J187">
        <v>0</v>
      </c>
      <c r="K187">
        <v>2</v>
      </c>
      <c r="L187">
        <v>1</v>
      </c>
      <c r="M187">
        <v>2</v>
      </c>
      <c r="N187">
        <v>0</v>
      </c>
    </row>
    <row r="188" spans="1:14">
      <c r="A188">
        <v>60</v>
      </c>
      <c r="B188">
        <v>1</v>
      </c>
      <c r="C188">
        <v>0</v>
      </c>
      <c r="D188">
        <v>130</v>
      </c>
      <c r="E188">
        <v>253</v>
      </c>
      <c r="F188">
        <v>0</v>
      </c>
      <c r="G188">
        <v>1</v>
      </c>
      <c r="H188">
        <v>144</v>
      </c>
      <c r="I188">
        <v>1</v>
      </c>
      <c r="J188">
        <v>1.4</v>
      </c>
      <c r="K188">
        <v>2</v>
      </c>
      <c r="L188">
        <v>1</v>
      </c>
      <c r="M188">
        <v>3</v>
      </c>
      <c r="N188">
        <v>0</v>
      </c>
    </row>
    <row r="189" spans="1:14">
      <c r="A189">
        <v>54</v>
      </c>
      <c r="B189">
        <v>1</v>
      </c>
      <c r="C189">
        <v>0</v>
      </c>
      <c r="D189">
        <v>124</v>
      </c>
      <c r="E189">
        <v>266</v>
      </c>
      <c r="F189">
        <v>0</v>
      </c>
      <c r="G189">
        <v>0</v>
      </c>
      <c r="H189">
        <v>109</v>
      </c>
      <c r="I189">
        <v>1</v>
      </c>
      <c r="J189">
        <v>2.2000000000000002</v>
      </c>
      <c r="K189">
        <v>1</v>
      </c>
      <c r="L189">
        <v>1</v>
      </c>
      <c r="M189">
        <v>3</v>
      </c>
      <c r="N189">
        <v>0</v>
      </c>
    </row>
    <row r="190" spans="1:14">
      <c r="A190">
        <v>50</v>
      </c>
      <c r="B190">
        <v>1</v>
      </c>
      <c r="C190">
        <v>2</v>
      </c>
      <c r="D190">
        <v>140</v>
      </c>
      <c r="E190">
        <v>233</v>
      </c>
      <c r="F190">
        <v>0</v>
      </c>
      <c r="G190">
        <v>1</v>
      </c>
      <c r="H190">
        <v>163</v>
      </c>
      <c r="I190">
        <v>0</v>
      </c>
      <c r="J190">
        <v>0.6</v>
      </c>
      <c r="K190">
        <v>1</v>
      </c>
      <c r="L190">
        <v>1</v>
      </c>
      <c r="M190">
        <v>3</v>
      </c>
      <c r="N190">
        <v>0</v>
      </c>
    </row>
    <row r="191" spans="1:14">
      <c r="A191">
        <v>41</v>
      </c>
      <c r="B191">
        <v>1</v>
      </c>
      <c r="C191">
        <v>0</v>
      </c>
      <c r="D191">
        <v>110</v>
      </c>
      <c r="E191">
        <v>172</v>
      </c>
      <c r="F191">
        <v>0</v>
      </c>
      <c r="G191">
        <v>0</v>
      </c>
      <c r="H191">
        <v>158</v>
      </c>
      <c r="I191">
        <v>0</v>
      </c>
      <c r="J191">
        <v>0</v>
      </c>
      <c r="K191">
        <v>2</v>
      </c>
      <c r="L191">
        <v>0</v>
      </c>
      <c r="M191">
        <v>3</v>
      </c>
      <c r="N191">
        <v>0</v>
      </c>
    </row>
    <row r="192" spans="1:14">
      <c r="A192">
        <v>51</v>
      </c>
      <c r="B192">
        <v>0</v>
      </c>
      <c r="C192">
        <v>0</v>
      </c>
      <c r="D192">
        <v>130</v>
      </c>
      <c r="E192">
        <v>305</v>
      </c>
      <c r="F192">
        <v>0</v>
      </c>
      <c r="G192">
        <v>1</v>
      </c>
      <c r="H192">
        <v>142</v>
      </c>
      <c r="I192">
        <v>1</v>
      </c>
      <c r="J192">
        <v>1.2</v>
      </c>
      <c r="K192">
        <v>1</v>
      </c>
      <c r="L192">
        <v>0</v>
      </c>
      <c r="M192">
        <v>3</v>
      </c>
      <c r="N192">
        <v>0</v>
      </c>
    </row>
    <row r="193" spans="1:14">
      <c r="A193">
        <v>58</v>
      </c>
      <c r="B193">
        <v>1</v>
      </c>
      <c r="C193">
        <v>0</v>
      </c>
      <c r="D193">
        <v>128</v>
      </c>
      <c r="E193">
        <v>216</v>
      </c>
      <c r="F193">
        <v>0</v>
      </c>
      <c r="G193">
        <v>0</v>
      </c>
      <c r="H193">
        <v>131</v>
      </c>
      <c r="I193">
        <v>1</v>
      </c>
      <c r="J193">
        <v>2.2000000000000002</v>
      </c>
      <c r="K193">
        <v>1</v>
      </c>
      <c r="L193">
        <v>3</v>
      </c>
      <c r="M193">
        <v>3</v>
      </c>
      <c r="N193">
        <v>0</v>
      </c>
    </row>
    <row r="194" spans="1:14">
      <c r="A194">
        <v>54</v>
      </c>
      <c r="B194">
        <v>1</v>
      </c>
      <c r="C194">
        <v>0</v>
      </c>
      <c r="D194">
        <v>120</v>
      </c>
      <c r="E194">
        <v>188</v>
      </c>
      <c r="F194">
        <v>0</v>
      </c>
      <c r="G194">
        <v>1</v>
      </c>
      <c r="H194">
        <v>113</v>
      </c>
      <c r="I194">
        <v>0</v>
      </c>
      <c r="J194">
        <v>1.4</v>
      </c>
      <c r="K194">
        <v>1</v>
      </c>
      <c r="L194">
        <v>1</v>
      </c>
      <c r="M194">
        <v>3</v>
      </c>
      <c r="N194">
        <v>0</v>
      </c>
    </row>
    <row r="195" spans="1:14">
      <c r="A195">
        <v>60</v>
      </c>
      <c r="B195">
        <v>1</v>
      </c>
      <c r="C195">
        <v>0</v>
      </c>
      <c r="D195">
        <v>145</v>
      </c>
      <c r="E195">
        <v>282</v>
      </c>
      <c r="F195">
        <v>0</v>
      </c>
      <c r="G195">
        <v>0</v>
      </c>
      <c r="H195">
        <v>142</v>
      </c>
      <c r="I195">
        <v>1</v>
      </c>
      <c r="J195">
        <v>2.8</v>
      </c>
      <c r="K195">
        <v>1</v>
      </c>
      <c r="L195">
        <v>2</v>
      </c>
      <c r="M195">
        <v>3</v>
      </c>
      <c r="N195">
        <v>0</v>
      </c>
    </row>
    <row r="196" spans="1:14">
      <c r="A196">
        <v>60</v>
      </c>
      <c r="B196">
        <v>1</v>
      </c>
      <c r="C196">
        <v>2</v>
      </c>
      <c r="D196">
        <v>140</v>
      </c>
      <c r="E196">
        <v>185</v>
      </c>
      <c r="F196">
        <v>0</v>
      </c>
      <c r="G196">
        <v>0</v>
      </c>
      <c r="H196">
        <v>155</v>
      </c>
      <c r="I196">
        <v>0</v>
      </c>
      <c r="J196">
        <v>3</v>
      </c>
      <c r="K196">
        <v>1</v>
      </c>
      <c r="L196">
        <v>0</v>
      </c>
      <c r="M196">
        <v>2</v>
      </c>
      <c r="N196">
        <v>0</v>
      </c>
    </row>
    <row r="197" spans="1:14">
      <c r="A197">
        <v>59</v>
      </c>
      <c r="B197">
        <v>1</v>
      </c>
      <c r="C197">
        <v>0</v>
      </c>
      <c r="D197">
        <v>170</v>
      </c>
      <c r="E197">
        <v>326</v>
      </c>
      <c r="F197">
        <v>0</v>
      </c>
      <c r="G197">
        <v>0</v>
      </c>
      <c r="H197">
        <v>140</v>
      </c>
      <c r="I197">
        <v>1</v>
      </c>
      <c r="J197">
        <v>3.4</v>
      </c>
      <c r="K197">
        <v>0</v>
      </c>
      <c r="L197">
        <v>0</v>
      </c>
      <c r="M197">
        <v>3</v>
      </c>
      <c r="N197">
        <v>0</v>
      </c>
    </row>
    <row r="198" spans="1:14">
      <c r="A198">
        <v>46</v>
      </c>
      <c r="B198">
        <v>1</v>
      </c>
      <c r="C198">
        <v>2</v>
      </c>
      <c r="D198">
        <v>150</v>
      </c>
      <c r="E198">
        <v>231</v>
      </c>
      <c r="F198">
        <v>0</v>
      </c>
      <c r="G198">
        <v>1</v>
      </c>
      <c r="H198">
        <v>147</v>
      </c>
      <c r="I198">
        <v>0</v>
      </c>
      <c r="J198">
        <v>3.6</v>
      </c>
      <c r="K198">
        <v>1</v>
      </c>
      <c r="L198">
        <v>0</v>
      </c>
      <c r="M198">
        <v>2</v>
      </c>
      <c r="N198">
        <v>0</v>
      </c>
    </row>
    <row r="199" spans="1:14">
      <c r="A199">
        <v>67</v>
      </c>
      <c r="B199">
        <v>1</v>
      </c>
      <c r="C199">
        <v>0</v>
      </c>
      <c r="D199">
        <v>125</v>
      </c>
      <c r="E199">
        <v>254</v>
      </c>
      <c r="F199">
        <v>1</v>
      </c>
      <c r="G199">
        <v>1</v>
      </c>
      <c r="H199">
        <v>163</v>
      </c>
      <c r="I199">
        <v>0</v>
      </c>
      <c r="J199">
        <v>0.2</v>
      </c>
      <c r="K199">
        <v>1</v>
      </c>
      <c r="L199">
        <v>2</v>
      </c>
      <c r="M199">
        <v>3</v>
      </c>
      <c r="N199">
        <v>0</v>
      </c>
    </row>
    <row r="200" spans="1:14">
      <c r="A200">
        <v>62</v>
      </c>
      <c r="B200">
        <v>1</v>
      </c>
      <c r="C200">
        <v>0</v>
      </c>
      <c r="D200">
        <v>120</v>
      </c>
      <c r="E200">
        <v>267</v>
      </c>
      <c r="F200">
        <v>0</v>
      </c>
      <c r="G200">
        <v>1</v>
      </c>
      <c r="H200">
        <v>99</v>
      </c>
      <c r="I200">
        <v>1</v>
      </c>
      <c r="J200">
        <v>1.8</v>
      </c>
      <c r="K200">
        <v>1</v>
      </c>
      <c r="L200">
        <v>2</v>
      </c>
      <c r="M200">
        <v>3</v>
      </c>
      <c r="N200">
        <v>0</v>
      </c>
    </row>
    <row r="201" spans="1:14">
      <c r="A201">
        <v>65</v>
      </c>
      <c r="B201">
        <v>1</v>
      </c>
      <c r="C201">
        <v>0</v>
      </c>
      <c r="D201">
        <v>110</v>
      </c>
      <c r="E201">
        <v>248</v>
      </c>
      <c r="F201">
        <v>0</v>
      </c>
      <c r="G201">
        <v>0</v>
      </c>
      <c r="H201">
        <v>158</v>
      </c>
      <c r="I201">
        <v>0</v>
      </c>
      <c r="J201">
        <v>0.6</v>
      </c>
      <c r="K201">
        <v>2</v>
      </c>
      <c r="L201">
        <v>2</v>
      </c>
      <c r="M201">
        <v>1</v>
      </c>
      <c r="N201">
        <v>0</v>
      </c>
    </row>
    <row r="202" spans="1:14">
      <c r="A202">
        <v>44</v>
      </c>
      <c r="B202">
        <v>1</v>
      </c>
      <c r="C202">
        <v>0</v>
      </c>
      <c r="D202">
        <v>110</v>
      </c>
      <c r="E202">
        <v>197</v>
      </c>
      <c r="F202">
        <v>0</v>
      </c>
      <c r="G202">
        <v>0</v>
      </c>
      <c r="H202">
        <v>177</v>
      </c>
      <c r="I202">
        <v>0</v>
      </c>
      <c r="J202">
        <v>0</v>
      </c>
      <c r="K202">
        <v>2</v>
      </c>
      <c r="L202">
        <v>1</v>
      </c>
      <c r="M202">
        <v>2</v>
      </c>
      <c r="N202">
        <v>0</v>
      </c>
    </row>
    <row r="203" spans="1:14">
      <c r="A203">
        <v>60</v>
      </c>
      <c r="B203">
        <v>1</v>
      </c>
      <c r="C203">
        <v>0</v>
      </c>
      <c r="D203">
        <v>125</v>
      </c>
      <c r="E203">
        <v>258</v>
      </c>
      <c r="F203">
        <v>0</v>
      </c>
      <c r="G203">
        <v>0</v>
      </c>
      <c r="H203">
        <v>141</v>
      </c>
      <c r="I203">
        <v>1</v>
      </c>
      <c r="J203">
        <v>2.8</v>
      </c>
      <c r="K203">
        <v>1</v>
      </c>
      <c r="L203">
        <v>1</v>
      </c>
      <c r="M203">
        <v>3</v>
      </c>
      <c r="N203">
        <v>0</v>
      </c>
    </row>
    <row r="204" spans="1:14">
      <c r="A204">
        <v>58</v>
      </c>
      <c r="B204">
        <v>1</v>
      </c>
      <c r="C204">
        <v>0</v>
      </c>
      <c r="D204">
        <v>150</v>
      </c>
      <c r="E204">
        <v>270</v>
      </c>
      <c r="F204">
        <v>0</v>
      </c>
      <c r="G204">
        <v>0</v>
      </c>
      <c r="H204">
        <v>111</v>
      </c>
      <c r="I204">
        <v>1</v>
      </c>
      <c r="J204">
        <v>0.8</v>
      </c>
      <c r="K204">
        <v>2</v>
      </c>
      <c r="L204">
        <v>0</v>
      </c>
      <c r="M204">
        <v>3</v>
      </c>
      <c r="N204">
        <v>0</v>
      </c>
    </row>
    <row r="205" spans="1:14">
      <c r="A205">
        <v>68</v>
      </c>
      <c r="B205">
        <v>1</v>
      </c>
      <c r="C205">
        <v>2</v>
      </c>
      <c r="D205">
        <v>180</v>
      </c>
      <c r="E205">
        <v>274</v>
      </c>
      <c r="F205">
        <v>1</v>
      </c>
      <c r="G205">
        <v>0</v>
      </c>
      <c r="H205">
        <v>150</v>
      </c>
      <c r="I205">
        <v>1</v>
      </c>
      <c r="J205">
        <v>1.6</v>
      </c>
      <c r="K205">
        <v>1</v>
      </c>
      <c r="L205">
        <v>0</v>
      </c>
      <c r="M205">
        <v>3</v>
      </c>
      <c r="N205">
        <v>0</v>
      </c>
    </row>
    <row r="206" spans="1:14">
      <c r="A206">
        <v>62</v>
      </c>
      <c r="B206">
        <v>0</v>
      </c>
      <c r="C206">
        <v>0</v>
      </c>
      <c r="D206">
        <v>160</v>
      </c>
      <c r="E206">
        <v>164</v>
      </c>
      <c r="F206">
        <v>0</v>
      </c>
      <c r="G206">
        <v>0</v>
      </c>
      <c r="H206">
        <v>145</v>
      </c>
      <c r="I206">
        <v>0</v>
      </c>
      <c r="J206">
        <v>6.2</v>
      </c>
      <c r="K206">
        <v>0</v>
      </c>
      <c r="L206">
        <v>3</v>
      </c>
      <c r="M206">
        <v>3</v>
      </c>
      <c r="N206">
        <v>0</v>
      </c>
    </row>
    <row r="207" spans="1:14">
      <c r="A207">
        <v>52</v>
      </c>
      <c r="B207">
        <v>1</v>
      </c>
      <c r="C207">
        <v>0</v>
      </c>
      <c r="D207">
        <v>128</v>
      </c>
      <c r="E207">
        <v>255</v>
      </c>
      <c r="F207">
        <v>0</v>
      </c>
      <c r="G207">
        <v>1</v>
      </c>
      <c r="H207">
        <v>161</v>
      </c>
      <c r="I207">
        <v>1</v>
      </c>
      <c r="J207">
        <v>0</v>
      </c>
      <c r="K207">
        <v>2</v>
      </c>
      <c r="L207">
        <v>1</v>
      </c>
      <c r="M207">
        <v>3</v>
      </c>
      <c r="N207">
        <v>0</v>
      </c>
    </row>
    <row r="208" spans="1:14">
      <c r="A208">
        <v>59</v>
      </c>
      <c r="B208">
        <v>1</v>
      </c>
      <c r="C208">
        <v>0</v>
      </c>
      <c r="D208">
        <v>110</v>
      </c>
      <c r="E208">
        <v>239</v>
      </c>
      <c r="F208">
        <v>0</v>
      </c>
      <c r="G208">
        <v>0</v>
      </c>
      <c r="H208">
        <v>142</v>
      </c>
      <c r="I208">
        <v>1</v>
      </c>
      <c r="J208">
        <v>1.2</v>
      </c>
      <c r="K208">
        <v>1</v>
      </c>
      <c r="L208">
        <v>1</v>
      </c>
      <c r="M208">
        <v>3</v>
      </c>
      <c r="N208">
        <v>0</v>
      </c>
    </row>
    <row r="209" spans="1:14">
      <c r="A209">
        <v>60</v>
      </c>
      <c r="B209">
        <v>0</v>
      </c>
      <c r="C209">
        <v>0</v>
      </c>
      <c r="D209">
        <v>150</v>
      </c>
      <c r="E209">
        <v>258</v>
      </c>
      <c r="F209">
        <v>0</v>
      </c>
      <c r="G209">
        <v>0</v>
      </c>
      <c r="H209">
        <v>157</v>
      </c>
      <c r="I209">
        <v>0</v>
      </c>
      <c r="J209">
        <v>2.6</v>
      </c>
      <c r="K209">
        <v>1</v>
      </c>
      <c r="L209">
        <v>2</v>
      </c>
      <c r="M209">
        <v>3</v>
      </c>
      <c r="N209">
        <v>0</v>
      </c>
    </row>
    <row r="210" spans="1:14">
      <c r="A210">
        <v>49</v>
      </c>
      <c r="B210">
        <v>1</v>
      </c>
      <c r="C210">
        <v>2</v>
      </c>
      <c r="D210">
        <v>120</v>
      </c>
      <c r="E210">
        <v>188</v>
      </c>
      <c r="F210">
        <v>0</v>
      </c>
      <c r="G210">
        <v>1</v>
      </c>
      <c r="H210">
        <v>139</v>
      </c>
      <c r="I210">
        <v>0</v>
      </c>
      <c r="J210">
        <v>2</v>
      </c>
      <c r="K210">
        <v>1</v>
      </c>
      <c r="L210">
        <v>3</v>
      </c>
      <c r="M210">
        <v>3</v>
      </c>
      <c r="N210">
        <v>0</v>
      </c>
    </row>
    <row r="211" spans="1:14">
      <c r="A211">
        <v>59</v>
      </c>
      <c r="B211">
        <v>1</v>
      </c>
      <c r="C211">
        <v>0</v>
      </c>
      <c r="D211">
        <v>140</v>
      </c>
      <c r="E211">
        <v>177</v>
      </c>
      <c r="F211">
        <v>0</v>
      </c>
      <c r="G211">
        <v>1</v>
      </c>
      <c r="H211">
        <v>162</v>
      </c>
      <c r="I211">
        <v>1</v>
      </c>
      <c r="J211">
        <v>0</v>
      </c>
      <c r="K211">
        <v>2</v>
      </c>
      <c r="L211">
        <v>1</v>
      </c>
      <c r="M211">
        <v>3</v>
      </c>
      <c r="N211">
        <v>0</v>
      </c>
    </row>
    <row r="212" spans="1:14">
      <c r="A212">
        <v>57</v>
      </c>
      <c r="B212">
        <v>1</v>
      </c>
      <c r="C212">
        <v>2</v>
      </c>
      <c r="D212">
        <v>128</v>
      </c>
      <c r="E212">
        <v>229</v>
      </c>
      <c r="F212">
        <v>0</v>
      </c>
      <c r="G212">
        <v>0</v>
      </c>
      <c r="H212">
        <v>150</v>
      </c>
      <c r="I212">
        <v>0</v>
      </c>
      <c r="J212">
        <v>0.4</v>
      </c>
      <c r="K212">
        <v>1</v>
      </c>
      <c r="L212">
        <v>1</v>
      </c>
      <c r="M212">
        <v>3</v>
      </c>
      <c r="N212">
        <v>0</v>
      </c>
    </row>
    <row r="213" spans="1:14">
      <c r="A213">
        <v>61</v>
      </c>
      <c r="B213">
        <v>1</v>
      </c>
      <c r="C213">
        <v>0</v>
      </c>
      <c r="D213">
        <v>120</v>
      </c>
      <c r="E213">
        <v>260</v>
      </c>
      <c r="F213">
        <v>0</v>
      </c>
      <c r="G213">
        <v>1</v>
      </c>
      <c r="H213">
        <v>140</v>
      </c>
      <c r="I213">
        <v>1</v>
      </c>
      <c r="J213">
        <v>3.6</v>
      </c>
      <c r="K213">
        <v>1</v>
      </c>
      <c r="L213">
        <v>1</v>
      </c>
      <c r="M213">
        <v>3</v>
      </c>
      <c r="N213">
        <v>0</v>
      </c>
    </row>
    <row r="214" spans="1:14">
      <c r="A214">
        <v>39</v>
      </c>
      <c r="B214">
        <v>1</v>
      </c>
      <c r="C214">
        <v>0</v>
      </c>
      <c r="D214">
        <v>118</v>
      </c>
      <c r="E214">
        <v>219</v>
      </c>
      <c r="F214">
        <v>0</v>
      </c>
      <c r="G214">
        <v>1</v>
      </c>
      <c r="H214">
        <v>140</v>
      </c>
      <c r="I214">
        <v>0</v>
      </c>
      <c r="J214">
        <v>1.2</v>
      </c>
      <c r="K214">
        <v>1</v>
      </c>
      <c r="L214">
        <v>0</v>
      </c>
      <c r="M214">
        <v>3</v>
      </c>
      <c r="N214">
        <v>0</v>
      </c>
    </row>
    <row r="215" spans="1:14">
      <c r="A215">
        <v>61</v>
      </c>
      <c r="B215">
        <v>0</v>
      </c>
      <c r="C215">
        <v>0</v>
      </c>
      <c r="D215">
        <v>145</v>
      </c>
      <c r="E215">
        <v>307</v>
      </c>
      <c r="F215">
        <v>0</v>
      </c>
      <c r="G215">
        <v>0</v>
      </c>
      <c r="H215">
        <v>146</v>
      </c>
      <c r="I215">
        <v>1</v>
      </c>
      <c r="J215">
        <v>1</v>
      </c>
      <c r="K215">
        <v>1</v>
      </c>
      <c r="L215">
        <v>0</v>
      </c>
      <c r="M215">
        <v>3</v>
      </c>
      <c r="N215">
        <v>0</v>
      </c>
    </row>
    <row r="216" spans="1:14">
      <c r="A216">
        <v>56</v>
      </c>
      <c r="B216">
        <v>1</v>
      </c>
      <c r="C216">
        <v>0</v>
      </c>
      <c r="D216">
        <v>125</v>
      </c>
      <c r="E216">
        <v>249</v>
      </c>
      <c r="F216">
        <v>1</v>
      </c>
      <c r="G216">
        <v>0</v>
      </c>
      <c r="H216">
        <v>144</v>
      </c>
      <c r="I216">
        <v>1</v>
      </c>
      <c r="J216">
        <v>1.2</v>
      </c>
      <c r="K216">
        <v>1</v>
      </c>
      <c r="L216">
        <v>1</v>
      </c>
      <c r="M216">
        <v>2</v>
      </c>
      <c r="N216">
        <v>0</v>
      </c>
    </row>
    <row r="217" spans="1:14">
      <c r="A217">
        <v>43</v>
      </c>
      <c r="B217">
        <v>0</v>
      </c>
      <c r="C217">
        <v>0</v>
      </c>
      <c r="D217">
        <v>132</v>
      </c>
      <c r="E217">
        <v>341</v>
      </c>
      <c r="F217">
        <v>1</v>
      </c>
      <c r="G217">
        <v>0</v>
      </c>
      <c r="H217">
        <v>136</v>
      </c>
      <c r="I217">
        <v>1</v>
      </c>
      <c r="J217">
        <v>3</v>
      </c>
      <c r="K217">
        <v>1</v>
      </c>
      <c r="L217">
        <v>0</v>
      </c>
      <c r="M217">
        <v>3</v>
      </c>
      <c r="N217">
        <v>0</v>
      </c>
    </row>
    <row r="218" spans="1:14">
      <c r="A218">
        <v>62</v>
      </c>
      <c r="B218">
        <v>0</v>
      </c>
      <c r="C218">
        <v>2</v>
      </c>
      <c r="D218">
        <v>130</v>
      </c>
      <c r="E218">
        <v>263</v>
      </c>
      <c r="F218">
        <v>0</v>
      </c>
      <c r="G218">
        <v>1</v>
      </c>
      <c r="H218">
        <v>97</v>
      </c>
      <c r="I218">
        <v>0</v>
      </c>
      <c r="J218">
        <v>1.2</v>
      </c>
      <c r="K218">
        <v>1</v>
      </c>
      <c r="L218">
        <v>1</v>
      </c>
      <c r="M218">
        <v>3</v>
      </c>
      <c r="N218">
        <v>0</v>
      </c>
    </row>
    <row r="219" spans="1:14">
      <c r="A219">
        <v>63</v>
      </c>
      <c r="B219">
        <v>1</v>
      </c>
      <c r="C219">
        <v>0</v>
      </c>
      <c r="D219">
        <v>130</v>
      </c>
      <c r="E219">
        <v>330</v>
      </c>
      <c r="F219">
        <v>1</v>
      </c>
      <c r="G219">
        <v>0</v>
      </c>
      <c r="H219">
        <v>132</v>
      </c>
      <c r="I219">
        <v>1</v>
      </c>
      <c r="J219">
        <v>1.8</v>
      </c>
      <c r="K219">
        <v>2</v>
      </c>
      <c r="L219">
        <v>3</v>
      </c>
      <c r="M219">
        <v>3</v>
      </c>
      <c r="N219">
        <v>0</v>
      </c>
    </row>
    <row r="220" spans="1:14">
      <c r="A220">
        <v>65</v>
      </c>
      <c r="B220">
        <v>1</v>
      </c>
      <c r="C220">
        <v>0</v>
      </c>
      <c r="D220">
        <v>135</v>
      </c>
      <c r="E220">
        <v>254</v>
      </c>
      <c r="F220">
        <v>0</v>
      </c>
      <c r="G220">
        <v>0</v>
      </c>
      <c r="H220">
        <v>127</v>
      </c>
      <c r="I220">
        <v>0</v>
      </c>
      <c r="J220">
        <v>2.8</v>
      </c>
      <c r="K220">
        <v>1</v>
      </c>
      <c r="L220">
        <v>1</v>
      </c>
      <c r="M220">
        <v>3</v>
      </c>
      <c r="N220">
        <v>0</v>
      </c>
    </row>
    <row r="221" spans="1:14">
      <c r="A221">
        <v>48</v>
      </c>
      <c r="B221">
        <v>1</v>
      </c>
      <c r="C221">
        <v>0</v>
      </c>
      <c r="D221">
        <v>130</v>
      </c>
      <c r="E221">
        <v>256</v>
      </c>
      <c r="F221">
        <v>1</v>
      </c>
      <c r="G221">
        <v>0</v>
      </c>
      <c r="H221">
        <v>150</v>
      </c>
      <c r="I221">
        <v>1</v>
      </c>
      <c r="J221">
        <v>0</v>
      </c>
      <c r="K221">
        <v>2</v>
      </c>
      <c r="L221">
        <v>2</v>
      </c>
      <c r="M221">
        <v>3</v>
      </c>
      <c r="N221">
        <v>0</v>
      </c>
    </row>
    <row r="222" spans="1:14">
      <c r="A222">
        <v>63</v>
      </c>
      <c r="B222">
        <v>0</v>
      </c>
      <c r="C222">
        <v>0</v>
      </c>
      <c r="D222">
        <v>150</v>
      </c>
      <c r="E222">
        <v>407</v>
      </c>
      <c r="F222">
        <v>0</v>
      </c>
      <c r="G222">
        <v>0</v>
      </c>
      <c r="H222">
        <v>154</v>
      </c>
      <c r="I222">
        <v>0</v>
      </c>
      <c r="J222">
        <v>4</v>
      </c>
      <c r="K222">
        <v>1</v>
      </c>
      <c r="L222">
        <v>3</v>
      </c>
      <c r="M222">
        <v>3</v>
      </c>
      <c r="N222">
        <v>0</v>
      </c>
    </row>
    <row r="223" spans="1:14">
      <c r="A223">
        <v>55</v>
      </c>
      <c r="B223">
        <v>1</v>
      </c>
      <c r="C223">
        <v>0</v>
      </c>
      <c r="D223">
        <v>140</v>
      </c>
      <c r="E223">
        <v>217</v>
      </c>
      <c r="F223">
        <v>0</v>
      </c>
      <c r="G223">
        <v>1</v>
      </c>
      <c r="H223">
        <v>111</v>
      </c>
      <c r="I223">
        <v>1</v>
      </c>
      <c r="J223">
        <v>5.6</v>
      </c>
      <c r="K223">
        <v>0</v>
      </c>
      <c r="L223">
        <v>0</v>
      </c>
      <c r="M223">
        <v>3</v>
      </c>
      <c r="N223">
        <v>0</v>
      </c>
    </row>
    <row r="224" spans="1:14">
      <c r="A224">
        <v>65</v>
      </c>
      <c r="B224">
        <v>1</v>
      </c>
      <c r="C224">
        <v>3</v>
      </c>
      <c r="D224">
        <v>138</v>
      </c>
      <c r="E224">
        <v>282</v>
      </c>
      <c r="F224">
        <v>1</v>
      </c>
      <c r="G224">
        <v>0</v>
      </c>
      <c r="H224">
        <v>174</v>
      </c>
      <c r="I224">
        <v>0</v>
      </c>
      <c r="J224">
        <v>1.4</v>
      </c>
      <c r="K224">
        <v>1</v>
      </c>
      <c r="L224">
        <v>1</v>
      </c>
      <c r="M224">
        <v>2</v>
      </c>
      <c r="N224">
        <v>0</v>
      </c>
    </row>
    <row r="225" spans="1:14">
      <c r="A225">
        <v>56</v>
      </c>
      <c r="B225">
        <v>0</v>
      </c>
      <c r="C225">
        <v>0</v>
      </c>
      <c r="D225">
        <v>200</v>
      </c>
      <c r="E225">
        <v>288</v>
      </c>
      <c r="F225">
        <v>1</v>
      </c>
      <c r="G225">
        <v>0</v>
      </c>
      <c r="H225">
        <v>133</v>
      </c>
      <c r="I225">
        <v>1</v>
      </c>
      <c r="J225">
        <v>4</v>
      </c>
      <c r="K225">
        <v>0</v>
      </c>
      <c r="L225">
        <v>2</v>
      </c>
      <c r="M225">
        <v>3</v>
      </c>
      <c r="N225">
        <v>0</v>
      </c>
    </row>
    <row r="226" spans="1:14">
      <c r="A226">
        <v>54</v>
      </c>
      <c r="B226">
        <v>1</v>
      </c>
      <c r="C226">
        <v>0</v>
      </c>
      <c r="D226">
        <v>110</v>
      </c>
      <c r="E226">
        <v>239</v>
      </c>
      <c r="F226">
        <v>0</v>
      </c>
      <c r="G226">
        <v>1</v>
      </c>
      <c r="H226">
        <v>126</v>
      </c>
      <c r="I226">
        <v>1</v>
      </c>
      <c r="J226">
        <v>2.8</v>
      </c>
      <c r="K226">
        <v>1</v>
      </c>
      <c r="L226">
        <v>1</v>
      </c>
      <c r="M226">
        <v>3</v>
      </c>
      <c r="N226">
        <v>0</v>
      </c>
    </row>
    <row r="227" spans="1:14">
      <c r="A227">
        <v>70</v>
      </c>
      <c r="B227">
        <v>1</v>
      </c>
      <c r="C227">
        <v>0</v>
      </c>
      <c r="D227">
        <v>145</v>
      </c>
      <c r="E227">
        <v>174</v>
      </c>
      <c r="F227">
        <v>0</v>
      </c>
      <c r="G227">
        <v>1</v>
      </c>
      <c r="H227">
        <v>125</v>
      </c>
      <c r="I227">
        <v>1</v>
      </c>
      <c r="J227">
        <v>2.6</v>
      </c>
      <c r="K227">
        <v>0</v>
      </c>
      <c r="L227">
        <v>0</v>
      </c>
      <c r="M227">
        <v>3</v>
      </c>
      <c r="N227">
        <v>0</v>
      </c>
    </row>
    <row r="228" spans="1:14">
      <c r="A228">
        <v>62</v>
      </c>
      <c r="B228">
        <v>1</v>
      </c>
      <c r="C228">
        <v>1</v>
      </c>
      <c r="D228">
        <v>120</v>
      </c>
      <c r="E228">
        <v>281</v>
      </c>
      <c r="F228">
        <v>0</v>
      </c>
      <c r="G228">
        <v>0</v>
      </c>
      <c r="H228">
        <v>103</v>
      </c>
      <c r="I228">
        <v>0</v>
      </c>
      <c r="J228">
        <v>1.4</v>
      </c>
      <c r="K228">
        <v>1</v>
      </c>
      <c r="L228">
        <v>1</v>
      </c>
      <c r="M228">
        <v>3</v>
      </c>
      <c r="N228">
        <v>0</v>
      </c>
    </row>
    <row r="229" spans="1:14">
      <c r="A229">
        <v>35</v>
      </c>
      <c r="B229">
        <v>1</v>
      </c>
      <c r="C229">
        <v>0</v>
      </c>
      <c r="D229">
        <v>120</v>
      </c>
      <c r="E229">
        <v>198</v>
      </c>
      <c r="F229">
        <v>0</v>
      </c>
      <c r="G229">
        <v>1</v>
      </c>
      <c r="H229">
        <v>130</v>
      </c>
      <c r="I229">
        <v>1</v>
      </c>
      <c r="J229">
        <v>1.6</v>
      </c>
      <c r="K229">
        <v>1</v>
      </c>
      <c r="L229">
        <v>0</v>
      </c>
      <c r="M229">
        <v>3</v>
      </c>
      <c r="N229">
        <v>0</v>
      </c>
    </row>
    <row r="230" spans="1:14">
      <c r="A230">
        <v>59</v>
      </c>
      <c r="B230">
        <v>1</v>
      </c>
      <c r="C230">
        <v>3</v>
      </c>
      <c r="D230">
        <v>170</v>
      </c>
      <c r="E230">
        <v>288</v>
      </c>
      <c r="F230">
        <v>0</v>
      </c>
      <c r="G230">
        <v>0</v>
      </c>
      <c r="H230">
        <v>159</v>
      </c>
      <c r="I230">
        <v>0</v>
      </c>
      <c r="J230">
        <v>0.2</v>
      </c>
      <c r="K230">
        <v>1</v>
      </c>
      <c r="L230">
        <v>0</v>
      </c>
      <c r="M230">
        <v>3</v>
      </c>
      <c r="N230">
        <v>0</v>
      </c>
    </row>
    <row r="231" spans="1:14">
      <c r="A231">
        <v>64</v>
      </c>
      <c r="B231">
        <v>1</v>
      </c>
      <c r="C231">
        <v>2</v>
      </c>
      <c r="D231">
        <v>125</v>
      </c>
      <c r="E231">
        <v>309</v>
      </c>
      <c r="F231">
        <v>0</v>
      </c>
      <c r="G231">
        <v>1</v>
      </c>
      <c r="H231">
        <v>131</v>
      </c>
      <c r="I231">
        <v>1</v>
      </c>
      <c r="J231">
        <v>1.8</v>
      </c>
      <c r="K231">
        <v>1</v>
      </c>
      <c r="L231">
        <v>0</v>
      </c>
      <c r="M231">
        <v>3</v>
      </c>
      <c r="N231">
        <v>0</v>
      </c>
    </row>
    <row r="232" spans="1:14">
      <c r="A232">
        <v>47</v>
      </c>
      <c r="B232">
        <v>1</v>
      </c>
      <c r="C232">
        <v>2</v>
      </c>
      <c r="D232">
        <v>108</v>
      </c>
      <c r="E232">
        <v>243</v>
      </c>
      <c r="F232">
        <v>0</v>
      </c>
      <c r="G232">
        <v>1</v>
      </c>
      <c r="H232">
        <v>152</v>
      </c>
      <c r="I232">
        <v>0</v>
      </c>
      <c r="J232">
        <v>0</v>
      </c>
      <c r="K232">
        <v>2</v>
      </c>
      <c r="L232">
        <v>0</v>
      </c>
      <c r="M232">
        <v>2</v>
      </c>
      <c r="N232">
        <v>0</v>
      </c>
    </row>
    <row r="233" spans="1:14">
      <c r="A233">
        <v>57</v>
      </c>
      <c r="B233">
        <v>1</v>
      </c>
      <c r="C233">
        <v>0</v>
      </c>
      <c r="D233">
        <v>165</v>
      </c>
      <c r="E233">
        <v>289</v>
      </c>
      <c r="F233">
        <v>1</v>
      </c>
      <c r="G233">
        <v>0</v>
      </c>
      <c r="H233">
        <v>124</v>
      </c>
      <c r="I233">
        <v>0</v>
      </c>
      <c r="J233">
        <v>1</v>
      </c>
      <c r="K233">
        <v>1</v>
      </c>
      <c r="L233">
        <v>3</v>
      </c>
      <c r="M233">
        <v>3</v>
      </c>
      <c r="N233">
        <v>0</v>
      </c>
    </row>
    <row r="234" spans="1:14">
      <c r="A234">
        <v>55</v>
      </c>
      <c r="B234">
        <v>1</v>
      </c>
      <c r="C234">
        <v>0</v>
      </c>
      <c r="D234">
        <v>160</v>
      </c>
      <c r="E234">
        <v>289</v>
      </c>
      <c r="F234">
        <v>0</v>
      </c>
      <c r="G234">
        <v>0</v>
      </c>
      <c r="H234">
        <v>145</v>
      </c>
      <c r="I234">
        <v>1</v>
      </c>
      <c r="J234">
        <v>0.8</v>
      </c>
      <c r="K234">
        <v>1</v>
      </c>
      <c r="L234">
        <v>1</v>
      </c>
      <c r="M234">
        <v>3</v>
      </c>
      <c r="N234">
        <v>0</v>
      </c>
    </row>
    <row r="235" spans="1:14">
      <c r="A235">
        <v>64</v>
      </c>
      <c r="B235">
        <v>1</v>
      </c>
      <c r="C235">
        <v>0</v>
      </c>
      <c r="D235">
        <v>120</v>
      </c>
      <c r="E235">
        <v>246</v>
      </c>
      <c r="F235">
        <v>0</v>
      </c>
      <c r="G235">
        <v>0</v>
      </c>
      <c r="H235">
        <v>96</v>
      </c>
      <c r="I235">
        <v>1</v>
      </c>
      <c r="J235">
        <v>2.2000000000000002</v>
      </c>
      <c r="K235">
        <v>0</v>
      </c>
      <c r="L235">
        <v>1</v>
      </c>
      <c r="M235">
        <v>2</v>
      </c>
      <c r="N235">
        <v>0</v>
      </c>
    </row>
    <row r="236" spans="1:14">
      <c r="A236">
        <v>70</v>
      </c>
      <c r="B236">
        <v>1</v>
      </c>
      <c r="C236">
        <v>0</v>
      </c>
      <c r="D236">
        <v>130</v>
      </c>
      <c r="E236">
        <v>322</v>
      </c>
      <c r="F236">
        <v>0</v>
      </c>
      <c r="G236">
        <v>0</v>
      </c>
      <c r="H236">
        <v>109</v>
      </c>
      <c r="I236">
        <v>0</v>
      </c>
      <c r="J236">
        <v>2.4</v>
      </c>
      <c r="K236">
        <v>1</v>
      </c>
      <c r="L236">
        <v>3</v>
      </c>
      <c r="M236">
        <v>2</v>
      </c>
      <c r="N236">
        <v>0</v>
      </c>
    </row>
    <row r="237" spans="1:14">
      <c r="A237">
        <v>51</v>
      </c>
      <c r="B237">
        <v>1</v>
      </c>
      <c r="C237">
        <v>0</v>
      </c>
      <c r="D237">
        <v>140</v>
      </c>
      <c r="E237">
        <v>299</v>
      </c>
      <c r="F237">
        <v>0</v>
      </c>
      <c r="G237">
        <v>1</v>
      </c>
      <c r="H237">
        <v>173</v>
      </c>
      <c r="I237">
        <v>1</v>
      </c>
      <c r="J237">
        <v>1.6</v>
      </c>
      <c r="K237">
        <v>2</v>
      </c>
      <c r="L237">
        <v>0</v>
      </c>
      <c r="M237">
        <v>3</v>
      </c>
      <c r="N237">
        <v>0</v>
      </c>
    </row>
    <row r="238" spans="1:14">
      <c r="A238">
        <v>58</v>
      </c>
      <c r="B238">
        <v>1</v>
      </c>
      <c r="C238">
        <v>0</v>
      </c>
      <c r="D238">
        <v>125</v>
      </c>
      <c r="E238">
        <v>300</v>
      </c>
      <c r="F238">
        <v>0</v>
      </c>
      <c r="G238">
        <v>0</v>
      </c>
      <c r="H238">
        <v>171</v>
      </c>
      <c r="I238">
        <v>0</v>
      </c>
      <c r="J238">
        <v>0</v>
      </c>
      <c r="K238">
        <v>2</v>
      </c>
      <c r="L238">
        <v>2</v>
      </c>
      <c r="M238">
        <v>3</v>
      </c>
      <c r="N238">
        <v>0</v>
      </c>
    </row>
    <row r="239" spans="1:14">
      <c r="A239">
        <v>60</v>
      </c>
      <c r="B239">
        <v>1</v>
      </c>
      <c r="C239">
        <v>0</v>
      </c>
      <c r="D239">
        <v>140</v>
      </c>
      <c r="E239">
        <v>293</v>
      </c>
      <c r="F239">
        <v>0</v>
      </c>
      <c r="G239">
        <v>0</v>
      </c>
      <c r="H239">
        <v>170</v>
      </c>
      <c r="I239">
        <v>0</v>
      </c>
      <c r="J239">
        <v>1.2</v>
      </c>
      <c r="K239">
        <v>1</v>
      </c>
      <c r="L239">
        <v>2</v>
      </c>
      <c r="M239">
        <v>3</v>
      </c>
      <c r="N239">
        <v>0</v>
      </c>
    </row>
    <row r="240" spans="1:14">
      <c r="A240">
        <v>77</v>
      </c>
      <c r="B240">
        <v>1</v>
      </c>
      <c r="C240">
        <v>0</v>
      </c>
      <c r="D240">
        <v>125</v>
      </c>
      <c r="E240">
        <v>304</v>
      </c>
      <c r="F240">
        <v>0</v>
      </c>
      <c r="G240">
        <v>0</v>
      </c>
      <c r="H240">
        <v>162</v>
      </c>
      <c r="I240">
        <v>1</v>
      </c>
      <c r="J240">
        <v>0</v>
      </c>
      <c r="K240">
        <v>2</v>
      </c>
      <c r="L240">
        <v>3</v>
      </c>
      <c r="M240">
        <v>2</v>
      </c>
      <c r="N240">
        <v>0</v>
      </c>
    </row>
    <row r="241" spans="1:14">
      <c r="A241">
        <v>35</v>
      </c>
      <c r="B241">
        <v>1</v>
      </c>
      <c r="C241">
        <v>0</v>
      </c>
      <c r="D241">
        <v>126</v>
      </c>
      <c r="E241">
        <v>282</v>
      </c>
      <c r="F241">
        <v>0</v>
      </c>
      <c r="G241">
        <v>0</v>
      </c>
      <c r="H241">
        <v>156</v>
      </c>
      <c r="I241">
        <v>1</v>
      </c>
      <c r="J241">
        <v>0</v>
      </c>
      <c r="K241">
        <v>2</v>
      </c>
      <c r="L241">
        <v>0</v>
      </c>
      <c r="M241">
        <v>3</v>
      </c>
      <c r="N241">
        <v>0</v>
      </c>
    </row>
    <row r="242" spans="1:14">
      <c r="A242">
        <v>70</v>
      </c>
      <c r="B242">
        <v>1</v>
      </c>
      <c r="C242">
        <v>2</v>
      </c>
      <c r="D242">
        <v>160</v>
      </c>
      <c r="E242">
        <v>269</v>
      </c>
      <c r="F242">
        <v>0</v>
      </c>
      <c r="G242">
        <v>1</v>
      </c>
      <c r="H242">
        <v>112</v>
      </c>
      <c r="I242">
        <v>1</v>
      </c>
      <c r="J242">
        <v>2.9</v>
      </c>
      <c r="K242">
        <v>1</v>
      </c>
      <c r="L242">
        <v>1</v>
      </c>
      <c r="M242">
        <v>3</v>
      </c>
      <c r="N242">
        <v>0</v>
      </c>
    </row>
    <row r="243" spans="1:14">
      <c r="A243">
        <v>59</v>
      </c>
      <c r="B243">
        <v>0</v>
      </c>
      <c r="C243">
        <v>0</v>
      </c>
      <c r="D243">
        <v>174</v>
      </c>
      <c r="E243">
        <v>249</v>
      </c>
      <c r="F243">
        <v>0</v>
      </c>
      <c r="G243">
        <v>1</v>
      </c>
      <c r="H243">
        <v>143</v>
      </c>
      <c r="I243">
        <v>1</v>
      </c>
      <c r="J243">
        <v>0</v>
      </c>
      <c r="K243">
        <v>1</v>
      </c>
      <c r="L243">
        <v>0</v>
      </c>
      <c r="M243">
        <v>2</v>
      </c>
      <c r="N243">
        <v>0</v>
      </c>
    </row>
    <row r="244" spans="1:14">
      <c r="A244">
        <v>64</v>
      </c>
      <c r="B244">
        <v>1</v>
      </c>
      <c r="C244">
        <v>0</v>
      </c>
      <c r="D244">
        <v>145</v>
      </c>
      <c r="E244">
        <v>212</v>
      </c>
      <c r="F244">
        <v>0</v>
      </c>
      <c r="G244">
        <v>0</v>
      </c>
      <c r="H244">
        <v>132</v>
      </c>
      <c r="I244">
        <v>0</v>
      </c>
      <c r="J244">
        <v>2</v>
      </c>
      <c r="K244">
        <v>1</v>
      </c>
      <c r="L244">
        <v>2</v>
      </c>
      <c r="M244">
        <v>1</v>
      </c>
      <c r="N244">
        <v>0</v>
      </c>
    </row>
    <row r="245" spans="1:14">
      <c r="A245">
        <v>57</v>
      </c>
      <c r="B245">
        <v>1</v>
      </c>
      <c r="C245">
        <v>0</v>
      </c>
      <c r="D245">
        <v>152</v>
      </c>
      <c r="E245">
        <v>274</v>
      </c>
      <c r="F245">
        <v>0</v>
      </c>
      <c r="G245">
        <v>1</v>
      </c>
      <c r="H245">
        <v>88</v>
      </c>
      <c r="I245">
        <v>1</v>
      </c>
      <c r="J245">
        <v>1.2</v>
      </c>
      <c r="K245">
        <v>1</v>
      </c>
      <c r="L245">
        <v>1</v>
      </c>
      <c r="M245">
        <v>3</v>
      </c>
      <c r="N245">
        <v>0</v>
      </c>
    </row>
    <row r="246" spans="1:14">
      <c r="A246">
        <v>56</v>
      </c>
      <c r="B246">
        <v>1</v>
      </c>
      <c r="C246">
        <v>0</v>
      </c>
      <c r="D246">
        <v>132</v>
      </c>
      <c r="E246">
        <v>184</v>
      </c>
      <c r="F246">
        <v>0</v>
      </c>
      <c r="G246">
        <v>0</v>
      </c>
      <c r="H246">
        <v>105</v>
      </c>
      <c r="I246">
        <v>1</v>
      </c>
      <c r="J246">
        <v>2.1</v>
      </c>
      <c r="K246">
        <v>1</v>
      </c>
      <c r="L246">
        <v>1</v>
      </c>
      <c r="M246">
        <v>1</v>
      </c>
      <c r="N246">
        <v>0</v>
      </c>
    </row>
    <row r="247" spans="1:14">
      <c r="A247">
        <v>48</v>
      </c>
      <c r="B247">
        <v>1</v>
      </c>
      <c r="C247">
        <v>0</v>
      </c>
      <c r="D247">
        <v>124</v>
      </c>
      <c r="E247">
        <v>274</v>
      </c>
      <c r="F247">
        <v>0</v>
      </c>
      <c r="G247">
        <v>0</v>
      </c>
      <c r="H247">
        <v>166</v>
      </c>
      <c r="I247">
        <v>0</v>
      </c>
      <c r="J247">
        <v>0.5</v>
      </c>
      <c r="K247">
        <v>1</v>
      </c>
      <c r="L247">
        <v>0</v>
      </c>
      <c r="M247">
        <v>3</v>
      </c>
      <c r="N247">
        <v>0</v>
      </c>
    </row>
    <row r="248" spans="1:14">
      <c r="A248">
        <v>56</v>
      </c>
      <c r="B248">
        <v>0</v>
      </c>
      <c r="C248">
        <v>0</v>
      </c>
      <c r="D248">
        <v>134</v>
      </c>
      <c r="E248">
        <v>409</v>
      </c>
      <c r="F248">
        <v>0</v>
      </c>
      <c r="G248">
        <v>0</v>
      </c>
      <c r="H248">
        <v>150</v>
      </c>
      <c r="I248">
        <v>1</v>
      </c>
      <c r="J248">
        <v>1.9</v>
      </c>
      <c r="K248">
        <v>1</v>
      </c>
      <c r="L248">
        <v>2</v>
      </c>
      <c r="M248">
        <v>3</v>
      </c>
      <c r="N248">
        <v>0</v>
      </c>
    </row>
    <row r="249" spans="1:14">
      <c r="A249">
        <v>66</v>
      </c>
      <c r="B249">
        <v>1</v>
      </c>
      <c r="C249">
        <v>1</v>
      </c>
      <c r="D249">
        <v>160</v>
      </c>
      <c r="E249">
        <v>246</v>
      </c>
      <c r="F249">
        <v>0</v>
      </c>
      <c r="G249">
        <v>1</v>
      </c>
      <c r="H249">
        <v>120</v>
      </c>
      <c r="I249">
        <v>1</v>
      </c>
      <c r="J249">
        <v>0</v>
      </c>
      <c r="K249">
        <v>1</v>
      </c>
      <c r="L249">
        <v>3</v>
      </c>
      <c r="M249">
        <v>1</v>
      </c>
      <c r="N249">
        <v>0</v>
      </c>
    </row>
    <row r="250" spans="1:14">
      <c r="A250">
        <v>54</v>
      </c>
      <c r="B250">
        <v>1</v>
      </c>
      <c r="C250">
        <v>1</v>
      </c>
      <c r="D250">
        <v>192</v>
      </c>
      <c r="E250">
        <v>283</v>
      </c>
      <c r="F250">
        <v>0</v>
      </c>
      <c r="G250">
        <v>0</v>
      </c>
      <c r="H250">
        <v>195</v>
      </c>
      <c r="I250">
        <v>0</v>
      </c>
      <c r="J250">
        <v>0</v>
      </c>
      <c r="K250">
        <v>2</v>
      </c>
      <c r="L250">
        <v>1</v>
      </c>
      <c r="M250">
        <v>3</v>
      </c>
      <c r="N250">
        <v>0</v>
      </c>
    </row>
    <row r="251" spans="1:14">
      <c r="A251">
        <v>69</v>
      </c>
      <c r="B251">
        <v>1</v>
      </c>
      <c r="C251">
        <v>2</v>
      </c>
      <c r="D251">
        <v>140</v>
      </c>
      <c r="E251">
        <v>254</v>
      </c>
      <c r="F251">
        <v>0</v>
      </c>
      <c r="G251">
        <v>0</v>
      </c>
      <c r="H251">
        <v>146</v>
      </c>
      <c r="I251">
        <v>0</v>
      </c>
      <c r="J251">
        <v>2</v>
      </c>
      <c r="K251">
        <v>1</v>
      </c>
      <c r="L251">
        <v>3</v>
      </c>
      <c r="M251">
        <v>3</v>
      </c>
      <c r="N251">
        <v>0</v>
      </c>
    </row>
    <row r="252" spans="1:14">
      <c r="A252">
        <v>51</v>
      </c>
      <c r="B252">
        <v>1</v>
      </c>
      <c r="C252">
        <v>0</v>
      </c>
      <c r="D252">
        <v>140</v>
      </c>
      <c r="E252">
        <v>298</v>
      </c>
      <c r="F252">
        <v>0</v>
      </c>
      <c r="G252">
        <v>1</v>
      </c>
      <c r="H252">
        <v>122</v>
      </c>
      <c r="I252">
        <v>1</v>
      </c>
      <c r="J252">
        <v>4.2</v>
      </c>
      <c r="K252">
        <v>1</v>
      </c>
      <c r="L252">
        <v>3</v>
      </c>
      <c r="M252">
        <v>3</v>
      </c>
      <c r="N252">
        <v>0</v>
      </c>
    </row>
    <row r="253" spans="1:14">
      <c r="A253">
        <v>43</v>
      </c>
      <c r="B253">
        <v>1</v>
      </c>
      <c r="C253">
        <v>0</v>
      </c>
      <c r="D253">
        <v>132</v>
      </c>
      <c r="E253">
        <v>247</v>
      </c>
      <c r="F253">
        <v>1</v>
      </c>
      <c r="G253">
        <v>0</v>
      </c>
      <c r="H253">
        <v>143</v>
      </c>
      <c r="I253">
        <v>1</v>
      </c>
      <c r="J253">
        <v>0.1</v>
      </c>
      <c r="K253">
        <v>1</v>
      </c>
      <c r="L253">
        <v>4</v>
      </c>
      <c r="M253">
        <v>3</v>
      </c>
      <c r="N253">
        <v>0</v>
      </c>
    </row>
    <row r="254" spans="1:14">
      <c r="A254">
        <v>62</v>
      </c>
      <c r="B254">
        <v>0</v>
      </c>
      <c r="C254">
        <v>0</v>
      </c>
      <c r="D254">
        <v>138</v>
      </c>
      <c r="E254">
        <v>294</v>
      </c>
      <c r="F254">
        <v>1</v>
      </c>
      <c r="G254">
        <v>1</v>
      </c>
      <c r="H254">
        <v>106</v>
      </c>
      <c r="I254">
        <v>0</v>
      </c>
      <c r="J254">
        <v>1.9</v>
      </c>
      <c r="K254">
        <v>1</v>
      </c>
      <c r="L254">
        <v>3</v>
      </c>
      <c r="M254">
        <v>2</v>
      </c>
      <c r="N254">
        <v>0</v>
      </c>
    </row>
    <row r="255" spans="1:14">
      <c r="A255">
        <v>67</v>
      </c>
      <c r="B255">
        <v>1</v>
      </c>
      <c r="C255">
        <v>0</v>
      </c>
      <c r="D255">
        <v>100</v>
      </c>
      <c r="E255">
        <v>299</v>
      </c>
      <c r="F255">
        <v>0</v>
      </c>
      <c r="G255">
        <v>0</v>
      </c>
      <c r="H255">
        <v>125</v>
      </c>
      <c r="I255">
        <v>1</v>
      </c>
      <c r="J255">
        <v>0.9</v>
      </c>
      <c r="K255">
        <v>1</v>
      </c>
      <c r="L255">
        <v>2</v>
      </c>
      <c r="M255">
        <v>2</v>
      </c>
      <c r="N255">
        <v>0</v>
      </c>
    </row>
    <row r="256" spans="1:14">
      <c r="A256">
        <v>59</v>
      </c>
      <c r="B256">
        <v>1</v>
      </c>
      <c r="C256">
        <v>3</v>
      </c>
      <c r="D256">
        <v>160</v>
      </c>
      <c r="E256">
        <v>273</v>
      </c>
      <c r="F256">
        <v>0</v>
      </c>
      <c r="G256">
        <v>0</v>
      </c>
      <c r="H256">
        <v>125</v>
      </c>
      <c r="I256">
        <v>0</v>
      </c>
      <c r="J256">
        <v>0</v>
      </c>
      <c r="K256">
        <v>2</v>
      </c>
      <c r="L256">
        <v>0</v>
      </c>
      <c r="M256">
        <v>2</v>
      </c>
      <c r="N256">
        <v>0</v>
      </c>
    </row>
    <row r="257" spans="1:14">
      <c r="A257">
        <v>45</v>
      </c>
      <c r="B257">
        <v>1</v>
      </c>
      <c r="C257">
        <v>0</v>
      </c>
      <c r="D257">
        <v>142</v>
      </c>
      <c r="E257">
        <v>309</v>
      </c>
      <c r="F257">
        <v>0</v>
      </c>
      <c r="G257">
        <v>0</v>
      </c>
      <c r="H257">
        <v>147</v>
      </c>
      <c r="I257">
        <v>1</v>
      </c>
      <c r="J257">
        <v>0</v>
      </c>
      <c r="K257">
        <v>1</v>
      </c>
      <c r="L257">
        <v>3</v>
      </c>
      <c r="M257">
        <v>3</v>
      </c>
      <c r="N257">
        <v>0</v>
      </c>
    </row>
    <row r="258" spans="1:14">
      <c r="A258">
        <v>58</v>
      </c>
      <c r="B258">
        <v>1</v>
      </c>
      <c r="C258">
        <v>0</v>
      </c>
      <c r="D258">
        <v>128</v>
      </c>
      <c r="E258">
        <v>259</v>
      </c>
      <c r="F258">
        <v>0</v>
      </c>
      <c r="G258">
        <v>0</v>
      </c>
      <c r="H258">
        <v>130</v>
      </c>
      <c r="I258">
        <v>1</v>
      </c>
      <c r="J258">
        <v>3</v>
      </c>
      <c r="K258">
        <v>1</v>
      </c>
      <c r="L258">
        <v>2</v>
      </c>
      <c r="M258">
        <v>3</v>
      </c>
      <c r="N258">
        <v>0</v>
      </c>
    </row>
    <row r="259" spans="1:14">
      <c r="A259">
        <v>50</v>
      </c>
      <c r="B259">
        <v>1</v>
      </c>
      <c r="C259">
        <v>0</v>
      </c>
      <c r="D259">
        <v>144</v>
      </c>
      <c r="E259">
        <v>200</v>
      </c>
      <c r="F259">
        <v>0</v>
      </c>
      <c r="G259">
        <v>0</v>
      </c>
      <c r="H259">
        <v>126</v>
      </c>
      <c r="I259">
        <v>1</v>
      </c>
      <c r="J259">
        <v>0.9</v>
      </c>
      <c r="K259">
        <v>1</v>
      </c>
      <c r="L259">
        <v>0</v>
      </c>
      <c r="M259">
        <v>3</v>
      </c>
      <c r="N259">
        <v>0</v>
      </c>
    </row>
    <row r="260" spans="1:14">
      <c r="A260">
        <v>62</v>
      </c>
      <c r="B260">
        <v>0</v>
      </c>
      <c r="C260">
        <v>0</v>
      </c>
      <c r="D260">
        <v>150</v>
      </c>
      <c r="E260">
        <v>244</v>
      </c>
      <c r="F260">
        <v>0</v>
      </c>
      <c r="G260">
        <v>1</v>
      </c>
      <c r="H260">
        <v>154</v>
      </c>
      <c r="I260">
        <v>1</v>
      </c>
      <c r="J260">
        <v>1.4</v>
      </c>
      <c r="K260">
        <v>1</v>
      </c>
      <c r="L260">
        <v>0</v>
      </c>
      <c r="M260">
        <v>2</v>
      </c>
      <c r="N260">
        <v>0</v>
      </c>
    </row>
    <row r="261" spans="1:14">
      <c r="A261">
        <v>38</v>
      </c>
      <c r="B261">
        <v>1</v>
      </c>
      <c r="C261">
        <v>3</v>
      </c>
      <c r="D261">
        <v>120</v>
      </c>
      <c r="E261">
        <v>231</v>
      </c>
      <c r="F261">
        <v>0</v>
      </c>
      <c r="G261">
        <v>1</v>
      </c>
      <c r="H261">
        <v>182</v>
      </c>
      <c r="I261">
        <v>1</v>
      </c>
      <c r="J261">
        <v>3.8</v>
      </c>
      <c r="K261">
        <v>1</v>
      </c>
      <c r="L261">
        <v>0</v>
      </c>
      <c r="M261">
        <v>3</v>
      </c>
      <c r="N261">
        <v>0</v>
      </c>
    </row>
    <row r="262" spans="1:14">
      <c r="A262">
        <v>66</v>
      </c>
      <c r="B262">
        <v>0</v>
      </c>
      <c r="C262">
        <v>0</v>
      </c>
      <c r="D262">
        <v>178</v>
      </c>
      <c r="E262">
        <v>228</v>
      </c>
      <c r="F262">
        <v>1</v>
      </c>
      <c r="G262">
        <v>1</v>
      </c>
      <c r="H262">
        <v>165</v>
      </c>
      <c r="I262">
        <v>1</v>
      </c>
      <c r="J262">
        <v>1</v>
      </c>
      <c r="K262">
        <v>1</v>
      </c>
      <c r="L262">
        <v>2</v>
      </c>
      <c r="M262">
        <v>3</v>
      </c>
      <c r="N262">
        <v>0</v>
      </c>
    </row>
    <row r="263" spans="1:14">
      <c r="A263">
        <v>52</v>
      </c>
      <c r="B263">
        <v>1</v>
      </c>
      <c r="C263">
        <v>0</v>
      </c>
      <c r="D263">
        <v>112</v>
      </c>
      <c r="E263">
        <v>230</v>
      </c>
      <c r="F263">
        <v>0</v>
      </c>
      <c r="G263">
        <v>1</v>
      </c>
      <c r="H263">
        <v>160</v>
      </c>
      <c r="I263">
        <v>0</v>
      </c>
      <c r="J263">
        <v>0</v>
      </c>
      <c r="K263">
        <v>2</v>
      </c>
      <c r="L263">
        <v>1</v>
      </c>
      <c r="M263">
        <v>2</v>
      </c>
      <c r="N263">
        <v>0</v>
      </c>
    </row>
    <row r="264" spans="1:14">
      <c r="A264">
        <v>53</v>
      </c>
      <c r="B264">
        <v>1</v>
      </c>
      <c r="C264">
        <v>0</v>
      </c>
      <c r="D264">
        <v>123</v>
      </c>
      <c r="E264">
        <v>282</v>
      </c>
      <c r="F264">
        <v>0</v>
      </c>
      <c r="G264">
        <v>1</v>
      </c>
      <c r="H264">
        <v>95</v>
      </c>
      <c r="I264">
        <v>1</v>
      </c>
      <c r="J264">
        <v>2</v>
      </c>
      <c r="K264">
        <v>1</v>
      </c>
      <c r="L264">
        <v>2</v>
      </c>
      <c r="M264">
        <v>3</v>
      </c>
      <c r="N264">
        <v>0</v>
      </c>
    </row>
    <row r="265" spans="1:14">
      <c r="A265">
        <v>63</v>
      </c>
      <c r="B265">
        <v>0</v>
      </c>
      <c r="C265">
        <v>0</v>
      </c>
      <c r="D265">
        <v>108</v>
      </c>
      <c r="E265">
        <v>269</v>
      </c>
      <c r="F265">
        <v>0</v>
      </c>
      <c r="G265">
        <v>1</v>
      </c>
      <c r="H265">
        <v>169</v>
      </c>
      <c r="I265">
        <v>1</v>
      </c>
      <c r="J265">
        <v>1.8</v>
      </c>
      <c r="K265">
        <v>1</v>
      </c>
      <c r="L265">
        <v>2</v>
      </c>
      <c r="M265">
        <v>2</v>
      </c>
      <c r="N265">
        <v>0</v>
      </c>
    </row>
    <row r="266" spans="1:14">
      <c r="A266">
        <v>54</v>
      </c>
      <c r="B266">
        <v>1</v>
      </c>
      <c r="C266">
        <v>0</v>
      </c>
      <c r="D266">
        <v>110</v>
      </c>
      <c r="E266">
        <v>206</v>
      </c>
      <c r="F266">
        <v>0</v>
      </c>
      <c r="G266">
        <v>0</v>
      </c>
      <c r="H266">
        <v>108</v>
      </c>
      <c r="I266">
        <v>1</v>
      </c>
      <c r="J266">
        <v>0</v>
      </c>
      <c r="K266">
        <v>1</v>
      </c>
      <c r="L266">
        <v>1</v>
      </c>
      <c r="M266">
        <v>2</v>
      </c>
      <c r="N266">
        <v>0</v>
      </c>
    </row>
    <row r="267" spans="1:14">
      <c r="A267">
        <v>66</v>
      </c>
      <c r="B267">
        <v>1</v>
      </c>
      <c r="C267">
        <v>0</v>
      </c>
      <c r="D267">
        <v>112</v>
      </c>
      <c r="E267">
        <v>212</v>
      </c>
      <c r="F267">
        <v>0</v>
      </c>
      <c r="G267">
        <v>0</v>
      </c>
      <c r="H267">
        <v>132</v>
      </c>
      <c r="I267">
        <v>1</v>
      </c>
      <c r="J267">
        <v>0.1</v>
      </c>
      <c r="K267">
        <v>2</v>
      </c>
      <c r="L267">
        <v>1</v>
      </c>
      <c r="M267">
        <v>2</v>
      </c>
      <c r="N267">
        <v>0</v>
      </c>
    </row>
    <row r="268" spans="1:14">
      <c r="A268">
        <v>55</v>
      </c>
      <c r="B268">
        <v>0</v>
      </c>
      <c r="C268">
        <v>0</v>
      </c>
      <c r="D268">
        <v>180</v>
      </c>
      <c r="E268">
        <v>327</v>
      </c>
      <c r="F268">
        <v>0</v>
      </c>
      <c r="G268">
        <v>2</v>
      </c>
      <c r="H268">
        <v>117</v>
      </c>
      <c r="I268">
        <v>1</v>
      </c>
      <c r="J268">
        <v>3.4</v>
      </c>
      <c r="K268">
        <v>1</v>
      </c>
      <c r="L268">
        <v>0</v>
      </c>
      <c r="M268">
        <v>2</v>
      </c>
      <c r="N268">
        <v>0</v>
      </c>
    </row>
    <row r="269" spans="1:14">
      <c r="A269">
        <v>49</v>
      </c>
      <c r="B269">
        <v>1</v>
      </c>
      <c r="C269">
        <v>2</v>
      </c>
      <c r="D269">
        <v>118</v>
      </c>
      <c r="E269">
        <v>149</v>
      </c>
      <c r="F269">
        <v>0</v>
      </c>
      <c r="G269">
        <v>0</v>
      </c>
      <c r="H269">
        <v>126</v>
      </c>
      <c r="I269">
        <v>0</v>
      </c>
      <c r="J269">
        <v>0.8</v>
      </c>
      <c r="K269">
        <v>2</v>
      </c>
      <c r="L269">
        <v>3</v>
      </c>
      <c r="M269">
        <v>2</v>
      </c>
      <c r="N269">
        <v>0</v>
      </c>
    </row>
    <row r="270" spans="1:14">
      <c r="A270">
        <v>54</v>
      </c>
      <c r="B270">
        <v>1</v>
      </c>
      <c r="C270">
        <v>0</v>
      </c>
      <c r="D270">
        <v>122</v>
      </c>
      <c r="E270">
        <v>286</v>
      </c>
      <c r="F270">
        <v>0</v>
      </c>
      <c r="G270">
        <v>0</v>
      </c>
      <c r="H270">
        <v>116</v>
      </c>
      <c r="I270">
        <v>1</v>
      </c>
      <c r="J270">
        <v>3.2</v>
      </c>
      <c r="K270">
        <v>1</v>
      </c>
      <c r="L270">
        <v>2</v>
      </c>
      <c r="M270">
        <v>2</v>
      </c>
      <c r="N270">
        <v>0</v>
      </c>
    </row>
    <row r="271" spans="1:14">
      <c r="A271">
        <v>56</v>
      </c>
      <c r="B271">
        <v>1</v>
      </c>
      <c r="C271">
        <v>0</v>
      </c>
      <c r="D271">
        <v>130</v>
      </c>
      <c r="E271">
        <v>283</v>
      </c>
      <c r="F271">
        <v>1</v>
      </c>
      <c r="G271">
        <v>0</v>
      </c>
      <c r="H271">
        <v>103</v>
      </c>
      <c r="I271">
        <v>1</v>
      </c>
      <c r="J271">
        <v>1.6</v>
      </c>
      <c r="K271">
        <v>0</v>
      </c>
      <c r="L271">
        <v>0</v>
      </c>
      <c r="M271">
        <v>3</v>
      </c>
      <c r="N271">
        <v>0</v>
      </c>
    </row>
    <row r="272" spans="1:14">
      <c r="A272">
        <v>46</v>
      </c>
      <c r="B272">
        <v>1</v>
      </c>
      <c r="C272">
        <v>0</v>
      </c>
      <c r="D272">
        <v>120</v>
      </c>
      <c r="E272">
        <v>249</v>
      </c>
      <c r="F272">
        <v>0</v>
      </c>
      <c r="G272">
        <v>0</v>
      </c>
      <c r="H272">
        <v>144</v>
      </c>
      <c r="I272">
        <v>0</v>
      </c>
      <c r="J272">
        <v>0.8</v>
      </c>
      <c r="K272">
        <v>2</v>
      </c>
      <c r="L272">
        <v>0</v>
      </c>
      <c r="M272">
        <v>3</v>
      </c>
      <c r="N272">
        <v>0</v>
      </c>
    </row>
    <row r="273" spans="1:14">
      <c r="A273">
        <v>61</v>
      </c>
      <c r="B273">
        <v>1</v>
      </c>
      <c r="C273">
        <v>3</v>
      </c>
      <c r="D273">
        <v>134</v>
      </c>
      <c r="E273">
        <v>234</v>
      </c>
      <c r="F273">
        <v>0</v>
      </c>
      <c r="G273">
        <v>1</v>
      </c>
      <c r="H273">
        <v>145</v>
      </c>
      <c r="I273">
        <v>0</v>
      </c>
      <c r="J273">
        <v>2.6</v>
      </c>
      <c r="K273">
        <v>1</v>
      </c>
      <c r="L273">
        <v>2</v>
      </c>
      <c r="M273">
        <v>2</v>
      </c>
      <c r="N273">
        <v>0</v>
      </c>
    </row>
    <row r="274" spans="1:14">
      <c r="A274">
        <v>67</v>
      </c>
      <c r="B274">
        <v>1</v>
      </c>
      <c r="C274">
        <v>0</v>
      </c>
      <c r="D274">
        <v>120</v>
      </c>
      <c r="E274">
        <v>237</v>
      </c>
      <c r="F274">
        <v>0</v>
      </c>
      <c r="G274">
        <v>1</v>
      </c>
      <c r="H274">
        <v>71</v>
      </c>
      <c r="I274">
        <v>0</v>
      </c>
      <c r="J274">
        <v>1</v>
      </c>
      <c r="K274">
        <v>1</v>
      </c>
      <c r="L274">
        <v>0</v>
      </c>
      <c r="M274">
        <v>2</v>
      </c>
      <c r="N274">
        <v>0</v>
      </c>
    </row>
    <row r="275" spans="1:14">
      <c r="A275">
        <v>58</v>
      </c>
      <c r="B275">
        <v>1</v>
      </c>
      <c r="C275">
        <v>0</v>
      </c>
      <c r="D275">
        <v>100</v>
      </c>
      <c r="E275">
        <v>234</v>
      </c>
      <c r="F275">
        <v>0</v>
      </c>
      <c r="G275">
        <v>1</v>
      </c>
      <c r="H275">
        <v>156</v>
      </c>
      <c r="I275">
        <v>0</v>
      </c>
      <c r="J275">
        <v>0.1</v>
      </c>
      <c r="K275">
        <v>2</v>
      </c>
      <c r="L275">
        <v>1</v>
      </c>
      <c r="M275">
        <v>3</v>
      </c>
      <c r="N275">
        <v>0</v>
      </c>
    </row>
    <row r="276" spans="1:14">
      <c r="A276">
        <v>47</v>
      </c>
      <c r="B276">
        <v>1</v>
      </c>
      <c r="C276">
        <v>0</v>
      </c>
      <c r="D276">
        <v>110</v>
      </c>
      <c r="E276">
        <v>275</v>
      </c>
      <c r="F276">
        <v>0</v>
      </c>
      <c r="G276">
        <v>0</v>
      </c>
      <c r="H276">
        <v>118</v>
      </c>
      <c r="I276">
        <v>1</v>
      </c>
      <c r="J276">
        <v>1</v>
      </c>
      <c r="K276">
        <v>1</v>
      </c>
      <c r="L276">
        <v>1</v>
      </c>
      <c r="M276">
        <v>2</v>
      </c>
      <c r="N276">
        <v>0</v>
      </c>
    </row>
    <row r="277" spans="1:14">
      <c r="A277">
        <v>52</v>
      </c>
      <c r="B277">
        <v>1</v>
      </c>
      <c r="C277">
        <v>0</v>
      </c>
      <c r="D277">
        <v>125</v>
      </c>
      <c r="E277">
        <v>212</v>
      </c>
      <c r="F277">
        <v>0</v>
      </c>
      <c r="G277">
        <v>1</v>
      </c>
      <c r="H277">
        <v>168</v>
      </c>
      <c r="I277">
        <v>0</v>
      </c>
      <c r="J277">
        <v>1</v>
      </c>
      <c r="K277">
        <v>2</v>
      </c>
      <c r="L277">
        <v>2</v>
      </c>
      <c r="M277">
        <v>3</v>
      </c>
      <c r="N277">
        <v>0</v>
      </c>
    </row>
    <row r="278" spans="1:14">
      <c r="A278">
        <v>58</v>
      </c>
      <c r="B278">
        <v>1</v>
      </c>
      <c r="C278">
        <v>0</v>
      </c>
      <c r="D278">
        <v>146</v>
      </c>
      <c r="E278">
        <v>218</v>
      </c>
      <c r="F278">
        <v>0</v>
      </c>
      <c r="G278">
        <v>1</v>
      </c>
      <c r="H278">
        <v>105</v>
      </c>
      <c r="I278">
        <v>0</v>
      </c>
      <c r="J278">
        <v>2</v>
      </c>
      <c r="K278">
        <v>1</v>
      </c>
      <c r="L278">
        <v>1</v>
      </c>
      <c r="M278">
        <v>3</v>
      </c>
      <c r="N278">
        <v>0</v>
      </c>
    </row>
    <row r="279" spans="1:14">
      <c r="A279">
        <v>57</v>
      </c>
      <c r="B279">
        <v>1</v>
      </c>
      <c r="C279">
        <v>1</v>
      </c>
      <c r="D279">
        <v>124</v>
      </c>
      <c r="E279">
        <v>261</v>
      </c>
      <c r="F279">
        <v>0</v>
      </c>
      <c r="G279">
        <v>1</v>
      </c>
      <c r="H279">
        <v>141</v>
      </c>
      <c r="I279">
        <v>0</v>
      </c>
      <c r="J279">
        <v>0.3</v>
      </c>
      <c r="K279">
        <v>2</v>
      </c>
      <c r="L279">
        <v>0</v>
      </c>
      <c r="M279">
        <v>3</v>
      </c>
      <c r="N279">
        <v>0</v>
      </c>
    </row>
    <row r="280" spans="1:14">
      <c r="A280">
        <v>58</v>
      </c>
      <c r="B280">
        <v>0</v>
      </c>
      <c r="C280">
        <v>1</v>
      </c>
      <c r="D280">
        <v>136</v>
      </c>
      <c r="E280">
        <v>319</v>
      </c>
      <c r="F280">
        <v>1</v>
      </c>
      <c r="G280">
        <v>0</v>
      </c>
      <c r="H280">
        <v>152</v>
      </c>
      <c r="I280">
        <v>0</v>
      </c>
      <c r="J280">
        <v>0</v>
      </c>
      <c r="K280">
        <v>2</v>
      </c>
      <c r="L280">
        <v>2</v>
      </c>
      <c r="M280">
        <v>2</v>
      </c>
      <c r="N280">
        <v>0</v>
      </c>
    </row>
    <row r="281" spans="1:14">
      <c r="A281">
        <v>61</v>
      </c>
      <c r="B281">
        <v>1</v>
      </c>
      <c r="C281">
        <v>0</v>
      </c>
      <c r="D281">
        <v>138</v>
      </c>
      <c r="E281">
        <v>166</v>
      </c>
      <c r="F281">
        <v>0</v>
      </c>
      <c r="G281">
        <v>0</v>
      </c>
      <c r="H281">
        <v>125</v>
      </c>
      <c r="I281">
        <v>1</v>
      </c>
      <c r="J281">
        <v>3.6</v>
      </c>
      <c r="K281">
        <v>1</v>
      </c>
      <c r="L281">
        <v>1</v>
      </c>
      <c r="M281">
        <v>2</v>
      </c>
      <c r="N281">
        <v>0</v>
      </c>
    </row>
    <row r="282" spans="1:14">
      <c r="A282">
        <v>42</v>
      </c>
      <c r="B282">
        <v>1</v>
      </c>
      <c r="C282">
        <v>0</v>
      </c>
      <c r="D282">
        <v>136</v>
      </c>
      <c r="E282">
        <v>315</v>
      </c>
      <c r="F282">
        <v>0</v>
      </c>
      <c r="G282">
        <v>1</v>
      </c>
      <c r="H282">
        <v>125</v>
      </c>
      <c r="I282">
        <v>1</v>
      </c>
      <c r="J282">
        <v>1.8</v>
      </c>
      <c r="K282">
        <v>1</v>
      </c>
      <c r="L282">
        <v>0</v>
      </c>
      <c r="M282">
        <v>1</v>
      </c>
      <c r="N282">
        <v>0</v>
      </c>
    </row>
    <row r="283" spans="1:14">
      <c r="A283">
        <v>52</v>
      </c>
      <c r="B283">
        <v>1</v>
      </c>
      <c r="C283">
        <v>0</v>
      </c>
      <c r="D283">
        <v>128</v>
      </c>
      <c r="E283">
        <v>204</v>
      </c>
      <c r="F283">
        <v>1</v>
      </c>
      <c r="G283">
        <v>1</v>
      </c>
      <c r="H283">
        <v>156</v>
      </c>
      <c r="I283">
        <v>1</v>
      </c>
      <c r="J283">
        <v>1</v>
      </c>
      <c r="K283">
        <v>1</v>
      </c>
      <c r="L283">
        <v>0</v>
      </c>
      <c r="M283">
        <v>0</v>
      </c>
      <c r="N283">
        <v>0</v>
      </c>
    </row>
    <row r="284" spans="1:14">
      <c r="A284">
        <v>59</v>
      </c>
      <c r="B284">
        <v>1</v>
      </c>
      <c r="C284">
        <v>2</v>
      </c>
      <c r="D284">
        <v>126</v>
      </c>
      <c r="E284">
        <v>218</v>
      </c>
      <c r="F284">
        <v>1</v>
      </c>
      <c r="G284">
        <v>1</v>
      </c>
      <c r="H284">
        <v>134</v>
      </c>
      <c r="I284">
        <v>0</v>
      </c>
      <c r="J284">
        <v>2.2000000000000002</v>
      </c>
      <c r="K284">
        <v>1</v>
      </c>
      <c r="L284">
        <v>1</v>
      </c>
      <c r="M284">
        <v>1</v>
      </c>
      <c r="N284">
        <v>0</v>
      </c>
    </row>
    <row r="285" spans="1:14">
      <c r="A285">
        <v>40</v>
      </c>
      <c r="B285">
        <v>1</v>
      </c>
      <c r="C285">
        <v>0</v>
      </c>
      <c r="D285">
        <v>152</v>
      </c>
      <c r="E285">
        <v>223</v>
      </c>
      <c r="F285">
        <v>0</v>
      </c>
      <c r="G285">
        <v>1</v>
      </c>
      <c r="H285">
        <v>181</v>
      </c>
      <c r="I285">
        <v>0</v>
      </c>
      <c r="J285">
        <v>0</v>
      </c>
      <c r="K285">
        <v>2</v>
      </c>
      <c r="L285">
        <v>0</v>
      </c>
      <c r="M285">
        <v>3</v>
      </c>
      <c r="N285">
        <v>0</v>
      </c>
    </row>
    <row r="286" spans="1:14">
      <c r="A286">
        <v>61</v>
      </c>
      <c r="B286">
        <v>1</v>
      </c>
      <c r="C286">
        <v>0</v>
      </c>
      <c r="D286">
        <v>140</v>
      </c>
      <c r="E286">
        <v>207</v>
      </c>
      <c r="F286">
        <v>0</v>
      </c>
      <c r="G286">
        <v>0</v>
      </c>
      <c r="H286">
        <v>138</v>
      </c>
      <c r="I286">
        <v>1</v>
      </c>
      <c r="J286">
        <v>1.9</v>
      </c>
      <c r="K286">
        <v>2</v>
      </c>
      <c r="L286">
        <v>1</v>
      </c>
      <c r="M286">
        <v>3</v>
      </c>
      <c r="N286">
        <v>0</v>
      </c>
    </row>
    <row r="287" spans="1:14">
      <c r="A287">
        <v>46</v>
      </c>
      <c r="B287">
        <v>1</v>
      </c>
      <c r="C287">
        <v>0</v>
      </c>
      <c r="D287">
        <v>140</v>
      </c>
      <c r="E287">
        <v>311</v>
      </c>
      <c r="F287">
        <v>0</v>
      </c>
      <c r="G287">
        <v>1</v>
      </c>
      <c r="H287">
        <v>120</v>
      </c>
      <c r="I287">
        <v>1</v>
      </c>
      <c r="J287">
        <v>1.8</v>
      </c>
      <c r="K287">
        <v>1</v>
      </c>
      <c r="L287">
        <v>2</v>
      </c>
      <c r="M287">
        <v>3</v>
      </c>
      <c r="N287">
        <v>0</v>
      </c>
    </row>
    <row r="288" spans="1:14">
      <c r="A288">
        <v>59</v>
      </c>
      <c r="B288">
        <v>1</v>
      </c>
      <c r="C288">
        <v>3</v>
      </c>
      <c r="D288">
        <v>134</v>
      </c>
      <c r="E288">
        <v>204</v>
      </c>
      <c r="F288">
        <v>0</v>
      </c>
      <c r="G288">
        <v>1</v>
      </c>
      <c r="H288">
        <v>162</v>
      </c>
      <c r="I288">
        <v>0</v>
      </c>
      <c r="J288">
        <v>0.8</v>
      </c>
      <c r="K288">
        <v>2</v>
      </c>
      <c r="L288">
        <v>2</v>
      </c>
      <c r="M288">
        <v>2</v>
      </c>
      <c r="N288">
        <v>0</v>
      </c>
    </row>
    <row r="289" spans="1:14">
      <c r="A289">
        <v>57</v>
      </c>
      <c r="B289">
        <v>1</v>
      </c>
      <c r="C289">
        <v>1</v>
      </c>
      <c r="D289">
        <v>154</v>
      </c>
      <c r="E289">
        <v>232</v>
      </c>
      <c r="F289">
        <v>0</v>
      </c>
      <c r="G289">
        <v>0</v>
      </c>
      <c r="H289">
        <v>164</v>
      </c>
      <c r="I289">
        <v>0</v>
      </c>
      <c r="J289">
        <v>0</v>
      </c>
      <c r="K289">
        <v>2</v>
      </c>
      <c r="L289">
        <v>1</v>
      </c>
      <c r="M289">
        <v>2</v>
      </c>
      <c r="N289">
        <v>0</v>
      </c>
    </row>
    <row r="290" spans="1:14">
      <c r="A290">
        <v>57</v>
      </c>
      <c r="B290">
        <v>1</v>
      </c>
      <c r="C290">
        <v>0</v>
      </c>
      <c r="D290">
        <v>110</v>
      </c>
      <c r="E290">
        <v>335</v>
      </c>
      <c r="F290">
        <v>0</v>
      </c>
      <c r="G290">
        <v>1</v>
      </c>
      <c r="H290">
        <v>143</v>
      </c>
      <c r="I290">
        <v>1</v>
      </c>
      <c r="J290">
        <v>3</v>
      </c>
      <c r="K290">
        <v>1</v>
      </c>
      <c r="L290">
        <v>1</v>
      </c>
      <c r="M290">
        <v>3</v>
      </c>
      <c r="N290">
        <v>0</v>
      </c>
    </row>
    <row r="291" spans="1:14">
      <c r="A291">
        <v>55</v>
      </c>
      <c r="B291">
        <v>0</v>
      </c>
      <c r="C291">
        <v>0</v>
      </c>
      <c r="D291">
        <v>128</v>
      </c>
      <c r="E291">
        <v>205</v>
      </c>
      <c r="F291">
        <v>0</v>
      </c>
      <c r="G291">
        <v>2</v>
      </c>
      <c r="H291">
        <v>130</v>
      </c>
      <c r="I291">
        <v>1</v>
      </c>
      <c r="J291">
        <v>2</v>
      </c>
      <c r="K291">
        <v>1</v>
      </c>
      <c r="L291">
        <v>1</v>
      </c>
      <c r="M291">
        <v>3</v>
      </c>
      <c r="N291">
        <v>0</v>
      </c>
    </row>
    <row r="292" spans="1:14">
      <c r="A292">
        <v>61</v>
      </c>
      <c r="B292">
        <v>1</v>
      </c>
      <c r="C292">
        <v>0</v>
      </c>
      <c r="D292">
        <v>148</v>
      </c>
      <c r="E292">
        <v>203</v>
      </c>
      <c r="F292">
        <v>0</v>
      </c>
      <c r="G292">
        <v>1</v>
      </c>
      <c r="H292">
        <v>161</v>
      </c>
      <c r="I292">
        <v>0</v>
      </c>
      <c r="J292">
        <v>0</v>
      </c>
      <c r="K292">
        <v>2</v>
      </c>
      <c r="L292">
        <v>1</v>
      </c>
      <c r="M292">
        <v>3</v>
      </c>
      <c r="N292">
        <v>0</v>
      </c>
    </row>
    <row r="293" spans="1:14">
      <c r="A293">
        <v>58</v>
      </c>
      <c r="B293">
        <v>1</v>
      </c>
      <c r="C293">
        <v>0</v>
      </c>
      <c r="D293">
        <v>114</v>
      </c>
      <c r="E293">
        <v>318</v>
      </c>
      <c r="F293">
        <v>0</v>
      </c>
      <c r="G293">
        <v>2</v>
      </c>
      <c r="H293">
        <v>140</v>
      </c>
      <c r="I293">
        <v>0</v>
      </c>
      <c r="J293">
        <v>4.4000000000000004</v>
      </c>
      <c r="K293">
        <v>0</v>
      </c>
      <c r="L293">
        <v>3</v>
      </c>
      <c r="M293">
        <v>1</v>
      </c>
      <c r="N293">
        <v>0</v>
      </c>
    </row>
    <row r="294" spans="1:14">
      <c r="A294">
        <v>58</v>
      </c>
      <c r="B294">
        <v>0</v>
      </c>
      <c r="C294">
        <v>0</v>
      </c>
      <c r="D294">
        <v>170</v>
      </c>
      <c r="E294">
        <v>225</v>
      </c>
      <c r="F294">
        <v>1</v>
      </c>
      <c r="G294">
        <v>0</v>
      </c>
      <c r="H294">
        <v>146</v>
      </c>
      <c r="I294">
        <v>1</v>
      </c>
      <c r="J294">
        <v>2.8</v>
      </c>
      <c r="K294">
        <v>1</v>
      </c>
      <c r="L294">
        <v>2</v>
      </c>
      <c r="M294">
        <v>1</v>
      </c>
      <c r="N294">
        <v>0</v>
      </c>
    </row>
    <row r="295" spans="1:14">
      <c r="A295">
        <v>67</v>
      </c>
      <c r="B295">
        <v>1</v>
      </c>
      <c r="C295">
        <v>2</v>
      </c>
      <c r="D295">
        <v>152</v>
      </c>
      <c r="E295">
        <v>212</v>
      </c>
      <c r="F295">
        <v>0</v>
      </c>
      <c r="G295">
        <v>0</v>
      </c>
      <c r="H295">
        <v>150</v>
      </c>
      <c r="I295">
        <v>0</v>
      </c>
      <c r="J295">
        <v>0.8</v>
      </c>
      <c r="K295">
        <v>1</v>
      </c>
      <c r="L295">
        <v>0</v>
      </c>
      <c r="M295">
        <v>3</v>
      </c>
      <c r="N295">
        <v>0</v>
      </c>
    </row>
    <row r="296" spans="1:14">
      <c r="A296">
        <v>44</v>
      </c>
      <c r="B296">
        <v>1</v>
      </c>
      <c r="C296">
        <v>0</v>
      </c>
      <c r="D296">
        <v>120</v>
      </c>
      <c r="E296">
        <v>169</v>
      </c>
      <c r="F296">
        <v>0</v>
      </c>
      <c r="G296">
        <v>1</v>
      </c>
      <c r="H296">
        <v>144</v>
      </c>
      <c r="I296">
        <v>1</v>
      </c>
      <c r="J296">
        <v>2.8</v>
      </c>
      <c r="K296">
        <v>0</v>
      </c>
      <c r="L296">
        <v>0</v>
      </c>
      <c r="M296">
        <v>1</v>
      </c>
      <c r="N296">
        <v>0</v>
      </c>
    </row>
    <row r="297" spans="1:14">
      <c r="A297">
        <v>63</v>
      </c>
      <c r="B297">
        <v>1</v>
      </c>
      <c r="C297">
        <v>0</v>
      </c>
      <c r="D297">
        <v>140</v>
      </c>
      <c r="E297">
        <v>187</v>
      </c>
      <c r="F297">
        <v>0</v>
      </c>
      <c r="G297">
        <v>0</v>
      </c>
      <c r="H297">
        <v>144</v>
      </c>
      <c r="I297">
        <v>1</v>
      </c>
      <c r="J297">
        <v>4</v>
      </c>
      <c r="K297">
        <v>2</v>
      </c>
      <c r="L297">
        <v>2</v>
      </c>
      <c r="M297">
        <v>3</v>
      </c>
      <c r="N297">
        <v>0</v>
      </c>
    </row>
    <row r="298" spans="1:14">
      <c r="A298">
        <v>63</v>
      </c>
      <c r="B298">
        <v>0</v>
      </c>
      <c r="C298">
        <v>0</v>
      </c>
      <c r="D298">
        <v>124</v>
      </c>
      <c r="E298">
        <v>197</v>
      </c>
      <c r="F298">
        <v>0</v>
      </c>
      <c r="G298">
        <v>1</v>
      </c>
      <c r="H298">
        <v>136</v>
      </c>
      <c r="I298">
        <v>1</v>
      </c>
      <c r="J298">
        <v>0</v>
      </c>
      <c r="K298">
        <v>1</v>
      </c>
      <c r="L298">
        <v>0</v>
      </c>
      <c r="M298">
        <v>2</v>
      </c>
      <c r="N298">
        <v>0</v>
      </c>
    </row>
    <row r="299" spans="1:14">
      <c r="A299">
        <v>59</v>
      </c>
      <c r="B299">
        <v>1</v>
      </c>
      <c r="C299">
        <v>0</v>
      </c>
      <c r="D299">
        <v>164</v>
      </c>
      <c r="E299">
        <v>176</v>
      </c>
      <c r="F299">
        <v>1</v>
      </c>
      <c r="G299">
        <v>0</v>
      </c>
      <c r="H299">
        <v>90</v>
      </c>
      <c r="I299">
        <v>0</v>
      </c>
      <c r="J299">
        <v>1</v>
      </c>
      <c r="K299">
        <v>1</v>
      </c>
      <c r="L299">
        <v>2</v>
      </c>
      <c r="M299">
        <v>1</v>
      </c>
      <c r="N299">
        <v>0</v>
      </c>
    </row>
    <row r="300" spans="1:14">
      <c r="A300">
        <v>57</v>
      </c>
      <c r="B300">
        <v>0</v>
      </c>
      <c r="C300">
        <v>0</v>
      </c>
      <c r="D300">
        <v>140</v>
      </c>
      <c r="E300">
        <v>241</v>
      </c>
      <c r="F300">
        <v>0</v>
      </c>
      <c r="G300">
        <v>1</v>
      </c>
      <c r="H300">
        <v>123</v>
      </c>
      <c r="I300">
        <v>1</v>
      </c>
      <c r="J300">
        <v>0.2</v>
      </c>
      <c r="K300">
        <v>1</v>
      </c>
      <c r="L300">
        <v>0</v>
      </c>
      <c r="M300">
        <v>3</v>
      </c>
      <c r="N300">
        <v>0</v>
      </c>
    </row>
    <row r="301" spans="1:14">
      <c r="A301">
        <v>45</v>
      </c>
      <c r="B301">
        <v>1</v>
      </c>
      <c r="C301">
        <v>3</v>
      </c>
      <c r="D301">
        <v>110</v>
      </c>
      <c r="E301">
        <v>264</v>
      </c>
      <c r="F301">
        <v>0</v>
      </c>
      <c r="G301">
        <v>1</v>
      </c>
      <c r="H301">
        <v>132</v>
      </c>
      <c r="I301">
        <v>0</v>
      </c>
      <c r="J301">
        <v>1.2</v>
      </c>
      <c r="K301">
        <v>1</v>
      </c>
      <c r="L301">
        <v>0</v>
      </c>
      <c r="M301">
        <v>3</v>
      </c>
      <c r="N301">
        <v>0</v>
      </c>
    </row>
    <row r="302" spans="1:14">
      <c r="A302">
        <v>68</v>
      </c>
      <c r="B302">
        <v>1</v>
      </c>
      <c r="C302">
        <v>0</v>
      </c>
      <c r="D302">
        <v>144</v>
      </c>
      <c r="E302">
        <v>193</v>
      </c>
      <c r="F302">
        <v>1</v>
      </c>
      <c r="G302">
        <v>1</v>
      </c>
      <c r="H302">
        <v>141</v>
      </c>
      <c r="I302">
        <v>0</v>
      </c>
      <c r="J302">
        <v>3.4</v>
      </c>
      <c r="K302">
        <v>1</v>
      </c>
      <c r="L302">
        <v>2</v>
      </c>
      <c r="M302">
        <v>3</v>
      </c>
      <c r="N302">
        <v>0</v>
      </c>
    </row>
    <row r="303" spans="1:14">
      <c r="A303">
        <v>57</v>
      </c>
      <c r="B303">
        <v>1</v>
      </c>
      <c r="C303">
        <v>0</v>
      </c>
      <c r="D303">
        <v>130</v>
      </c>
      <c r="E303">
        <v>131</v>
      </c>
      <c r="F303">
        <v>0</v>
      </c>
      <c r="G303">
        <v>1</v>
      </c>
      <c r="H303">
        <v>115</v>
      </c>
      <c r="I303">
        <v>1</v>
      </c>
      <c r="J303">
        <v>1.2</v>
      </c>
      <c r="K303">
        <v>1</v>
      </c>
      <c r="L303">
        <v>1</v>
      </c>
      <c r="M303">
        <v>3</v>
      </c>
      <c r="N303">
        <v>0</v>
      </c>
    </row>
    <row r="304" spans="1:14">
      <c r="A304">
        <v>57</v>
      </c>
      <c r="B304">
        <v>0</v>
      </c>
      <c r="C304">
        <v>1</v>
      </c>
      <c r="D304">
        <v>130</v>
      </c>
      <c r="E304">
        <v>236</v>
      </c>
      <c r="F304">
        <v>0</v>
      </c>
      <c r="G304">
        <v>0</v>
      </c>
      <c r="H304">
        <v>174</v>
      </c>
      <c r="I304">
        <v>0</v>
      </c>
      <c r="J304">
        <v>0</v>
      </c>
      <c r="K304">
        <v>1</v>
      </c>
      <c r="L304">
        <v>1</v>
      </c>
      <c r="M304">
        <v>2</v>
      </c>
      <c r="N304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B034E-9571-4FBF-B0B4-4E6F454A9475}">
  <sheetPr codeName="Sheet2"/>
  <dimension ref="A1:D52"/>
  <sheetViews>
    <sheetView topLeftCell="A35" workbookViewId="0">
      <selection activeCell="C55" sqref="C55"/>
    </sheetView>
  </sheetViews>
  <sheetFormatPr defaultRowHeight="15"/>
  <cols>
    <col min="1" max="1" width="5.42578125" style="2" bestFit="1" customWidth="1"/>
    <col min="2" max="2" width="44.140625" style="2" bestFit="1" customWidth="1"/>
    <col min="3" max="3" width="24.5703125" style="2" bestFit="1" customWidth="1"/>
    <col min="4" max="4" width="26.7109375" style="2" bestFit="1" customWidth="1"/>
    <col min="5" max="16384" width="9.140625" style="2"/>
  </cols>
  <sheetData>
    <row r="1" spans="1:3" ht="19.5" thickBot="1">
      <c r="A1" s="124" t="s">
        <v>14</v>
      </c>
      <c r="B1" s="124"/>
      <c r="C1" s="124"/>
    </row>
    <row r="2" spans="1:3" ht="16.5" thickBot="1">
      <c r="A2" s="3" t="s">
        <v>18</v>
      </c>
      <c r="B2" s="4" t="s">
        <v>15</v>
      </c>
      <c r="C2" s="5" t="s">
        <v>16</v>
      </c>
    </row>
    <row r="3" spans="1:3">
      <c r="A3" s="6">
        <v>10</v>
      </c>
      <c r="B3" s="7">
        <f t="array" ref="B3:B13">FREQUENCY('orginal data'!A2:A304, A3:A12)</f>
        <v>0</v>
      </c>
      <c r="C3" s="8">
        <f t="shared" ref="C3:C14" si="0">B3/SUM($B$3:$B$13)*100</f>
        <v>0</v>
      </c>
    </row>
    <row r="4" spans="1:3">
      <c r="A4" s="9">
        <v>20</v>
      </c>
      <c r="B4" s="10">
        <v>0</v>
      </c>
      <c r="C4" s="11">
        <f t="shared" si="0"/>
        <v>0</v>
      </c>
    </row>
    <row r="5" spans="1:3">
      <c r="A5" s="9">
        <v>30</v>
      </c>
      <c r="B5" s="10">
        <v>1</v>
      </c>
      <c r="C5" s="11">
        <f t="shared" si="0"/>
        <v>0.33003300330033003</v>
      </c>
    </row>
    <row r="6" spans="1:3">
      <c r="A6" s="9">
        <v>40</v>
      </c>
      <c r="B6" s="10">
        <v>18</v>
      </c>
      <c r="C6" s="11">
        <f t="shared" si="0"/>
        <v>5.9405940594059405</v>
      </c>
    </row>
    <row r="7" spans="1:3">
      <c r="A7" s="9">
        <v>50</v>
      </c>
      <c r="B7" s="10">
        <v>76</v>
      </c>
      <c r="C7" s="11">
        <f t="shared" si="0"/>
        <v>25.082508250825082</v>
      </c>
    </row>
    <row r="8" spans="1:3">
      <c r="A8" s="9">
        <v>60</v>
      </c>
      <c r="B8" s="10">
        <v>129</v>
      </c>
      <c r="C8" s="11">
        <f t="shared" si="0"/>
        <v>42.574257425742573</v>
      </c>
    </row>
    <row r="9" spans="1:3">
      <c r="A9" s="9">
        <v>70</v>
      </c>
      <c r="B9" s="10">
        <v>73</v>
      </c>
      <c r="C9" s="11">
        <f t="shared" si="0"/>
        <v>24.092409240924091</v>
      </c>
    </row>
    <row r="10" spans="1:3">
      <c r="A10" s="9">
        <v>80</v>
      </c>
      <c r="B10" s="10">
        <v>6</v>
      </c>
      <c r="C10" s="11">
        <f t="shared" si="0"/>
        <v>1.9801980198019802</v>
      </c>
    </row>
    <row r="11" spans="1:3">
      <c r="A11" s="9">
        <v>90</v>
      </c>
      <c r="B11" s="10">
        <v>0</v>
      </c>
      <c r="C11" s="11">
        <f t="shared" si="0"/>
        <v>0</v>
      </c>
    </row>
    <row r="12" spans="1:3">
      <c r="A12" s="9">
        <v>100</v>
      </c>
      <c r="B12" s="10">
        <v>0</v>
      </c>
      <c r="C12" s="11">
        <f t="shared" si="0"/>
        <v>0</v>
      </c>
    </row>
    <row r="13" spans="1:3" ht="15.75" thickBot="1">
      <c r="A13" s="12"/>
      <c r="B13" s="13">
        <v>0</v>
      </c>
      <c r="C13" s="14">
        <f t="shared" si="0"/>
        <v>0</v>
      </c>
    </row>
    <row r="14" spans="1:3" ht="15.75" thickBot="1">
      <c r="A14" s="15" t="s">
        <v>17</v>
      </c>
      <c r="B14" s="16">
        <f>SUM(B3:B12)</f>
        <v>303</v>
      </c>
      <c r="C14" s="17">
        <f t="shared" si="0"/>
        <v>100</v>
      </c>
    </row>
    <row r="17" spans="2:3" ht="20.25">
      <c r="B17" s="18" t="s">
        <v>19</v>
      </c>
    </row>
    <row r="18" spans="2:3">
      <c r="B18" s="2" t="s">
        <v>20</v>
      </c>
      <c r="C18" s="2">
        <f>AVERAGE('orginal data'!A2:A304)</f>
        <v>54.366336633663366</v>
      </c>
    </row>
    <row r="19" spans="2:3">
      <c r="B19" s="2" t="s">
        <v>21</v>
      </c>
      <c r="C19" s="2">
        <f>MEDIAN('orginal data'!A2:A304)</f>
        <v>55</v>
      </c>
    </row>
    <row r="21" spans="2:3" ht="18.75">
      <c r="B21" s="19" t="s">
        <v>22</v>
      </c>
    </row>
    <row r="22" spans="2:3">
      <c r="B22" s="2" t="s">
        <v>23</v>
      </c>
      <c r="C22" s="2">
        <f>AVERAGE('orginal data'!E2:E304)</f>
        <v>246.26402640264027</v>
      </c>
    </row>
    <row r="23" spans="2:3">
      <c r="B23" s="2" t="s">
        <v>24</v>
      </c>
      <c r="C23" s="2">
        <f>MEDIAN('orginal data'!E2:E304)</f>
        <v>240</v>
      </c>
    </row>
    <row r="24" spans="2:3">
      <c r="B24" s="2" t="s">
        <v>25</v>
      </c>
      <c r="C24" s="2">
        <f>SKEW('orginal data'!E2:E304)</f>
        <v>1.1434008206693391</v>
      </c>
    </row>
    <row r="26" spans="2:3" ht="18.75">
      <c r="B26" s="19" t="s">
        <v>27</v>
      </c>
    </row>
    <row r="27" spans="2:3">
      <c r="B27" t="s">
        <v>26</v>
      </c>
    </row>
    <row r="28" spans="2:3">
      <c r="B28" s="2" t="s">
        <v>28</v>
      </c>
      <c r="C28" s="20">
        <f>COUNTIF('orginal data'!C2:C304,0)</f>
        <v>143</v>
      </c>
    </row>
    <row r="29" spans="2:3">
      <c r="B29" s="2" t="s">
        <v>29</v>
      </c>
      <c r="C29" s="2">
        <f>COUNTIF('orginal data'!C2:C304,1)</f>
        <v>50</v>
      </c>
    </row>
    <row r="30" spans="2:3">
      <c r="B30" s="2" t="s">
        <v>30</v>
      </c>
      <c r="C30" s="2">
        <f>COUNTIF('orginal data'!C2:C304,2)</f>
        <v>87</v>
      </c>
    </row>
    <row r="31" spans="2:3">
      <c r="B31" s="2" t="s">
        <v>31</v>
      </c>
      <c r="C31" s="2">
        <f>COUNTIF('orginal data'!C2:C304,3)</f>
        <v>23</v>
      </c>
    </row>
    <row r="34" spans="2:4" ht="18.75">
      <c r="B34" s="19" t="s">
        <v>32</v>
      </c>
    </row>
    <row r="35" spans="2:4">
      <c r="B35" t="s">
        <v>33</v>
      </c>
      <c r="C35" s="2">
        <f>CORREL('orginal data'!A2:A304, 'orginal data'!E2:E304)</f>
        <v>0.21367795655956176</v>
      </c>
    </row>
    <row r="36" spans="2:4">
      <c r="B36" s="2" t="s">
        <v>34</v>
      </c>
      <c r="C36" s="2">
        <f>CORREL('orginal data'!A2:A304, 'orginal data'!H2:H304)</f>
        <v>-0.39852193812106751</v>
      </c>
    </row>
    <row r="39" spans="2:4" ht="18.75">
      <c r="B39" s="19" t="s">
        <v>49</v>
      </c>
    </row>
    <row r="41" spans="2:4">
      <c r="B41" s="1" t="s">
        <v>50</v>
      </c>
      <c r="C41" s="2">
        <f>COUNTIF('orginal data'!N2:N304, 1)/COUNTA('orginal data'!N2:N304)</f>
        <v>0.54455445544554459</v>
      </c>
    </row>
    <row r="42" spans="2:4">
      <c r="B42" s="23" t="s">
        <v>51</v>
      </c>
    </row>
    <row r="44" spans="2:4">
      <c r="B44" s="2" t="s">
        <v>52</v>
      </c>
    </row>
    <row r="45" spans="2:4">
      <c r="B45" s="2" t="s">
        <v>37</v>
      </c>
      <c r="C45" s="23" t="s">
        <v>54</v>
      </c>
      <c r="D45" s="23" t="s">
        <v>53</v>
      </c>
    </row>
    <row r="46" spans="2:4">
      <c r="B46" s="23" t="s">
        <v>55</v>
      </c>
      <c r="C46" s="2">
        <v>0.173913043478261</v>
      </c>
      <c r="D46" s="2">
        <v>0.43636363636363634</v>
      </c>
    </row>
    <row r="47" spans="2:4">
      <c r="B47" s="23" t="s">
        <v>56</v>
      </c>
      <c r="C47" s="2">
        <v>0.82608695652173914</v>
      </c>
      <c r="D47" s="2">
        <v>0.5636363636363636</v>
      </c>
    </row>
    <row r="49" spans="2:2">
      <c r="B49" s="23" t="s">
        <v>57</v>
      </c>
    </row>
    <row r="50" spans="2:2" ht="29.25" customHeight="1">
      <c r="B50" s="24" t="s">
        <v>58</v>
      </c>
    </row>
    <row r="51" spans="2:2" ht="30">
      <c r="B51" s="25" t="s">
        <v>59</v>
      </c>
    </row>
    <row r="52" spans="2:2" ht="30">
      <c r="B52" s="25" t="s">
        <v>60</v>
      </c>
    </row>
  </sheetData>
  <mergeCells count="1">
    <mergeCell ref="A1:C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A2B543-2C68-4FAA-A2F9-3C0CC8515C87}">
  <sheetPr codeName="Sheet3"/>
  <dimension ref="B1:AC114"/>
  <sheetViews>
    <sheetView tabSelected="1" topLeftCell="A62" workbookViewId="0">
      <selection activeCell="F36" sqref="F36"/>
    </sheetView>
  </sheetViews>
  <sheetFormatPr defaultRowHeight="15"/>
  <cols>
    <col min="2" max="2" width="30.28515625" customWidth="1"/>
    <col min="3" max="3" width="12.7109375" bestFit="1" customWidth="1"/>
    <col min="4" max="4" width="18.140625" bestFit="1" customWidth="1"/>
    <col min="5" max="5" width="12.7109375" bestFit="1" customWidth="1"/>
    <col min="6" max="6" width="18.140625" bestFit="1" customWidth="1"/>
    <col min="7" max="7" width="16.28515625" customWidth="1"/>
    <col min="8" max="8" width="18.140625" bestFit="1" customWidth="1"/>
    <col min="9" max="9" width="12" bestFit="1" customWidth="1"/>
    <col min="10" max="10" width="18.140625" bestFit="1" customWidth="1"/>
    <col min="12" max="12" width="18.140625" bestFit="1" customWidth="1"/>
    <col min="13" max="13" width="12" bestFit="1" customWidth="1"/>
    <col min="14" max="14" width="18.140625" bestFit="1" customWidth="1"/>
    <col min="15" max="15" width="12.7109375" bestFit="1" customWidth="1"/>
    <col min="16" max="16" width="18.140625" bestFit="1" customWidth="1"/>
    <col min="17" max="17" width="12.7109375" bestFit="1" customWidth="1"/>
    <col min="18" max="18" width="18.140625" bestFit="1" customWidth="1"/>
    <col min="19" max="19" width="12.7109375" bestFit="1" customWidth="1"/>
    <col min="20" max="20" width="18.140625" bestFit="1" customWidth="1"/>
    <col min="22" max="22" width="18.140625" bestFit="1" customWidth="1"/>
    <col min="23" max="23" width="12.7109375" bestFit="1" customWidth="1"/>
    <col min="24" max="24" width="18.140625" bestFit="1" customWidth="1"/>
    <col min="25" max="25" width="12" bestFit="1" customWidth="1"/>
    <col min="26" max="26" width="18.140625" bestFit="1" customWidth="1"/>
    <col min="27" max="27" width="12.7109375" bestFit="1" customWidth="1"/>
    <col min="28" max="28" width="18.140625" bestFit="1" customWidth="1"/>
    <col min="29" max="29" width="12.7109375" bestFit="1" customWidth="1"/>
  </cols>
  <sheetData>
    <row r="1" spans="2:29">
      <c r="B1" s="27" t="s">
        <v>0</v>
      </c>
      <c r="C1" s="36"/>
      <c r="D1" s="39" t="s">
        <v>1</v>
      </c>
      <c r="E1" s="36"/>
      <c r="F1" s="39" t="s">
        <v>2</v>
      </c>
      <c r="G1" s="36"/>
      <c r="H1" s="39" t="s">
        <v>3</v>
      </c>
      <c r="I1" s="36"/>
      <c r="J1" s="39" t="s">
        <v>78</v>
      </c>
      <c r="K1" s="36"/>
      <c r="L1" s="39" t="s">
        <v>5</v>
      </c>
      <c r="M1" s="36"/>
      <c r="N1" s="39" t="s">
        <v>6</v>
      </c>
      <c r="O1" s="36"/>
      <c r="P1" s="39" t="s">
        <v>7</v>
      </c>
      <c r="Q1" s="36"/>
      <c r="R1" s="39" t="s">
        <v>8</v>
      </c>
      <c r="S1" s="36"/>
      <c r="T1" s="39" t="s">
        <v>9</v>
      </c>
      <c r="U1" s="36"/>
      <c r="V1" s="39" t="s">
        <v>10</v>
      </c>
      <c r="W1" s="36"/>
      <c r="X1" s="39" t="s">
        <v>11</v>
      </c>
      <c r="Y1" s="36"/>
      <c r="Z1" s="39" t="s">
        <v>12</v>
      </c>
      <c r="AA1" s="36"/>
      <c r="AB1" s="39" t="s">
        <v>13</v>
      </c>
      <c r="AC1" s="36"/>
    </row>
    <row r="2" spans="2:29">
      <c r="C2" s="37"/>
      <c r="D2" s="40"/>
      <c r="E2" s="37"/>
      <c r="F2" s="40"/>
      <c r="G2" s="37"/>
      <c r="H2" s="40"/>
      <c r="I2" s="37"/>
      <c r="J2" s="40"/>
      <c r="K2" s="37"/>
      <c r="L2" s="40"/>
      <c r="M2" s="37"/>
      <c r="N2" s="40"/>
      <c r="O2" s="37"/>
      <c r="P2" s="40"/>
      <c r="Q2" s="37"/>
      <c r="R2" s="40"/>
      <c r="S2" s="37"/>
      <c r="T2" s="40"/>
      <c r="U2" s="37"/>
      <c r="V2" s="40"/>
      <c r="W2" s="37"/>
      <c r="X2" s="40"/>
      <c r="Y2" s="37"/>
      <c r="Z2" s="40"/>
      <c r="AA2" s="37"/>
      <c r="AB2" s="40"/>
      <c r="AC2" s="37"/>
    </row>
    <row r="3" spans="2:29">
      <c r="B3" t="s">
        <v>61</v>
      </c>
      <c r="C3" s="37">
        <v>54.366336633663366</v>
      </c>
      <c r="D3" s="40" t="s">
        <v>61</v>
      </c>
      <c r="E3" s="37">
        <v>0.68316831683168322</v>
      </c>
      <c r="F3" s="40" t="s">
        <v>61</v>
      </c>
      <c r="G3" s="37">
        <v>0.96699669966996704</v>
      </c>
      <c r="H3" s="40" t="s">
        <v>61</v>
      </c>
      <c r="I3" s="37">
        <v>131.62376237623764</v>
      </c>
      <c r="J3" s="40" t="s">
        <v>61</v>
      </c>
      <c r="K3" s="37">
        <v>246.26402640264027</v>
      </c>
      <c r="L3" s="40" t="s">
        <v>61</v>
      </c>
      <c r="M3" s="37">
        <v>0.14851485148514851</v>
      </c>
      <c r="N3" s="40" t="s">
        <v>61</v>
      </c>
      <c r="O3" s="37">
        <v>0.528052805280528</v>
      </c>
      <c r="P3" s="40" t="s">
        <v>61</v>
      </c>
      <c r="Q3" s="37">
        <v>149.64686468646866</v>
      </c>
      <c r="R3" s="40" t="s">
        <v>61</v>
      </c>
      <c r="S3" s="37">
        <v>0.32673267326732675</v>
      </c>
      <c r="T3" s="40" t="s">
        <v>61</v>
      </c>
      <c r="U3" s="37">
        <v>1.0396039603960396</v>
      </c>
      <c r="V3" s="40" t="s">
        <v>61</v>
      </c>
      <c r="W3" s="37">
        <v>1.3993399339933994</v>
      </c>
      <c r="X3" s="40" t="s">
        <v>61</v>
      </c>
      <c r="Y3" s="37">
        <v>0.72937293729372932</v>
      </c>
      <c r="Z3" s="40" t="s">
        <v>61</v>
      </c>
      <c r="AA3" s="37">
        <v>2.3135313531353137</v>
      </c>
      <c r="AB3" s="40" t="s">
        <v>61</v>
      </c>
      <c r="AC3" s="37">
        <v>0.54455445544554459</v>
      </c>
    </row>
    <row r="4" spans="2:29">
      <c r="B4" t="s">
        <v>62</v>
      </c>
      <c r="C4" s="37">
        <v>0.52175306928877474</v>
      </c>
      <c r="D4" s="40" t="s">
        <v>62</v>
      </c>
      <c r="E4" s="37">
        <v>2.6771622300973599E-2</v>
      </c>
      <c r="F4" s="40" t="s">
        <v>62</v>
      </c>
      <c r="G4" s="37">
        <v>5.9289866370957976E-2</v>
      </c>
      <c r="H4" s="40" t="s">
        <v>62</v>
      </c>
      <c r="I4" s="37">
        <v>1.0075399792202466</v>
      </c>
      <c r="J4" s="40" t="s">
        <v>62</v>
      </c>
      <c r="K4" s="37">
        <v>2.9775988443371713</v>
      </c>
      <c r="L4" s="40" t="s">
        <v>62</v>
      </c>
      <c r="M4" s="37">
        <v>2.0463033248117254E-2</v>
      </c>
      <c r="N4" s="40" t="s">
        <v>62</v>
      </c>
      <c r="O4" s="37">
        <v>3.0209844475679867E-2</v>
      </c>
      <c r="P4" s="40" t="s">
        <v>62</v>
      </c>
      <c r="Q4" s="37">
        <v>1.3158671245378502</v>
      </c>
      <c r="R4" s="40" t="s">
        <v>62</v>
      </c>
      <c r="S4" s="37">
        <v>2.6988986807530643E-2</v>
      </c>
      <c r="T4" s="40" t="s">
        <v>62</v>
      </c>
      <c r="U4" s="37">
        <v>6.670201720027967E-2</v>
      </c>
      <c r="V4" s="40" t="s">
        <v>62</v>
      </c>
      <c r="W4" s="37">
        <v>3.5401267071352625E-2</v>
      </c>
      <c r="X4" s="40" t="s">
        <v>62</v>
      </c>
      <c r="Y4" s="37">
        <v>5.8747200696620809E-2</v>
      </c>
      <c r="Z4" s="40" t="s">
        <v>62</v>
      </c>
      <c r="AA4" s="37">
        <v>3.5174366292912561E-2</v>
      </c>
      <c r="AB4" s="40" t="s">
        <v>62</v>
      </c>
      <c r="AC4" s="37">
        <v>2.8657309580348667E-2</v>
      </c>
    </row>
    <row r="5" spans="2:29">
      <c r="B5" t="s">
        <v>63</v>
      </c>
      <c r="C5" s="37">
        <v>55</v>
      </c>
      <c r="D5" s="40" t="s">
        <v>63</v>
      </c>
      <c r="E5" s="37">
        <v>1</v>
      </c>
      <c r="F5" s="40" t="s">
        <v>63</v>
      </c>
      <c r="G5" s="37">
        <v>1</v>
      </c>
      <c r="H5" s="40" t="s">
        <v>63</v>
      </c>
      <c r="I5" s="37">
        <v>130</v>
      </c>
      <c r="J5" s="40" t="s">
        <v>63</v>
      </c>
      <c r="K5" s="37">
        <v>240</v>
      </c>
      <c r="L5" s="40" t="s">
        <v>63</v>
      </c>
      <c r="M5" s="37">
        <v>0</v>
      </c>
      <c r="N5" s="40" t="s">
        <v>63</v>
      </c>
      <c r="O5" s="37">
        <v>1</v>
      </c>
      <c r="P5" s="40" t="s">
        <v>63</v>
      </c>
      <c r="Q5" s="37">
        <v>153</v>
      </c>
      <c r="R5" s="40" t="s">
        <v>63</v>
      </c>
      <c r="S5" s="37">
        <v>0</v>
      </c>
      <c r="T5" s="40" t="s">
        <v>63</v>
      </c>
      <c r="U5" s="37">
        <v>0.8</v>
      </c>
      <c r="V5" s="40" t="s">
        <v>63</v>
      </c>
      <c r="W5" s="37">
        <v>1</v>
      </c>
      <c r="X5" s="40" t="s">
        <v>63</v>
      </c>
      <c r="Y5" s="37">
        <v>0</v>
      </c>
      <c r="Z5" s="40" t="s">
        <v>63</v>
      </c>
      <c r="AA5" s="37">
        <v>2</v>
      </c>
      <c r="AB5" s="40" t="s">
        <v>63</v>
      </c>
      <c r="AC5" s="37">
        <v>1</v>
      </c>
    </row>
    <row r="6" spans="2:29">
      <c r="B6" t="s">
        <v>64</v>
      </c>
      <c r="C6" s="37">
        <v>58</v>
      </c>
      <c r="D6" s="40" t="s">
        <v>64</v>
      </c>
      <c r="E6" s="37">
        <v>1</v>
      </c>
      <c r="F6" s="40" t="s">
        <v>64</v>
      </c>
      <c r="G6" s="37">
        <v>0</v>
      </c>
      <c r="H6" s="40" t="s">
        <v>64</v>
      </c>
      <c r="I6" s="37">
        <v>120</v>
      </c>
      <c r="J6" s="40" t="s">
        <v>64</v>
      </c>
      <c r="K6" s="37">
        <v>204</v>
      </c>
      <c r="L6" s="40" t="s">
        <v>64</v>
      </c>
      <c r="M6" s="37">
        <v>0</v>
      </c>
      <c r="N6" s="40" t="s">
        <v>64</v>
      </c>
      <c r="O6" s="37">
        <v>1</v>
      </c>
      <c r="P6" s="40" t="s">
        <v>64</v>
      </c>
      <c r="Q6" s="37">
        <v>162</v>
      </c>
      <c r="R6" s="40" t="s">
        <v>64</v>
      </c>
      <c r="S6" s="37">
        <v>0</v>
      </c>
      <c r="T6" s="40" t="s">
        <v>64</v>
      </c>
      <c r="U6" s="37">
        <v>0</v>
      </c>
      <c r="V6" s="40" t="s">
        <v>64</v>
      </c>
      <c r="W6" s="37">
        <v>2</v>
      </c>
      <c r="X6" s="40" t="s">
        <v>64</v>
      </c>
      <c r="Y6" s="37">
        <v>0</v>
      </c>
      <c r="Z6" s="40" t="s">
        <v>64</v>
      </c>
      <c r="AA6" s="37">
        <v>2</v>
      </c>
      <c r="AB6" s="40" t="s">
        <v>64</v>
      </c>
      <c r="AC6" s="37">
        <v>1</v>
      </c>
    </row>
    <row r="7" spans="2:29">
      <c r="B7" t="s">
        <v>65</v>
      </c>
      <c r="C7" s="37">
        <v>9.082100989837862</v>
      </c>
      <c r="D7" s="40" t="s">
        <v>65</v>
      </c>
      <c r="E7" s="37">
        <v>0.46601082333962385</v>
      </c>
      <c r="F7" s="40" t="s">
        <v>65</v>
      </c>
      <c r="G7" s="37">
        <v>1.0320524894832988</v>
      </c>
      <c r="H7" s="40" t="s">
        <v>65</v>
      </c>
      <c r="I7" s="37">
        <v>17.538142813517112</v>
      </c>
      <c r="J7" s="40" t="s">
        <v>65</v>
      </c>
      <c r="K7" s="37">
        <v>51.830750987930053</v>
      </c>
      <c r="L7" s="40" t="s">
        <v>65</v>
      </c>
      <c r="M7" s="37">
        <v>0.35619787492797644</v>
      </c>
      <c r="N7" s="40" t="s">
        <v>65</v>
      </c>
      <c r="O7" s="37">
        <v>0.52585959635929813</v>
      </c>
      <c r="P7" s="40" t="s">
        <v>65</v>
      </c>
      <c r="Q7" s="37">
        <v>22.905161114914073</v>
      </c>
      <c r="R7" s="40" t="s">
        <v>65</v>
      </c>
      <c r="S7" s="37">
        <v>0.46979446452231655</v>
      </c>
      <c r="T7" s="40" t="s">
        <v>65</v>
      </c>
      <c r="U7" s="37">
        <v>1.1610750220686348</v>
      </c>
      <c r="V7" s="40" t="s">
        <v>65</v>
      </c>
      <c r="W7" s="37">
        <v>0.61622614534596187</v>
      </c>
      <c r="X7" s="40" t="s">
        <v>65</v>
      </c>
      <c r="Y7" s="37">
        <v>1.0226063649693271</v>
      </c>
      <c r="Z7" s="40" t="s">
        <v>65</v>
      </c>
      <c r="AA7" s="37">
        <v>0.61227650727814065</v>
      </c>
      <c r="AB7" s="40" t="s">
        <v>65</v>
      </c>
      <c r="AC7" s="37">
        <v>0.49883478416439136</v>
      </c>
    </row>
    <row r="8" spans="2:29">
      <c r="B8" t="s">
        <v>66</v>
      </c>
      <c r="C8" s="37">
        <v>82.484558389613881</v>
      </c>
      <c r="D8" s="40" t="s">
        <v>66</v>
      </c>
      <c r="E8" s="37">
        <v>0.21716608746967411</v>
      </c>
      <c r="F8" s="40" t="s">
        <v>66</v>
      </c>
      <c r="G8" s="37">
        <v>1.0651323410486744</v>
      </c>
      <c r="H8" s="40" t="s">
        <v>66</v>
      </c>
      <c r="I8" s="37">
        <v>307.58645334732194</v>
      </c>
      <c r="J8" s="40" t="s">
        <v>66</v>
      </c>
      <c r="K8" s="37">
        <v>2686.4267479728119</v>
      </c>
      <c r="L8" s="40" t="s">
        <v>66</v>
      </c>
      <c r="M8" s="37">
        <v>0.12687692610320636</v>
      </c>
      <c r="N8" s="40" t="s">
        <v>66</v>
      </c>
      <c r="O8" s="37">
        <v>0.27652831508316394</v>
      </c>
      <c r="P8" s="40" t="s">
        <v>66</v>
      </c>
      <c r="Q8" s="37">
        <v>524.64640570017173</v>
      </c>
      <c r="R8" s="40" t="s">
        <v>66</v>
      </c>
      <c r="S8" s="37">
        <v>0.22070683889581014</v>
      </c>
      <c r="T8" s="40" t="s">
        <v>66</v>
      </c>
      <c r="U8" s="37">
        <v>1.3480952068716809</v>
      </c>
      <c r="V8" s="40" t="s">
        <v>66</v>
      </c>
      <c r="W8" s="37">
        <v>0.3797346622079425</v>
      </c>
      <c r="X8" s="40" t="s">
        <v>66</v>
      </c>
      <c r="Y8" s="37">
        <v>1.0457237776757808</v>
      </c>
      <c r="Z8" s="40" t="s">
        <v>66</v>
      </c>
      <c r="AA8" s="37">
        <v>0.37488252136471906</v>
      </c>
      <c r="AB8" s="40" t="s">
        <v>66</v>
      </c>
      <c r="AC8" s="37">
        <v>0.24883614189233491</v>
      </c>
    </row>
    <row r="9" spans="2:29">
      <c r="B9" t="s">
        <v>67</v>
      </c>
      <c r="C9" s="37">
        <v>-0.54216714099084085</v>
      </c>
      <c r="D9" s="40" t="s">
        <v>67</v>
      </c>
      <c r="E9" s="37">
        <v>-1.3829609835171093</v>
      </c>
      <c r="F9" s="40" t="s">
        <v>67</v>
      </c>
      <c r="G9" s="37">
        <v>-1.1930709803257262</v>
      </c>
      <c r="H9" s="40" t="s">
        <v>67</v>
      </c>
      <c r="I9" s="37">
        <v>0.92905405283698084</v>
      </c>
      <c r="J9" s="40" t="s">
        <v>67</v>
      </c>
      <c r="K9" s="37">
        <v>4.5054231677536993</v>
      </c>
      <c r="L9" s="40" t="s">
        <v>67</v>
      </c>
      <c r="M9" s="37">
        <v>1.9596776292633922</v>
      </c>
      <c r="N9" s="40" t="s">
        <v>67</v>
      </c>
      <c r="O9" s="37">
        <v>-1.3626733034314458</v>
      </c>
      <c r="P9" s="40" t="s">
        <v>67</v>
      </c>
      <c r="Q9" s="37">
        <v>-6.1969930576111221E-2</v>
      </c>
      <c r="R9" s="40" t="s">
        <v>67</v>
      </c>
      <c r="S9" s="37">
        <v>-1.4583166825574629</v>
      </c>
      <c r="T9" s="40" t="s">
        <v>67</v>
      </c>
      <c r="U9" s="37">
        <v>1.5758130733382623</v>
      </c>
      <c r="V9" s="40" t="s">
        <v>67</v>
      </c>
      <c r="W9" s="37">
        <v>-0.62752074726690754</v>
      </c>
      <c r="X9" s="40" t="s">
        <v>67</v>
      </c>
      <c r="Y9" s="37">
        <v>0.83925318716651365</v>
      </c>
      <c r="Z9" s="40" t="s">
        <v>67</v>
      </c>
      <c r="AA9" s="37">
        <v>0.2979148532922351</v>
      </c>
      <c r="AB9" s="40" t="s">
        <v>67</v>
      </c>
      <c r="AC9" s="37">
        <v>-1.9807828625705377</v>
      </c>
    </row>
    <row r="10" spans="2:29">
      <c r="B10" t="s">
        <v>68</v>
      </c>
      <c r="C10" s="37">
        <v>-0.20246336548565355</v>
      </c>
      <c r="D10" s="40" t="s">
        <v>68</v>
      </c>
      <c r="E10" s="37">
        <v>-0.79133519148082609</v>
      </c>
      <c r="F10" s="40" t="s">
        <v>68</v>
      </c>
      <c r="G10" s="37">
        <v>0.48473236883889342</v>
      </c>
      <c r="H10" s="40" t="s">
        <v>68</v>
      </c>
      <c r="I10" s="37">
        <v>0.71376843791814737</v>
      </c>
      <c r="J10" s="40" t="s">
        <v>68</v>
      </c>
      <c r="K10" s="37">
        <v>1.1434008206693391</v>
      </c>
      <c r="L10" s="40" t="s">
        <v>68</v>
      </c>
      <c r="M10" s="37">
        <v>1.9866519309144715</v>
      </c>
      <c r="N10" s="40" t="s">
        <v>68</v>
      </c>
      <c r="O10" s="37">
        <v>0.16252224492762007</v>
      </c>
      <c r="P10" s="40" t="s">
        <v>68</v>
      </c>
      <c r="Q10" s="37">
        <v>-0.53740965268322582</v>
      </c>
      <c r="R10" s="40" t="s">
        <v>68</v>
      </c>
      <c r="S10" s="37">
        <v>0.74253154442128289</v>
      </c>
      <c r="T10" s="40" t="s">
        <v>68</v>
      </c>
      <c r="U10" s="37">
        <v>1.2697199306019999</v>
      </c>
      <c r="V10" s="40" t="s">
        <v>68</v>
      </c>
      <c r="W10" s="37">
        <v>-0.50831560981654</v>
      </c>
      <c r="X10" s="40" t="s">
        <v>68</v>
      </c>
      <c r="Y10" s="37">
        <v>1.3104221354767842</v>
      </c>
      <c r="Z10" s="40" t="s">
        <v>68</v>
      </c>
      <c r="AA10" s="37">
        <v>-0.47672219490975914</v>
      </c>
      <c r="AB10" s="40" t="s">
        <v>68</v>
      </c>
      <c r="AC10" s="37">
        <v>-0.17982105403495449</v>
      </c>
    </row>
    <row r="11" spans="2:29">
      <c r="B11" t="s">
        <v>69</v>
      </c>
      <c r="C11" s="37">
        <v>48</v>
      </c>
      <c r="D11" s="40" t="s">
        <v>69</v>
      </c>
      <c r="E11" s="37">
        <v>1</v>
      </c>
      <c r="F11" s="40" t="s">
        <v>69</v>
      </c>
      <c r="G11" s="37">
        <v>3</v>
      </c>
      <c r="H11" s="40" t="s">
        <v>69</v>
      </c>
      <c r="I11" s="37">
        <v>106</v>
      </c>
      <c r="J11" s="40" t="s">
        <v>69</v>
      </c>
      <c r="K11" s="37">
        <v>438</v>
      </c>
      <c r="L11" s="40" t="s">
        <v>69</v>
      </c>
      <c r="M11" s="37">
        <v>1</v>
      </c>
      <c r="N11" s="40" t="s">
        <v>69</v>
      </c>
      <c r="O11" s="37">
        <v>2</v>
      </c>
      <c r="P11" s="40" t="s">
        <v>69</v>
      </c>
      <c r="Q11" s="37">
        <v>131</v>
      </c>
      <c r="R11" s="40" t="s">
        <v>69</v>
      </c>
      <c r="S11" s="37">
        <v>1</v>
      </c>
      <c r="T11" s="40" t="s">
        <v>69</v>
      </c>
      <c r="U11" s="37">
        <v>6.2</v>
      </c>
      <c r="V11" s="40" t="s">
        <v>69</v>
      </c>
      <c r="W11" s="37">
        <v>2</v>
      </c>
      <c r="X11" s="40" t="s">
        <v>69</v>
      </c>
      <c r="Y11" s="37">
        <v>4</v>
      </c>
      <c r="Z11" s="40" t="s">
        <v>69</v>
      </c>
      <c r="AA11" s="37">
        <v>3</v>
      </c>
      <c r="AB11" s="40" t="s">
        <v>69</v>
      </c>
      <c r="AC11" s="37">
        <v>1</v>
      </c>
    </row>
    <row r="12" spans="2:29">
      <c r="B12" t="s">
        <v>70</v>
      </c>
      <c r="C12" s="37">
        <v>29</v>
      </c>
      <c r="D12" s="40" t="s">
        <v>70</v>
      </c>
      <c r="E12" s="37">
        <v>0</v>
      </c>
      <c r="F12" s="40" t="s">
        <v>70</v>
      </c>
      <c r="G12" s="37">
        <v>0</v>
      </c>
      <c r="H12" s="40" t="s">
        <v>70</v>
      </c>
      <c r="I12" s="37">
        <v>94</v>
      </c>
      <c r="J12" s="40" t="s">
        <v>70</v>
      </c>
      <c r="K12" s="37">
        <v>126</v>
      </c>
      <c r="L12" s="40" t="s">
        <v>70</v>
      </c>
      <c r="M12" s="37">
        <v>0</v>
      </c>
      <c r="N12" s="40" t="s">
        <v>70</v>
      </c>
      <c r="O12" s="37">
        <v>0</v>
      </c>
      <c r="P12" s="40" t="s">
        <v>70</v>
      </c>
      <c r="Q12" s="37">
        <v>71</v>
      </c>
      <c r="R12" s="40" t="s">
        <v>70</v>
      </c>
      <c r="S12" s="37">
        <v>0</v>
      </c>
      <c r="T12" s="40" t="s">
        <v>70</v>
      </c>
      <c r="U12" s="37">
        <v>0</v>
      </c>
      <c r="V12" s="40" t="s">
        <v>70</v>
      </c>
      <c r="W12" s="37">
        <v>0</v>
      </c>
      <c r="X12" s="40" t="s">
        <v>70</v>
      </c>
      <c r="Y12" s="37">
        <v>0</v>
      </c>
      <c r="Z12" s="40" t="s">
        <v>70</v>
      </c>
      <c r="AA12" s="37">
        <v>0</v>
      </c>
      <c r="AB12" s="40" t="s">
        <v>70</v>
      </c>
      <c r="AC12" s="37">
        <v>0</v>
      </c>
    </row>
    <row r="13" spans="2:29">
      <c r="B13" t="s">
        <v>71</v>
      </c>
      <c r="C13" s="37">
        <v>77</v>
      </c>
      <c r="D13" s="40" t="s">
        <v>71</v>
      </c>
      <c r="E13" s="37">
        <v>1</v>
      </c>
      <c r="F13" s="40" t="s">
        <v>71</v>
      </c>
      <c r="G13" s="37">
        <v>3</v>
      </c>
      <c r="H13" s="40" t="s">
        <v>71</v>
      </c>
      <c r="I13" s="37">
        <v>200</v>
      </c>
      <c r="J13" s="40" t="s">
        <v>71</v>
      </c>
      <c r="K13" s="37">
        <v>564</v>
      </c>
      <c r="L13" s="40" t="s">
        <v>71</v>
      </c>
      <c r="M13" s="37">
        <v>1</v>
      </c>
      <c r="N13" s="40" t="s">
        <v>71</v>
      </c>
      <c r="O13" s="37">
        <v>2</v>
      </c>
      <c r="P13" s="40" t="s">
        <v>71</v>
      </c>
      <c r="Q13" s="37">
        <v>202</v>
      </c>
      <c r="R13" s="40" t="s">
        <v>71</v>
      </c>
      <c r="S13" s="37">
        <v>1</v>
      </c>
      <c r="T13" s="40" t="s">
        <v>71</v>
      </c>
      <c r="U13" s="37">
        <v>6.2</v>
      </c>
      <c r="V13" s="40" t="s">
        <v>71</v>
      </c>
      <c r="W13" s="37">
        <v>2</v>
      </c>
      <c r="X13" s="40" t="s">
        <v>71</v>
      </c>
      <c r="Y13" s="37">
        <v>4</v>
      </c>
      <c r="Z13" s="40" t="s">
        <v>71</v>
      </c>
      <c r="AA13" s="37">
        <v>3</v>
      </c>
      <c r="AB13" s="40" t="s">
        <v>71</v>
      </c>
      <c r="AC13" s="37">
        <v>1</v>
      </c>
    </row>
    <row r="14" spans="2:29">
      <c r="B14" t="s">
        <v>72</v>
      </c>
      <c r="C14" s="37">
        <v>16473</v>
      </c>
      <c r="D14" s="40" t="s">
        <v>72</v>
      </c>
      <c r="E14" s="37">
        <v>207</v>
      </c>
      <c r="F14" s="40" t="s">
        <v>72</v>
      </c>
      <c r="G14" s="37">
        <v>293</v>
      </c>
      <c r="H14" s="40" t="s">
        <v>72</v>
      </c>
      <c r="I14" s="37">
        <v>39882</v>
      </c>
      <c r="J14" s="40" t="s">
        <v>72</v>
      </c>
      <c r="K14" s="37">
        <v>74618</v>
      </c>
      <c r="L14" s="40" t="s">
        <v>72</v>
      </c>
      <c r="M14" s="37">
        <v>45</v>
      </c>
      <c r="N14" s="40" t="s">
        <v>72</v>
      </c>
      <c r="O14" s="37">
        <v>160</v>
      </c>
      <c r="P14" s="40" t="s">
        <v>72</v>
      </c>
      <c r="Q14" s="37">
        <v>45343</v>
      </c>
      <c r="R14" s="40" t="s">
        <v>72</v>
      </c>
      <c r="S14" s="37">
        <v>99</v>
      </c>
      <c r="T14" s="40" t="s">
        <v>72</v>
      </c>
      <c r="U14" s="37">
        <v>315</v>
      </c>
      <c r="V14" s="40" t="s">
        <v>72</v>
      </c>
      <c r="W14" s="37">
        <v>424</v>
      </c>
      <c r="X14" s="40" t="s">
        <v>72</v>
      </c>
      <c r="Y14" s="37">
        <v>221</v>
      </c>
      <c r="Z14" s="40" t="s">
        <v>72</v>
      </c>
      <c r="AA14" s="37">
        <v>701</v>
      </c>
      <c r="AB14" s="40" t="s">
        <v>72</v>
      </c>
      <c r="AC14" s="37">
        <v>165</v>
      </c>
    </row>
    <row r="15" spans="2:29" ht="15.75" thickBot="1">
      <c r="B15" s="26" t="s">
        <v>73</v>
      </c>
      <c r="C15" s="38">
        <v>303</v>
      </c>
      <c r="D15" s="41" t="s">
        <v>73</v>
      </c>
      <c r="E15" s="38">
        <v>303</v>
      </c>
      <c r="F15" s="41" t="s">
        <v>73</v>
      </c>
      <c r="G15" s="38">
        <v>303</v>
      </c>
      <c r="H15" s="41" t="s">
        <v>73</v>
      </c>
      <c r="I15" s="38">
        <v>303</v>
      </c>
      <c r="J15" s="41" t="s">
        <v>73</v>
      </c>
      <c r="K15" s="38">
        <v>303</v>
      </c>
      <c r="L15" s="41" t="s">
        <v>73</v>
      </c>
      <c r="M15" s="38">
        <v>303</v>
      </c>
      <c r="N15" s="41" t="s">
        <v>73</v>
      </c>
      <c r="O15" s="38">
        <v>303</v>
      </c>
      <c r="P15" s="41" t="s">
        <v>73</v>
      </c>
      <c r="Q15" s="38">
        <v>303</v>
      </c>
      <c r="R15" s="41" t="s">
        <v>73</v>
      </c>
      <c r="S15" s="38">
        <v>303</v>
      </c>
      <c r="T15" s="41" t="s">
        <v>73</v>
      </c>
      <c r="U15" s="38">
        <v>303</v>
      </c>
      <c r="V15" s="41" t="s">
        <v>73</v>
      </c>
      <c r="W15" s="38">
        <v>303</v>
      </c>
      <c r="X15" s="41" t="s">
        <v>73</v>
      </c>
      <c r="Y15" s="38">
        <v>303</v>
      </c>
      <c r="Z15" s="41" t="s">
        <v>73</v>
      </c>
      <c r="AA15" s="38">
        <v>303</v>
      </c>
      <c r="AB15" s="41" t="s">
        <v>73</v>
      </c>
      <c r="AC15" s="38">
        <v>303</v>
      </c>
    </row>
    <row r="17" spans="2:10" ht="18.75" thickBot="1">
      <c r="B17" s="28" t="s">
        <v>74</v>
      </c>
    </row>
    <row r="18" spans="2:10" ht="15.75" thickBot="1">
      <c r="B18" s="35" t="s">
        <v>75</v>
      </c>
      <c r="C18" s="29"/>
      <c r="D18" s="29"/>
      <c r="E18" s="29"/>
      <c r="F18" s="29"/>
      <c r="G18" s="30"/>
    </row>
    <row r="19" spans="2:10">
      <c r="B19" s="128" t="s">
        <v>76</v>
      </c>
      <c r="C19" s="129"/>
      <c r="D19" s="129"/>
      <c r="E19" s="129"/>
      <c r="F19" s="129"/>
      <c r="G19" s="130"/>
      <c r="J19" s="27"/>
    </row>
    <row r="20" spans="2:10">
      <c r="B20" s="33"/>
      <c r="G20" s="32"/>
    </row>
    <row r="21" spans="2:10">
      <c r="B21" s="31" t="s">
        <v>77</v>
      </c>
      <c r="D21" s="34">
        <v>246.26</v>
      </c>
      <c r="G21" s="32"/>
    </row>
    <row r="22" spans="2:10">
      <c r="B22" s="33"/>
      <c r="G22" s="32"/>
    </row>
    <row r="23" spans="2:10">
      <c r="B23" s="31" t="s">
        <v>79</v>
      </c>
      <c r="D23">
        <f>(K3 - 200) / (K7 / SQRT(303))</f>
        <v>15.537360410595833</v>
      </c>
      <c r="G23" s="32"/>
    </row>
    <row r="24" spans="2:10">
      <c r="B24" s="33"/>
      <c r="G24" s="32"/>
    </row>
    <row r="25" spans="2:10">
      <c r="B25" s="31" t="s">
        <v>80</v>
      </c>
      <c r="D25">
        <f>_xlfn.T.DIST.2T(ABS(D23), 302)</f>
        <v>2.0550533807425634E-40</v>
      </c>
      <c r="G25" s="32"/>
    </row>
    <row r="26" spans="2:10" ht="15.75" thickBot="1">
      <c r="B26" s="33"/>
      <c r="G26" s="32"/>
    </row>
    <row r="27" spans="2:10" ht="35.25" customHeight="1" thickBot="1">
      <c r="B27" s="131" t="s">
        <v>81</v>
      </c>
      <c r="C27" s="132"/>
      <c r="D27" s="132"/>
      <c r="E27" s="132"/>
      <c r="F27" s="132"/>
      <c r="G27" s="133"/>
    </row>
    <row r="28" spans="2:10" ht="15.75" thickBot="1"/>
    <row r="29" spans="2:10">
      <c r="B29" s="35" t="s">
        <v>82</v>
      </c>
      <c r="C29" s="29"/>
      <c r="D29" s="29"/>
      <c r="E29" s="29"/>
      <c r="F29" s="29"/>
      <c r="G29" s="30"/>
    </row>
    <row r="30" spans="2:10" ht="15" customHeight="1">
      <c r="B30" s="140" t="s">
        <v>83</v>
      </c>
      <c r="C30" s="141"/>
      <c r="D30" s="141"/>
      <c r="E30" s="141"/>
      <c r="F30" s="141"/>
      <c r="G30" s="142"/>
    </row>
    <row r="31" spans="2:10">
      <c r="B31" s="33"/>
      <c r="G31" s="32"/>
    </row>
    <row r="32" spans="2:10">
      <c r="B32" s="33" t="s">
        <v>84</v>
      </c>
      <c r="G32" s="32"/>
    </row>
    <row r="33" spans="2:7" ht="15.75" thickBot="1">
      <c r="B33" s="33"/>
      <c r="G33" s="32"/>
    </row>
    <row r="34" spans="2:7">
      <c r="B34" s="42"/>
      <c r="C34" s="27" t="s">
        <v>94</v>
      </c>
      <c r="D34" s="27" t="s">
        <v>95</v>
      </c>
      <c r="G34" s="32"/>
    </row>
    <row r="35" spans="2:7">
      <c r="B35" s="33" t="s">
        <v>61</v>
      </c>
      <c r="C35">
        <v>148.96135265700482</v>
      </c>
      <c r="D35">
        <v>151.125</v>
      </c>
      <c r="G35" s="32"/>
    </row>
    <row r="36" spans="2:7">
      <c r="B36" s="33" t="s">
        <v>85</v>
      </c>
      <c r="C36">
        <v>582.29947000609945</v>
      </c>
      <c r="D36">
        <v>401.92105263157896</v>
      </c>
      <c r="G36" s="32"/>
    </row>
    <row r="37" spans="2:7">
      <c r="B37" s="33" t="s">
        <v>86</v>
      </c>
      <c r="C37">
        <v>207</v>
      </c>
      <c r="D37">
        <v>96</v>
      </c>
      <c r="G37" s="32"/>
    </row>
    <row r="38" spans="2:7">
      <c r="B38" s="33" t="s">
        <v>87</v>
      </c>
      <c r="C38">
        <v>0</v>
      </c>
      <c r="G38" s="32"/>
    </row>
    <row r="39" spans="2:7">
      <c r="B39" s="33" t="s">
        <v>88</v>
      </c>
      <c r="C39">
        <v>220</v>
      </c>
      <c r="G39" s="32"/>
    </row>
    <row r="40" spans="2:7">
      <c r="B40" s="33" t="s">
        <v>89</v>
      </c>
      <c r="C40">
        <v>-0.81779826863436744</v>
      </c>
      <c r="G40" s="32"/>
    </row>
    <row r="41" spans="2:7">
      <c r="B41" s="33" t="s">
        <v>90</v>
      </c>
      <c r="C41">
        <v>0.20717860438280811</v>
      </c>
      <c r="G41" s="32"/>
    </row>
    <row r="42" spans="2:7">
      <c r="B42" s="33" t="s">
        <v>91</v>
      </c>
      <c r="C42">
        <v>1.6518092858899067</v>
      </c>
      <c r="G42" s="32"/>
    </row>
    <row r="43" spans="2:7">
      <c r="B43" s="33" t="s">
        <v>92</v>
      </c>
      <c r="C43">
        <v>0.41435720876561621</v>
      </c>
      <c r="G43" s="32"/>
    </row>
    <row r="44" spans="2:7" ht="15.75" thickBot="1">
      <c r="B44" s="43" t="s">
        <v>93</v>
      </c>
      <c r="C44" s="26">
        <v>1.9708055923849004</v>
      </c>
      <c r="D44" s="26"/>
      <c r="G44" s="32"/>
    </row>
    <row r="45" spans="2:7" ht="15.75" thickBot="1">
      <c r="B45" s="33"/>
      <c r="G45" s="32"/>
    </row>
    <row r="46" spans="2:7" ht="45.75" customHeight="1" thickBot="1">
      <c r="B46" s="134" t="s">
        <v>99</v>
      </c>
      <c r="C46" s="135"/>
      <c r="D46" s="135"/>
      <c r="E46" s="135"/>
      <c r="F46" s="135"/>
      <c r="G46" s="136"/>
    </row>
    <row r="47" spans="2:7" ht="15.75" thickBot="1">
      <c r="B47" s="43"/>
      <c r="C47" s="26"/>
      <c r="D47" s="26"/>
      <c r="E47" s="26"/>
      <c r="F47" s="26"/>
      <c r="G47" s="44"/>
    </row>
    <row r="50" spans="2:8" ht="18.75" thickBot="1">
      <c r="B50" s="28" t="s">
        <v>96</v>
      </c>
    </row>
    <row r="51" spans="2:8">
      <c r="B51" s="35" t="s">
        <v>97</v>
      </c>
      <c r="C51" s="29"/>
      <c r="D51" s="29"/>
      <c r="E51" s="29"/>
      <c r="F51" s="29"/>
      <c r="G51" s="30"/>
    </row>
    <row r="52" spans="2:8">
      <c r="B52" s="33" t="s">
        <v>98</v>
      </c>
      <c r="G52" s="32"/>
    </row>
    <row r="53" spans="2:8">
      <c r="B53" s="33"/>
      <c r="G53" s="32"/>
    </row>
    <row r="54" spans="2:8">
      <c r="B54" s="31" t="s">
        <v>117</v>
      </c>
      <c r="C54">
        <v>0.61814833925403834</v>
      </c>
      <c r="G54" s="32"/>
    </row>
    <row r="55" spans="2:8">
      <c r="B55" s="33"/>
      <c r="G55" s="32"/>
    </row>
    <row r="56" spans="2:8">
      <c r="B56" s="31" t="s">
        <v>80</v>
      </c>
      <c r="C56">
        <v>0.60372730903529592</v>
      </c>
      <c r="G56" s="32"/>
    </row>
    <row r="57" spans="2:8">
      <c r="B57" s="33"/>
      <c r="G57" s="32"/>
    </row>
    <row r="58" spans="2:8" ht="29.25" customHeight="1">
      <c r="B58" s="137" t="s">
        <v>118</v>
      </c>
      <c r="C58" s="138"/>
      <c r="D58" s="138"/>
      <c r="E58" s="138"/>
      <c r="F58" s="138"/>
      <c r="G58" s="139"/>
    </row>
    <row r="59" spans="2:8" ht="15.75" thickBot="1">
      <c r="B59" s="43"/>
      <c r="C59" s="26"/>
      <c r="D59" s="26"/>
      <c r="E59" s="26"/>
      <c r="F59" s="26"/>
      <c r="G59" s="44"/>
    </row>
    <row r="60" spans="2:8" ht="15.75" thickBot="1"/>
    <row r="61" spans="2:8">
      <c r="B61" s="35" t="s">
        <v>119</v>
      </c>
      <c r="C61" s="29"/>
      <c r="D61" s="29"/>
      <c r="E61" s="29"/>
      <c r="F61" s="29"/>
      <c r="G61" s="29"/>
      <c r="H61" s="30"/>
    </row>
    <row r="62" spans="2:8">
      <c r="B62" s="31" t="s">
        <v>120</v>
      </c>
      <c r="H62" s="32"/>
    </row>
    <row r="63" spans="2:8">
      <c r="B63" s="33"/>
      <c r="H63" s="32"/>
    </row>
    <row r="64" spans="2:8" ht="15.75" thickBot="1">
      <c r="B64" s="33" t="s">
        <v>108</v>
      </c>
      <c r="H64" s="32"/>
    </row>
    <row r="65" spans="2:8">
      <c r="B65" s="42" t="s">
        <v>109</v>
      </c>
      <c r="C65" s="27" t="s">
        <v>110</v>
      </c>
      <c r="D65" s="27" t="s">
        <v>88</v>
      </c>
      <c r="E65" s="27" t="s">
        <v>111</v>
      </c>
      <c r="F65" s="27" t="s">
        <v>112</v>
      </c>
      <c r="G65" s="27" t="s">
        <v>113</v>
      </c>
      <c r="H65" s="49" t="s">
        <v>114</v>
      </c>
    </row>
    <row r="66" spans="2:8">
      <c r="B66" s="33" t="s">
        <v>122</v>
      </c>
      <c r="C66">
        <v>13392.375</v>
      </c>
      <c r="D66">
        <v>3</v>
      </c>
      <c r="E66">
        <v>4464.125</v>
      </c>
      <c r="F66">
        <v>0.61201652014463692</v>
      </c>
      <c r="G66">
        <v>0.65173052652986818</v>
      </c>
      <c r="H66" s="32">
        <v>9.2766281531448112</v>
      </c>
    </row>
    <row r="67" spans="2:8">
      <c r="B67" s="33" t="s">
        <v>123</v>
      </c>
      <c r="C67">
        <v>2145.125</v>
      </c>
      <c r="D67">
        <v>1</v>
      </c>
      <c r="E67">
        <v>2145.125</v>
      </c>
      <c r="F67">
        <v>0.29408942128082532</v>
      </c>
      <c r="G67">
        <v>0.62530264038075234</v>
      </c>
      <c r="H67" s="32">
        <v>10.127964486013932</v>
      </c>
    </row>
    <row r="68" spans="2:8">
      <c r="B68" s="33" t="s">
        <v>124</v>
      </c>
      <c r="C68">
        <v>21882.375</v>
      </c>
      <c r="D68">
        <v>3</v>
      </c>
      <c r="E68">
        <v>7294.125</v>
      </c>
      <c r="H68" s="32"/>
    </row>
    <row r="69" spans="2:8">
      <c r="B69" s="33"/>
      <c r="H69" s="32"/>
    </row>
    <row r="70" spans="2:8" ht="15.75" thickBot="1">
      <c r="B70" s="43" t="s">
        <v>17</v>
      </c>
      <c r="C70" s="26">
        <v>37419.875</v>
      </c>
      <c r="D70" s="26">
        <v>7</v>
      </c>
      <c r="E70" s="26"/>
      <c r="F70" s="26"/>
      <c r="G70" s="26"/>
      <c r="H70" s="44"/>
    </row>
    <row r="71" spans="2:8">
      <c r="B71" s="33"/>
      <c r="H71" s="32"/>
    </row>
    <row r="72" spans="2:8" ht="18">
      <c r="B72" s="50" t="s">
        <v>126</v>
      </c>
      <c r="H72" s="32"/>
    </row>
    <row r="73" spans="2:8">
      <c r="B73" s="45" t="s">
        <v>127</v>
      </c>
      <c r="H73" s="32"/>
    </row>
    <row r="74" spans="2:8">
      <c r="B74" s="45" t="s">
        <v>129</v>
      </c>
      <c r="C74">
        <v>0.61</v>
      </c>
      <c r="H74" s="32"/>
    </row>
    <row r="75" spans="2:8">
      <c r="B75" s="45" t="s">
        <v>130</v>
      </c>
      <c r="C75">
        <v>0.65173099999999995</v>
      </c>
      <c r="H75" s="32"/>
    </row>
    <row r="76" spans="2:8">
      <c r="B76" s="51" t="s">
        <v>131</v>
      </c>
      <c r="C76">
        <v>9.2766280000000005</v>
      </c>
      <c r="H76" s="32"/>
    </row>
    <row r="77" spans="2:8">
      <c r="B77" s="33"/>
      <c r="H77" s="32"/>
    </row>
    <row r="78" spans="2:8">
      <c r="B78" s="45" t="s">
        <v>128</v>
      </c>
      <c r="H78" s="32"/>
    </row>
    <row r="79" spans="2:8">
      <c r="B79" s="45" t="s">
        <v>129</v>
      </c>
      <c r="C79">
        <v>0.28999999999999998</v>
      </c>
      <c r="H79" s="32"/>
    </row>
    <row r="80" spans="2:8">
      <c r="B80" s="45" t="s">
        <v>130</v>
      </c>
      <c r="C80">
        <v>0.625</v>
      </c>
      <c r="H80" s="32"/>
    </row>
    <row r="81" spans="2:8">
      <c r="B81" s="51" t="s">
        <v>131</v>
      </c>
      <c r="C81">
        <v>10.12796</v>
      </c>
      <c r="H81" s="32"/>
    </row>
    <row r="82" spans="2:8" ht="15.75" thickBot="1">
      <c r="B82" s="125" t="s">
        <v>132</v>
      </c>
      <c r="C82" s="126"/>
      <c r="D82" s="126"/>
      <c r="E82" s="126"/>
      <c r="F82" s="126"/>
      <c r="G82" s="126"/>
      <c r="H82" s="127"/>
    </row>
    <row r="84" spans="2:8" ht="17.25" customHeight="1">
      <c r="B84" s="28" t="s">
        <v>154</v>
      </c>
    </row>
    <row r="85" spans="2:8">
      <c r="B85" s="1" t="s">
        <v>161</v>
      </c>
    </row>
    <row r="86" spans="2:8" ht="15.75" thickBot="1">
      <c r="B86" s="1" t="s">
        <v>549</v>
      </c>
    </row>
    <row r="87" spans="2:8">
      <c r="B87" s="35" t="s">
        <v>155</v>
      </c>
      <c r="C87" s="29">
        <v>179.9</v>
      </c>
      <c r="D87" s="29"/>
      <c r="E87" s="29"/>
      <c r="F87" s="29"/>
      <c r="G87" s="29"/>
      <c r="H87" s="30"/>
    </row>
    <row r="88" spans="2:8">
      <c r="B88" s="31" t="s">
        <v>156</v>
      </c>
      <c r="C88">
        <v>1.22</v>
      </c>
      <c r="H88" s="32"/>
    </row>
    <row r="89" spans="2:8">
      <c r="B89" s="31" t="s">
        <v>164</v>
      </c>
      <c r="C89">
        <v>4.5999999999999999E-2</v>
      </c>
      <c r="H89" s="32"/>
    </row>
    <row r="90" spans="2:8">
      <c r="B90" s="31" t="s">
        <v>129</v>
      </c>
      <c r="C90">
        <v>14.4</v>
      </c>
      <c r="H90" s="32"/>
    </row>
    <row r="91" spans="2:8">
      <c r="B91" s="31" t="s">
        <v>159</v>
      </c>
      <c r="C91">
        <v>1.7899999999999999E-4</v>
      </c>
      <c r="H91" s="32"/>
    </row>
    <row r="92" spans="2:8" ht="30.75" customHeight="1" thickBot="1">
      <c r="B92" s="125" t="s">
        <v>160</v>
      </c>
      <c r="C92" s="126"/>
      <c r="D92" s="126"/>
      <c r="E92" s="126"/>
      <c r="F92" s="126"/>
      <c r="G92" s="126"/>
      <c r="H92" s="127"/>
    </row>
    <row r="95" spans="2:8">
      <c r="B95" s="1" t="s">
        <v>162</v>
      </c>
    </row>
    <row r="96" spans="2:8" ht="15.75" thickBot="1">
      <c r="B96" s="1" t="s">
        <v>550</v>
      </c>
    </row>
    <row r="97" spans="2:8">
      <c r="B97" s="53" t="s">
        <v>155</v>
      </c>
      <c r="C97" s="29">
        <v>159.15098485684513</v>
      </c>
      <c r="D97" s="29"/>
      <c r="E97" s="29"/>
      <c r="F97" s="29"/>
      <c r="G97" s="29"/>
      <c r="H97" s="30"/>
    </row>
    <row r="98" spans="2:8">
      <c r="B98" s="33" t="s">
        <v>163</v>
      </c>
      <c r="C98">
        <v>1.1096682507421183</v>
      </c>
      <c r="H98" s="32"/>
    </row>
    <row r="99" spans="2:8" ht="30">
      <c r="B99" s="54" t="s">
        <v>165</v>
      </c>
      <c r="C99">
        <v>0.20349246511962821</v>
      </c>
      <c r="H99" s="32"/>
    </row>
    <row r="100" spans="2:8">
      <c r="B100" s="54" t="s">
        <v>166</v>
      </c>
      <c r="H100" s="32"/>
    </row>
    <row r="101" spans="2:8">
      <c r="B101" s="31" t="s">
        <v>157</v>
      </c>
      <c r="C101">
        <v>5.0029486385550312E-2</v>
      </c>
      <c r="H101" s="32"/>
    </row>
    <row r="102" spans="2:8">
      <c r="B102" s="31" t="s">
        <v>158</v>
      </c>
      <c r="C102">
        <v>14.4</v>
      </c>
      <c r="H102" s="32"/>
    </row>
    <row r="103" spans="2:8">
      <c r="B103" s="33" t="s">
        <v>159</v>
      </c>
      <c r="C103">
        <v>4.5343892352922577E-4</v>
      </c>
      <c r="H103" s="32"/>
    </row>
    <row r="104" spans="2:8" ht="15.75" thickBot="1">
      <c r="B104" s="125" t="s">
        <v>167</v>
      </c>
      <c r="C104" s="126"/>
      <c r="D104" s="126"/>
      <c r="E104" s="126"/>
      <c r="F104" s="126"/>
      <c r="G104" s="126"/>
      <c r="H104" s="127"/>
    </row>
    <row r="107" spans="2:8">
      <c r="B107" s="1" t="s">
        <v>551</v>
      </c>
    </row>
    <row r="108" spans="2:8">
      <c r="B108" t="s">
        <v>608</v>
      </c>
    </row>
    <row r="109" spans="2:8">
      <c r="B109" s="60" t="s">
        <v>605</v>
      </c>
      <c r="C109" s="65">
        <v>-0.36420794468634793</v>
      </c>
    </row>
    <row r="110" spans="2:8">
      <c r="B110" s="57" t="s">
        <v>606</v>
      </c>
      <c r="C110" s="66">
        <v>-0.43881904394466215</v>
      </c>
    </row>
    <row r="111" spans="2:8" ht="15.75" thickBot="1">
      <c r="B111" s="61" t="s">
        <v>607</v>
      </c>
      <c r="C111" s="67">
        <v>0.58262182421755515</v>
      </c>
    </row>
    <row r="112" spans="2:8">
      <c r="B112" t="s">
        <v>547</v>
      </c>
      <c r="C112" s="104">
        <v>0.82204655248133318</v>
      </c>
    </row>
    <row r="114" spans="2:2">
      <c r="B114" s="57" t="s">
        <v>596</v>
      </c>
    </row>
  </sheetData>
  <mergeCells count="8">
    <mergeCell ref="B92:H92"/>
    <mergeCell ref="B104:H104"/>
    <mergeCell ref="B82:H82"/>
    <mergeCell ref="B19:G19"/>
    <mergeCell ref="B27:G27"/>
    <mergeCell ref="B46:G46"/>
    <mergeCell ref="B58:G58"/>
    <mergeCell ref="B30:G3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EDB08-0F5A-4E61-B055-22AA6FF183A7}">
  <sheetPr codeName="Sheet4"/>
  <dimension ref="B1:Y340"/>
  <sheetViews>
    <sheetView topLeftCell="A319" workbookViewId="0">
      <selection activeCell="B1" sqref="B1:D304"/>
    </sheetView>
  </sheetViews>
  <sheetFormatPr defaultRowHeight="15"/>
  <cols>
    <col min="10" max="10" width="19.140625" bestFit="1" customWidth="1"/>
  </cols>
  <sheetData>
    <row r="1" spans="2:23">
      <c r="B1" s="1" t="s">
        <v>2</v>
      </c>
      <c r="C1" s="1" t="s">
        <v>5</v>
      </c>
      <c r="D1" s="1" t="s">
        <v>4</v>
      </c>
      <c r="E1" t="s">
        <v>103</v>
      </c>
      <c r="F1" t="s">
        <v>100</v>
      </c>
      <c r="G1" t="s">
        <v>101</v>
      </c>
      <c r="H1" t="s">
        <v>102</v>
      </c>
    </row>
    <row r="2" spans="2:23">
      <c r="B2">
        <v>3</v>
      </c>
      <c r="C2">
        <v>1</v>
      </c>
      <c r="D2">
        <v>233</v>
      </c>
      <c r="E2">
        <v>354</v>
      </c>
      <c r="F2">
        <v>204</v>
      </c>
      <c r="G2">
        <v>250</v>
      </c>
      <c r="H2">
        <v>233</v>
      </c>
      <c r="J2" t="s">
        <v>104</v>
      </c>
    </row>
    <row r="3" spans="2:23" ht="15.75" thickBot="1">
      <c r="B3">
        <v>2</v>
      </c>
      <c r="C3">
        <v>0</v>
      </c>
      <c r="D3">
        <v>250</v>
      </c>
      <c r="E3">
        <v>192</v>
      </c>
      <c r="F3">
        <v>236</v>
      </c>
      <c r="G3">
        <v>199</v>
      </c>
      <c r="H3">
        <v>211</v>
      </c>
    </row>
    <row r="4" spans="2:23" ht="15.75" thickBot="1">
      <c r="B4">
        <v>1</v>
      </c>
      <c r="C4">
        <v>0</v>
      </c>
      <c r="D4">
        <v>204</v>
      </c>
      <c r="E4">
        <v>239</v>
      </c>
      <c r="F4">
        <v>294</v>
      </c>
      <c r="G4">
        <v>168</v>
      </c>
      <c r="H4">
        <v>283</v>
      </c>
      <c r="J4" t="s">
        <v>105</v>
      </c>
      <c r="S4" s="27"/>
      <c r="T4" s="27"/>
      <c r="U4" s="27"/>
      <c r="V4" s="27"/>
      <c r="W4" s="27"/>
    </row>
    <row r="5" spans="2:23">
      <c r="B5">
        <v>1</v>
      </c>
      <c r="C5">
        <v>0</v>
      </c>
      <c r="D5">
        <v>236</v>
      </c>
      <c r="E5">
        <v>247</v>
      </c>
      <c r="F5">
        <v>263</v>
      </c>
      <c r="G5">
        <v>275</v>
      </c>
      <c r="H5">
        <v>226</v>
      </c>
      <c r="J5" s="27" t="s">
        <v>106</v>
      </c>
      <c r="K5" s="27" t="s">
        <v>73</v>
      </c>
      <c r="L5" s="27" t="s">
        <v>72</v>
      </c>
      <c r="M5" s="27" t="s">
        <v>107</v>
      </c>
      <c r="N5" s="27" t="s">
        <v>85</v>
      </c>
    </row>
    <row r="6" spans="2:23">
      <c r="B6">
        <v>0</v>
      </c>
      <c r="C6">
        <v>0</v>
      </c>
      <c r="D6">
        <v>354</v>
      </c>
      <c r="E6">
        <v>234</v>
      </c>
      <c r="F6">
        <v>266</v>
      </c>
      <c r="G6">
        <v>219</v>
      </c>
      <c r="H6">
        <v>239</v>
      </c>
      <c r="J6" t="s">
        <v>103</v>
      </c>
      <c r="K6">
        <v>143</v>
      </c>
      <c r="L6">
        <v>35769</v>
      </c>
      <c r="M6">
        <v>250.13286713286712</v>
      </c>
      <c r="N6">
        <v>2656.4117994681396</v>
      </c>
    </row>
    <row r="7" spans="2:23">
      <c r="B7">
        <v>0</v>
      </c>
      <c r="C7">
        <v>0</v>
      </c>
      <c r="D7">
        <v>192</v>
      </c>
      <c r="E7">
        <v>226</v>
      </c>
      <c r="F7">
        <v>302</v>
      </c>
      <c r="G7">
        <v>340</v>
      </c>
      <c r="H7">
        <v>199</v>
      </c>
      <c r="J7" t="s">
        <v>100</v>
      </c>
      <c r="K7">
        <v>50</v>
      </c>
      <c r="L7">
        <v>12239</v>
      </c>
      <c r="M7">
        <v>244.78</v>
      </c>
      <c r="N7">
        <v>1868.5016326530626</v>
      </c>
    </row>
    <row r="8" spans="2:23">
      <c r="B8">
        <v>1</v>
      </c>
      <c r="C8">
        <v>0</v>
      </c>
      <c r="D8">
        <v>294</v>
      </c>
      <c r="E8">
        <v>177</v>
      </c>
      <c r="F8">
        <v>198</v>
      </c>
      <c r="G8">
        <v>233</v>
      </c>
      <c r="H8">
        <v>213</v>
      </c>
      <c r="J8" t="s">
        <v>101</v>
      </c>
      <c r="K8">
        <v>87</v>
      </c>
      <c r="L8">
        <v>21156</v>
      </c>
      <c r="M8">
        <v>243.17241379310346</v>
      </c>
      <c r="N8">
        <v>3630.8885324779508</v>
      </c>
    </row>
    <row r="9" spans="2:23" ht="15.75" thickBot="1">
      <c r="B9">
        <v>1</v>
      </c>
      <c r="C9">
        <v>0</v>
      </c>
      <c r="D9">
        <v>263</v>
      </c>
      <c r="E9">
        <v>208</v>
      </c>
      <c r="F9">
        <v>219</v>
      </c>
      <c r="G9">
        <v>243</v>
      </c>
      <c r="H9">
        <v>182</v>
      </c>
      <c r="J9" s="26" t="s">
        <v>102</v>
      </c>
      <c r="K9" s="26">
        <v>23</v>
      </c>
      <c r="L9" s="26">
        <v>5454</v>
      </c>
      <c r="M9" s="26">
        <v>237.13043478260869</v>
      </c>
      <c r="N9" s="26">
        <v>1148.9367588932773</v>
      </c>
    </row>
    <row r="10" spans="2:23">
      <c r="B10">
        <v>2</v>
      </c>
      <c r="C10">
        <v>1</v>
      </c>
      <c r="D10">
        <v>199</v>
      </c>
      <c r="E10">
        <v>264</v>
      </c>
      <c r="F10">
        <v>245</v>
      </c>
      <c r="G10">
        <v>212</v>
      </c>
      <c r="H10">
        <v>186</v>
      </c>
    </row>
    <row r="11" spans="2:23">
      <c r="B11">
        <v>2</v>
      </c>
      <c r="C11">
        <v>0</v>
      </c>
      <c r="D11">
        <v>168</v>
      </c>
      <c r="E11">
        <v>234</v>
      </c>
      <c r="F11">
        <v>325</v>
      </c>
      <c r="G11">
        <v>175</v>
      </c>
      <c r="H11">
        <v>298</v>
      </c>
    </row>
    <row r="12" spans="2:23" ht="15.75" thickBot="1">
      <c r="B12">
        <v>0</v>
      </c>
      <c r="C12">
        <v>0</v>
      </c>
      <c r="D12">
        <v>239</v>
      </c>
      <c r="E12">
        <v>302</v>
      </c>
      <c r="F12">
        <v>201</v>
      </c>
      <c r="G12">
        <v>417</v>
      </c>
      <c r="H12">
        <v>244</v>
      </c>
      <c r="J12" t="s">
        <v>108</v>
      </c>
    </row>
    <row r="13" spans="2:23">
      <c r="B13">
        <v>2</v>
      </c>
      <c r="C13">
        <v>0</v>
      </c>
      <c r="D13">
        <v>275</v>
      </c>
      <c r="E13">
        <v>222</v>
      </c>
      <c r="F13">
        <v>309</v>
      </c>
      <c r="G13">
        <v>197</v>
      </c>
      <c r="H13">
        <v>270</v>
      </c>
      <c r="J13" s="27" t="s">
        <v>109</v>
      </c>
      <c r="K13" s="27" t="s">
        <v>110</v>
      </c>
      <c r="L13" s="27" t="s">
        <v>88</v>
      </c>
      <c r="M13" s="27" t="s">
        <v>111</v>
      </c>
      <c r="N13" s="27" t="s">
        <v>112</v>
      </c>
      <c r="O13" s="27" t="s">
        <v>113</v>
      </c>
      <c r="P13" s="27" t="s">
        <v>114</v>
      </c>
    </row>
    <row r="14" spans="2:23">
      <c r="B14">
        <v>1</v>
      </c>
      <c r="C14">
        <v>0</v>
      </c>
      <c r="D14">
        <v>266</v>
      </c>
      <c r="E14">
        <v>260</v>
      </c>
      <c r="F14">
        <v>203</v>
      </c>
      <c r="G14">
        <v>273</v>
      </c>
      <c r="H14">
        <v>234</v>
      </c>
      <c r="J14" t="s">
        <v>115</v>
      </c>
      <c r="K14">
        <v>5000.7998745579971</v>
      </c>
      <c r="L14">
        <v>3</v>
      </c>
      <c r="M14">
        <v>1666.9332915193324</v>
      </c>
      <c r="N14">
        <v>0.61814833925403834</v>
      </c>
      <c r="O14">
        <v>0.60372730903529592</v>
      </c>
      <c r="P14">
        <v>2.6348011164411784</v>
      </c>
    </row>
    <row r="15" spans="2:23">
      <c r="B15">
        <v>3</v>
      </c>
      <c r="C15">
        <v>0</v>
      </c>
      <c r="D15">
        <v>211</v>
      </c>
      <c r="E15">
        <v>303</v>
      </c>
      <c r="F15">
        <v>234</v>
      </c>
      <c r="G15">
        <v>177</v>
      </c>
      <c r="H15">
        <v>193</v>
      </c>
      <c r="J15" t="s">
        <v>116</v>
      </c>
      <c r="K15">
        <v>806300.07801323116</v>
      </c>
      <c r="L15">
        <v>299</v>
      </c>
      <c r="M15">
        <v>2696.6557793084653</v>
      </c>
    </row>
    <row r="16" spans="2:23">
      <c r="B16">
        <v>3</v>
      </c>
      <c r="C16">
        <v>1</v>
      </c>
      <c r="D16">
        <v>283</v>
      </c>
      <c r="E16">
        <v>183</v>
      </c>
      <c r="F16">
        <v>220</v>
      </c>
      <c r="G16">
        <v>304</v>
      </c>
      <c r="H16">
        <v>240</v>
      </c>
    </row>
    <row r="17" spans="2:16" ht="15.75" thickBot="1">
      <c r="B17">
        <v>2</v>
      </c>
      <c r="C17">
        <v>0</v>
      </c>
      <c r="D17">
        <v>219</v>
      </c>
      <c r="E17">
        <v>209</v>
      </c>
      <c r="F17">
        <v>204</v>
      </c>
      <c r="G17">
        <v>232</v>
      </c>
      <c r="H17">
        <v>227</v>
      </c>
      <c r="J17" s="26" t="s">
        <v>17</v>
      </c>
      <c r="K17" s="26">
        <v>811300.87788778916</v>
      </c>
      <c r="L17" s="26">
        <v>302</v>
      </c>
      <c r="M17" s="26"/>
      <c r="N17" s="26"/>
      <c r="O17" s="26"/>
      <c r="P17" s="26"/>
    </row>
    <row r="18" spans="2:16">
      <c r="B18">
        <v>2</v>
      </c>
      <c r="C18">
        <v>0</v>
      </c>
      <c r="D18">
        <v>340</v>
      </c>
      <c r="E18">
        <v>261</v>
      </c>
      <c r="F18">
        <v>250</v>
      </c>
      <c r="G18">
        <v>269</v>
      </c>
      <c r="H18">
        <v>282</v>
      </c>
    </row>
    <row r="19" spans="2:16">
      <c r="B19">
        <v>3</v>
      </c>
      <c r="C19">
        <v>0</v>
      </c>
      <c r="D19">
        <v>226</v>
      </c>
      <c r="E19">
        <v>265</v>
      </c>
      <c r="F19">
        <v>221</v>
      </c>
      <c r="G19">
        <v>360</v>
      </c>
      <c r="H19">
        <v>288</v>
      </c>
    </row>
    <row r="20" spans="2:16">
      <c r="B20">
        <v>0</v>
      </c>
      <c r="C20">
        <v>0</v>
      </c>
      <c r="D20">
        <v>247</v>
      </c>
      <c r="E20">
        <v>248</v>
      </c>
      <c r="F20">
        <v>205</v>
      </c>
      <c r="G20">
        <v>308</v>
      </c>
      <c r="H20">
        <v>273</v>
      </c>
    </row>
    <row r="21" spans="2:16">
      <c r="B21">
        <v>3</v>
      </c>
      <c r="C21">
        <v>0</v>
      </c>
      <c r="D21">
        <v>239</v>
      </c>
      <c r="E21">
        <v>207</v>
      </c>
      <c r="F21">
        <v>308</v>
      </c>
      <c r="G21">
        <v>321</v>
      </c>
      <c r="H21">
        <v>231</v>
      </c>
    </row>
    <row r="22" spans="2:16">
      <c r="B22">
        <v>0</v>
      </c>
      <c r="C22">
        <v>0</v>
      </c>
      <c r="D22">
        <v>234</v>
      </c>
      <c r="E22">
        <v>226</v>
      </c>
      <c r="F22">
        <v>197</v>
      </c>
      <c r="G22">
        <v>235</v>
      </c>
      <c r="H22">
        <v>234</v>
      </c>
    </row>
    <row r="23" spans="2:16">
      <c r="B23">
        <v>2</v>
      </c>
      <c r="C23">
        <v>0</v>
      </c>
      <c r="D23">
        <v>233</v>
      </c>
      <c r="E23">
        <v>394</v>
      </c>
      <c r="F23">
        <v>288</v>
      </c>
      <c r="G23">
        <v>257</v>
      </c>
      <c r="H23">
        <v>204</v>
      </c>
      <c r="J23" t="s">
        <v>121</v>
      </c>
    </row>
    <row r="24" spans="2:16" ht="15.75" thickBot="1">
      <c r="B24">
        <v>0</v>
      </c>
      <c r="C24">
        <v>0</v>
      </c>
      <c r="D24">
        <v>226</v>
      </c>
      <c r="E24">
        <v>233</v>
      </c>
      <c r="F24">
        <v>160</v>
      </c>
      <c r="G24">
        <v>216</v>
      </c>
      <c r="H24">
        <v>264</v>
      </c>
    </row>
    <row r="25" spans="2:16">
      <c r="B25">
        <v>2</v>
      </c>
      <c r="C25">
        <v>1</v>
      </c>
      <c r="D25">
        <v>243</v>
      </c>
      <c r="E25">
        <v>236</v>
      </c>
      <c r="F25">
        <v>195</v>
      </c>
      <c r="G25">
        <v>256</v>
      </c>
      <c r="J25" s="27" t="s">
        <v>105</v>
      </c>
      <c r="K25" s="27" t="s">
        <v>73</v>
      </c>
      <c r="L25" s="27" t="s">
        <v>72</v>
      </c>
      <c r="M25" s="27" t="s">
        <v>107</v>
      </c>
      <c r="N25" s="27" t="s">
        <v>85</v>
      </c>
    </row>
    <row r="26" spans="2:16">
      <c r="B26">
        <v>3</v>
      </c>
      <c r="C26">
        <v>0</v>
      </c>
      <c r="D26">
        <v>199</v>
      </c>
      <c r="E26">
        <v>254</v>
      </c>
      <c r="F26">
        <v>244</v>
      </c>
      <c r="G26">
        <v>231</v>
      </c>
      <c r="J26">
        <v>233</v>
      </c>
      <c r="K26">
        <v>2</v>
      </c>
      <c r="L26">
        <v>4</v>
      </c>
      <c r="M26">
        <v>2</v>
      </c>
      <c r="N26">
        <v>2</v>
      </c>
    </row>
    <row r="27" spans="2:16">
      <c r="B27">
        <v>1</v>
      </c>
      <c r="C27">
        <v>0</v>
      </c>
      <c r="D27">
        <v>302</v>
      </c>
      <c r="E27">
        <v>325</v>
      </c>
      <c r="F27">
        <v>262</v>
      </c>
      <c r="G27">
        <v>141</v>
      </c>
      <c r="J27">
        <v>250</v>
      </c>
      <c r="K27">
        <v>2</v>
      </c>
      <c r="L27">
        <v>2</v>
      </c>
      <c r="M27">
        <v>1</v>
      </c>
      <c r="N27">
        <v>2</v>
      </c>
    </row>
    <row r="28" spans="2:16">
      <c r="B28">
        <v>2</v>
      </c>
      <c r="C28">
        <v>1</v>
      </c>
      <c r="D28">
        <v>212</v>
      </c>
      <c r="E28">
        <v>211</v>
      </c>
      <c r="F28">
        <v>204</v>
      </c>
      <c r="G28">
        <v>252</v>
      </c>
      <c r="J28">
        <v>204</v>
      </c>
      <c r="K28">
        <v>2</v>
      </c>
      <c r="L28">
        <v>1</v>
      </c>
      <c r="M28">
        <v>0.5</v>
      </c>
      <c r="N28">
        <v>0.5</v>
      </c>
    </row>
    <row r="29" spans="2:16">
      <c r="B29">
        <v>2</v>
      </c>
      <c r="C29">
        <v>0</v>
      </c>
      <c r="D29">
        <v>175</v>
      </c>
      <c r="E29">
        <v>243</v>
      </c>
      <c r="F29">
        <v>210</v>
      </c>
      <c r="G29">
        <v>265</v>
      </c>
      <c r="J29">
        <v>236</v>
      </c>
      <c r="K29">
        <v>2</v>
      </c>
      <c r="L29">
        <v>1</v>
      </c>
      <c r="M29">
        <v>0.5</v>
      </c>
      <c r="N29">
        <v>0.5</v>
      </c>
    </row>
    <row r="30" spans="2:16">
      <c r="B30">
        <v>2</v>
      </c>
      <c r="C30">
        <v>1</v>
      </c>
      <c r="D30">
        <v>417</v>
      </c>
      <c r="E30">
        <v>303</v>
      </c>
      <c r="F30">
        <v>269</v>
      </c>
      <c r="G30">
        <v>211</v>
      </c>
      <c r="J30">
        <v>354</v>
      </c>
      <c r="K30">
        <v>2</v>
      </c>
      <c r="L30">
        <v>0</v>
      </c>
      <c r="M30">
        <v>0</v>
      </c>
      <c r="N30">
        <v>0</v>
      </c>
    </row>
    <row r="31" spans="2:16">
      <c r="B31">
        <v>2</v>
      </c>
      <c r="C31">
        <v>1</v>
      </c>
      <c r="D31">
        <v>197</v>
      </c>
      <c r="E31">
        <v>271</v>
      </c>
      <c r="F31">
        <v>271</v>
      </c>
      <c r="G31">
        <v>222</v>
      </c>
      <c r="J31">
        <v>192</v>
      </c>
      <c r="K31">
        <v>2</v>
      </c>
      <c r="L31">
        <v>0</v>
      </c>
      <c r="M31">
        <v>0</v>
      </c>
      <c r="N31">
        <v>0</v>
      </c>
    </row>
    <row r="32" spans="2:16">
      <c r="B32">
        <v>1</v>
      </c>
      <c r="C32">
        <v>0</v>
      </c>
      <c r="D32">
        <v>198</v>
      </c>
      <c r="E32">
        <v>204</v>
      </c>
      <c r="F32">
        <v>295</v>
      </c>
      <c r="G32">
        <v>258</v>
      </c>
      <c r="J32">
        <v>294</v>
      </c>
      <c r="K32">
        <v>2</v>
      </c>
      <c r="L32">
        <v>1</v>
      </c>
      <c r="M32">
        <v>0.5</v>
      </c>
      <c r="N32">
        <v>0.5</v>
      </c>
    </row>
    <row r="33" spans="2:14">
      <c r="B33">
        <v>0</v>
      </c>
      <c r="C33">
        <v>0</v>
      </c>
      <c r="D33">
        <v>177</v>
      </c>
      <c r="E33">
        <v>269</v>
      </c>
      <c r="F33">
        <v>235</v>
      </c>
      <c r="G33">
        <v>227</v>
      </c>
      <c r="J33">
        <v>263</v>
      </c>
      <c r="K33">
        <v>2</v>
      </c>
      <c r="L33">
        <v>1</v>
      </c>
      <c r="M33">
        <v>0.5</v>
      </c>
      <c r="N33">
        <v>0.5</v>
      </c>
    </row>
    <row r="34" spans="2:14">
      <c r="B34">
        <v>1</v>
      </c>
      <c r="C34">
        <v>0</v>
      </c>
      <c r="D34">
        <v>219</v>
      </c>
      <c r="E34">
        <v>201</v>
      </c>
      <c r="F34">
        <v>306</v>
      </c>
      <c r="G34">
        <v>213</v>
      </c>
      <c r="J34">
        <v>199</v>
      </c>
      <c r="K34">
        <v>2</v>
      </c>
      <c r="L34">
        <v>3</v>
      </c>
      <c r="M34">
        <v>1.5</v>
      </c>
      <c r="N34">
        <v>0.5</v>
      </c>
    </row>
    <row r="35" spans="2:14">
      <c r="B35">
        <v>2</v>
      </c>
      <c r="C35">
        <v>0</v>
      </c>
      <c r="D35">
        <v>273</v>
      </c>
      <c r="E35">
        <v>263</v>
      </c>
      <c r="F35">
        <v>208</v>
      </c>
      <c r="G35">
        <v>245</v>
      </c>
      <c r="J35">
        <v>168</v>
      </c>
      <c r="K35">
        <v>2</v>
      </c>
      <c r="L35">
        <v>2</v>
      </c>
      <c r="M35">
        <v>1</v>
      </c>
      <c r="N35">
        <v>2</v>
      </c>
    </row>
    <row r="36" spans="2:14">
      <c r="B36">
        <v>3</v>
      </c>
      <c r="C36">
        <v>0</v>
      </c>
      <c r="D36">
        <v>213</v>
      </c>
      <c r="E36">
        <v>303</v>
      </c>
      <c r="F36">
        <v>245</v>
      </c>
      <c r="G36">
        <v>240</v>
      </c>
      <c r="J36">
        <v>239</v>
      </c>
      <c r="K36">
        <v>2</v>
      </c>
      <c r="L36">
        <v>0</v>
      </c>
      <c r="M36">
        <v>0</v>
      </c>
      <c r="N36">
        <v>0</v>
      </c>
    </row>
    <row r="37" spans="2:14">
      <c r="B37">
        <v>2</v>
      </c>
      <c r="C37">
        <v>0</v>
      </c>
      <c r="D37">
        <v>177</v>
      </c>
      <c r="E37">
        <v>223</v>
      </c>
      <c r="F37">
        <v>192</v>
      </c>
      <c r="G37">
        <v>250</v>
      </c>
      <c r="J37">
        <v>275</v>
      </c>
      <c r="K37">
        <v>2</v>
      </c>
      <c r="L37">
        <v>2</v>
      </c>
      <c r="M37">
        <v>1</v>
      </c>
      <c r="N37">
        <v>2</v>
      </c>
    </row>
    <row r="38" spans="2:14">
      <c r="B38">
        <v>2</v>
      </c>
      <c r="C38">
        <v>1</v>
      </c>
      <c r="D38">
        <v>304</v>
      </c>
      <c r="E38">
        <v>228</v>
      </c>
      <c r="F38">
        <v>220</v>
      </c>
      <c r="G38">
        <v>318</v>
      </c>
      <c r="J38">
        <v>266</v>
      </c>
      <c r="K38">
        <v>2</v>
      </c>
      <c r="L38">
        <v>1</v>
      </c>
      <c r="M38">
        <v>0.5</v>
      </c>
      <c r="N38">
        <v>0.5</v>
      </c>
    </row>
    <row r="39" spans="2:14">
      <c r="B39">
        <v>2</v>
      </c>
      <c r="C39">
        <v>0</v>
      </c>
      <c r="D39">
        <v>232</v>
      </c>
      <c r="E39">
        <v>149</v>
      </c>
      <c r="F39">
        <v>221</v>
      </c>
      <c r="G39">
        <v>564</v>
      </c>
      <c r="J39">
        <v>211</v>
      </c>
      <c r="K39">
        <v>2</v>
      </c>
      <c r="L39">
        <v>3</v>
      </c>
      <c r="M39">
        <v>1.5</v>
      </c>
      <c r="N39">
        <v>4.5</v>
      </c>
    </row>
    <row r="40" spans="2:14">
      <c r="B40">
        <v>2</v>
      </c>
      <c r="C40">
        <v>0</v>
      </c>
      <c r="D40">
        <v>269</v>
      </c>
      <c r="E40">
        <v>197</v>
      </c>
      <c r="F40">
        <v>240</v>
      </c>
      <c r="G40">
        <v>277</v>
      </c>
      <c r="J40">
        <v>283</v>
      </c>
      <c r="K40">
        <v>2</v>
      </c>
      <c r="L40">
        <v>4</v>
      </c>
      <c r="M40">
        <v>2</v>
      </c>
      <c r="N40">
        <v>2</v>
      </c>
    </row>
    <row r="41" spans="2:14">
      <c r="B41">
        <v>2</v>
      </c>
      <c r="C41">
        <v>0</v>
      </c>
      <c r="D41">
        <v>360</v>
      </c>
      <c r="E41">
        <v>286</v>
      </c>
      <c r="F41">
        <v>342</v>
      </c>
      <c r="G41">
        <v>214</v>
      </c>
      <c r="J41">
        <v>219</v>
      </c>
      <c r="K41">
        <v>2</v>
      </c>
      <c r="L41">
        <v>2</v>
      </c>
      <c r="M41">
        <v>1</v>
      </c>
      <c r="N41">
        <v>2</v>
      </c>
    </row>
    <row r="42" spans="2:14">
      <c r="B42">
        <v>2</v>
      </c>
      <c r="C42">
        <v>0</v>
      </c>
      <c r="D42">
        <v>308</v>
      </c>
      <c r="E42">
        <v>229</v>
      </c>
      <c r="F42">
        <v>157</v>
      </c>
      <c r="G42">
        <v>255</v>
      </c>
      <c r="J42">
        <v>340</v>
      </c>
      <c r="K42">
        <v>2</v>
      </c>
      <c r="L42">
        <v>2</v>
      </c>
      <c r="M42">
        <v>1</v>
      </c>
      <c r="N42">
        <v>2</v>
      </c>
    </row>
    <row r="43" spans="2:14">
      <c r="B43">
        <v>1</v>
      </c>
      <c r="C43">
        <v>0</v>
      </c>
      <c r="D43">
        <v>245</v>
      </c>
      <c r="E43">
        <v>268</v>
      </c>
      <c r="F43">
        <v>229</v>
      </c>
      <c r="G43">
        <v>223</v>
      </c>
      <c r="J43">
        <v>226</v>
      </c>
      <c r="K43">
        <v>2</v>
      </c>
      <c r="L43">
        <v>3</v>
      </c>
      <c r="M43">
        <v>1.5</v>
      </c>
      <c r="N43">
        <v>4.5</v>
      </c>
    </row>
    <row r="44" spans="2:14">
      <c r="B44">
        <v>0</v>
      </c>
      <c r="C44">
        <v>0</v>
      </c>
      <c r="D44">
        <v>208</v>
      </c>
      <c r="E44">
        <v>254</v>
      </c>
      <c r="F44">
        <v>284</v>
      </c>
      <c r="G44">
        <v>315</v>
      </c>
      <c r="J44">
        <v>247</v>
      </c>
      <c r="K44">
        <v>2</v>
      </c>
      <c r="L44">
        <v>0</v>
      </c>
      <c r="M44">
        <v>0</v>
      </c>
      <c r="N44">
        <v>0</v>
      </c>
    </row>
    <row r="45" spans="2:14">
      <c r="B45">
        <v>0</v>
      </c>
      <c r="C45">
        <v>0</v>
      </c>
      <c r="D45">
        <v>264</v>
      </c>
      <c r="E45">
        <v>203</v>
      </c>
      <c r="F45">
        <v>281</v>
      </c>
      <c r="G45">
        <v>246</v>
      </c>
      <c r="J45">
        <v>239</v>
      </c>
      <c r="K45">
        <v>2</v>
      </c>
      <c r="L45">
        <v>3</v>
      </c>
      <c r="M45">
        <v>1.5</v>
      </c>
      <c r="N45">
        <v>4.5</v>
      </c>
    </row>
    <row r="46" spans="2:14">
      <c r="B46">
        <v>2</v>
      </c>
      <c r="C46">
        <v>0</v>
      </c>
      <c r="D46">
        <v>321</v>
      </c>
      <c r="E46">
        <v>206</v>
      </c>
      <c r="F46">
        <v>246</v>
      </c>
      <c r="G46">
        <v>240</v>
      </c>
      <c r="J46">
        <v>234</v>
      </c>
      <c r="K46">
        <v>2</v>
      </c>
      <c r="L46">
        <v>0</v>
      </c>
      <c r="M46">
        <v>0</v>
      </c>
      <c r="N46">
        <v>0</v>
      </c>
    </row>
    <row r="47" spans="2:14">
      <c r="B47">
        <v>1</v>
      </c>
      <c r="C47">
        <v>0</v>
      </c>
      <c r="D47">
        <v>325</v>
      </c>
      <c r="E47">
        <v>167</v>
      </c>
      <c r="F47">
        <v>283</v>
      </c>
      <c r="G47">
        <v>196</v>
      </c>
      <c r="J47">
        <v>233</v>
      </c>
      <c r="K47">
        <v>2</v>
      </c>
      <c r="L47">
        <v>2</v>
      </c>
      <c r="M47">
        <v>1</v>
      </c>
      <c r="N47">
        <v>2</v>
      </c>
    </row>
    <row r="48" spans="2:14">
      <c r="B48">
        <v>2</v>
      </c>
      <c r="C48">
        <v>0</v>
      </c>
      <c r="D48">
        <v>235</v>
      </c>
      <c r="E48">
        <v>230</v>
      </c>
      <c r="F48">
        <v>261</v>
      </c>
      <c r="G48">
        <v>211</v>
      </c>
      <c r="J48">
        <v>226</v>
      </c>
      <c r="K48">
        <v>2</v>
      </c>
      <c r="L48">
        <v>0</v>
      </c>
      <c r="M48">
        <v>0</v>
      </c>
      <c r="N48">
        <v>0</v>
      </c>
    </row>
    <row r="49" spans="2:14">
      <c r="B49">
        <v>2</v>
      </c>
      <c r="C49">
        <v>0</v>
      </c>
      <c r="D49">
        <v>257</v>
      </c>
      <c r="E49">
        <v>177</v>
      </c>
      <c r="F49">
        <v>319</v>
      </c>
      <c r="G49">
        <v>126</v>
      </c>
      <c r="J49">
        <v>243</v>
      </c>
      <c r="K49">
        <v>2</v>
      </c>
      <c r="L49">
        <v>3</v>
      </c>
      <c r="M49">
        <v>1.5</v>
      </c>
      <c r="N49">
        <v>0.5</v>
      </c>
    </row>
    <row r="50" spans="2:14">
      <c r="B50">
        <v>2</v>
      </c>
      <c r="C50">
        <v>0</v>
      </c>
      <c r="D50">
        <v>216</v>
      </c>
      <c r="E50">
        <v>276</v>
      </c>
      <c r="F50">
        <v>232</v>
      </c>
      <c r="G50">
        <v>313</v>
      </c>
      <c r="J50">
        <v>199</v>
      </c>
      <c r="K50">
        <v>2</v>
      </c>
      <c r="L50">
        <v>3</v>
      </c>
      <c r="M50">
        <v>1.5</v>
      </c>
      <c r="N50">
        <v>4.5</v>
      </c>
    </row>
    <row r="51" spans="2:14">
      <c r="B51">
        <v>0</v>
      </c>
      <c r="C51">
        <v>0</v>
      </c>
      <c r="D51">
        <v>234</v>
      </c>
      <c r="E51">
        <v>353</v>
      </c>
      <c r="F51">
        <v>236</v>
      </c>
      <c r="G51">
        <v>215</v>
      </c>
      <c r="J51">
        <v>302</v>
      </c>
      <c r="K51">
        <v>2</v>
      </c>
      <c r="L51">
        <v>1</v>
      </c>
      <c r="M51">
        <v>0.5</v>
      </c>
      <c r="N51">
        <v>0.5</v>
      </c>
    </row>
    <row r="52" spans="2:14">
      <c r="B52">
        <v>2</v>
      </c>
      <c r="C52">
        <v>0</v>
      </c>
      <c r="D52">
        <v>256</v>
      </c>
      <c r="E52">
        <v>225</v>
      </c>
      <c r="G52">
        <v>214</v>
      </c>
      <c r="J52">
        <v>212</v>
      </c>
      <c r="K52">
        <v>2</v>
      </c>
      <c r="L52">
        <v>3</v>
      </c>
      <c r="M52">
        <v>1.5</v>
      </c>
      <c r="N52">
        <v>0.5</v>
      </c>
    </row>
    <row r="53" spans="2:14">
      <c r="B53">
        <v>0</v>
      </c>
      <c r="C53">
        <v>0</v>
      </c>
      <c r="D53">
        <v>302</v>
      </c>
      <c r="E53">
        <v>330</v>
      </c>
      <c r="G53">
        <v>268</v>
      </c>
      <c r="J53">
        <v>175</v>
      </c>
      <c r="K53">
        <v>2</v>
      </c>
      <c r="L53">
        <v>2</v>
      </c>
      <c r="M53">
        <v>1</v>
      </c>
      <c r="N53">
        <v>2</v>
      </c>
    </row>
    <row r="54" spans="2:14">
      <c r="B54">
        <v>2</v>
      </c>
      <c r="C54">
        <v>0</v>
      </c>
      <c r="D54">
        <v>231</v>
      </c>
      <c r="E54">
        <v>243</v>
      </c>
      <c r="G54">
        <v>267</v>
      </c>
      <c r="J54">
        <v>417</v>
      </c>
      <c r="K54">
        <v>2</v>
      </c>
      <c r="L54">
        <v>3</v>
      </c>
      <c r="M54">
        <v>1.5</v>
      </c>
      <c r="N54">
        <v>0.5</v>
      </c>
    </row>
    <row r="55" spans="2:14">
      <c r="B55">
        <v>2</v>
      </c>
      <c r="C55">
        <v>0</v>
      </c>
      <c r="D55">
        <v>141</v>
      </c>
      <c r="E55">
        <v>290</v>
      </c>
      <c r="G55">
        <v>199</v>
      </c>
      <c r="J55">
        <v>197</v>
      </c>
      <c r="K55">
        <v>2</v>
      </c>
      <c r="L55">
        <v>3</v>
      </c>
      <c r="M55">
        <v>1.5</v>
      </c>
      <c r="N55">
        <v>0.5</v>
      </c>
    </row>
    <row r="56" spans="2:14">
      <c r="B56">
        <v>2</v>
      </c>
      <c r="C56">
        <v>0</v>
      </c>
      <c r="D56">
        <v>252</v>
      </c>
      <c r="E56">
        <v>253</v>
      </c>
      <c r="G56">
        <v>277</v>
      </c>
      <c r="J56">
        <v>198</v>
      </c>
      <c r="K56">
        <v>2</v>
      </c>
      <c r="L56">
        <v>1</v>
      </c>
      <c r="M56">
        <v>0.5</v>
      </c>
      <c r="N56">
        <v>0.5</v>
      </c>
    </row>
    <row r="57" spans="2:14">
      <c r="B57">
        <v>1</v>
      </c>
      <c r="C57">
        <v>0</v>
      </c>
      <c r="D57">
        <v>201</v>
      </c>
      <c r="E57">
        <v>266</v>
      </c>
      <c r="G57">
        <v>196</v>
      </c>
      <c r="J57">
        <v>177</v>
      </c>
      <c r="K57">
        <v>2</v>
      </c>
      <c r="L57">
        <v>0</v>
      </c>
      <c r="M57">
        <v>0</v>
      </c>
      <c r="N57">
        <v>0</v>
      </c>
    </row>
    <row r="58" spans="2:14">
      <c r="B58">
        <v>0</v>
      </c>
      <c r="C58">
        <v>0</v>
      </c>
      <c r="D58">
        <v>222</v>
      </c>
      <c r="E58">
        <v>172</v>
      </c>
      <c r="G58">
        <v>201</v>
      </c>
      <c r="J58">
        <v>219</v>
      </c>
      <c r="K58">
        <v>2</v>
      </c>
      <c r="L58">
        <v>1</v>
      </c>
      <c r="M58">
        <v>0.5</v>
      </c>
      <c r="N58">
        <v>0.5</v>
      </c>
    </row>
    <row r="59" spans="2:14">
      <c r="B59">
        <v>0</v>
      </c>
      <c r="C59">
        <v>0</v>
      </c>
      <c r="D59">
        <v>260</v>
      </c>
      <c r="E59">
        <v>305</v>
      </c>
      <c r="G59">
        <v>178</v>
      </c>
      <c r="J59">
        <v>273</v>
      </c>
      <c r="K59">
        <v>2</v>
      </c>
      <c r="L59">
        <v>2</v>
      </c>
      <c r="M59">
        <v>1</v>
      </c>
      <c r="N59">
        <v>2</v>
      </c>
    </row>
    <row r="60" spans="2:14">
      <c r="B60">
        <v>3</v>
      </c>
      <c r="C60">
        <v>0</v>
      </c>
      <c r="D60">
        <v>182</v>
      </c>
      <c r="E60">
        <v>216</v>
      </c>
      <c r="G60">
        <v>295</v>
      </c>
      <c r="J60">
        <v>213</v>
      </c>
      <c r="K60">
        <v>2</v>
      </c>
      <c r="L60">
        <v>3</v>
      </c>
      <c r="M60">
        <v>1.5</v>
      </c>
      <c r="N60">
        <v>4.5</v>
      </c>
    </row>
    <row r="61" spans="2:14">
      <c r="B61">
        <v>0</v>
      </c>
      <c r="C61">
        <v>0</v>
      </c>
      <c r="D61">
        <v>303</v>
      </c>
      <c r="E61">
        <v>188</v>
      </c>
      <c r="G61">
        <v>209</v>
      </c>
      <c r="J61">
        <v>177</v>
      </c>
      <c r="K61">
        <v>2</v>
      </c>
      <c r="L61">
        <v>2</v>
      </c>
      <c r="M61">
        <v>1</v>
      </c>
      <c r="N61">
        <v>2</v>
      </c>
    </row>
    <row r="62" spans="2:14">
      <c r="B62">
        <v>2</v>
      </c>
      <c r="C62">
        <v>1</v>
      </c>
      <c r="D62">
        <v>265</v>
      </c>
      <c r="E62">
        <v>282</v>
      </c>
      <c r="G62">
        <v>197</v>
      </c>
      <c r="J62">
        <v>304</v>
      </c>
      <c r="K62">
        <v>2</v>
      </c>
      <c r="L62">
        <v>3</v>
      </c>
      <c r="M62">
        <v>1.5</v>
      </c>
      <c r="N62">
        <v>0.5</v>
      </c>
    </row>
    <row r="63" spans="2:14">
      <c r="B63">
        <v>1</v>
      </c>
      <c r="C63">
        <v>0</v>
      </c>
      <c r="D63">
        <v>309</v>
      </c>
      <c r="E63">
        <v>326</v>
      </c>
      <c r="G63">
        <v>242</v>
      </c>
      <c r="J63">
        <v>232</v>
      </c>
      <c r="K63">
        <v>2</v>
      </c>
      <c r="L63">
        <v>2</v>
      </c>
      <c r="M63">
        <v>1</v>
      </c>
      <c r="N63">
        <v>2</v>
      </c>
    </row>
    <row r="64" spans="2:14">
      <c r="B64">
        <v>3</v>
      </c>
      <c r="C64">
        <v>0</v>
      </c>
      <c r="D64">
        <v>186</v>
      </c>
      <c r="E64">
        <v>254</v>
      </c>
      <c r="G64">
        <v>226</v>
      </c>
      <c r="J64">
        <v>269</v>
      </c>
      <c r="K64">
        <v>2</v>
      </c>
      <c r="L64">
        <v>2</v>
      </c>
      <c r="M64">
        <v>1</v>
      </c>
      <c r="N64">
        <v>2</v>
      </c>
    </row>
    <row r="65" spans="2:14">
      <c r="B65">
        <v>1</v>
      </c>
      <c r="C65">
        <v>0</v>
      </c>
      <c r="D65">
        <v>203</v>
      </c>
      <c r="E65">
        <v>267</v>
      </c>
      <c r="G65">
        <v>180</v>
      </c>
      <c r="J65">
        <v>360</v>
      </c>
      <c r="K65">
        <v>2</v>
      </c>
      <c r="L65">
        <v>2</v>
      </c>
      <c r="M65">
        <v>1</v>
      </c>
      <c r="N65">
        <v>2</v>
      </c>
    </row>
    <row r="66" spans="2:14">
      <c r="B66">
        <v>2</v>
      </c>
      <c r="C66">
        <v>1</v>
      </c>
      <c r="D66">
        <v>211</v>
      </c>
      <c r="E66">
        <v>248</v>
      </c>
      <c r="G66">
        <v>278</v>
      </c>
      <c r="J66">
        <v>308</v>
      </c>
      <c r="K66">
        <v>2</v>
      </c>
      <c r="L66">
        <v>2</v>
      </c>
      <c r="M66">
        <v>1</v>
      </c>
      <c r="N66">
        <v>2</v>
      </c>
    </row>
    <row r="67" spans="2:14">
      <c r="B67">
        <v>0</v>
      </c>
      <c r="C67">
        <v>0</v>
      </c>
      <c r="D67">
        <v>183</v>
      </c>
      <c r="E67">
        <v>197</v>
      </c>
      <c r="G67">
        <v>220</v>
      </c>
      <c r="J67">
        <v>245</v>
      </c>
      <c r="K67">
        <v>2</v>
      </c>
      <c r="L67">
        <v>1</v>
      </c>
      <c r="M67">
        <v>0.5</v>
      </c>
      <c r="N67">
        <v>0.5</v>
      </c>
    </row>
    <row r="68" spans="2:14">
      <c r="B68">
        <v>2</v>
      </c>
      <c r="C68">
        <v>0</v>
      </c>
      <c r="D68">
        <v>222</v>
      </c>
      <c r="E68">
        <v>258</v>
      </c>
      <c r="G68">
        <v>253</v>
      </c>
      <c r="J68">
        <v>208</v>
      </c>
      <c r="K68">
        <v>2</v>
      </c>
      <c r="L68">
        <v>0</v>
      </c>
      <c r="M68">
        <v>0</v>
      </c>
      <c r="N68">
        <v>0</v>
      </c>
    </row>
    <row r="69" spans="2:14">
      <c r="B69">
        <v>1</v>
      </c>
      <c r="C69">
        <v>0</v>
      </c>
      <c r="D69">
        <v>234</v>
      </c>
      <c r="E69">
        <v>270</v>
      </c>
      <c r="G69">
        <v>175</v>
      </c>
      <c r="J69">
        <v>264</v>
      </c>
      <c r="K69">
        <v>2</v>
      </c>
      <c r="L69">
        <v>0</v>
      </c>
      <c r="M69">
        <v>0</v>
      </c>
      <c r="N69">
        <v>0</v>
      </c>
    </row>
    <row r="70" spans="2:14">
      <c r="B70">
        <v>1</v>
      </c>
      <c r="C70">
        <v>0</v>
      </c>
      <c r="D70">
        <v>220</v>
      </c>
      <c r="E70">
        <v>164</v>
      </c>
      <c r="G70">
        <v>175</v>
      </c>
      <c r="J70">
        <v>321</v>
      </c>
      <c r="K70">
        <v>2</v>
      </c>
      <c r="L70">
        <v>2</v>
      </c>
      <c r="M70">
        <v>1</v>
      </c>
      <c r="N70">
        <v>2</v>
      </c>
    </row>
    <row r="71" spans="2:14">
      <c r="B71">
        <v>0</v>
      </c>
      <c r="C71">
        <v>0</v>
      </c>
      <c r="D71">
        <v>209</v>
      </c>
      <c r="E71">
        <v>255</v>
      </c>
      <c r="G71">
        <v>256</v>
      </c>
      <c r="J71">
        <v>325</v>
      </c>
      <c r="K71">
        <v>2</v>
      </c>
      <c r="L71">
        <v>1</v>
      </c>
      <c r="M71">
        <v>0.5</v>
      </c>
      <c r="N71">
        <v>0.5</v>
      </c>
    </row>
    <row r="72" spans="2:14">
      <c r="B72">
        <v>2</v>
      </c>
      <c r="C72">
        <v>0</v>
      </c>
      <c r="D72">
        <v>258</v>
      </c>
      <c r="E72">
        <v>239</v>
      </c>
      <c r="G72">
        <v>224</v>
      </c>
      <c r="J72">
        <v>235</v>
      </c>
      <c r="K72">
        <v>2</v>
      </c>
      <c r="L72">
        <v>2</v>
      </c>
      <c r="M72">
        <v>1</v>
      </c>
      <c r="N72">
        <v>2</v>
      </c>
    </row>
    <row r="73" spans="2:14">
      <c r="B73">
        <v>2</v>
      </c>
      <c r="C73">
        <v>0</v>
      </c>
      <c r="D73">
        <v>227</v>
      </c>
      <c r="E73">
        <v>258</v>
      </c>
      <c r="G73">
        <v>335</v>
      </c>
      <c r="J73">
        <v>257</v>
      </c>
      <c r="K73">
        <v>2</v>
      </c>
      <c r="L73">
        <v>2</v>
      </c>
      <c r="M73">
        <v>1</v>
      </c>
      <c r="N73">
        <v>2</v>
      </c>
    </row>
    <row r="74" spans="2:14">
      <c r="B74">
        <v>1</v>
      </c>
      <c r="C74">
        <v>0</v>
      </c>
      <c r="D74">
        <v>204</v>
      </c>
      <c r="E74">
        <v>177</v>
      </c>
      <c r="G74">
        <v>230</v>
      </c>
      <c r="J74">
        <v>216</v>
      </c>
      <c r="K74">
        <v>2</v>
      </c>
      <c r="L74">
        <v>2</v>
      </c>
      <c r="M74">
        <v>1</v>
      </c>
      <c r="N74">
        <v>2</v>
      </c>
    </row>
    <row r="75" spans="2:14">
      <c r="B75">
        <v>0</v>
      </c>
      <c r="C75">
        <v>0</v>
      </c>
      <c r="D75">
        <v>261</v>
      </c>
      <c r="E75">
        <v>260</v>
      </c>
      <c r="G75">
        <v>233</v>
      </c>
      <c r="J75">
        <v>234</v>
      </c>
      <c r="K75">
        <v>2</v>
      </c>
      <c r="L75">
        <v>0</v>
      </c>
      <c r="M75">
        <v>0</v>
      </c>
      <c r="N75">
        <v>0</v>
      </c>
    </row>
    <row r="76" spans="2:14">
      <c r="B76">
        <v>2</v>
      </c>
      <c r="C76">
        <v>0</v>
      </c>
      <c r="D76">
        <v>213</v>
      </c>
      <c r="E76">
        <v>219</v>
      </c>
      <c r="G76">
        <v>185</v>
      </c>
      <c r="J76">
        <v>256</v>
      </c>
      <c r="K76">
        <v>2</v>
      </c>
      <c r="L76">
        <v>2</v>
      </c>
      <c r="M76">
        <v>1</v>
      </c>
      <c r="N76">
        <v>2</v>
      </c>
    </row>
    <row r="77" spans="2:14">
      <c r="B77">
        <v>1</v>
      </c>
      <c r="C77">
        <v>0</v>
      </c>
      <c r="D77">
        <v>250</v>
      </c>
      <c r="E77">
        <v>307</v>
      </c>
      <c r="G77">
        <v>231</v>
      </c>
      <c r="J77">
        <v>302</v>
      </c>
      <c r="K77">
        <v>2</v>
      </c>
      <c r="L77">
        <v>0</v>
      </c>
      <c r="M77">
        <v>0</v>
      </c>
      <c r="N77">
        <v>0</v>
      </c>
    </row>
    <row r="78" spans="2:14">
      <c r="B78">
        <v>2</v>
      </c>
      <c r="C78">
        <v>1</v>
      </c>
      <c r="D78">
        <v>245</v>
      </c>
      <c r="E78">
        <v>249</v>
      </c>
      <c r="G78">
        <v>274</v>
      </c>
      <c r="J78">
        <v>231</v>
      </c>
      <c r="K78">
        <v>2</v>
      </c>
      <c r="L78">
        <v>2</v>
      </c>
      <c r="M78">
        <v>1</v>
      </c>
      <c r="N78">
        <v>2</v>
      </c>
    </row>
    <row r="79" spans="2:14">
      <c r="B79">
        <v>1</v>
      </c>
      <c r="C79">
        <v>0</v>
      </c>
      <c r="D79">
        <v>221</v>
      </c>
      <c r="E79">
        <v>341</v>
      </c>
      <c r="G79">
        <v>188</v>
      </c>
      <c r="J79">
        <v>141</v>
      </c>
      <c r="K79">
        <v>2</v>
      </c>
      <c r="L79">
        <v>2</v>
      </c>
      <c r="M79">
        <v>1</v>
      </c>
      <c r="N79">
        <v>2</v>
      </c>
    </row>
    <row r="80" spans="2:14">
      <c r="B80">
        <v>1</v>
      </c>
      <c r="C80">
        <v>1</v>
      </c>
      <c r="D80">
        <v>205</v>
      </c>
      <c r="E80">
        <v>330</v>
      </c>
      <c r="G80">
        <v>229</v>
      </c>
      <c r="J80">
        <v>252</v>
      </c>
      <c r="K80">
        <v>2</v>
      </c>
      <c r="L80">
        <v>2</v>
      </c>
      <c r="M80">
        <v>1</v>
      </c>
      <c r="N80">
        <v>2</v>
      </c>
    </row>
    <row r="81" spans="2:14">
      <c r="B81">
        <v>2</v>
      </c>
      <c r="C81">
        <v>0</v>
      </c>
      <c r="D81">
        <v>240</v>
      </c>
      <c r="E81">
        <v>254</v>
      </c>
      <c r="G81">
        <v>263</v>
      </c>
      <c r="J81">
        <v>201</v>
      </c>
      <c r="K81">
        <v>2</v>
      </c>
      <c r="L81">
        <v>1</v>
      </c>
      <c r="M81">
        <v>0.5</v>
      </c>
      <c r="N81">
        <v>0.5</v>
      </c>
    </row>
    <row r="82" spans="2:14">
      <c r="B82">
        <v>2</v>
      </c>
      <c r="C82">
        <v>0</v>
      </c>
      <c r="D82">
        <v>250</v>
      </c>
      <c r="E82">
        <v>256</v>
      </c>
      <c r="G82">
        <v>309</v>
      </c>
      <c r="J82">
        <v>222</v>
      </c>
      <c r="K82">
        <v>2</v>
      </c>
      <c r="L82">
        <v>0</v>
      </c>
      <c r="M82">
        <v>0</v>
      </c>
      <c r="N82">
        <v>0</v>
      </c>
    </row>
    <row r="83" spans="2:14">
      <c r="B83">
        <v>1</v>
      </c>
      <c r="C83">
        <v>0</v>
      </c>
      <c r="D83">
        <v>308</v>
      </c>
      <c r="E83">
        <v>407</v>
      </c>
      <c r="G83">
        <v>243</v>
      </c>
      <c r="J83">
        <v>260</v>
      </c>
      <c r="K83">
        <v>2</v>
      </c>
      <c r="L83">
        <v>0</v>
      </c>
      <c r="M83">
        <v>0</v>
      </c>
      <c r="N83">
        <v>0</v>
      </c>
    </row>
    <row r="84" spans="2:14">
      <c r="B84">
        <v>2</v>
      </c>
      <c r="C84">
        <v>0</v>
      </c>
      <c r="D84">
        <v>318</v>
      </c>
      <c r="E84">
        <v>217</v>
      </c>
      <c r="G84">
        <v>269</v>
      </c>
      <c r="J84">
        <v>182</v>
      </c>
      <c r="K84">
        <v>2</v>
      </c>
      <c r="L84">
        <v>3</v>
      </c>
      <c r="M84">
        <v>1.5</v>
      </c>
      <c r="N84">
        <v>4.5</v>
      </c>
    </row>
    <row r="85" spans="2:14">
      <c r="B85">
        <v>3</v>
      </c>
      <c r="C85">
        <v>1</v>
      </c>
      <c r="D85">
        <v>298</v>
      </c>
      <c r="E85">
        <v>288</v>
      </c>
      <c r="G85">
        <v>254</v>
      </c>
      <c r="J85">
        <v>303</v>
      </c>
      <c r="K85">
        <v>2</v>
      </c>
      <c r="L85">
        <v>0</v>
      </c>
      <c r="M85">
        <v>0</v>
      </c>
      <c r="N85">
        <v>0</v>
      </c>
    </row>
    <row r="86" spans="2:14">
      <c r="B86">
        <v>0</v>
      </c>
      <c r="C86">
        <v>0</v>
      </c>
      <c r="D86">
        <v>265</v>
      </c>
      <c r="E86">
        <v>239</v>
      </c>
      <c r="G86">
        <v>149</v>
      </c>
      <c r="J86">
        <v>265</v>
      </c>
      <c r="K86">
        <v>2</v>
      </c>
      <c r="L86">
        <v>3</v>
      </c>
      <c r="M86">
        <v>1.5</v>
      </c>
      <c r="N86">
        <v>0.5</v>
      </c>
    </row>
    <row r="87" spans="2:14">
      <c r="B87">
        <v>2</v>
      </c>
      <c r="C87">
        <v>0</v>
      </c>
      <c r="D87">
        <v>564</v>
      </c>
      <c r="E87">
        <v>174</v>
      </c>
      <c r="G87">
        <v>218</v>
      </c>
      <c r="J87">
        <v>309</v>
      </c>
      <c r="K87">
        <v>2</v>
      </c>
      <c r="L87">
        <v>1</v>
      </c>
      <c r="M87">
        <v>0.5</v>
      </c>
      <c r="N87">
        <v>0.5</v>
      </c>
    </row>
    <row r="88" spans="2:14">
      <c r="B88">
        <v>2</v>
      </c>
      <c r="C88">
        <v>0</v>
      </c>
      <c r="D88">
        <v>277</v>
      </c>
      <c r="E88">
        <v>198</v>
      </c>
      <c r="G88">
        <v>212</v>
      </c>
      <c r="J88">
        <v>186</v>
      </c>
      <c r="K88">
        <v>2</v>
      </c>
      <c r="L88">
        <v>3</v>
      </c>
      <c r="M88">
        <v>1.5</v>
      </c>
      <c r="N88">
        <v>4.5</v>
      </c>
    </row>
    <row r="89" spans="2:14">
      <c r="B89">
        <v>1</v>
      </c>
      <c r="C89">
        <v>1</v>
      </c>
      <c r="D89">
        <v>197</v>
      </c>
      <c r="E89">
        <v>289</v>
      </c>
      <c r="J89">
        <v>203</v>
      </c>
      <c r="K89">
        <v>2</v>
      </c>
      <c r="L89">
        <v>1</v>
      </c>
      <c r="M89">
        <v>0.5</v>
      </c>
      <c r="N89">
        <v>0.5</v>
      </c>
    </row>
    <row r="90" spans="2:14">
      <c r="B90">
        <v>2</v>
      </c>
      <c r="C90">
        <v>0</v>
      </c>
      <c r="D90">
        <v>214</v>
      </c>
      <c r="E90">
        <v>289</v>
      </c>
      <c r="J90">
        <v>211</v>
      </c>
      <c r="K90">
        <v>2</v>
      </c>
      <c r="L90">
        <v>3</v>
      </c>
      <c r="M90">
        <v>1.5</v>
      </c>
      <c r="N90">
        <v>0.5</v>
      </c>
    </row>
    <row r="91" spans="2:14">
      <c r="B91">
        <v>0</v>
      </c>
      <c r="C91">
        <v>0</v>
      </c>
      <c r="D91">
        <v>248</v>
      </c>
      <c r="E91">
        <v>246</v>
      </c>
      <c r="J91">
        <v>183</v>
      </c>
      <c r="K91">
        <v>2</v>
      </c>
      <c r="L91">
        <v>0</v>
      </c>
      <c r="M91">
        <v>0</v>
      </c>
      <c r="N91">
        <v>0</v>
      </c>
    </row>
    <row r="92" spans="2:14">
      <c r="B92">
        <v>2</v>
      </c>
      <c r="C92">
        <v>1</v>
      </c>
      <c r="D92">
        <v>255</v>
      </c>
      <c r="E92">
        <v>322</v>
      </c>
      <c r="J92">
        <v>222</v>
      </c>
      <c r="K92">
        <v>2</v>
      </c>
      <c r="L92">
        <v>2</v>
      </c>
      <c r="M92">
        <v>1</v>
      </c>
      <c r="N92">
        <v>2</v>
      </c>
    </row>
    <row r="93" spans="2:14">
      <c r="B93">
        <v>0</v>
      </c>
      <c r="C93">
        <v>0</v>
      </c>
      <c r="D93">
        <v>207</v>
      </c>
      <c r="E93">
        <v>299</v>
      </c>
      <c r="J93">
        <v>234</v>
      </c>
      <c r="K93">
        <v>2</v>
      </c>
      <c r="L93">
        <v>1</v>
      </c>
      <c r="M93">
        <v>0.5</v>
      </c>
      <c r="N93">
        <v>0.5</v>
      </c>
    </row>
    <row r="94" spans="2:14">
      <c r="B94">
        <v>2</v>
      </c>
      <c r="C94">
        <v>0</v>
      </c>
      <c r="D94">
        <v>223</v>
      </c>
      <c r="E94">
        <v>300</v>
      </c>
      <c r="J94">
        <v>220</v>
      </c>
      <c r="K94">
        <v>2</v>
      </c>
      <c r="L94">
        <v>1</v>
      </c>
      <c r="M94">
        <v>0.5</v>
      </c>
      <c r="N94">
        <v>0.5</v>
      </c>
    </row>
    <row r="95" spans="2:14">
      <c r="B95">
        <v>1</v>
      </c>
      <c r="C95">
        <v>1</v>
      </c>
      <c r="D95">
        <v>288</v>
      </c>
      <c r="E95">
        <v>293</v>
      </c>
      <c r="J95">
        <v>209</v>
      </c>
      <c r="K95">
        <v>2</v>
      </c>
      <c r="L95">
        <v>0</v>
      </c>
      <c r="M95">
        <v>0</v>
      </c>
      <c r="N95">
        <v>0</v>
      </c>
    </row>
    <row r="96" spans="2:14">
      <c r="B96">
        <v>1</v>
      </c>
      <c r="C96">
        <v>0</v>
      </c>
      <c r="D96">
        <v>160</v>
      </c>
      <c r="E96">
        <v>304</v>
      </c>
      <c r="J96">
        <v>258</v>
      </c>
      <c r="K96">
        <v>2</v>
      </c>
      <c r="L96">
        <v>2</v>
      </c>
      <c r="M96">
        <v>1</v>
      </c>
      <c r="N96">
        <v>2</v>
      </c>
    </row>
    <row r="97" spans="2:14">
      <c r="B97">
        <v>0</v>
      </c>
      <c r="C97">
        <v>0</v>
      </c>
      <c r="D97">
        <v>226</v>
      </c>
      <c r="E97">
        <v>282</v>
      </c>
      <c r="J97">
        <v>227</v>
      </c>
      <c r="K97">
        <v>2</v>
      </c>
      <c r="L97">
        <v>2</v>
      </c>
      <c r="M97">
        <v>1</v>
      </c>
      <c r="N97">
        <v>2</v>
      </c>
    </row>
    <row r="98" spans="2:14">
      <c r="B98">
        <v>0</v>
      </c>
      <c r="C98">
        <v>0</v>
      </c>
      <c r="D98">
        <v>394</v>
      </c>
      <c r="E98">
        <v>249</v>
      </c>
      <c r="J98">
        <v>204</v>
      </c>
      <c r="K98">
        <v>2</v>
      </c>
      <c r="L98">
        <v>1</v>
      </c>
      <c r="M98">
        <v>0.5</v>
      </c>
      <c r="N98">
        <v>0.5</v>
      </c>
    </row>
    <row r="99" spans="2:14">
      <c r="B99">
        <v>0</v>
      </c>
      <c r="C99">
        <v>1</v>
      </c>
      <c r="D99">
        <v>233</v>
      </c>
      <c r="E99">
        <v>212</v>
      </c>
      <c r="J99">
        <v>261</v>
      </c>
      <c r="K99">
        <v>2</v>
      </c>
      <c r="L99">
        <v>0</v>
      </c>
      <c r="M99">
        <v>0</v>
      </c>
      <c r="N99">
        <v>0</v>
      </c>
    </row>
    <row r="100" spans="2:14">
      <c r="B100">
        <v>2</v>
      </c>
      <c r="C100">
        <v>0</v>
      </c>
      <c r="D100">
        <v>315</v>
      </c>
      <c r="E100">
        <v>274</v>
      </c>
      <c r="J100">
        <v>213</v>
      </c>
      <c r="K100">
        <v>2</v>
      </c>
      <c r="L100">
        <v>2</v>
      </c>
      <c r="M100">
        <v>1</v>
      </c>
      <c r="N100">
        <v>2</v>
      </c>
    </row>
    <row r="101" spans="2:14">
      <c r="B101">
        <v>2</v>
      </c>
      <c r="C101">
        <v>1</v>
      </c>
      <c r="D101">
        <v>246</v>
      </c>
      <c r="E101">
        <v>184</v>
      </c>
      <c r="J101">
        <v>250</v>
      </c>
      <c r="K101">
        <v>2</v>
      </c>
      <c r="L101">
        <v>1</v>
      </c>
      <c r="M101">
        <v>0.5</v>
      </c>
      <c r="N101">
        <v>0.5</v>
      </c>
    </row>
    <row r="102" spans="2:14">
      <c r="B102">
        <v>3</v>
      </c>
      <c r="C102">
        <v>0</v>
      </c>
      <c r="D102">
        <v>244</v>
      </c>
      <c r="E102">
        <v>274</v>
      </c>
      <c r="J102">
        <v>245</v>
      </c>
      <c r="K102">
        <v>2</v>
      </c>
      <c r="L102">
        <v>3</v>
      </c>
      <c r="M102">
        <v>1.5</v>
      </c>
      <c r="N102">
        <v>0.5</v>
      </c>
    </row>
    <row r="103" spans="2:14">
      <c r="B103">
        <v>3</v>
      </c>
      <c r="C103">
        <v>0</v>
      </c>
      <c r="D103">
        <v>270</v>
      </c>
      <c r="E103">
        <v>409</v>
      </c>
      <c r="J103">
        <v>221</v>
      </c>
      <c r="K103">
        <v>2</v>
      </c>
      <c r="L103">
        <v>1</v>
      </c>
      <c r="M103">
        <v>0.5</v>
      </c>
      <c r="N103">
        <v>0.5</v>
      </c>
    </row>
    <row r="104" spans="2:14">
      <c r="B104">
        <v>1</v>
      </c>
      <c r="C104">
        <v>0</v>
      </c>
      <c r="D104">
        <v>195</v>
      </c>
      <c r="E104">
        <v>298</v>
      </c>
      <c r="J104">
        <v>205</v>
      </c>
      <c r="K104">
        <v>2</v>
      </c>
      <c r="L104">
        <v>2</v>
      </c>
      <c r="M104">
        <v>1</v>
      </c>
      <c r="N104">
        <v>0</v>
      </c>
    </row>
    <row r="105" spans="2:14">
      <c r="B105">
        <v>2</v>
      </c>
      <c r="C105">
        <v>1</v>
      </c>
      <c r="D105">
        <v>240</v>
      </c>
      <c r="E105">
        <v>247</v>
      </c>
      <c r="J105">
        <v>240</v>
      </c>
      <c r="K105">
        <v>2</v>
      </c>
      <c r="L105">
        <v>2</v>
      </c>
      <c r="M105">
        <v>1</v>
      </c>
      <c r="N105">
        <v>2</v>
      </c>
    </row>
    <row r="106" spans="2:14">
      <c r="B106">
        <v>2</v>
      </c>
      <c r="C106">
        <v>0</v>
      </c>
      <c r="D106">
        <v>196</v>
      </c>
      <c r="E106">
        <v>294</v>
      </c>
      <c r="J106">
        <v>250</v>
      </c>
      <c r="K106">
        <v>2</v>
      </c>
      <c r="L106">
        <v>2</v>
      </c>
      <c r="M106">
        <v>1</v>
      </c>
      <c r="N106">
        <v>2</v>
      </c>
    </row>
    <row r="107" spans="2:14">
      <c r="B107">
        <v>2</v>
      </c>
      <c r="C107">
        <v>0</v>
      </c>
      <c r="D107">
        <v>211</v>
      </c>
      <c r="E107">
        <v>299</v>
      </c>
      <c r="J107">
        <v>308</v>
      </c>
      <c r="K107">
        <v>2</v>
      </c>
      <c r="L107">
        <v>1</v>
      </c>
      <c r="M107">
        <v>0.5</v>
      </c>
      <c r="N107">
        <v>0.5</v>
      </c>
    </row>
    <row r="108" spans="2:14">
      <c r="B108">
        <v>3</v>
      </c>
      <c r="C108">
        <v>1</v>
      </c>
      <c r="D108">
        <v>234</v>
      </c>
      <c r="E108">
        <v>309</v>
      </c>
      <c r="J108">
        <v>318</v>
      </c>
      <c r="K108">
        <v>2</v>
      </c>
      <c r="L108">
        <v>2</v>
      </c>
      <c r="M108">
        <v>1</v>
      </c>
      <c r="N108">
        <v>2</v>
      </c>
    </row>
    <row r="109" spans="2:14">
      <c r="B109">
        <v>0</v>
      </c>
      <c r="C109">
        <v>0</v>
      </c>
      <c r="D109">
        <v>236</v>
      </c>
      <c r="E109">
        <v>259</v>
      </c>
      <c r="J109">
        <v>298</v>
      </c>
      <c r="K109">
        <v>2</v>
      </c>
      <c r="L109">
        <v>4</v>
      </c>
      <c r="M109">
        <v>2</v>
      </c>
      <c r="N109">
        <v>2</v>
      </c>
    </row>
    <row r="110" spans="2:14">
      <c r="B110">
        <v>1</v>
      </c>
      <c r="C110">
        <v>0</v>
      </c>
      <c r="D110">
        <v>244</v>
      </c>
      <c r="E110">
        <v>200</v>
      </c>
      <c r="J110">
        <v>265</v>
      </c>
      <c r="K110">
        <v>2</v>
      </c>
      <c r="L110">
        <v>0</v>
      </c>
      <c r="M110">
        <v>0</v>
      </c>
      <c r="N110">
        <v>0</v>
      </c>
    </row>
    <row r="111" spans="2:14">
      <c r="B111">
        <v>0</v>
      </c>
      <c r="C111">
        <v>0</v>
      </c>
      <c r="D111">
        <v>254</v>
      </c>
      <c r="E111">
        <v>244</v>
      </c>
      <c r="J111">
        <v>564</v>
      </c>
      <c r="K111">
        <v>2</v>
      </c>
      <c r="L111">
        <v>2</v>
      </c>
      <c r="M111">
        <v>1</v>
      </c>
      <c r="N111">
        <v>2</v>
      </c>
    </row>
    <row r="112" spans="2:14">
      <c r="B112">
        <v>0</v>
      </c>
      <c r="C112">
        <v>0</v>
      </c>
      <c r="D112">
        <v>325</v>
      </c>
      <c r="E112">
        <v>228</v>
      </c>
      <c r="J112">
        <v>277</v>
      </c>
      <c r="K112">
        <v>2</v>
      </c>
      <c r="L112">
        <v>2</v>
      </c>
      <c r="M112">
        <v>1</v>
      </c>
      <c r="N112">
        <v>2</v>
      </c>
    </row>
    <row r="113" spans="2:14">
      <c r="B113">
        <v>2</v>
      </c>
      <c r="C113">
        <v>1</v>
      </c>
      <c r="D113">
        <v>126</v>
      </c>
      <c r="E113">
        <v>230</v>
      </c>
      <c r="J113">
        <v>197</v>
      </c>
      <c r="K113">
        <v>2</v>
      </c>
      <c r="L113">
        <v>2</v>
      </c>
      <c r="M113">
        <v>1</v>
      </c>
      <c r="N113">
        <v>0</v>
      </c>
    </row>
    <row r="114" spans="2:14">
      <c r="B114">
        <v>2</v>
      </c>
      <c r="C114">
        <v>0</v>
      </c>
      <c r="D114">
        <v>313</v>
      </c>
      <c r="E114">
        <v>282</v>
      </c>
      <c r="J114">
        <v>214</v>
      </c>
      <c r="K114">
        <v>2</v>
      </c>
      <c r="L114">
        <v>2</v>
      </c>
      <c r="M114">
        <v>1</v>
      </c>
      <c r="N114">
        <v>2</v>
      </c>
    </row>
    <row r="115" spans="2:14">
      <c r="B115">
        <v>0</v>
      </c>
      <c r="C115">
        <v>0</v>
      </c>
      <c r="D115">
        <v>211</v>
      </c>
      <c r="E115">
        <v>269</v>
      </c>
      <c r="J115">
        <v>248</v>
      </c>
      <c r="K115">
        <v>2</v>
      </c>
      <c r="L115">
        <v>0</v>
      </c>
      <c r="M115">
        <v>0</v>
      </c>
      <c r="N115">
        <v>0</v>
      </c>
    </row>
    <row r="116" spans="2:14">
      <c r="B116">
        <v>1</v>
      </c>
      <c r="C116">
        <v>0</v>
      </c>
      <c r="D116">
        <v>262</v>
      </c>
      <c r="E116">
        <v>206</v>
      </c>
      <c r="J116">
        <v>255</v>
      </c>
      <c r="K116">
        <v>2</v>
      </c>
      <c r="L116">
        <v>3</v>
      </c>
      <c r="M116">
        <v>1.5</v>
      </c>
      <c r="N116">
        <v>0.5</v>
      </c>
    </row>
    <row r="117" spans="2:14">
      <c r="B117">
        <v>2</v>
      </c>
      <c r="C117">
        <v>0</v>
      </c>
      <c r="D117">
        <v>215</v>
      </c>
      <c r="E117">
        <v>212</v>
      </c>
      <c r="J117">
        <v>207</v>
      </c>
      <c r="K117">
        <v>2</v>
      </c>
      <c r="L117">
        <v>0</v>
      </c>
      <c r="M117">
        <v>0</v>
      </c>
      <c r="N117">
        <v>0</v>
      </c>
    </row>
    <row r="118" spans="2:14">
      <c r="B118">
        <v>2</v>
      </c>
      <c r="C118">
        <v>0</v>
      </c>
      <c r="D118">
        <v>214</v>
      </c>
      <c r="E118">
        <v>327</v>
      </c>
      <c r="J118">
        <v>223</v>
      </c>
      <c r="K118">
        <v>2</v>
      </c>
      <c r="L118">
        <v>2</v>
      </c>
      <c r="M118">
        <v>1</v>
      </c>
      <c r="N118">
        <v>2</v>
      </c>
    </row>
    <row r="119" spans="2:14">
      <c r="B119">
        <v>3</v>
      </c>
      <c r="C119">
        <v>0</v>
      </c>
      <c r="D119">
        <v>193</v>
      </c>
      <c r="E119">
        <v>286</v>
      </c>
      <c r="J119">
        <v>288</v>
      </c>
      <c r="K119">
        <v>2</v>
      </c>
      <c r="L119">
        <v>2</v>
      </c>
      <c r="M119">
        <v>1</v>
      </c>
      <c r="N119">
        <v>0</v>
      </c>
    </row>
    <row r="120" spans="2:14">
      <c r="B120">
        <v>1</v>
      </c>
      <c r="C120">
        <v>0</v>
      </c>
      <c r="D120">
        <v>204</v>
      </c>
      <c r="E120">
        <v>283</v>
      </c>
      <c r="J120">
        <v>160</v>
      </c>
      <c r="K120">
        <v>2</v>
      </c>
      <c r="L120">
        <v>1</v>
      </c>
      <c r="M120">
        <v>0.5</v>
      </c>
      <c r="N120">
        <v>0.5</v>
      </c>
    </row>
    <row r="121" spans="2:14">
      <c r="B121">
        <v>0</v>
      </c>
      <c r="C121">
        <v>0</v>
      </c>
      <c r="D121">
        <v>243</v>
      </c>
      <c r="E121">
        <v>249</v>
      </c>
      <c r="J121">
        <v>226</v>
      </c>
      <c r="K121">
        <v>2</v>
      </c>
      <c r="L121">
        <v>0</v>
      </c>
      <c r="M121">
        <v>0</v>
      </c>
      <c r="N121">
        <v>0</v>
      </c>
    </row>
    <row r="122" spans="2:14">
      <c r="B122">
        <v>0</v>
      </c>
      <c r="C122">
        <v>0</v>
      </c>
      <c r="D122">
        <v>303</v>
      </c>
      <c r="E122">
        <v>237</v>
      </c>
      <c r="J122">
        <v>394</v>
      </c>
      <c r="K122">
        <v>2</v>
      </c>
      <c r="L122">
        <v>0</v>
      </c>
      <c r="M122">
        <v>0</v>
      </c>
      <c r="N122">
        <v>0</v>
      </c>
    </row>
    <row r="123" spans="2:14">
      <c r="B123">
        <v>0</v>
      </c>
      <c r="C123">
        <v>0</v>
      </c>
      <c r="D123">
        <v>271</v>
      </c>
      <c r="E123">
        <v>234</v>
      </c>
      <c r="J123">
        <v>233</v>
      </c>
      <c r="K123">
        <v>2</v>
      </c>
      <c r="L123">
        <v>1</v>
      </c>
      <c r="M123">
        <v>0.5</v>
      </c>
      <c r="N123">
        <v>0.5</v>
      </c>
    </row>
    <row r="124" spans="2:14">
      <c r="B124">
        <v>2</v>
      </c>
      <c r="C124">
        <v>0</v>
      </c>
      <c r="D124">
        <v>268</v>
      </c>
      <c r="E124">
        <v>275</v>
      </c>
      <c r="J124">
        <v>315</v>
      </c>
      <c r="K124">
        <v>2</v>
      </c>
      <c r="L124">
        <v>2</v>
      </c>
      <c r="M124">
        <v>1</v>
      </c>
      <c r="N124">
        <v>2</v>
      </c>
    </row>
    <row r="125" spans="2:14">
      <c r="B125">
        <v>2</v>
      </c>
      <c r="C125">
        <v>0</v>
      </c>
      <c r="D125">
        <v>267</v>
      </c>
      <c r="E125">
        <v>212</v>
      </c>
      <c r="J125">
        <v>246</v>
      </c>
      <c r="K125">
        <v>2</v>
      </c>
      <c r="L125">
        <v>3</v>
      </c>
      <c r="M125">
        <v>1.5</v>
      </c>
      <c r="N125">
        <v>0.5</v>
      </c>
    </row>
    <row r="126" spans="2:14">
      <c r="B126">
        <v>2</v>
      </c>
      <c r="C126">
        <v>0</v>
      </c>
      <c r="D126">
        <v>199</v>
      </c>
      <c r="E126">
        <v>218</v>
      </c>
      <c r="J126">
        <v>244</v>
      </c>
      <c r="K126">
        <v>2</v>
      </c>
      <c r="L126">
        <v>3</v>
      </c>
      <c r="M126">
        <v>1.5</v>
      </c>
      <c r="N126">
        <v>4.5</v>
      </c>
    </row>
    <row r="127" spans="2:14">
      <c r="B127">
        <v>1</v>
      </c>
      <c r="C127">
        <v>0</v>
      </c>
      <c r="D127">
        <v>210</v>
      </c>
      <c r="E127">
        <v>166</v>
      </c>
      <c r="J127">
        <v>270</v>
      </c>
      <c r="K127">
        <v>2</v>
      </c>
      <c r="L127">
        <v>3</v>
      </c>
      <c r="M127">
        <v>1.5</v>
      </c>
      <c r="N127">
        <v>4.5</v>
      </c>
    </row>
    <row r="128" spans="2:14">
      <c r="B128">
        <v>0</v>
      </c>
      <c r="C128">
        <v>0</v>
      </c>
      <c r="D128">
        <v>204</v>
      </c>
      <c r="E128">
        <v>315</v>
      </c>
      <c r="J128">
        <v>195</v>
      </c>
      <c r="K128">
        <v>2</v>
      </c>
      <c r="L128">
        <v>1</v>
      </c>
      <c r="M128">
        <v>0.5</v>
      </c>
      <c r="N128">
        <v>0.5</v>
      </c>
    </row>
    <row r="129" spans="2:14">
      <c r="B129">
        <v>2</v>
      </c>
      <c r="C129">
        <v>0</v>
      </c>
      <c r="D129">
        <v>277</v>
      </c>
      <c r="E129">
        <v>204</v>
      </c>
      <c r="J129">
        <v>240</v>
      </c>
      <c r="K129">
        <v>2</v>
      </c>
      <c r="L129">
        <v>3</v>
      </c>
      <c r="M129">
        <v>1.5</v>
      </c>
      <c r="N129">
        <v>0.5</v>
      </c>
    </row>
    <row r="130" spans="2:14">
      <c r="B130">
        <v>2</v>
      </c>
      <c r="C130">
        <v>0</v>
      </c>
      <c r="D130">
        <v>196</v>
      </c>
      <c r="E130">
        <v>223</v>
      </c>
      <c r="J130">
        <v>196</v>
      </c>
      <c r="K130">
        <v>2</v>
      </c>
      <c r="L130">
        <v>2</v>
      </c>
      <c r="M130">
        <v>1</v>
      </c>
      <c r="N130">
        <v>2</v>
      </c>
    </row>
    <row r="131" spans="2:14">
      <c r="B131">
        <v>1</v>
      </c>
      <c r="C131">
        <v>0</v>
      </c>
      <c r="D131">
        <v>269</v>
      </c>
      <c r="E131">
        <v>207</v>
      </c>
      <c r="J131">
        <v>211</v>
      </c>
      <c r="K131">
        <v>2</v>
      </c>
      <c r="L131">
        <v>2</v>
      </c>
      <c r="M131">
        <v>1</v>
      </c>
      <c r="N131">
        <v>2</v>
      </c>
    </row>
    <row r="132" spans="2:14">
      <c r="B132">
        <v>2</v>
      </c>
      <c r="C132">
        <v>0</v>
      </c>
      <c r="D132">
        <v>201</v>
      </c>
      <c r="E132">
        <v>311</v>
      </c>
      <c r="J132">
        <v>234</v>
      </c>
      <c r="K132">
        <v>2</v>
      </c>
      <c r="L132">
        <v>4</v>
      </c>
      <c r="M132">
        <v>2</v>
      </c>
      <c r="N132">
        <v>2</v>
      </c>
    </row>
    <row r="133" spans="2:14">
      <c r="B133">
        <v>1</v>
      </c>
      <c r="C133">
        <v>0</v>
      </c>
      <c r="D133">
        <v>271</v>
      </c>
      <c r="E133">
        <v>335</v>
      </c>
      <c r="J133">
        <v>236</v>
      </c>
      <c r="K133">
        <v>2</v>
      </c>
      <c r="L133">
        <v>0</v>
      </c>
      <c r="M133">
        <v>0</v>
      </c>
      <c r="N133">
        <v>0</v>
      </c>
    </row>
    <row r="134" spans="2:14">
      <c r="B134">
        <v>1</v>
      </c>
      <c r="C134">
        <v>0</v>
      </c>
      <c r="D134">
        <v>295</v>
      </c>
      <c r="E134">
        <v>205</v>
      </c>
      <c r="J134">
        <v>244</v>
      </c>
      <c r="K134">
        <v>2</v>
      </c>
      <c r="L134">
        <v>1</v>
      </c>
      <c r="M134">
        <v>0.5</v>
      </c>
      <c r="N134">
        <v>0.5</v>
      </c>
    </row>
    <row r="135" spans="2:14">
      <c r="B135">
        <v>1</v>
      </c>
      <c r="C135">
        <v>0</v>
      </c>
      <c r="D135">
        <v>235</v>
      </c>
      <c r="E135">
        <v>203</v>
      </c>
      <c r="J135">
        <v>254</v>
      </c>
      <c r="K135">
        <v>2</v>
      </c>
      <c r="L135">
        <v>0</v>
      </c>
      <c r="M135">
        <v>0</v>
      </c>
      <c r="N135">
        <v>0</v>
      </c>
    </row>
    <row r="136" spans="2:14">
      <c r="B136">
        <v>1</v>
      </c>
      <c r="C136">
        <v>0</v>
      </c>
      <c r="D136">
        <v>306</v>
      </c>
      <c r="E136">
        <v>318</v>
      </c>
      <c r="J136">
        <v>325</v>
      </c>
      <c r="K136">
        <v>2</v>
      </c>
      <c r="L136">
        <v>0</v>
      </c>
      <c r="M136">
        <v>0</v>
      </c>
      <c r="N136">
        <v>0</v>
      </c>
    </row>
    <row r="137" spans="2:14">
      <c r="B137">
        <v>0</v>
      </c>
      <c r="C137">
        <v>0</v>
      </c>
      <c r="D137">
        <v>269</v>
      </c>
      <c r="E137">
        <v>225</v>
      </c>
      <c r="J137">
        <v>126</v>
      </c>
      <c r="K137">
        <v>2</v>
      </c>
      <c r="L137">
        <v>3</v>
      </c>
      <c r="M137">
        <v>1.5</v>
      </c>
      <c r="N137">
        <v>0.5</v>
      </c>
    </row>
    <row r="138" spans="2:14">
      <c r="B138">
        <v>2</v>
      </c>
      <c r="C138">
        <v>1</v>
      </c>
      <c r="D138">
        <v>178</v>
      </c>
      <c r="E138">
        <v>169</v>
      </c>
      <c r="J138">
        <v>313</v>
      </c>
      <c r="K138">
        <v>2</v>
      </c>
      <c r="L138">
        <v>2</v>
      </c>
      <c r="M138">
        <v>1</v>
      </c>
      <c r="N138">
        <v>2</v>
      </c>
    </row>
    <row r="139" spans="2:14">
      <c r="B139">
        <v>1</v>
      </c>
      <c r="C139">
        <v>1</v>
      </c>
      <c r="D139">
        <v>208</v>
      </c>
      <c r="E139">
        <v>187</v>
      </c>
      <c r="J139">
        <v>211</v>
      </c>
      <c r="K139">
        <v>2</v>
      </c>
      <c r="L139">
        <v>0</v>
      </c>
      <c r="M139">
        <v>0</v>
      </c>
      <c r="N139">
        <v>0</v>
      </c>
    </row>
    <row r="140" spans="2:14">
      <c r="B140">
        <v>0</v>
      </c>
      <c r="C140">
        <v>0</v>
      </c>
      <c r="D140">
        <v>201</v>
      </c>
      <c r="E140">
        <v>197</v>
      </c>
      <c r="J140">
        <v>262</v>
      </c>
      <c r="K140">
        <v>2</v>
      </c>
      <c r="L140">
        <v>1</v>
      </c>
      <c r="M140">
        <v>0.5</v>
      </c>
      <c r="N140">
        <v>0.5</v>
      </c>
    </row>
    <row r="141" spans="2:14">
      <c r="B141">
        <v>0</v>
      </c>
      <c r="C141">
        <v>0</v>
      </c>
      <c r="D141">
        <v>263</v>
      </c>
      <c r="E141">
        <v>176</v>
      </c>
      <c r="J141">
        <v>215</v>
      </c>
      <c r="K141">
        <v>2</v>
      </c>
      <c r="L141">
        <v>2</v>
      </c>
      <c r="M141">
        <v>1</v>
      </c>
      <c r="N141">
        <v>2</v>
      </c>
    </row>
    <row r="142" spans="2:14">
      <c r="B142">
        <v>2</v>
      </c>
      <c r="C142">
        <v>0</v>
      </c>
      <c r="D142">
        <v>295</v>
      </c>
      <c r="E142">
        <v>241</v>
      </c>
      <c r="J142">
        <v>214</v>
      </c>
      <c r="K142">
        <v>2</v>
      </c>
      <c r="L142">
        <v>2</v>
      </c>
      <c r="M142">
        <v>1</v>
      </c>
      <c r="N142">
        <v>2</v>
      </c>
    </row>
    <row r="143" spans="2:14">
      <c r="B143">
        <v>0</v>
      </c>
      <c r="C143">
        <v>0</v>
      </c>
      <c r="D143">
        <v>303</v>
      </c>
      <c r="E143">
        <v>193</v>
      </c>
      <c r="J143">
        <v>193</v>
      </c>
      <c r="K143">
        <v>2</v>
      </c>
      <c r="L143">
        <v>3</v>
      </c>
      <c r="M143">
        <v>1.5</v>
      </c>
      <c r="N143">
        <v>4.5</v>
      </c>
    </row>
    <row r="144" spans="2:14">
      <c r="B144">
        <v>2</v>
      </c>
      <c r="C144">
        <v>0</v>
      </c>
      <c r="D144">
        <v>209</v>
      </c>
      <c r="E144">
        <v>131</v>
      </c>
      <c r="J144">
        <v>204</v>
      </c>
      <c r="K144">
        <v>2</v>
      </c>
      <c r="L144">
        <v>1</v>
      </c>
      <c r="M144">
        <v>0.5</v>
      </c>
      <c r="N144">
        <v>0.5</v>
      </c>
    </row>
    <row r="145" spans="2:14">
      <c r="B145">
        <v>0</v>
      </c>
      <c r="C145">
        <v>0</v>
      </c>
      <c r="D145">
        <v>223</v>
      </c>
      <c r="J145">
        <v>243</v>
      </c>
      <c r="K145">
        <v>2</v>
      </c>
      <c r="L145">
        <v>0</v>
      </c>
      <c r="M145">
        <v>0</v>
      </c>
      <c r="N145">
        <v>0</v>
      </c>
    </row>
    <row r="146" spans="2:14">
      <c r="B146">
        <v>2</v>
      </c>
      <c r="C146">
        <v>0</v>
      </c>
      <c r="D146">
        <v>197</v>
      </c>
      <c r="J146">
        <v>303</v>
      </c>
      <c r="K146">
        <v>2</v>
      </c>
      <c r="L146">
        <v>0</v>
      </c>
      <c r="M146">
        <v>0</v>
      </c>
      <c r="N146">
        <v>0</v>
      </c>
    </row>
    <row r="147" spans="2:14">
      <c r="B147">
        <v>1</v>
      </c>
      <c r="C147">
        <v>0</v>
      </c>
      <c r="D147">
        <v>245</v>
      </c>
      <c r="J147">
        <v>271</v>
      </c>
      <c r="K147">
        <v>2</v>
      </c>
      <c r="L147">
        <v>0</v>
      </c>
      <c r="M147">
        <v>0</v>
      </c>
      <c r="N147">
        <v>0</v>
      </c>
    </row>
    <row r="148" spans="2:14">
      <c r="B148">
        <v>2</v>
      </c>
      <c r="C148">
        <v>0</v>
      </c>
      <c r="D148">
        <v>242</v>
      </c>
      <c r="J148">
        <v>268</v>
      </c>
      <c r="K148">
        <v>2</v>
      </c>
      <c r="L148">
        <v>2</v>
      </c>
      <c r="M148">
        <v>1</v>
      </c>
      <c r="N148">
        <v>2</v>
      </c>
    </row>
    <row r="149" spans="2:14">
      <c r="B149">
        <v>3</v>
      </c>
      <c r="C149">
        <v>0</v>
      </c>
      <c r="D149">
        <v>240</v>
      </c>
      <c r="J149">
        <v>267</v>
      </c>
      <c r="K149">
        <v>2</v>
      </c>
      <c r="L149">
        <v>2</v>
      </c>
      <c r="M149">
        <v>1</v>
      </c>
      <c r="N149">
        <v>2</v>
      </c>
    </row>
    <row r="150" spans="2:14">
      <c r="B150">
        <v>2</v>
      </c>
      <c r="C150">
        <v>0</v>
      </c>
      <c r="D150">
        <v>226</v>
      </c>
      <c r="J150">
        <v>199</v>
      </c>
      <c r="K150">
        <v>2</v>
      </c>
      <c r="L150">
        <v>2</v>
      </c>
      <c r="M150">
        <v>1</v>
      </c>
      <c r="N150">
        <v>2</v>
      </c>
    </row>
    <row r="151" spans="2:14">
      <c r="B151">
        <v>2</v>
      </c>
      <c r="C151">
        <v>0</v>
      </c>
      <c r="D151">
        <v>180</v>
      </c>
      <c r="J151">
        <v>210</v>
      </c>
      <c r="K151">
        <v>2</v>
      </c>
      <c r="L151">
        <v>1</v>
      </c>
      <c r="M151">
        <v>0.5</v>
      </c>
      <c r="N151">
        <v>0.5</v>
      </c>
    </row>
    <row r="152" spans="2:14">
      <c r="B152">
        <v>0</v>
      </c>
      <c r="C152">
        <v>0</v>
      </c>
      <c r="D152">
        <v>228</v>
      </c>
      <c r="J152">
        <v>204</v>
      </c>
      <c r="K152">
        <v>2</v>
      </c>
      <c r="L152">
        <v>0</v>
      </c>
      <c r="M152">
        <v>0</v>
      </c>
      <c r="N152">
        <v>0</v>
      </c>
    </row>
    <row r="153" spans="2:14">
      <c r="B153">
        <v>0</v>
      </c>
      <c r="C153">
        <v>0</v>
      </c>
      <c r="D153">
        <v>149</v>
      </c>
      <c r="J153">
        <v>277</v>
      </c>
      <c r="K153">
        <v>2</v>
      </c>
      <c r="L153">
        <v>2</v>
      </c>
      <c r="M153">
        <v>1</v>
      </c>
      <c r="N153">
        <v>2</v>
      </c>
    </row>
    <row r="154" spans="2:14">
      <c r="B154">
        <v>3</v>
      </c>
      <c r="C154">
        <v>0</v>
      </c>
      <c r="D154">
        <v>227</v>
      </c>
      <c r="J154">
        <v>196</v>
      </c>
      <c r="K154">
        <v>2</v>
      </c>
      <c r="L154">
        <v>2</v>
      </c>
      <c r="M154">
        <v>1</v>
      </c>
      <c r="N154">
        <v>2</v>
      </c>
    </row>
    <row r="155" spans="2:14">
      <c r="B155">
        <v>2</v>
      </c>
      <c r="C155">
        <v>0</v>
      </c>
      <c r="D155">
        <v>278</v>
      </c>
      <c r="J155">
        <v>269</v>
      </c>
      <c r="K155">
        <v>2</v>
      </c>
      <c r="L155">
        <v>1</v>
      </c>
      <c r="M155">
        <v>0.5</v>
      </c>
      <c r="N155">
        <v>0.5</v>
      </c>
    </row>
    <row r="156" spans="2:14">
      <c r="B156">
        <v>2</v>
      </c>
      <c r="C156">
        <v>0</v>
      </c>
      <c r="D156">
        <v>220</v>
      </c>
      <c r="J156">
        <v>201</v>
      </c>
      <c r="K156">
        <v>2</v>
      </c>
      <c r="L156">
        <v>2</v>
      </c>
      <c r="M156">
        <v>1</v>
      </c>
      <c r="N156">
        <v>2</v>
      </c>
    </row>
    <row r="157" spans="2:14">
      <c r="B157">
        <v>0</v>
      </c>
      <c r="C157">
        <v>0</v>
      </c>
      <c r="D157">
        <v>197</v>
      </c>
      <c r="J157">
        <v>271</v>
      </c>
      <c r="K157">
        <v>2</v>
      </c>
      <c r="L157">
        <v>1</v>
      </c>
      <c r="M157">
        <v>0.5</v>
      </c>
      <c r="N157">
        <v>0.5</v>
      </c>
    </row>
    <row r="158" spans="2:14">
      <c r="B158">
        <v>2</v>
      </c>
      <c r="C158">
        <v>0</v>
      </c>
      <c r="D158">
        <v>253</v>
      </c>
      <c r="J158">
        <v>295</v>
      </c>
      <c r="K158">
        <v>2</v>
      </c>
      <c r="L158">
        <v>1</v>
      </c>
      <c r="M158">
        <v>0.5</v>
      </c>
      <c r="N158">
        <v>0.5</v>
      </c>
    </row>
    <row r="159" spans="2:14">
      <c r="B159">
        <v>1</v>
      </c>
      <c r="C159">
        <v>0</v>
      </c>
      <c r="D159">
        <v>192</v>
      </c>
      <c r="J159">
        <v>235</v>
      </c>
      <c r="K159">
        <v>2</v>
      </c>
      <c r="L159">
        <v>1</v>
      </c>
      <c r="M159">
        <v>0.5</v>
      </c>
      <c r="N159">
        <v>0.5</v>
      </c>
    </row>
    <row r="160" spans="2:14">
      <c r="B160">
        <v>1</v>
      </c>
      <c r="C160">
        <v>0</v>
      </c>
      <c r="D160">
        <v>220</v>
      </c>
      <c r="J160">
        <v>306</v>
      </c>
      <c r="K160">
        <v>2</v>
      </c>
      <c r="L160">
        <v>1</v>
      </c>
      <c r="M160">
        <v>0.5</v>
      </c>
      <c r="N160">
        <v>0.5</v>
      </c>
    </row>
    <row r="161" spans="2:14">
      <c r="B161">
        <v>1</v>
      </c>
      <c r="C161">
        <v>0</v>
      </c>
      <c r="D161">
        <v>221</v>
      </c>
      <c r="J161">
        <v>269</v>
      </c>
      <c r="K161">
        <v>2</v>
      </c>
      <c r="L161">
        <v>0</v>
      </c>
      <c r="M161">
        <v>0</v>
      </c>
      <c r="N161">
        <v>0</v>
      </c>
    </row>
    <row r="162" spans="2:14">
      <c r="B162">
        <v>1</v>
      </c>
      <c r="C162">
        <v>0</v>
      </c>
      <c r="D162">
        <v>240</v>
      </c>
      <c r="J162">
        <v>178</v>
      </c>
      <c r="K162">
        <v>2</v>
      </c>
      <c r="L162">
        <v>3</v>
      </c>
      <c r="M162">
        <v>1.5</v>
      </c>
      <c r="N162">
        <v>0.5</v>
      </c>
    </row>
    <row r="163" spans="2:14">
      <c r="B163">
        <v>1</v>
      </c>
      <c r="C163">
        <v>0</v>
      </c>
      <c r="D163">
        <v>342</v>
      </c>
      <c r="J163">
        <v>208</v>
      </c>
      <c r="K163">
        <v>2</v>
      </c>
      <c r="L163">
        <v>2</v>
      </c>
      <c r="M163">
        <v>1</v>
      </c>
      <c r="N163">
        <v>0</v>
      </c>
    </row>
    <row r="164" spans="2:14">
      <c r="B164">
        <v>1</v>
      </c>
      <c r="C164">
        <v>0</v>
      </c>
      <c r="D164">
        <v>157</v>
      </c>
      <c r="J164">
        <v>201</v>
      </c>
      <c r="K164">
        <v>2</v>
      </c>
      <c r="L164">
        <v>0</v>
      </c>
      <c r="M164">
        <v>0</v>
      </c>
      <c r="N164">
        <v>0</v>
      </c>
    </row>
    <row r="165" spans="2:14">
      <c r="B165">
        <v>2</v>
      </c>
      <c r="C165">
        <v>0</v>
      </c>
      <c r="D165">
        <v>175</v>
      </c>
      <c r="J165">
        <v>263</v>
      </c>
      <c r="K165">
        <v>2</v>
      </c>
      <c r="L165">
        <v>0</v>
      </c>
      <c r="M165">
        <v>0</v>
      </c>
      <c r="N165">
        <v>0</v>
      </c>
    </row>
    <row r="166" spans="2:14">
      <c r="B166">
        <v>2</v>
      </c>
      <c r="C166">
        <v>0</v>
      </c>
      <c r="D166">
        <v>175</v>
      </c>
      <c r="J166">
        <v>295</v>
      </c>
      <c r="K166">
        <v>2</v>
      </c>
      <c r="L166">
        <v>2</v>
      </c>
      <c r="M166">
        <v>1</v>
      </c>
      <c r="N166">
        <v>2</v>
      </c>
    </row>
    <row r="167" spans="2:14">
      <c r="B167">
        <v>0</v>
      </c>
      <c r="C167">
        <v>0</v>
      </c>
      <c r="D167">
        <v>286</v>
      </c>
      <c r="J167">
        <v>303</v>
      </c>
      <c r="K167">
        <v>2</v>
      </c>
      <c r="L167">
        <v>0</v>
      </c>
      <c r="M167">
        <v>0</v>
      </c>
      <c r="N167">
        <v>0</v>
      </c>
    </row>
    <row r="168" spans="2:14">
      <c r="B168">
        <v>0</v>
      </c>
      <c r="C168">
        <v>0</v>
      </c>
      <c r="D168">
        <v>229</v>
      </c>
      <c r="J168">
        <v>209</v>
      </c>
      <c r="K168">
        <v>2</v>
      </c>
      <c r="L168">
        <v>2</v>
      </c>
      <c r="M168">
        <v>1</v>
      </c>
      <c r="N168">
        <v>2</v>
      </c>
    </row>
    <row r="169" spans="2:14">
      <c r="B169">
        <v>0</v>
      </c>
      <c r="C169">
        <v>0</v>
      </c>
      <c r="D169">
        <v>268</v>
      </c>
      <c r="J169">
        <v>223</v>
      </c>
      <c r="K169">
        <v>2</v>
      </c>
      <c r="L169">
        <v>0</v>
      </c>
      <c r="M169">
        <v>0</v>
      </c>
      <c r="N169">
        <v>0</v>
      </c>
    </row>
    <row r="170" spans="2:14">
      <c r="B170">
        <v>0</v>
      </c>
      <c r="C170">
        <v>0</v>
      </c>
      <c r="D170">
        <v>254</v>
      </c>
      <c r="J170">
        <v>197</v>
      </c>
      <c r="K170">
        <v>2</v>
      </c>
      <c r="L170">
        <v>2</v>
      </c>
      <c r="M170">
        <v>1</v>
      </c>
      <c r="N170">
        <v>2</v>
      </c>
    </row>
    <row r="171" spans="2:14">
      <c r="B171">
        <v>0</v>
      </c>
      <c r="C171">
        <v>1</v>
      </c>
      <c r="D171">
        <v>203</v>
      </c>
      <c r="J171">
        <v>245</v>
      </c>
      <c r="K171">
        <v>2</v>
      </c>
      <c r="L171">
        <v>1</v>
      </c>
      <c r="M171">
        <v>0.5</v>
      </c>
      <c r="N171">
        <v>0.5</v>
      </c>
    </row>
    <row r="172" spans="2:14">
      <c r="B172">
        <v>2</v>
      </c>
      <c r="C172">
        <v>1</v>
      </c>
      <c r="D172">
        <v>256</v>
      </c>
      <c r="J172">
        <v>242</v>
      </c>
      <c r="K172">
        <v>2</v>
      </c>
      <c r="L172">
        <v>2</v>
      </c>
      <c r="M172">
        <v>1</v>
      </c>
      <c r="N172">
        <v>2</v>
      </c>
    </row>
    <row r="173" spans="2:14">
      <c r="B173">
        <v>1</v>
      </c>
      <c r="C173">
        <v>0</v>
      </c>
      <c r="D173">
        <v>229</v>
      </c>
      <c r="J173">
        <v>240</v>
      </c>
      <c r="K173">
        <v>2</v>
      </c>
      <c r="L173">
        <v>3</v>
      </c>
      <c r="M173">
        <v>1.5</v>
      </c>
      <c r="N173">
        <v>4.5</v>
      </c>
    </row>
    <row r="174" spans="2:14">
      <c r="B174">
        <v>1</v>
      </c>
      <c r="C174">
        <v>0</v>
      </c>
      <c r="D174">
        <v>284</v>
      </c>
      <c r="J174">
        <v>226</v>
      </c>
      <c r="K174">
        <v>2</v>
      </c>
      <c r="L174">
        <v>2</v>
      </c>
      <c r="M174">
        <v>1</v>
      </c>
      <c r="N174">
        <v>2</v>
      </c>
    </row>
    <row r="175" spans="2:14">
      <c r="B175">
        <v>2</v>
      </c>
      <c r="C175">
        <v>0</v>
      </c>
      <c r="D175">
        <v>224</v>
      </c>
      <c r="J175">
        <v>180</v>
      </c>
      <c r="K175">
        <v>2</v>
      </c>
      <c r="L175">
        <v>2</v>
      </c>
      <c r="M175">
        <v>1</v>
      </c>
      <c r="N175">
        <v>2</v>
      </c>
    </row>
    <row r="176" spans="2:14">
      <c r="B176">
        <v>0</v>
      </c>
      <c r="C176">
        <v>0</v>
      </c>
      <c r="D176">
        <v>206</v>
      </c>
      <c r="J176">
        <v>228</v>
      </c>
      <c r="K176">
        <v>2</v>
      </c>
      <c r="L176">
        <v>0</v>
      </c>
      <c r="M176">
        <v>0</v>
      </c>
      <c r="N176">
        <v>0</v>
      </c>
    </row>
    <row r="177" spans="2:14">
      <c r="B177">
        <v>0</v>
      </c>
      <c r="C177">
        <v>0</v>
      </c>
      <c r="D177">
        <v>167</v>
      </c>
      <c r="J177">
        <v>149</v>
      </c>
      <c r="K177">
        <v>2</v>
      </c>
      <c r="L177">
        <v>0</v>
      </c>
      <c r="M177">
        <v>0</v>
      </c>
      <c r="N177">
        <v>0</v>
      </c>
    </row>
    <row r="178" spans="2:14">
      <c r="B178">
        <v>0</v>
      </c>
      <c r="C178">
        <v>1</v>
      </c>
      <c r="D178">
        <v>230</v>
      </c>
      <c r="J178">
        <v>227</v>
      </c>
      <c r="K178">
        <v>2</v>
      </c>
      <c r="L178">
        <v>3</v>
      </c>
      <c r="M178">
        <v>1.5</v>
      </c>
      <c r="N178">
        <v>4.5</v>
      </c>
    </row>
    <row r="179" spans="2:14">
      <c r="B179">
        <v>2</v>
      </c>
      <c r="C179">
        <v>0</v>
      </c>
      <c r="D179">
        <v>335</v>
      </c>
      <c r="J179">
        <v>278</v>
      </c>
      <c r="K179">
        <v>2</v>
      </c>
      <c r="L179">
        <v>2</v>
      </c>
      <c r="M179">
        <v>1</v>
      </c>
      <c r="N179">
        <v>2</v>
      </c>
    </row>
    <row r="180" spans="2:14">
      <c r="B180">
        <v>0</v>
      </c>
      <c r="C180">
        <v>0</v>
      </c>
      <c r="D180">
        <v>177</v>
      </c>
      <c r="J180">
        <v>220</v>
      </c>
      <c r="K180">
        <v>2</v>
      </c>
      <c r="L180">
        <v>2</v>
      </c>
      <c r="M180">
        <v>1</v>
      </c>
      <c r="N180">
        <v>2</v>
      </c>
    </row>
    <row r="181" spans="2:14">
      <c r="B181">
        <v>0</v>
      </c>
      <c r="C181">
        <v>0</v>
      </c>
      <c r="D181">
        <v>276</v>
      </c>
      <c r="J181">
        <v>197</v>
      </c>
      <c r="K181">
        <v>2</v>
      </c>
      <c r="L181">
        <v>0</v>
      </c>
      <c r="M181">
        <v>0</v>
      </c>
      <c r="N181">
        <v>0</v>
      </c>
    </row>
    <row r="182" spans="2:14">
      <c r="B182">
        <v>0</v>
      </c>
      <c r="C182">
        <v>0</v>
      </c>
      <c r="D182">
        <v>353</v>
      </c>
      <c r="J182">
        <v>253</v>
      </c>
      <c r="K182">
        <v>2</v>
      </c>
      <c r="L182">
        <v>2</v>
      </c>
      <c r="M182">
        <v>1</v>
      </c>
      <c r="N182">
        <v>2</v>
      </c>
    </row>
    <row r="183" spans="2:14">
      <c r="B183">
        <v>0</v>
      </c>
      <c r="C183">
        <v>0</v>
      </c>
      <c r="D183">
        <v>225</v>
      </c>
      <c r="J183">
        <v>192</v>
      </c>
      <c r="K183">
        <v>2</v>
      </c>
      <c r="L183">
        <v>1</v>
      </c>
      <c r="M183">
        <v>0.5</v>
      </c>
      <c r="N183">
        <v>0.5</v>
      </c>
    </row>
    <row r="184" spans="2:14">
      <c r="B184">
        <v>0</v>
      </c>
      <c r="C184">
        <v>0</v>
      </c>
      <c r="D184">
        <v>330</v>
      </c>
      <c r="J184">
        <v>220</v>
      </c>
      <c r="K184">
        <v>2</v>
      </c>
      <c r="L184">
        <v>1</v>
      </c>
      <c r="M184">
        <v>0.5</v>
      </c>
      <c r="N184">
        <v>0.5</v>
      </c>
    </row>
    <row r="185" spans="2:14">
      <c r="B185">
        <v>2</v>
      </c>
      <c r="C185">
        <v>0</v>
      </c>
      <c r="D185">
        <v>230</v>
      </c>
      <c r="J185">
        <v>221</v>
      </c>
      <c r="K185">
        <v>2</v>
      </c>
      <c r="L185">
        <v>1</v>
      </c>
      <c r="M185">
        <v>0.5</v>
      </c>
      <c r="N185">
        <v>0.5</v>
      </c>
    </row>
    <row r="186" spans="2:14">
      <c r="B186">
        <v>0</v>
      </c>
      <c r="C186">
        <v>0</v>
      </c>
      <c r="D186">
        <v>243</v>
      </c>
      <c r="J186">
        <v>240</v>
      </c>
      <c r="K186">
        <v>2</v>
      </c>
      <c r="L186">
        <v>1</v>
      </c>
      <c r="M186">
        <v>0.5</v>
      </c>
      <c r="N186">
        <v>0.5</v>
      </c>
    </row>
    <row r="187" spans="2:14">
      <c r="B187">
        <v>0</v>
      </c>
      <c r="C187">
        <v>0</v>
      </c>
      <c r="D187">
        <v>290</v>
      </c>
      <c r="J187">
        <v>342</v>
      </c>
      <c r="K187">
        <v>2</v>
      </c>
      <c r="L187">
        <v>1</v>
      </c>
      <c r="M187">
        <v>0.5</v>
      </c>
      <c r="N187">
        <v>0.5</v>
      </c>
    </row>
    <row r="188" spans="2:14">
      <c r="B188">
        <v>0</v>
      </c>
      <c r="C188">
        <v>0</v>
      </c>
      <c r="D188">
        <v>253</v>
      </c>
      <c r="J188">
        <v>157</v>
      </c>
      <c r="K188">
        <v>2</v>
      </c>
      <c r="L188">
        <v>1</v>
      </c>
      <c r="M188">
        <v>0.5</v>
      </c>
      <c r="N188">
        <v>0.5</v>
      </c>
    </row>
    <row r="189" spans="2:14">
      <c r="B189">
        <v>0</v>
      </c>
      <c r="C189">
        <v>0</v>
      </c>
      <c r="D189">
        <v>266</v>
      </c>
      <c r="J189">
        <v>175</v>
      </c>
      <c r="K189">
        <v>2</v>
      </c>
      <c r="L189">
        <v>2</v>
      </c>
      <c r="M189">
        <v>1</v>
      </c>
      <c r="N189">
        <v>2</v>
      </c>
    </row>
    <row r="190" spans="2:14">
      <c r="B190">
        <v>2</v>
      </c>
      <c r="C190">
        <v>0</v>
      </c>
      <c r="D190">
        <v>233</v>
      </c>
      <c r="J190">
        <v>175</v>
      </c>
      <c r="K190">
        <v>2</v>
      </c>
      <c r="L190">
        <v>2</v>
      </c>
      <c r="M190">
        <v>1</v>
      </c>
      <c r="N190">
        <v>2</v>
      </c>
    </row>
    <row r="191" spans="2:14">
      <c r="B191">
        <v>0</v>
      </c>
      <c r="C191">
        <v>0</v>
      </c>
      <c r="D191">
        <v>172</v>
      </c>
      <c r="J191">
        <v>286</v>
      </c>
      <c r="K191">
        <v>2</v>
      </c>
      <c r="L191">
        <v>0</v>
      </c>
      <c r="M191">
        <v>0</v>
      </c>
      <c r="N191">
        <v>0</v>
      </c>
    </row>
    <row r="192" spans="2:14">
      <c r="B192">
        <v>0</v>
      </c>
      <c r="C192">
        <v>0</v>
      </c>
      <c r="D192">
        <v>305</v>
      </c>
      <c r="J192">
        <v>229</v>
      </c>
      <c r="K192">
        <v>2</v>
      </c>
      <c r="L192">
        <v>0</v>
      </c>
      <c r="M192">
        <v>0</v>
      </c>
      <c r="N192">
        <v>0</v>
      </c>
    </row>
    <row r="193" spans="2:14">
      <c r="B193">
        <v>0</v>
      </c>
      <c r="C193">
        <v>0</v>
      </c>
      <c r="D193">
        <v>216</v>
      </c>
      <c r="J193">
        <v>268</v>
      </c>
      <c r="K193">
        <v>2</v>
      </c>
      <c r="L193">
        <v>0</v>
      </c>
      <c r="M193">
        <v>0</v>
      </c>
      <c r="N193">
        <v>0</v>
      </c>
    </row>
    <row r="194" spans="2:14">
      <c r="B194">
        <v>0</v>
      </c>
      <c r="C194">
        <v>0</v>
      </c>
      <c r="D194">
        <v>188</v>
      </c>
      <c r="J194">
        <v>254</v>
      </c>
      <c r="K194">
        <v>2</v>
      </c>
      <c r="L194">
        <v>0</v>
      </c>
      <c r="M194">
        <v>0</v>
      </c>
      <c r="N194">
        <v>0</v>
      </c>
    </row>
    <row r="195" spans="2:14">
      <c r="B195">
        <v>0</v>
      </c>
      <c r="C195">
        <v>0</v>
      </c>
      <c r="D195">
        <v>282</v>
      </c>
      <c r="J195">
        <v>203</v>
      </c>
      <c r="K195">
        <v>2</v>
      </c>
      <c r="L195">
        <v>1</v>
      </c>
      <c r="M195">
        <v>0.5</v>
      </c>
      <c r="N195">
        <v>0.5</v>
      </c>
    </row>
    <row r="196" spans="2:14">
      <c r="B196">
        <v>2</v>
      </c>
      <c r="C196">
        <v>0</v>
      </c>
      <c r="D196">
        <v>185</v>
      </c>
      <c r="J196">
        <v>256</v>
      </c>
      <c r="K196">
        <v>2</v>
      </c>
      <c r="L196">
        <v>3</v>
      </c>
      <c r="M196">
        <v>1.5</v>
      </c>
      <c r="N196">
        <v>0.5</v>
      </c>
    </row>
    <row r="197" spans="2:14">
      <c r="B197">
        <v>0</v>
      </c>
      <c r="C197">
        <v>0</v>
      </c>
      <c r="D197">
        <v>326</v>
      </c>
      <c r="J197">
        <v>229</v>
      </c>
      <c r="K197">
        <v>2</v>
      </c>
      <c r="L197">
        <v>1</v>
      </c>
      <c r="M197">
        <v>0.5</v>
      </c>
      <c r="N197">
        <v>0.5</v>
      </c>
    </row>
    <row r="198" spans="2:14">
      <c r="B198">
        <v>2</v>
      </c>
      <c r="C198">
        <v>0</v>
      </c>
      <c r="D198">
        <v>231</v>
      </c>
      <c r="J198">
        <v>284</v>
      </c>
      <c r="K198">
        <v>2</v>
      </c>
      <c r="L198">
        <v>1</v>
      </c>
      <c r="M198">
        <v>0.5</v>
      </c>
      <c r="N198">
        <v>0.5</v>
      </c>
    </row>
    <row r="199" spans="2:14">
      <c r="B199">
        <v>0</v>
      </c>
      <c r="C199">
        <v>1</v>
      </c>
      <c r="D199">
        <v>254</v>
      </c>
      <c r="J199">
        <v>224</v>
      </c>
      <c r="K199">
        <v>2</v>
      </c>
      <c r="L199">
        <v>2</v>
      </c>
      <c r="M199">
        <v>1</v>
      </c>
      <c r="N199">
        <v>2</v>
      </c>
    </row>
    <row r="200" spans="2:14">
      <c r="B200">
        <v>0</v>
      </c>
      <c r="C200">
        <v>0</v>
      </c>
      <c r="D200">
        <v>267</v>
      </c>
      <c r="J200">
        <v>206</v>
      </c>
      <c r="K200">
        <v>2</v>
      </c>
      <c r="L200">
        <v>0</v>
      </c>
      <c r="M200">
        <v>0</v>
      </c>
      <c r="N200">
        <v>0</v>
      </c>
    </row>
    <row r="201" spans="2:14">
      <c r="B201">
        <v>0</v>
      </c>
      <c r="C201">
        <v>0</v>
      </c>
      <c r="D201">
        <v>248</v>
      </c>
      <c r="J201">
        <v>167</v>
      </c>
      <c r="K201">
        <v>2</v>
      </c>
      <c r="L201">
        <v>0</v>
      </c>
      <c r="M201">
        <v>0</v>
      </c>
      <c r="N201">
        <v>0</v>
      </c>
    </row>
    <row r="202" spans="2:14">
      <c r="B202">
        <v>0</v>
      </c>
      <c r="C202">
        <v>0</v>
      </c>
      <c r="D202">
        <v>197</v>
      </c>
      <c r="J202">
        <v>230</v>
      </c>
      <c r="K202">
        <v>2</v>
      </c>
      <c r="L202">
        <v>1</v>
      </c>
      <c r="M202">
        <v>0.5</v>
      </c>
      <c r="N202">
        <v>0.5</v>
      </c>
    </row>
    <row r="203" spans="2:14">
      <c r="B203">
        <v>0</v>
      </c>
      <c r="C203">
        <v>0</v>
      </c>
      <c r="D203">
        <v>258</v>
      </c>
      <c r="J203">
        <v>335</v>
      </c>
      <c r="K203">
        <v>2</v>
      </c>
      <c r="L203">
        <v>2</v>
      </c>
      <c r="M203">
        <v>1</v>
      </c>
      <c r="N203">
        <v>2</v>
      </c>
    </row>
    <row r="204" spans="2:14">
      <c r="B204">
        <v>0</v>
      </c>
      <c r="C204">
        <v>0</v>
      </c>
      <c r="D204">
        <v>270</v>
      </c>
      <c r="J204">
        <v>177</v>
      </c>
      <c r="K204">
        <v>2</v>
      </c>
      <c r="L204">
        <v>0</v>
      </c>
      <c r="M204">
        <v>0</v>
      </c>
      <c r="N204">
        <v>0</v>
      </c>
    </row>
    <row r="205" spans="2:14">
      <c r="B205">
        <v>2</v>
      </c>
      <c r="C205">
        <v>1</v>
      </c>
      <c r="D205">
        <v>274</v>
      </c>
      <c r="J205">
        <v>276</v>
      </c>
      <c r="K205">
        <v>2</v>
      </c>
      <c r="L205">
        <v>0</v>
      </c>
      <c r="M205">
        <v>0</v>
      </c>
      <c r="N205">
        <v>0</v>
      </c>
    </row>
    <row r="206" spans="2:14">
      <c r="B206">
        <v>0</v>
      </c>
      <c r="C206">
        <v>0</v>
      </c>
      <c r="D206">
        <v>164</v>
      </c>
      <c r="J206">
        <v>353</v>
      </c>
      <c r="K206">
        <v>2</v>
      </c>
      <c r="L206">
        <v>0</v>
      </c>
      <c r="M206">
        <v>0</v>
      </c>
      <c r="N206">
        <v>0</v>
      </c>
    </row>
    <row r="207" spans="2:14">
      <c r="B207">
        <v>0</v>
      </c>
      <c r="C207">
        <v>0</v>
      </c>
      <c r="D207">
        <v>255</v>
      </c>
      <c r="J207">
        <v>225</v>
      </c>
      <c r="K207">
        <v>2</v>
      </c>
      <c r="L207">
        <v>0</v>
      </c>
      <c r="M207">
        <v>0</v>
      </c>
      <c r="N207">
        <v>0</v>
      </c>
    </row>
    <row r="208" spans="2:14">
      <c r="B208">
        <v>0</v>
      </c>
      <c r="C208">
        <v>0</v>
      </c>
      <c r="D208">
        <v>239</v>
      </c>
      <c r="J208">
        <v>330</v>
      </c>
      <c r="K208">
        <v>2</v>
      </c>
      <c r="L208">
        <v>0</v>
      </c>
      <c r="M208">
        <v>0</v>
      </c>
      <c r="N208">
        <v>0</v>
      </c>
    </row>
    <row r="209" spans="2:14">
      <c r="B209">
        <v>0</v>
      </c>
      <c r="C209">
        <v>0</v>
      </c>
      <c r="D209">
        <v>258</v>
      </c>
      <c r="J209">
        <v>230</v>
      </c>
      <c r="K209">
        <v>2</v>
      </c>
      <c r="L209">
        <v>2</v>
      </c>
      <c r="M209">
        <v>1</v>
      </c>
      <c r="N209">
        <v>2</v>
      </c>
    </row>
    <row r="210" spans="2:14">
      <c r="B210">
        <v>2</v>
      </c>
      <c r="C210">
        <v>0</v>
      </c>
      <c r="D210">
        <v>188</v>
      </c>
      <c r="J210">
        <v>243</v>
      </c>
      <c r="K210">
        <v>2</v>
      </c>
      <c r="L210">
        <v>0</v>
      </c>
      <c r="M210">
        <v>0</v>
      </c>
      <c r="N210">
        <v>0</v>
      </c>
    </row>
    <row r="211" spans="2:14">
      <c r="B211">
        <v>0</v>
      </c>
      <c r="C211">
        <v>0</v>
      </c>
      <c r="D211">
        <v>177</v>
      </c>
      <c r="J211">
        <v>290</v>
      </c>
      <c r="K211">
        <v>2</v>
      </c>
      <c r="L211">
        <v>0</v>
      </c>
      <c r="M211">
        <v>0</v>
      </c>
      <c r="N211">
        <v>0</v>
      </c>
    </row>
    <row r="212" spans="2:14">
      <c r="B212">
        <v>2</v>
      </c>
      <c r="C212">
        <v>0</v>
      </c>
      <c r="D212">
        <v>229</v>
      </c>
      <c r="J212">
        <v>253</v>
      </c>
      <c r="K212">
        <v>2</v>
      </c>
      <c r="L212">
        <v>0</v>
      </c>
      <c r="M212">
        <v>0</v>
      </c>
      <c r="N212">
        <v>0</v>
      </c>
    </row>
    <row r="213" spans="2:14">
      <c r="B213">
        <v>0</v>
      </c>
      <c r="C213">
        <v>0</v>
      </c>
      <c r="D213">
        <v>260</v>
      </c>
      <c r="J213">
        <v>266</v>
      </c>
      <c r="K213">
        <v>2</v>
      </c>
      <c r="L213">
        <v>0</v>
      </c>
      <c r="M213">
        <v>0</v>
      </c>
      <c r="N213">
        <v>0</v>
      </c>
    </row>
    <row r="214" spans="2:14">
      <c r="B214">
        <v>0</v>
      </c>
      <c r="C214">
        <v>0</v>
      </c>
      <c r="D214">
        <v>219</v>
      </c>
      <c r="J214">
        <v>233</v>
      </c>
      <c r="K214">
        <v>2</v>
      </c>
      <c r="L214">
        <v>2</v>
      </c>
      <c r="M214">
        <v>1</v>
      </c>
      <c r="N214">
        <v>2</v>
      </c>
    </row>
    <row r="215" spans="2:14">
      <c r="B215">
        <v>0</v>
      </c>
      <c r="C215">
        <v>0</v>
      </c>
      <c r="D215">
        <v>307</v>
      </c>
      <c r="J215">
        <v>172</v>
      </c>
      <c r="K215">
        <v>2</v>
      </c>
      <c r="L215">
        <v>0</v>
      </c>
      <c r="M215">
        <v>0</v>
      </c>
      <c r="N215">
        <v>0</v>
      </c>
    </row>
    <row r="216" spans="2:14">
      <c r="B216">
        <v>0</v>
      </c>
      <c r="C216">
        <v>1</v>
      </c>
      <c r="D216">
        <v>249</v>
      </c>
      <c r="J216">
        <v>305</v>
      </c>
      <c r="K216">
        <v>2</v>
      </c>
      <c r="L216">
        <v>0</v>
      </c>
      <c r="M216">
        <v>0</v>
      </c>
      <c r="N216">
        <v>0</v>
      </c>
    </row>
    <row r="217" spans="2:14">
      <c r="B217">
        <v>0</v>
      </c>
      <c r="C217">
        <v>1</v>
      </c>
      <c r="D217">
        <v>341</v>
      </c>
      <c r="J217">
        <v>216</v>
      </c>
      <c r="K217">
        <v>2</v>
      </c>
      <c r="L217">
        <v>0</v>
      </c>
      <c r="M217">
        <v>0</v>
      </c>
      <c r="N217">
        <v>0</v>
      </c>
    </row>
    <row r="218" spans="2:14">
      <c r="B218">
        <v>2</v>
      </c>
      <c r="C218">
        <v>0</v>
      </c>
      <c r="D218">
        <v>263</v>
      </c>
      <c r="J218">
        <v>188</v>
      </c>
      <c r="K218">
        <v>2</v>
      </c>
      <c r="L218">
        <v>0</v>
      </c>
      <c r="M218">
        <v>0</v>
      </c>
      <c r="N218">
        <v>0</v>
      </c>
    </row>
    <row r="219" spans="2:14">
      <c r="B219">
        <v>0</v>
      </c>
      <c r="C219">
        <v>1</v>
      </c>
      <c r="D219">
        <v>330</v>
      </c>
      <c r="J219">
        <v>282</v>
      </c>
      <c r="K219">
        <v>2</v>
      </c>
      <c r="L219">
        <v>0</v>
      </c>
      <c r="M219">
        <v>0</v>
      </c>
      <c r="N219">
        <v>0</v>
      </c>
    </row>
    <row r="220" spans="2:14">
      <c r="B220">
        <v>0</v>
      </c>
      <c r="C220">
        <v>0</v>
      </c>
      <c r="D220">
        <v>254</v>
      </c>
      <c r="J220">
        <v>185</v>
      </c>
      <c r="K220">
        <v>2</v>
      </c>
      <c r="L220">
        <v>2</v>
      </c>
      <c r="M220">
        <v>1</v>
      </c>
      <c r="N220">
        <v>2</v>
      </c>
    </row>
    <row r="221" spans="2:14">
      <c r="B221">
        <v>0</v>
      </c>
      <c r="C221">
        <v>1</v>
      </c>
      <c r="D221">
        <v>256</v>
      </c>
      <c r="J221">
        <v>326</v>
      </c>
      <c r="K221">
        <v>2</v>
      </c>
      <c r="L221">
        <v>0</v>
      </c>
      <c r="M221">
        <v>0</v>
      </c>
      <c r="N221">
        <v>0</v>
      </c>
    </row>
    <row r="222" spans="2:14">
      <c r="B222">
        <v>0</v>
      </c>
      <c r="C222">
        <v>0</v>
      </c>
      <c r="D222">
        <v>407</v>
      </c>
      <c r="J222">
        <v>231</v>
      </c>
      <c r="K222">
        <v>2</v>
      </c>
      <c r="L222">
        <v>2</v>
      </c>
      <c r="M222">
        <v>1</v>
      </c>
      <c r="N222">
        <v>2</v>
      </c>
    </row>
    <row r="223" spans="2:14">
      <c r="B223">
        <v>0</v>
      </c>
      <c r="C223">
        <v>0</v>
      </c>
      <c r="D223">
        <v>217</v>
      </c>
      <c r="J223">
        <v>254</v>
      </c>
      <c r="K223">
        <v>2</v>
      </c>
      <c r="L223">
        <v>1</v>
      </c>
      <c r="M223">
        <v>0.5</v>
      </c>
      <c r="N223">
        <v>0.5</v>
      </c>
    </row>
    <row r="224" spans="2:14">
      <c r="B224">
        <v>3</v>
      </c>
      <c r="C224">
        <v>1</v>
      </c>
      <c r="D224">
        <v>282</v>
      </c>
      <c r="J224">
        <v>267</v>
      </c>
      <c r="K224">
        <v>2</v>
      </c>
      <c r="L224">
        <v>0</v>
      </c>
      <c r="M224">
        <v>0</v>
      </c>
      <c r="N224">
        <v>0</v>
      </c>
    </row>
    <row r="225" spans="2:14">
      <c r="B225">
        <v>0</v>
      </c>
      <c r="C225">
        <v>1</v>
      </c>
      <c r="D225">
        <v>288</v>
      </c>
      <c r="J225">
        <v>248</v>
      </c>
      <c r="K225">
        <v>2</v>
      </c>
      <c r="L225">
        <v>0</v>
      </c>
      <c r="M225">
        <v>0</v>
      </c>
      <c r="N225">
        <v>0</v>
      </c>
    </row>
    <row r="226" spans="2:14">
      <c r="B226">
        <v>0</v>
      </c>
      <c r="C226">
        <v>0</v>
      </c>
      <c r="D226">
        <v>239</v>
      </c>
      <c r="J226">
        <v>197</v>
      </c>
      <c r="K226">
        <v>2</v>
      </c>
      <c r="L226">
        <v>0</v>
      </c>
      <c r="M226">
        <v>0</v>
      </c>
      <c r="N226">
        <v>0</v>
      </c>
    </row>
    <row r="227" spans="2:14">
      <c r="B227">
        <v>0</v>
      </c>
      <c r="C227">
        <v>0</v>
      </c>
      <c r="D227">
        <v>174</v>
      </c>
      <c r="J227">
        <v>258</v>
      </c>
      <c r="K227">
        <v>2</v>
      </c>
      <c r="L227">
        <v>0</v>
      </c>
      <c r="M227">
        <v>0</v>
      </c>
      <c r="N227">
        <v>0</v>
      </c>
    </row>
    <row r="228" spans="2:14">
      <c r="B228">
        <v>1</v>
      </c>
      <c r="C228">
        <v>0</v>
      </c>
      <c r="D228">
        <v>281</v>
      </c>
      <c r="J228">
        <v>270</v>
      </c>
      <c r="K228">
        <v>2</v>
      </c>
      <c r="L228">
        <v>0</v>
      </c>
      <c r="M228">
        <v>0</v>
      </c>
      <c r="N228">
        <v>0</v>
      </c>
    </row>
    <row r="229" spans="2:14">
      <c r="B229">
        <v>0</v>
      </c>
      <c r="C229">
        <v>0</v>
      </c>
      <c r="D229">
        <v>198</v>
      </c>
      <c r="J229">
        <v>274</v>
      </c>
      <c r="K229">
        <v>2</v>
      </c>
      <c r="L229">
        <v>3</v>
      </c>
      <c r="M229">
        <v>1.5</v>
      </c>
      <c r="N229">
        <v>0.5</v>
      </c>
    </row>
    <row r="230" spans="2:14">
      <c r="B230">
        <v>3</v>
      </c>
      <c r="C230">
        <v>0</v>
      </c>
      <c r="D230">
        <v>288</v>
      </c>
      <c r="J230">
        <v>164</v>
      </c>
      <c r="K230">
        <v>2</v>
      </c>
      <c r="L230">
        <v>0</v>
      </c>
      <c r="M230">
        <v>0</v>
      </c>
      <c r="N230">
        <v>0</v>
      </c>
    </row>
    <row r="231" spans="2:14">
      <c r="B231">
        <v>2</v>
      </c>
      <c r="C231">
        <v>0</v>
      </c>
      <c r="D231">
        <v>309</v>
      </c>
      <c r="J231">
        <v>255</v>
      </c>
      <c r="K231">
        <v>2</v>
      </c>
      <c r="L231">
        <v>0</v>
      </c>
      <c r="M231">
        <v>0</v>
      </c>
      <c r="N231">
        <v>0</v>
      </c>
    </row>
    <row r="232" spans="2:14">
      <c r="B232">
        <v>2</v>
      </c>
      <c r="C232">
        <v>0</v>
      </c>
      <c r="D232">
        <v>243</v>
      </c>
      <c r="J232">
        <v>239</v>
      </c>
      <c r="K232">
        <v>2</v>
      </c>
      <c r="L232">
        <v>0</v>
      </c>
      <c r="M232">
        <v>0</v>
      </c>
      <c r="N232">
        <v>0</v>
      </c>
    </row>
    <row r="233" spans="2:14">
      <c r="B233">
        <v>0</v>
      </c>
      <c r="C233">
        <v>1</v>
      </c>
      <c r="D233">
        <v>289</v>
      </c>
      <c r="J233">
        <v>258</v>
      </c>
      <c r="K233">
        <v>2</v>
      </c>
      <c r="L233">
        <v>0</v>
      </c>
      <c r="M233">
        <v>0</v>
      </c>
      <c r="N233">
        <v>0</v>
      </c>
    </row>
    <row r="234" spans="2:14">
      <c r="B234">
        <v>0</v>
      </c>
      <c r="C234">
        <v>0</v>
      </c>
      <c r="D234">
        <v>289</v>
      </c>
      <c r="J234">
        <v>188</v>
      </c>
      <c r="K234">
        <v>2</v>
      </c>
      <c r="L234">
        <v>2</v>
      </c>
      <c r="M234">
        <v>1</v>
      </c>
      <c r="N234">
        <v>2</v>
      </c>
    </row>
    <row r="235" spans="2:14">
      <c r="B235">
        <v>0</v>
      </c>
      <c r="C235">
        <v>0</v>
      </c>
      <c r="D235">
        <v>246</v>
      </c>
      <c r="J235">
        <v>177</v>
      </c>
      <c r="K235">
        <v>2</v>
      </c>
      <c r="L235">
        <v>0</v>
      </c>
      <c r="M235">
        <v>0</v>
      </c>
      <c r="N235">
        <v>0</v>
      </c>
    </row>
    <row r="236" spans="2:14">
      <c r="B236">
        <v>0</v>
      </c>
      <c r="C236">
        <v>0</v>
      </c>
      <c r="D236">
        <v>322</v>
      </c>
      <c r="J236">
        <v>229</v>
      </c>
      <c r="K236">
        <v>2</v>
      </c>
      <c r="L236">
        <v>2</v>
      </c>
      <c r="M236">
        <v>1</v>
      </c>
      <c r="N236">
        <v>2</v>
      </c>
    </row>
    <row r="237" spans="2:14">
      <c r="B237">
        <v>0</v>
      </c>
      <c r="C237">
        <v>0</v>
      </c>
      <c r="D237">
        <v>299</v>
      </c>
      <c r="J237">
        <v>260</v>
      </c>
      <c r="K237">
        <v>2</v>
      </c>
      <c r="L237">
        <v>0</v>
      </c>
      <c r="M237">
        <v>0</v>
      </c>
      <c r="N237">
        <v>0</v>
      </c>
    </row>
    <row r="238" spans="2:14">
      <c r="B238">
        <v>0</v>
      </c>
      <c r="C238">
        <v>0</v>
      </c>
      <c r="D238">
        <v>300</v>
      </c>
      <c r="J238">
        <v>219</v>
      </c>
      <c r="K238">
        <v>2</v>
      </c>
      <c r="L238">
        <v>0</v>
      </c>
      <c r="M238">
        <v>0</v>
      </c>
      <c r="N238">
        <v>0</v>
      </c>
    </row>
    <row r="239" spans="2:14">
      <c r="B239">
        <v>0</v>
      </c>
      <c r="C239">
        <v>0</v>
      </c>
      <c r="D239">
        <v>293</v>
      </c>
      <c r="J239">
        <v>307</v>
      </c>
      <c r="K239">
        <v>2</v>
      </c>
      <c r="L239">
        <v>0</v>
      </c>
      <c r="M239">
        <v>0</v>
      </c>
      <c r="N239">
        <v>0</v>
      </c>
    </row>
    <row r="240" spans="2:14">
      <c r="B240">
        <v>0</v>
      </c>
      <c r="C240">
        <v>0</v>
      </c>
      <c r="D240">
        <v>304</v>
      </c>
      <c r="J240">
        <v>249</v>
      </c>
      <c r="K240">
        <v>2</v>
      </c>
      <c r="L240">
        <v>1</v>
      </c>
      <c r="M240">
        <v>0.5</v>
      </c>
      <c r="N240">
        <v>0.5</v>
      </c>
    </row>
    <row r="241" spans="2:14">
      <c r="B241">
        <v>0</v>
      </c>
      <c r="C241">
        <v>0</v>
      </c>
      <c r="D241">
        <v>282</v>
      </c>
      <c r="J241">
        <v>341</v>
      </c>
      <c r="K241">
        <v>2</v>
      </c>
      <c r="L241">
        <v>1</v>
      </c>
      <c r="M241">
        <v>0.5</v>
      </c>
      <c r="N241">
        <v>0.5</v>
      </c>
    </row>
    <row r="242" spans="2:14">
      <c r="B242">
        <v>2</v>
      </c>
      <c r="C242">
        <v>0</v>
      </c>
      <c r="D242">
        <v>269</v>
      </c>
      <c r="J242">
        <v>263</v>
      </c>
      <c r="K242">
        <v>2</v>
      </c>
      <c r="L242">
        <v>2</v>
      </c>
      <c r="M242">
        <v>1</v>
      </c>
      <c r="N242">
        <v>2</v>
      </c>
    </row>
    <row r="243" spans="2:14">
      <c r="B243">
        <v>0</v>
      </c>
      <c r="C243">
        <v>0</v>
      </c>
      <c r="D243">
        <v>249</v>
      </c>
      <c r="J243">
        <v>330</v>
      </c>
      <c r="K243">
        <v>2</v>
      </c>
      <c r="L243">
        <v>1</v>
      </c>
      <c r="M243">
        <v>0.5</v>
      </c>
      <c r="N243">
        <v>0.5</v>
      </c>
    </row>
    <row r="244" spans="2:14">
      <c r="B244">
        <v>0</v>
      </c>
      <c r="C244">
        <v>0</v>
      </c>
      <c r="D244">
        <v>212</v>
      </c>
      <c r="J244">
        <v>254</v>
      </c>
      <c r="K244">
        <v>2</v>
      </c>
      <c r="L244">
        <v>0</v>
      </c>
      <c r="M244">
        <v>0</v>
      </c>
      <c r="N244">
        <v>0</v>
      </c>
    </row>
    <row r="245" spans="2:14">
      <c r="B245">
        <v>0</v>
      </c>
      <c r="C245">
        <v>0</v>
      </c>
      <c r="D245">
        <v>274</v>
      </c>
      <c r="J245">
        <v>256</v>
      </c>
      <c r="K245">
        <v>2</v>
      </c>
      <c r="L245">
        <v>1</v>
      </c>
      <c r="M245">
        <v>0.5</v>
      </c>
      <c r="N245">
        <v>0.5</v>
      </c>
    </row>
    <row r="246" spans="2:14">
      <c r="B246">
        <v>0</v>
      </c>
      <c r="C246">
        <v>0</v>
      </c>
      <c r="D246">
        <v>184</v>
      </c>
      <c r="J246">
        <v>407</v>
      </c>
      <c r="K246">
        <v>2</v>
      </c>
      <c r="L246">
        <v>0</v>
      </c>
      <c r="M246">
        <v>0</v>
      </c>
      <c r="N246">
        <v>0</v>
      </c>
    </row>
    <row r="247" spans="2:14">
      <c r="B247">
        <v>0</v>
      </c>
      <c r="C247">
        <v>0</v>
      </c>
      <c r="D247">
        <v>274</v>
      </c>
      <c r="J247">
        <v>217</v>
      </c>
      <c r="K247">
        <v>2</v>
      </c>
      <c r="L247">
        <v>0</v>
      </c>
      <c r="M247">
        <v>0</v>
      </c>
      <c r="N247">
        <v>0</v>
      </c>
    </row>
    <row r="248" spans="2:14">
      <c r="B248">
        <v>0</v>
      </c>
      <c r="C248">
        <v>0</v>
      </c>
      <c r="D248">
        <v>409</v>
      </c>
      <c r="J248">
        <v>282</v>
      </c>
      <c r="K248">
        <v>2</v>
      </c>
      <c r="L248">
        <v>4</v>
      </c>
      <c r="M248">
        <v>2</v>
      </c>
      <c r="N248">
        <v>2</v>
      </c>
    </row>
    <row r="249" spans="2:14">
      <c r="B249">
        <v>1</v>
      </c>
      <c r="C249">
        <v>0</v>
      </c>
      <c r="D249">
        <v>246</v>
      </c>
      <c r="J249">
        <v>288</v>
      </c>
      <c r="K249">
        <v>2</v>
      </c>
      <c r="L249">
        <v>1</v>
      </c>
      <c r="M249">
        <v>0.5</v>
      </c>
      <c r="N249">
        <v>0.5</v>
      </c>
    </row>
    <row r="250" spans="2:14">
      <c r="B250">
        <v>1</v>
      </c>
      <c r="C250">
        <v>0</v>
      </c>
      <c r="D250">
        <v>283</v>
      </c>
      <c r="J250">
        <v>239</v>
      </c>
      <c r="K250">
        <v>2</v>
      </c>
      <c r="L250">
        <v>0</v>
      </c>
      <c r="M250">
        <v>0</v>
      </c>
      <c r="N250">
        <v>0</v>
      </c>
    </row>
    <row r="251" spans="2:14">
      <c r="B251">
        <v>2</v>
      </c>
      <c r="C251">
        <v>0</v>
      </c>
      <c r="D251">
        <v>254</v>
      </c>
      <c r="J251">
        <v>174</v>
      </c>
      <c r="K251">
        <v>2</v>
      </c>
      <c r="L251">
        <v>0</v>
      </c>
      <c r="M251">
        <v>0</v>
      </c>
      <c r="N251">
        <v>0</v>
      </c>
    </row>
    <row r="252" spans="2:14">
      <c r="B252">
        <v>0</v>
      </c>
      <c r="C252">
        <v>0</v>
      </c>
      <c r="D252">
        <v>298</v>
      </c>
      <c r="J252">
        <v>281</v>
      </c>
      <c r="K252">
        <v>2</v>
      </c>
      <c r="L252">
        <v>1</v>
      </c>
      <c r="M252">
        <v>0.5</v>
      </c>
      <c r="N252">
        <v>0.5</v>
      </c>
    </row>
    <row r="253" spans="2:14">
      <c r="B253">
        <v>0</v>
      </c>
      <c r="C253">
        <v>1</v>
      </c>
      <c r="D253">
        <v>247</v>
      </c>
      <c r="J253">
        <v>198</v>
      </c>
      <c r="K253">
        <v>2</v>
      </c>
      <c r="L253">
        <v>0</v>
      </c>
      <c r="M253">
        <v>0</v>
      </c>
      <c r="N253">
        <v>0</v>
      </c>
    </row>
    <row r="254" spans="2:14">
      <c r="B254">
        <v>0</v>
      </c>
      <c r="C254">
        <v>1</v>
      </c>
      <c r="D254">
        <v>294</v>
      </c>
      <c r="J254">
        <v>288</v>
      </c>
      <c r="K254">
        <v>2</v>
      </c>
      <c r="L254">
        <v>3</v>
      </c>
      <c r="M254">
        <v>1.5</v>
      </c>
      <c r="N254">
        <v>4.5</v>
      </c>
    </row>
    <row r="255" spans="2:14">
      <c r="B255">
        <v>0</v>
      </c>
      <c r="C255">
        <v>0</v>
      </c>
      <c r="D255">
        <v>299</v>
      </c>
      <c r="J255">
        <v>309</v>
      </c>
      <c r="K255">
        <v>2</v>
      </c>
      <c r="L255">
        <v>2</v>
      </c>
      <c r="M255">
        <v>1</v>
      </c>
      <c r="N255">
        <v>2</v>
      </c>
    </row>
    <row r="256" spans="2:14">
      <c r="B256">
        <v>3</v>
      </c>
      <c r="C256">
        <v>0</v>
      </c>
      <c r="D256">
        <v>273</v>
      </c>
      <c r="J256">
        <v>243</v>
      </c>
      <c r="K256">
        <v>2</v>
      </c>
      <c r="L256">
        <v>2</v>
      </c>
      <c r="M256">
        <v>1</v>
      </c>
      <c r="N256">
        <v>2</v>
      </c>
    </row>
    <row r="257" spans="2:14">
      <c r="B257">
        <v>0</v>
      </c>
      <c r="C257">
        <v>0</v>
      </c>
      <c r="D257">
        <v>309</v>
      </c>
      <c r="J257">
        <v>289</v>
      </c>
      <c r="K257">
        <v>2</v>
      </c>
      <c r="L257">
        <v>1</v>
      </c>
      <c r="M257">
        <v>0.5</v>
      </c>
      <c r="N257">
        <v>0.5</v>
      </c>
    </row>
    <row r="258" spans="2:14">
      <c r="B258">
        <v>0</v>
      </c>
      <c r="C258">
        <v>0</v>
      </c>
      <c r="D258">
        <v>259</v>
      </c>
      <c r="J258">
        <v>289</v>
      </c>
      <c r="K258">
        <v>2</v>
      </c>
      <c r="L258">
        <v>0</v>
      </c>
      <c r="M258">
        <v>0</v>
      </c>
      <c r="N258">
        <v>0</v>
      </c>
    </row>
    <row r="259" spans="2:14">
      <c r="B259">
        <v>0</v>
      </c>
      <c r="C259">
        <v>0</v>
      </c>
      <c r="D259">
        <v>200</v>
      </c>
      <c r="J259">
        <v>246</v>
      </c>
      <c r="K259">
        <v>2</v>
      </c>
      <c r="L259">
        <v>0</v>
      </c>
      <c r="M259">
        <v>0</v>
      </c>
      <c r="N259">
        <v>0</v>
      </c>
    </row>
    <row r="260" spans="2:14">
      <c r="B260">
        <v>0</v>
      </c>
      <c r="C260">
        <v>0</v>
      </c>
      <c r="D260">
        <v>244</v>
      </c>
      <c r="J260">
        <v>322</v>
      </c>
      <c r="K260">
        <v>2</v>
      </c>
      <c r="L260">
        <v>0</v>
      </c>
      <c r="M260">
        <v>0</v>
      </c>
      <c r="N260">
        <v>0</v>
      </c>
    </row>
    <row r="261" spans="2:14">
      <c r="B261">
        <v>3</v>
      </c>
      <c r="C261">
        <v>0</v>
      </c>
      <c r="D261">
        <v>231</v>
      </c>
      <c r="J261">
        <v>299</v>
      </c>
      <c r="K261">
        <v>2</v>
      </c>
      <c r="L261">
        <v>0</v>
      </c>
      <c r="M261">
        <v>0</v>
      </c>
      <c r="N261">
        <v>0</v>
      </c>
    </row>
    <row r="262" spans="2:14">
      <c r="B262">
        <v>0</v>
      </c>
      <c r="C262">
        <v>1</v>
      </c>
      <c r="D262">
        <v>228</v>
      </c>
      <c r="J262">
        <v>300</v>
      </c>
      <c r="K262">
        <v>2</v>
      </c>
      <c r="L262">
        <v>0</v>
      </c>
      <c r="M262">
        <v>0</v>
      </c>
      <c r="N262">
        <v>0</v>
      </c>
    </row>
    <row r="263" spans="2:14">
      <c r="B263">
        <v>0</v>
      </c>
      <c r="C263">
        <v>0</v>
      </c>
      <c r="D263">
        <v>230</v>
      </c>
      <c r="J263">
        <v>293</v>
      </c>
      <c r="K263">
        <v>2</v>
      </c>
      <c r="L263">
        <v>0</v>
      </c>
      <c r="M263">
        <v>0</v>
      </c>
      <c r="N263">
        <v>0</v>
      </c>
    </row>
    <row r="264" spans="2:14">
      <c r="B264">
        <v>0</v>
      </c>
      <c r="C264">
        <v>0</v>
      </c>
      <c r="D264">
        <v>282</v>
      </c>
      <c r="J264">
        <v>304</v>
      </c>
      <c r="K264">
        <v>2</v>
      </c>
      <c r="L264">
        <v>0</v>
      </c>
      <c r="M264">
        <v>0</v>
      </c>
      <c r="N264">
        <v>0</v>
      </c>
    </row>
    <row r="265" spans="2:14">
      <c r="B265">
        <v>0</v>
      </c>
      <c r="C265">
        <v>0</v>
      </c>
      <c r="D265">
        <v>269</v>
      </c>
      <c r="J265">
        <v>282</v>
      </c>
      <c r="K265">
        <v>2</v>
      </c>
      <c r="L265">
        <v>0</v>
      </c>
      <c r="M265">
        <v>0</v>
      </c>
      <c r="N265">
        <v>0</v>
      </c>
    </row>
    <row r="266" spans="2:14">
      <c r="B266">
        <v>0</v>
      </c>
      <c r="C266">
        <v>0</v>
      </c>
      <c r="D266">
        <v>206</v>
      </c>
      <c r="J266">
        <v>269</v>
      </c>
      <c r="K266">
        <v>2</v>
      </c>
      <c r="L266">
        <v>2</v>
      </c>
      <c r="M266">
        <v>1</v>
      </c>
      <c r="N266">
        <v>2</v>
      </c>
    </row>
    <row r="267" spans="2:14">
      <c r="B267">
        <v>0</v>
      </c>
      <c r="C267">
        <v>0</v>
      </c>
      <c r="D267">
        <v>212</v>
      </c>
      <c r="J267">
        <v>249</v>
      </c>
      <c r="K267">
        <v>2</v>
      </c>
      <c r="L267">
        <v>0</v>
      </c>
      <c r="M267">
        <v>0</v>
      </c>
      <c r="N267">
        <v>0</v>
      </c>
    </row>
    <row r="268" spans="2:14">
      <c r="B268">
        <v>0</v>
      </c>
      <c r="C268">
        <v>0</v>
      </c>
      <c r="D268">
        <v>327</v>
      </c>
      <c r="J268">
        <v>212</v>
      </c>
      <c r="K268">
        <v>2</v>
      </c>
      <c r="L268">
        <v>0</v>
      </c>
      <c r="M268">
        <v>0</v>
      </c>
      <c r="N268">
        <v>0</v>
      </c>
    </row>
    <row r="269" spans="2:14">
      <c r="B269">
        <v>2</v>
      </c>
      <c r="C269">
        <v>0</v>
      </c>
      <c r="D269">
        <v>149</v>
      </c>
      <c r="J269">
        <v>274</v>
      </c>
      <c r="K269">
        <v>2</v>
      </c>
      <c r="L269">
        <v>0</v>
      </c>
      <c r="M269">
        <v>0</v>
      </c>
      <c r="N269">
        <v>0</v>
      </c>
    </row>
    <row r="270" spans="2:14">
      <c r="B270">
        <v>0</v>
      </c>
      <c r="C270">
        <v>0</v>
      </c>
      <c r="D270">
        <v>286</v>
      </c>
      <c r="J270">
        <v>184</v>
      </c>
      <c r="K270">
        <v>2</v>
      </c>
      <c r="L270">
        <v>0</v>
      </c>
      <c r="M270">
        <v>0</v>
      </c>
      <c r="N270">
        <v>0</v>
      </c>
    </row>
    <row r="271" spans="2:14">
      <c r="B271">
        <v>0</v>
      </c>
      <c r="C271">
        <v>1</v>
      </c>
      <c r="D271">
        <v>283</v>
      </c>
      <c r="J271">
        <v>274</v>
      </c>
      <c r="K271">
        <v>2</v>
      </c>
      <c r="L271">
        <v>0</v>
      </c>
      <c r="M271">
        <v>0</v>
      </c>
      <c r="N271">
        <v>0</v>
      </c>
    </row>
    <row r="272" spans="2:14">
      <c r="B272">
        <v>0</v>
      </c>
      <c r="C272">
        <v>0</v>
      </c>
      <c r="D272">
        <v>249</v>
      </c>
      <c r="J272">
        <v>409</v>
      </c>
      <c r="K272">
        <v>2</v>
      </c>
      <c r="L272">
        <v>0</v>
      </c>
      <c r="M272">
        <v>0</v>
      </c>
      <c r="N272">
        <v>0</v>
      </c>
    </row>
    <row r="273" spans="2:14">
      <c r="B273">
        <v>3</v>
      </c>
      <c r="C273">
        <v>0</v>
      </c>
      <c r="D273">
        <v>234</v>
      </c>
      <c r="J273">
        <v>246</v>
      </c>
      <c r="K273">
        <v>2</v>
      </c>
      <c r="L273">
        <v>1</v>
      </c>
      <c r="M273">
        <v>0.5</v>
      </c>
      <c r="N273">
        <v>0.5</v>
      </c>
    </row>
    <row r="274" spans="2:14">
      <c r="B274">
        <v>0</v>
      </c>
      <c r="C274">
        <v>0</v>
      </c>
      <c r="D274">
        <v>237</v>
      </c>
      <c r="J274">
        <v>283</v>
      </c>
      <c r="K274">
        <v>2</v>
      </c>
      <c r="L274">
        <v>1</v>
      </c>
      <c r="M274">
        <v>0.5</v>
      </c>
      <c r="N274">
        <v>0.5</v>
      </c>
    </row>
    <row r="275" spans="2:14">
      <c r="B275">
        <v>0</v>
      </c>
      <c r="C275">
        <v>0</v>
      </c>
      <c r="D275">
        <v>234</v>
      </c>
      <c r="J275">
        <v>254</v>
      </c>
      <c r="K275">
        <v>2</v>
      </c>
      <c r="L275">
        <v>2</v>
      </c>
      <c r="M275">
        <v>1</v>
      </c>
      <c r="N275">
        <v>2</v>
      </c>
    </row>
    <row r="276" spans="2:14">
      <c r="B276">
        <v>0</v>
      </c>
      <c r="C276">
        <v>0</v>
      </c>
      <c r="D276">
        <v>275</v>
      </c>
      <c r="J276">
        <v>298</v>
      </c>
      <c r="K276">
        <v>2</v>
      </c>
      <c r="L276">
        <v>0</v>
      </c>
      <c r="M276">
        <v>0</v>
      </c>
      <c r="N276">
        <v>0</v>
      </c>
    </row>
    <row r="277" spans="2:14">
      <c r="B277">
        <v>0</v>
      </c>
      <c r="C277">
        <v>0</v>
      </c>
      <c r="D277">
        <v>212</v>
      </c>
      <c r="J277">
        <v>247</v>
      </c>
      <c r="K277">
        <v>2</v>
      </c>
      <c r="L277">
        <v>1</v>
      </c>
      <c r="M277">
        <v>0.5</v>
      </c>
      <c r="N277">
        <v>0.5</v>
      </c>
    </row>
    <row r="278" spans="2:14">
      <c r="B278">
        <v>0</v>
      </c>
      <c r="C278">
        <v>0</v>
      </c>
      <c r="D278">
        <v>218</v>
      </c>
      <c r="J278">
        <v>294</v>
      </c>
      <c r="K278">
        <v>2</v>
      </c>
      <c r="L278">
        <v>1</v>
      </c>
      <c r="M278">
        <v>0.5</v>
      </c>
      <c r="N278">
        <v>0.5</v>
      </c>
    </row>
    <row r="279" spans="2:14">
      <c r="B279">
        <v>1</v>
      </c>
      <c r="C279">
        <v>0</v>
      </c>
      <c r="D279">
        <v>261</v>
      </c>
      <c r="J279">
        <v>299</v>
      </c>
      <c r="K279">
        <v>2</v>
      </c>
      <c r="L279">
        <v>0</v>
      </c>
      <c r="M279">
        <v>0</v>
      </c>
      <c r="N279">
        <v>0</v>
      </c>
    </row>
    <row r="280" spans="2:14">
      <c r="B280">
        <v>1</v>
      </c>
      <c r="C280">
        <v>1</v>
      </c>
      <c r="D280">
        <v>319</v>
      </c>
      <c r="J280">
        <v>273</v>
      </c>
      <c r="K280">
        <v>2</v>
      </c>
      <c r="L280">
        <v>3</v>
      </c>
      <c r="M280">
        <v>1.5</v>
      </c>
      <c r="N280">
        <v>4.5</v>
      </c>
    </row>
    <row r="281" spans="2:14">
      <c r="B281">
        <v>0</v>
      </c>
      <c r="C281">
        <v>0</v>
      </c>
      <c r="D281">
        <v>166</v>
      </c>
      <c r="J281">
        <v>309</v>
      </c>
      <c r="K281">
        <v>2</v>
      </c>
      <c r="L281">
        <v>0</v>
      </c>
      <c r="M281">
        <v>0</v>
      </c>
      <c r="N281">
        <v>0</v>
      </c>
    </row>
    <row r="282" spans="2:14">
      <c r="B282">
        <v>0</v>
      </c>
      <c r="C282">
        <v>0</v>
      </c>
      <c r="D282">
        <v>315</v>
      </c>
      <c r="J282">
        <v>259</v>
      </c>
      <c r="K282">
        <v>2</v>
      </c>
      <c r="L282">
        <v>0</v>
      </c>
      <c r="M282">
        <v>0</v>
      </c>
      <c r="N282">
        <v>0</v>
      </c>
    </row>
    <row r="283" spans="2:14">
      <c r="B283">
        <v>0</v>
      </c>
      <c r="C283">
        <v>1</v>
      </c>
      <c r="D283">
        <v>204</v>
      </c>
      <c r="J283">
        <v>200</v>
      </c>
      <c r="K283">
        <v>2</v>
      </c>
      <c r="L283">
        <v>0</v>
      </c>
      <c r="M283">
        <v>0</v>
      </c>
      <c r="N283">
        <v>0</v>
      </c>
    </row>
    <row r="284" spans="2:14">
      <c r="B284">
        <v>2</v>
      </c>
      <c r="C284">
        <v>1</v>
      </c>
      <c r="D284">
        <v>218</v>
      </c>
      <c r="J284">
        <v>244</v>
      </c>
      <c r="K284">
        <v>2</v>
      </c>
      <c r="L284">
        <v>0</v>
      </c>
      <c r="M284">
        <v>0</v>
      </c>
      <c r="N284">
        <v>0</v>
      </c>
    </row>
    <row r="285" spans="2:14">
      <c r="B285">
        <v>0</v>
      </c>
      <c r="C285">
        <v>0</v>
      </c>
      <c r="D285">
        <v>223</v>
      </c>
      <c r="J285">
        <v>231</v>
      </c>
      <c r="K285">
        <v>2</v>
      </c>
      <c r="L285">
        <v>3</v>
      </c>
      <c r="M285">
        <v>1.5</v>
      </c>
      <c r="N285">
        <v>4.5</v>
      </c>
    </row>
    <row r="286" spans="2:14">
      <c r="B286">
        <v>0</v>
      </c>
      <c r="C286">
        <v>0</v>
      </c>
      <c r="D286">
        <v>207</v>
      </c>
      <c r="J286">
        <v>228</v>
      </c>
      <c r="K286">
        <v>2</v>
      </c>
      <c r="L286">
        <v>1</v>
      </c>
      <c r="M286">
        <v>0.5</v>
      </c>
      <c r="N286">
        <v>0.5</v>
      </c>
    </row>
    <row r="287" spans="2:14">
      <c r="B287">
        <v>0</v>
      </c>
      <c r="C287">
        <v>0</v>
      </c>
      <c r="D287">
        <v>311</v>
      </c>
      <c r="J287">
        <v>230</v>
      </c>
      <c r="K287">
        <v>2</v>
      </c>
      <c r="L287">
        <v>0</v>
      </c>
      <c r="M287">
        <v>0</v>
      </c>
      <c r="N287">
        <v>0</v>
      </c>
    </row>
    <row r="288" spans="2:14">
      <c r="B288">
        <v>3</v>
      </c>
      <c r="C288">
        <v>0</v>
      </c>
      <c r="D288">
        <v>204</v>
      </c>
      <c r="J288">
        <v>282</v>
      </c>
      <c r="K288">
        <v>2</v>
      </c>
      <c r="L288">
        <v>0</v>
      </c>
      <c r="M288">
        <v>0</v>
      </c>
      <c r="N288">
        <v>0</v>
      </c>
    </row>
    <row r="289" spans="2:14">
      <c r="B289">
        <v>1</v>
      </c>
      <c r="C289">
        <v>0</v>
      </c>
      <c r="D289">
        <v>232</v>
      </c>
      <c r="J289">
        <v>269</v>
      </c>
      <c r="K289">
        <v>2</v>
      </c>
      <c r="L289">
        <v>0</v>
      </c>
      <c r="M289">
        <v>0</v>
      </c>
      <c r="N289">
        <v>0</v>
      </c>
    </row>
    <row r="290" spans="2:14">
      <c r="B290">
        <v>0</v>
      </c>
      <c r="C290">
        <v>0</v>
      </c>
      <c r="D290">
        <v>335</v>
      </c>
      <c r="J290">
        <v>206</v>
      </c>
      <c r="K290">
        <v>2</v>
      </c>
      <c r="L290">
        <v>0</v>
      </c>
      <c r="M290">
        <v>0</v>
      </c>
      <c r="N290">
        <v>0</v>
      </c>
    </row>
    <row r="291" spans="2:14">
      <c r="B291">
        <v>0</v>
      </c>
      <c r="C291">
        <v>0</v>
      </c>
      <c r="D291">
        <v>205</v>
      </c>
      <c r="J291">
        <v>212</v>
      </c>
      <c r="K291">
        <v>2</v>
      </c>
      <c r="L291">
        <v>0</v>
      </c>
      <c r="M291">
        <v>0</v>
      </c>
      <c r="N291">
        <v>0</v>
      </c>
    </row>
    <row r="292" spans="2:14">
      <c r="B292">
        <v>0</v>
      </c>
      <c r="C292">
        <v>0</v>
      </c>
      <c r="D292">
        <v>203</v>
      </c>
      <c r="J292">
        <v>327</v>
      </c>
      <c r="K292">
        <v>2</v>
      </c>
      <c r="L292">
        <v>0</v>
      </c>
      <c r="M292">
        <v>0</v>
      </c>
      <c r="N292">
        <v>0</v>
      </c>
    </row>
    <row r="293" spans="2:14">
      <c r="B293">
        <v>0</v>
      </c>
      <c r="C293">
        <v>0</v>
      </c>
      <c r="D293">
        <v>318</v>
      </c>
      <c r="J293">
        <v>149</v>
      </c>
      <c r="K293">
        <v>2</v>
      </c>
      <c r="L293">
        <v>2</v>
      </c>
      <c r="M293">
        <v>1</v>
      </c>
      <c r="N293">
        <v>2</v>
      </c>
    </row>
    <row r="294" spans="2:14">
      <c r="B294">
        <v>0</v>
      </c>
      <c r="C294">
        <v>1</v>
      </c>
      <c r="D294">
        <v>225</v>
      </c>
      <c r="J294">
        <v>286</v>
      </c>
      <c r="K294">
        <v>2</v>
      </c>
      <c r="L294">
        <v>0</v>
      </c>
      <c r="M294">
        <v>0</v>
      </c>
      <c r="N294">
        <v>0</v>
      </c>
    </row>
    <row r="295" spans="2:14">
      <c r="B295">
        <v>2</v>
      </c>
      <c r="C295">
        <v>0</v>
      </c>
      <c r="D295">
        <v>212</v>
      </c>
      <c r="J295">
        <v>283</v>
      </c>
      <c r="K295">
        <v>2</v>
      </c>
      <c r="L295">
        <v>1</v>
      </c>
      <c r="M295">
        <v>0.5</v>
      </c>
      <c r="N295">
        <v>0.5</v>
      </c>
    </row>
    <row r="296" spans="2:14">
      <c r="B296">
        <v>0</v>
      </c>
      <c r="C296">
        <v>0</v>
      </c>
      <c r="D296">
        <v>169</v>
      </c>
      <c r="J296">
        <v>249</v>
      </c>
      <c r="K296">
        <v>2</v>
      </c>
      <c r="L296">
        <v>0</v>
      </c>
      <c r="M296">
        <v>0</v>
      </c>
      <c r="N296">
        <v>0</v>
      </c>
    </row>
    <row r="297" spans="2:14">
      <c r="B297">
        <v>0</v>
      </c>
      <c r="C297">
        <v>0</v>
      </c>
      <c r="D297">
        <v>187</v>
      </c>
      <c r="J297">
        <v>234</v>
      </c>
      <c r="K297">
        <v>2</v>
      </c>
      <c r="L297">
        <v>3</v>
      </c>
      <c r="M297">
        <v>1.5</v>
      </c>
      <c r="N297">
        <v>4.5</v>
      </c>
    </row>
    <row r="298" spans="2:14">
      <c r="B298">
        <v>0</v>
      </c>
      <c r="C298">
        <v>0</v>
      </c>
      <c r="D298">
        <v>197</v>
      </c>
      <c r="J298">
        <v>237</v>
      </c>
      <c r="K298">
        <v>2</v>
      </c>
      <c r="L298">
        <v>0</v>
      </c>
      <c r="M298">
        <v>0</v>
      </c>
      <c r="N298">
        <v>0</v>
      </c>
    </row>
    <row r="299" spans="2:14">
      <c r="B299">
        <v>0</v>
      </c>
      <c r="C299">
        <v>1</v>
      </c>
      <c r="D299">
        <v>176</v>
      </c>
      <c r="J299">
        <v>234</v>
      </c>
      <c r="K299">
        <v>2</v>
      </c>
      <c r="L299">
        <v>0</v>
      </c>
      <c r="M299">
        <v>0</v>
      </c>
      <c r="N299">
        <v>0</v>
      </c>
    </row>
    <row r="300" spans="2:14">
      <c r="B300">
        <v>0</v>
      </c>
      <c r="C300">
        <v>0</v>
      </c>
      <c r="D300">
        <v>241</v>
      </c>
      <c r="J300">
        <v>275</v>
      </c>
      <c r="K300">
        <v>2</v>
      </c>
      <c r="L300">
        <v>0</v>
      </c>
      <c r="M300">
        <v>0</v>
      </c>
      <c r="N300">
        <v>0</v>
      </c>
    </row>
    <row r="301" spans="2:14">
      <c r="B301">
        <v>3</v>
      </c>
      <c r="C301">
        <v>0</v>
      </c>
      <c r="D301">
        <v>264</v>
      </c>
      <c r="J301">
        <v>212</v>
      </c>
      <c r="K301">
        <v>2</v>
      </c>
      <c r="L301">
        <v>0</v>
      </c>
      <c r="M301">
        <v>0</v>
      </c>
      <c r="N301">
        <v>0</v>
      </c>
    </row>
    <row r="302" spans="2:14">
      <c r="B302">
        <v>0</v>
      </c>
      <c r="C302">
        <v>1</v>
      </c>
      <c r="D302">
        <v>193</v>
      </c>
      <c r="J302">
        <v>218</v>
      </c>
      <c r="K302">
        <v>2</v>
      </c>
      <c r="L302">
        <v>0</v>
      </c>
      <c r="M302">
        <v>0</v>
      </c>
      <c r="N302">
        <v>0</v>
      </c>
    </row>
    <row r="303" spans="2:14">
      <c r="B303">
        <v>0</v>
      </c>
      <c r="C303">
        <v>0</v>
      </c>
      <c r="D303">
        <v>131</v>
      </c>
      <c r="J303">
        <v>261</v>
      </c>
      <c r="K303">
        <v>2</v>
      </c>
      <c r="L303">
        <v>1</v>
      </c>
      <c r="M303">
        <v>0.5</v>
      </c>
      <c r="N303">
        <v>0.5</v>
      </c>
    </row>
    <row r="304" spans="2:14">
      <c r="B304">
        <v>1</v>
      </c>
      <c r="C304">
        <v>0</v>
      </c>
      <c r="D304">
        <v>236</v>
      </c>
      <c r="J304">
        <v>319</v>
      </c>
      <c r="K304">
        <v>2</v>
      </c>
      <c r="L304">
        <v>2</v>
      </c>
      <c r="M304">
        <v>1</v>
      </c>
      <c r="N304">
        <v>0</v>
      </c>
    </row>
    <row r="305" spans="10:25">
      <c r="J305">
        <v>166</v>
      </c>
      <c r="K305">
        <v>2</v>
      </c>
      <c r="L305">
        <v>0</v>
      </c>
      <c r="M305">
        <v>0</v>
      </c>
      <c r="N305">
        <v>0</v>
      </c>
    </row>
    <row r="306" spans="10:25">
      <c r="J306">
        <v>315</v>
      </c>
      <c r="K306">
        <v>2</v>
      </c>
      <c r="L306">
        <v>0</v>
      </c>
      <c r="M306">
        <v>0</v>
      </c>
      <c r="N306">
        <v>0</v>
      </c>
    </row>
    <row r="307" spans="10:25">
      <c r="J307">
        <v>204</v>
      </c>
      <c r="K307">
        <v>2</v>
      </c>
      <c r="L307">
        <v>1</v>
      </c>
      <c r="M307">
        <v>0.5</v>
      </c>
      <c r="N307">
        <v>0.5</v>
      </c>
    </row>
    <row r="308" spans="10:25">
      <c r="J308">
        <v>218</v>
      </c>
      <c r="K308">
        <v>2</v>
      </c>
      <c r="L308">
        <v>3</v>
      </c>
      <c r="M308">
        <v>1.5</v>
      </c>
      <c r="N308">
        <v>0.5</v>
      </c>
    </row>
    <row r="309" spans="10:25">
      <c r="J309">
        <v>223</v>
      </c>
      <c r="K309">
        <v>2</v>
      </c>
      <c r="L309">
        <v>0</v>
      </c>
      <c r="M309">
        <v>0</v>
      </c>
      <c r="N309">
        <v>0</v>
      </c>
    </row>
    <row r="310" spans="10:25" ht="15.75" thickBot="1">
      <c r="J310">
        <v>207</v>
      </c>
      <c r="K310">
        <v>2</v>
      </c>
      <c r="L310">
        <v>0</v>
      </c>
      <c r="M310">
        <v>0</v>
      </c>
      <c r="N310">
        <v>0</v>
      </c>
      <c r="S310" s="26"/>
      <c r="T310" s="26"/>
      <c r="U310" s="26"/>
      <c r="V310" s="26"/>
      <c r="W310" s="26"/>
    </row>
    <row r="311" spans="10:25">
      <c r="J311">
        <v>311</v>
      </c>
      <c r="K311">
        <v>2</v>
      </c>
      <c r="L311">
        <v>0</v>
      </c>
      <c r="M311">
        <v>0</v>
      </c>
      <c r="N311">
        <v>0</v>
      </c>
    </row>
    <row r="312" spans="10:25">
      <c r="J312">
        <v>204</v>
      </c>
      <c r="K312">
        <v>2</v>
      </c>
      <c r="L312">
        <v>3</v>
      </c>
      <c r="M312">
        <v>1.5</v>
      </c>
      <c r="N312">
        <v>4.5</v>
      </c>
    </row>
    <row r="313" spans="10:25" ht="15.75" thickBot="1">
      <c r="J313">
        <v>232</v>
      </c>
      <c r="K313">
        <v>2</v>
      </c>
      <c r="L313">
        <v>1</v>
      </c>
      <c r="M313">
        <v>0.5</v>
      </c>
      <c r="N313">
        <v>0.5</v>
      </c>
    </row>
    <row r="314" spans="10:25">
      <c r="J314">
        <v>335</v>
      </c>
      <c r="K314">
        <v>2</v>
      </c>
      <c r="L314">
        <v>0</v>
      </c>
      <c r="M314">
        <v>0</v>
      </c>
      <c r="N314">
        <v>0</v>
      </c>
      <c r="S314" s="27"/>
      <c r="T314" s="27"/>
      <c r="U314" s="27"/>
      <c r="V314" s="27"/>
      <c r="W314" s="27"/>
      <c r="X314" s="27"/>
      <c r="Y314" s="27"/>
    </row>
    <row r="315" spans="10:25">
      <c r="J315">
        <v>205</v>
      </c>
      <c r="K315">
        <v>2</v>
      </c>
      <c r="L315">
        <v>0</v>
      </c>
      <c r="M315">
        <v>0</v>
      </c>
      <c r="N315">
        <v>0</v>
      </c>
    </row>
    <row r="316" spans="10:25">
      <c r="J316">
        <v>203</v>
      </c>
      <c r="K316">
        <v>2</v>
      </c>
      <c r="L316">
        <v>0</v>
      </c>
      <c r="M316">
        <v>0</v>
      </c>
      <c r="N316">
        <v>0</v>
      </c>
    </row>
    <row r="317" spans="10:25">
      <c r="J317">
        <v>318</v>
      </c>
      <c r="K317">
        <v>2</v>
      </c>
      <c r="L317">
        <v>0</v>
      </c>
      <c r="M317">
        <v>0</v>
      </c>
      <c r="N317">
        <v>0</v>
      </c>
    </row>
    <row r="318" spans="10:25">
      <c r="J318">
        <v>225</v>
      </c>
      <c r="K318">
        <v>2</v>
      </c>
      <c r="L318">
        <v>1</v>
      </c>
      <c r="M318">
        <v>0.5</v>
      </c>
      <c r="N318">
        <v>0.5</v>
      </c>
    </row>
    <row r="319" spans="10:25" ht="15.75" thickBot="1">
      <c r="J319">
        <v>212</v>
      </c>
      <c r="K319">
        <v>2</v>
      </c>
      <c r="L319">
        <v>2</v>
      </c>
      <c r="M319">
        <v>1</v>
      </c>
      <c r="N319">
        <v>2</v>
      </c>
      <c r="S319" s="26"/>
      <c r="T319" s="26"/>
      <c r="U319" s="26"/>
      <c r="V319" s="26"/>
      <c r="W319" s="26"/>
      <c r="X319" s="26"/>
      <c r="Y319" s="26"/>
    </row>
    <row r="320" spans="10:25">
      <c r="J320">
        <v>169</v>
      </c>
      <c r="K320">
        <v>2</v>
      </c>
      <c r="L320">
        <v>0</v>
      </c>
      <c r="M320">
        <v>0</v>
      </c>
      <c r="N320">
        <v>0</v>
      </c>
    </row>
    <row r="321" spans="10:16">
      <c r="J321">
        <v>187</v>
      </c>
      <c r="K321">
        <v>2</v>
      </c>
      <c r="L321">
        <v>0</v>
      </c>
      <c r="M321">
        <v>0</v>
      </c>
      <c r="N321">
        <v>0</v>
      </c>
    </row>
    <row r="322" spans="10:16">
      <c r="J322">
        <v>197</v>
      </c>
      <c r="K322">
        <v>2</v>
      </c>
      <c r="L322">
        <v>0</v>
      </c>
      <c r="M322">
        <v>0</v>
      </c>
      <c r="N322">
        <v>0</v>
      </c>
    </row>
    <row r="323" spans="10:16">
      <c r="J323">
        <v>176</v>
      </c>
      <c r="K323">
        <v>2</v>
      </c>
      <c r="L323">
        <v>1</v>
      </c>
      <c r="M323">
        <v>0.5</v>
      </c>
      <c r="N323">
        <v>0.5</v>
      </c>
    </row>
    <row r="324" spans="10:16">
      <c r="J324">
        <v>241</v>
      </c>
      <c r="K324">
        <v>2</v>
      </c>
      <c r="L324">
        <v>0</v>
      </c>
      <c r="M324">
        <v>0</v>
      </c>
      <c r="N324">
        <v>0</v>
      </c>
    </row>
    <row r="325" spans="10:16">
      <c r="J325">
        <v>264</v>
      </c>
      <c r="K325">
        <v>2</v>
      </c>
      <c r="L325">
        <v>3</v>
      </c>
      <c r="M325">
        <v>1.5</v>
      </c>
      <c r="N325">
        <v>4.5</v>
      </c>
    </row>
    <row r="326" spans="10:16">
      <c r="J326">
        <v>193</v>
      </c>
      <c r="K326">
        <v>2</v>
      </c>
      <c r="L326">
        <v>1</v>
      </c>
      <c r="M326">
        <v>0.5</v>
      </c>
      <c r="N326">
        <v>0.5</v>
      </c>
    </row>
    <row r="327" spans="10:16">
      <c r="J327">
        <v>131</v>
      </c>
      <c r="K327">
        <v>2</v>
      </c>
      <c r="L327">
        <v>0</v>
      </c>
      <c r="M327">
        <v>0</v>
      </c>
      <c r="N327">
        <v>0</v>
      </c>
    </row>
    <row r="328" spans="10:16">
      <c r="J328">
        <v>236</v>
      </c>
      <c r="K328">
        <v>2</v>
      </c>
      <c r="L328">
        <v>1</v>
      </c>
      <c r="M328">
        <v>0.5</v>
      </c>
      <c r="N328">
        <v>0.5</v>
      </c>
    </row>
    <row r="330" spans="10:16">
      <c r="J330" t="s">
        <v>2</v>
      </c>
      <c r="K330">
        <v>303</v>
      </c>
      <c r="L330">
        <v>293</v>
      </c>
      <c r="M330">
        <v>0.96699669966996704</v>
      </c>
      <c r="N330">
        <v>1.0651323410486744</v>
      </c>
    </row>
    <row r="331" spans="10:16" ht="15.75" thickBot="1">
      <c r="J331" s="26" t="s">
        <v>5</v>
      </c>
      <c r="K331" s="26">
        <v>303</v>
      </c>
      <c r="L331" s="26">
        <v>45</v>
      </c>
      <c r="M331" s="26">
        <v>0.14851485148514851</v>
      </c>
      <c r="N331" s="26">
        <v>0.12687692610320636</v>
      </c>
    </row>
    <row r="334" spans="10:16" ht="15.75" thickBot="1">
      <c r="J334" t="s">
        <v>108</v>
      </c>
    </row>
    <row r="335" spans="10:16">
      <c r="J335" s="27" t="s">
        <v>109</v>
      </c>
      <c r="K335" s="27" t="s">
        <v>110</v>
      </c>
      <c r="L335" s="27" t="s">
        <v>88</v>
      </c>
      <c r="M335" s="27" t="s">
        <v>111</v>
      </c>
      <c r="N335" s="27" t="s">
        <v>112</v>
      </c>
      <c r="O335" s="27" t="s">
        <v>113</v>
      </c>
      <c r="P335" s="27" t="s">
        <v>114</v>
      </c>
    </row>
    <row r="336" spans="10:16">
      <c r="J336" t="s">
        <v>122</v>
      </c>
      <c r="K336">
        <v>190.47854785478319</v>
      </c>
      <c r="L336">
        <v>302</v>
      </c>
      <c r="M336">
        <v>0.63072366839332183</v>
      </c>
      <c r="N336">
        <v>1.1237125445376543</v>
      </c>
      <c r="O336">
        <v>0.15568518115235508</v>
      </c>
      <c r="P336">
        <v>1.2087656829738305</v>
      </c>
    </row>
    <row r="337" spans="10:16">
      <c r="J337" t="s">
        <v>123</v>
      </c>
      <c r="K337">
        <v>101.49174917491501</v>
      </c>
      <c r="L337">
        <v>1</v>
      </c>
      <c r="M337">
        <v>101.49174917491501</v>
      </c>
      <c r="N337">
        <v>180.8201553707996</v>
      </c>
      <c r="O337">
        <v>1.2645799823303946E-32</v>
      </c>
      <c r="P337">
        <v>3.8724345173444776</v>
      </c>
    </row>
    <row r="338" spans="10:16">
      <c r="J338" t="s">
        <v>124</v>
      </c>
      <c r="K338">
        <v>169.50825082508499</v>
      </c>
      <c r="L338">
        <v>302</v>
      </c>
      <c r="M338">
        <v>0.56128559875855955</v>
      </c>
    </row>
    <row r="340" spans="10:16" ht="15.75" thickBot="1">
      <c r="J340" s="26" t="s">
        <v>17</v>
      </c>
      <c r="K340" s="26">
        <v>461.47854785478319</v>
      </c>
      <c r="L340" s="26">
        <v>605</v>
      </c>
      <c r="M340" s="26"/>
      <c r="N340" s="26"/>
      <c r="O340" s="26"/>
      <c r="P340" s="2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094667-3AA6-46CF-927C-71993E1C8B00}">
  <sheetPr codeName="Sheet5"/>
  <dimension ref="A1:BD835"/>
  <sheetViews>
    <sheetView zoomScaleNormal="100" workbookViewId="0">
      <selection activeCell="F835" sqref="F835:H835"/>
    </sheetView>
  </sheetViews>
  <sheetFormatPr defaultRowHeight="15"/>
  <cols>
    <col min="1" max="1" width="18" bestFit="1" customWidth="1"/>
    <col min="6" max="6" width="20.140625" bestFit="1" customWidth="1"/>
    <col min="26" max="26" width="18" bestFit="1" customWidth="1"/>
    <col min="46" max="46" width="9.5703125" bestFit="1" customWidth="1"/>
  </cols>
  <sheetData>
    <row r="1" spans="1:55">
      <c r="A1" t="s">
        <v>133</v>
      </c>
      <c r="V1" s="1" t="s">
        <v>0</v>
      </c>
      <c r="W1" s="1" t="s">
        <v>3</v>
      </c>
      <c r="X1" s="1" t="s">
        <v>4</v>
      </c>
    </row>
    <row r="2" spans="1:55" ht="15.75" thickBot="1">
      <c r="V2">
        <v>63</v>
      </c>
      <c r="W2">
        <v>145</v>
      </c>
      <c r="X2">
        <v>233</v>
      </c>
      <c r="Z2" t="s">
        <v>133</v>
      </c>
      <c r="AR2" s="143" t="s">
        <v>168</v>
      </c>
      <c r="AS2" s="144"/>
      <c r="AT2" s="144"/>
      <c r="AU2" s="144"/>
      <c r="AV2" s="144"/>
      <c r="AW2" s="144"/>
      <c r="AX2" s="144"/>
      <c r="AY2" s="144"/>
      <c r="AZ2" s="144"/>
      <c r="BA2" s="144"/>
      <c r="BB2" s="144"/>
      <c r="BC2" s="56"/>
    </row>
    <row r="3" spans="1:55" ht="15.75" thickBot="1">
      <c r="A3" s="52" t="s">
        <v>134</v>
      </c>
      <c r="B3" s="52"/>
      <c r="V3">
        <v>37</v>
      </c>
      <c r="W3">
        <v>130</v>
      </c>
      <c r="X3">
        <v>250</v>
      </c>
      <c r="AR3" s="144"/>
      <c r="AS3" s="144"/>
      <c r="AT3" s="144"/>
      <c r="AU3" s="144"/>
      <c r="AV3" s="144"/>
      <c r="AW3" s="144"/>
      <c r="AX3" s="144"/>
      <c r="AY3" s="144"/>
      <c r="AZ3" s="144"/>
      <c r="BA3" s="144"/>
      <c r="BB3" s="144"/>
      <c r="BC3" s="56"/>
    </row>
    <row r="4" spans="1:55">
      <c r="A4" t="s">
        <v>135</v>
      </c>
      <c r="B4">
        <v>0.21367795655956348</v>
      </c>
      <c r="V4">
        <v>41</v>
      </c>
      <c r="W4">
        <v>130</v>
      </c>
      <c r="X4">
        <v>204</v>
      </c>
      <c r="Z4" s="52" t="s">
        <v>134</v>
      </c>
      <c r="AA4" s="52"/>
      <c r="AR4" t="s">
        <v>595</v>
      </c>
    </row>
    <row r="5" spans="1:55">
      <c r="A5" t="s">
        <v>136</v>
      </c>
      <c r="B5">
        <v>4.5658269119470699E-2</v>
      </c>
      <c r="V5">
        <v>56</v>
      </c>
      <c r="W5">
        <v>120</v>
      </c>
      <c r="X5">
        <v>236</v>
      </c>
      <c r="Z5" t="s">
        <v>135</v>
      </c>
      <c r="AA5">
        <v>0.22367272159463325</v>
      </c>
      <c r="AR5" t="s">
        <v>552</v>
      </c>
    </row>
    <row r="6" spans="1:55">
      <c r="A6" t="s">
        <v>137</v>
      </c>
      <c r="B6">
        <v>4.2487698584983892E-2</v>
      </c>
      <c r="V6">
        <v>57</v>
      </c>
      <c r="W6">
        <v>120</v>
      </c>
      <c r="X6">
        <v>354</v>
      </c>
      <c r="Z6" t="s">
        <v>136</v>
      </c>
      <c r="AA6">
        <v>5.0029486385550312E-2</v>
      </c>
      <c r="AR6" t="s">
        <v>553</v>
      </c>
    </row>
    <row r="7" spans="1:55">
      <c r="A7" t="s">
        <v>62</v>
      </c>
      <c r="B7">
        <v>50.717715426015637</v>
      </c>
      <c r="V7">
        <v>57</v>
      </c>
      <c r="W7">
        <v>140</v>
      </c>
      <c r="X7">
        <v>192</v>
      </c>
      <c r="Z7" t="s">
        <v>137</v>
      </c>
      <c r="AA7">
        <v>4.3696349628120648E-2</v>
      </c>
      <c r="AR7" t="s">
        <v>176</v>
      </c>
    </row>
    <row r="8" spans="1:55" ht="15.75" thickBot="1">
      <c r="A8" s="26" t="s">
        <v>86</v>
      </c>
      <c r="B8" s="26">
        <v>303</v>
      </c>
      <c r="V8">
        <v>56</v>
      </c>
      <c r="W8">
        <v>140</v>
      </c>
      <c r="X8">
        <v>294</v>
      </c>
      <c r="Z8" t="s">
        <v>62</v>
      </c>
      <c r="AA8">
        <v>50.685695275324541</v>
      </c>
      <c r="AR8" t="s">
        <v>554</v>
      </c>
    </row>
    <row r="9" spans="1:55" ht="38.1" customHeight="1" thickBot="1">
      <c r="V9">
        <v>44</v>
      </c>
      <c r="W9">
        <v>120</v>
      </c>
      <c r="X9">
        <v>263</v>
      </c>
      <c r="Z9" s="26" t="s">
        <v>86</v>
      </c>
      <c r="AA9" s="26">
        <v>303</v>
      </c>
    </row>
    <row r="10" spans="1:55" ht="15.75" thickBot="1">
      <c r="A10" t="s">
        <v>108</v>
      </c>
      <c r="V10">
        <v>52</v>
      </c>
      <c r="W10">
        <v>172</v>
      </c>
      <c r="X10">
        <v>199</v>
      </c>
      <c r="AR10" s="105"/>
    </row>
    <row r="11" spans="1:55" ht="15.75" thickBot="1">
      <c r="A11" s="27"/>
      <c r="B11" s="27" t="s">
        <v>88</v>
      </c>
      <c r="C11" s="27" t="s">
        <v>110</v>
      </c>
      <c r="D11" s="27" t="s">
        <v>111</v>
      </c>
      <c r="E11" s="27" t="s">
        <v>112</v>
      </c>
      <c r="F11" s="27" t="s">
        <v>141</v>
      </c>
      <c r="V11">
        <v>57</v>
      </c>
      <c r="W11">
        <v>150</v>
      </c>
      <c r="X11">
        <v>168</v>
      </c>
      <c r="Z11" t="s">
        <v>108</v>
      </c>
    </row>
    <row r="12" spans="1:55">
      <c r="A12" t="s">
        <v>138</v>
      </c>
      <c r="B12">
        <v>1</v>
      </c>
      <c r="C12">
        <v>37042.593819463509</v>
      </c>
      <c r="D12">
        <v>37042.593819463509</v>
      </c>
      <c r="E12">
        <v>14.400647650900153</v>
      </c>
      <c r="F12">
        <v>1.7862864341446988E-4</v>
      </c>
      <c r="V12">
        <v>54</v>
      </c>
      <c r="W12">
        <v>140</v>
      </c>
      <c r="X12">
        <v>239</v>
      </c>
      <c r="Z12" s="27"/>
      <c r="AA12" s="27" t="s">
        <v>88</v>
      </c>
      <c r="AB12" s="27" t="s">
        <v>110</v>
      </c>
      <c r="AC12" s="27" t="s">
        <v>111</v>
      </c>
      <c r="AD12" s="27" t="s">
        <v>112</v>
      </c>
      <c r="AE12" s="27" t="s">
        <v>141</v>
      </c>
    </row>
    <row r="13" spans="1:55">
      <c r="A13" t="s">
        <v>139</v>
      </c>
      <c r="B13">
        <v>301</v>
      </c>
      <c r="C13">
        <v>774258.28406832553</v>
      </c>
      <c r="D13">
        <v>2572.2866580343043</v>
      </c>
      <c r="V13">
        <v>48</v>
      </c>
      <c r="W13">
        <v>130</v>
      </c>
      <c r="X13">
        <v>275</v>
      </c>
      <c r="Z13" t="s">
        <v>138</v>
      </c>
      <c r="AA13">
        <v>2</v>
      </c>
      <c r="AB13">
        <v>40588.966224872158</v>
      </c>
      <c r="AC13">
        <v>20294.483112436079</v>
      </c>
      <c r="AD13">
        <v>7.8996377785239922</v>
      </c>
      <c r="AE13">
        <v>4.5343892352922577E-4</v>
      </c>
      <c r="AR13" t="s">
        <v>555</v>
      </c>
    </row>
    <row r="14" spans="1:55" ht="15.75" thickBot="1">
      <c r="A14" s="26" t="s">
        <v>17</v>
      </c>
      <c r="B14" s="26">
        <v>302</v>
      </c>
      <c r="C14" s="26">
        <v>811300.87788778904</v>
      </c>
      <c r="D14" s="26"/>
      <c r="E14" s="26"/>
      <c r="F14" s="26"/>
      <c r="V14">
        <v>49</v>
      </c>
      <c r="W14">
        <v>130</v>
      </c>
      <c r="X14">
        <v>266</v>
      </c>
      <c r="Z14" t="s">
        <v>139</v>
      </c>
      <c r="AA14">
        <v>300</v>
      </c>
      <c r="AB14">
        <v>770711.91166291689</v>
      </c>
      <c r="AC14">
        <v>2569.0397055430562</v>
      </c>
    </row>
    <row r="15" spans="1:55" ht="31.5" customHeight="1" thickBot="1">
      <c r="V15">
        <v>64</v>
      </c>
      <c r="W15">
        <v>110</v>
      </c>
      <c r="X15">
        <v>211</v>
      </c>
      <c r="Z15" s="26" t="s">
        <v>17</v>
      </c>
      <c r="AA15" s="26">
        <v>302</v>
      </c>
      <c r="AB15" s="26">
        <v>811300.87788778904</v>
      </c>
      <c r="AC15" s="26"/>
      <c r="AD15" s="26"/>
      <c r="AE15" s="26"/>
      <c r="AR15" s="58" t="s">
        <v>180</v>
      </c>
      <c r="AS15" s="59" t="s">
        <v>86</v>
      </c>
      <c r="AT15" s="59" t="s">
        <v>181</v>
      </c>
      <c r="AU15" s="59" t="s">
        <v>182</v>
      </c>
      <c r="AV15" s="59" t="s">
        <v>70</v>
      </c>
      <c r="AW15" s="59" t="s">
        <v>71</v>
      </c>
      <c r="AX15" s="59" t="s">
        <v>61</v>
      </c>
      <c r="AY15" s="59" t="s">
        <v>183</v>
      </c>
    </row>
    <row r="16" spans="1:55" ht="15.75" thickBot="1">
      <c r="A16" s="27"/>
      <c r="B16" s="27" t="s">
        <v>142</v>
      </c>
      <c r="C16" s="27" t="s">
        <v>62</v>
      </c>
      <c r="D16" s="27" t="s">
        <v>89</v>
      </c>
      <c r="E16" s="27" t="s">
        <v>113</v>
      </c>
      <c r="F16" s="27" t="s">
        <v>143</v>
      </c>
      <c r="G16" s="27" t="s">
        <v>144</v>
      </c>
      <c r="H16" s="27" t="s">
        <v>145</v>
      </c>
      <c r="I16" s="27" t="s">
        <v>146</v>
      </c>
      <c r="V16">
        <v>58</v>
      </c>
      <c r="W16">
        <v>150</v>
      </c>
      <c r="X16">
        <v>283</v>
      </c>
      <c r="AR16" s="106" t="s">
        <v>0</v>
      </c>
      <c r="AS16" s="68">
        <v>303</v>
      </c>
      <c r="AT16" s="68">
        <v>0</v>
      </c>
      <c r="AU16" s="68">
        <v>303</v>
      </c>
      <c r="AV16" s="74">
        <v>29</v>
      </c>
      <c r="AW16" s="74">
        <v>77</v>
      </c>
      <c r="AX16" s="74">
        <v>54.36633663366333</v>
      </c>
      <c r="AY16" s="74">
        <v>9.0821009898378602</v>
      </c>
    </row>
    <row r="17" spans="1:51" ht="15.75" thickBot="1">
      <c r="A17" t="s">
        <v>140</v>
      </c>
      <c r="B17">
        <v>179.96747065912444</v>
      </c>
      <c r="C17">
        <v>17.711583858760786</v>
      </c>
      <c r="D17">
        <v>10.161003786801713</v>
      </c>
      <c r="E17">
        <v>4.7717142062870311E-21</v>
      </c>
      <c r="F17">
        <v>145.11326045157048</v>
      </c>
      <c r="G17">
        <v>214.82168086667841</v>
      </c>
      <c r="H17">
        <v>145.11326045157048</v>
      </c>
      <c r="I17">
        <v>214.82168086667841</v>
      </c>
      <c r="V17">
        <v>50</v>
      </c>
      <c r="W17">
        <v>120</v>
      </c>
      <c r="X17">
        <v>219</v>
      </c>
      <c r="Z17" s="27"/>
      <c r="AA17" s="27" t="s">
        <v>142</v>
      </c>
      <c r="AB17" s="27" t="s">
        <v>62</v>
      </c>
      <c r="AC17" s="27" t="s">
        <v>89</v>
      </c>
      <c r="AD17" s="27" t="s">
        <v>113</v>
      </c>
      <c r="AE17" s="27" t="s">
        <v>143</v>
      </c>
      <c r="AF17" s="27" t="s">
        <v>144</v>
      </c>
      <c r="AG17" s="27" t="s">
        <v>145</v>
      </c>
      <c r="AH17" s="27" t="s">
        <v>146</v>
      </c>
      <c r="AR17" s="61" t="s">
        <v>4</v>
      </c>
      <c r="AS17" s="64">
        <v>303</v>
      </c>
      <c r="AT17" s="64">
        <v>0</v>
      </c>
      <c r="AU17" s="64">
        <v>303</v>
      </c>
      <c r="AV17" s="67">
        <v>126</v>
      </c>
      <c r="AW17" s="67">
        <v>564</v>
      </c>
      <c r="AX17" s="67">
        <v>246.26402640264035</v>
      </c>
      <c r="AY17" s="67">
        <v>51.830750987930053</v>
      </c>
    </row>
    <row r="18" spans="1:51" ht="15.75" thickBot="1">
      <c r="A18" s="26" t="s">
        <v>0</v>
      </c>
      <c r="B18" s="26">
        <v>1.219441291221107</v>
      </c>
      <c r="C18" s="26">
        <v>0.32134376983455715</v>
      </c>
      <c r="D18" s="26">
        <v>3.7948185267414165</v>
      </c>
      <c r="E18" s="26">
        <v>1.7862864341449314E-4</v>
      </c>
      <c r="F18" s="26">
        <v>0.58707642808880856</v>
      </c>
      <c r="G18" s="26">
        <v>1.8518061543534055</v>
      </c>
      <c r="H18" s="26">
        <v>0.58707642808880856</v>
      </c>
      <c r="I18" s="26">
        <v>1.8518061543534055</v>
      </c>
      <c r="V18">
        <v>58</v>
      </c>
      <c r="W18">
        <v>120</v>
      </c>
      <c r="X18">
        <v>340</v>
      </c>
      <c r="Z18" t="s">
        <v>140</v>
      </c>
      <c r="AA18">
        <v>159.15098485684513</v>
      </c>
      <c r="AB18">
        <v>25.044189863774001</v>
      </c>
      <c r="AC18">
        <v>6.3548066726268653</v>
      </c>
      <c r="AD18">
        <v>7.7392992170120973E-10</v>
      </c>
      <c r="AE18">
        <v>109.86644820932989</v>
      </c>
      <c r="AF18">
        <v>208.43552150436037</v>
      </c>
      <c r="AG18">
        <v>109.86644820932989</v>
      </c>
      <c r="AH18">
        <v>208.43552150436037</v>
      </c>
    </row>
    <row r="19" spans="1:51">
      <c r="V19">
        <v>66</v>
      </c>
      <c r="W19">
        <v>150</v>
      </c>
      <c r="X19">
        <v>226</v>
      </c>
      <c r="Z19" t="s">
        <v>0</v>
      </c>
      <c r="AA19">
        <v>1.1096682507421183</v>
      </c>
      <c r="AB19">
        <v>0.33445588882585708</v>
      </c>
      <c r="AC19">
        <v>3.3178314026334728</v>
      </c>
      <c r="AD19">
        <v>1.0188989834501671E-3</v>
      </c>
      <c r="AE19">
        <v>0.45149149998771088</v>
      </c>
      <c r="AF19">
        <v>1.7678450014965257</v>
      </c>
      <c r="AG19">
        <v>0.45149149998771088</v>
      </c>
      <c r="AH19">
        <v>1.7678450014965257</v>
      </c>
    </row>
    <row r="20" spans="1:51" ht="15.75" thickBot="1">
      <c r="V20">
        <v>43</v>
      </c>
      <c r="W20">
        <v>150</v>
      </c>
      <c r="X20">
        <v>247</v>
      </c>
      <c r="Z20" s="26" t="s">
        <v>3</v>
      </c>
      <c r="AA20" s="26">
        <v>0.20349246511962821</v>
      </c>
      <c r="AB20" s="26">
        <v>0.17319748112789274</v>
      </c>
      <c r="AC20" s="26">
        <v>1.174915846318602</v>
      </c>
      <c r="AD20" s="26">
        <v>0.24096008346165809</v>
      </c>
      <c r="AE20" s="26">
        <v>-0.13734337953478715</v>
      </c>
      <c r="AF20" s="26">
        <v>0.54432830977404356</v>
      </c>
      <c r="AG20" s="26">
        <v>-0.13734337953478715</v>
      </c>
      <c r="AH20" s="26">
        <v>0.54432830977404356</v>
      </c>
      <c r="AR20" s="1" t="s">
        <v>192</v>
      </c>
    </row>
    <row r="21" spans="1:51" ht="15.75" thickBot="1">
      <c r="V21">
        <v>69</v>
      </c>
      <c r="W21">
        <v>140</v>
      </c>
      <c r="X21">
        <v>239</v>
      </c>
    </row>
    <row r="22" spans="1:51">
      <c r="A22" t="s">
        <v>147</v>
      </c>
      <c r="F22" t="s">
        <v>152</v>
      </c>
      <c r="V22">
        <v>59</v>
      </c>
      <c r="W22">
        <v>135</v>
      </c>
      <c r="X22">
        <v>234</v>
      </c>
      <c r="AR22" s="58"/>
      <c r="AS22" s="59" t="s">
        <v>4</v>
      </c>
      <c r="AT22" s="76" t="s">
        <v>0</v>
      </c>
    </row>
    <row r="23" spans="1:51" ht="15.75" thickBot="1">
      <c r="V23">
        <v>44</v>
      </c>
      <c r="W23">
        <v>130</v>
      </c>
      <c r="X23">
        <v>233</v>
      </c>
      <c r="AR23" s="60" t="s">
        <v>4</v>
      </c>
      <c r="AS23" s="81">
        <v>1</v>
      </c>
      <c r="AT23" s="78">
        <v>0.21367795655956198</v>
      </c>
    </row>
    <row r="24" spans="1:51" ht="15.75" thickBot="1">
      <c r="A24" s="27" t="s">
        <v>148</v>
      </c>
      <c r="B24" s="27" t="s">
        <v>149</v>
      </c>
      <c r="C24" s="27" t="s">
        <v>150</v>
      </c>
      <c r="D24" s="27" t="s">
        <v>151</v>
      </c>
      <c r="F24" s="27" t="s">
        <v>153</v>
      </c>
      <c r="G24" s="27" t="s">
        <v>4</v>
      </c>
      <c r="V24">
        <v>42</v>
      </c>
      <c r="W24">
        <v>140</v>
      </c>
      <c r="X24">
        <v>226</v>
      </c>
      <c r="Z24" t="s">
        <v>147</v>
      </c>
      <c r="AE24" t="s">
        <v>152</v>
      </c>
      <c r="AR24" s="77" t="s">
        <v>0</v>
      </c>
      <c r="AS24" s="80">
        <v>0.21367795655956198</v>
      </c>
      <c r="AT24" s="82">
        <v>1</v>
      </c>
    </row>
    <row r="25" spans="1:51" ht="15.75" thickBot="1">
      <c r="A25">
        <v>1</v>
      </c>
      <c r="B25">
        <v>256.79227200605419</v>
      </c>
      <c r="C25">
        <v>-23.792272006054191</v>
      </c>
      <c r="D25">
        <v>-0.46989027564017605</v>
      </c>
      <c r="F25">
        <v>0.16501650165016502</v>
      </c>
      <c r="G25">
        <v>126</v>
      </c>
      <c r="V25">
        <v>61</v>
      </c>
      <c r="W25">
        <v>150</v>
      </c>
      <c r="X25">
        <v>243</v>
      </c>
    </row>
    <row r="26" spans="1:51">
      <c r="A26">
        <v>2</v>
      </c>
      <c r="B26">
        <v>225.08679843430539</v>
      </c>
      <c r="C26">
        <v>24.913201565694607</v>
      </c>
      <c r="D26">
        <v>0.49202830010537335</v>
      </c>
      <c r="F26">
        <v>0.49504950495049505</v>
      </c>
      <c r="G26">
        <v>131</v>
      </c>
      <c r="V26">
        <v>40</v>
      </c>
      <c r="W26">
        <v>140</v>
      </c>
      <c r="X26">
        <v>199</v>
      </c>
      <c r="Z26" s="27" t="s">
        <v>148</v>
      </c>
      <c r="AA26" s="27" t="s">
        <v>149</v>
      </c>
      <c r="AB26" s="27" t="s">
        <v>150</v>
      </c>
      <c r="AC26" s="27" t="s">
        <v>151</v>
      </c>
      <c r="AE26" s="27" t="s">
        <v>153</v>
      </c>
      <c r="AF26" s="27" t="s">
        <v>4</v>
      </c>
    </row>
    <row r="27" spans="1:51">
      <c r="A27">
        <v>3</v>
      </c>
      <c r="B27">
        <v>229.96456359918983</v>
      </c>
      <c r="C27">
        <v>-25.96456359918983</v>
      </c>
      <c r="D27">
        <v>-0.51279238667898752</v>
      </c>
      <c r="F27">
        <v>0.82508250825082508</v>
      </c>
      <c r="G27">
        <v>141</v>
      </c>
      <c r="V27">
        <v>71</v>
      </c>
      <c r="W27">
        <v>160</v>
      </c>
      <c r="X27">
        <v>302</v>
      </c>
      <c r="Z27">
        <v>1</v>
      </c>
      <c r="AA27">
        <v>258.56649209594468</v>
      </c>
      <c r="AB27">
        <v>-25.566492095944682</v>
      </c>
      <c r="AC27">
        <v>-0.50609095983290808</v>
      </c>
      <c r="AE27">
        <v>0.16501650165016502</v>
      </c>
      <c r="AF27">
        <v>126</v>
      </c>
      <c r="AR27" s="1" t="s">
        <v>556</v>
      </c>
    </row>
    <row r="28" spans="1:51">
      <c r="A28">
        <v>4</v>
      </c>
      <c r="B28">
        <v>248.25618296750645</v>
      </c>
      <c r="C28">
        <v>-12.256182967506447</v>
      </c>
      <c r="D28">
        <v>-0.2420559579779763</v>
      </c>
      <c r="F28">
        <v>1.1551155115511551</v>
      </c>
      <c r="G28">
        <v>149</v>
      </c>
      <c r="V28">
        <v>59</v>
      </c>
      <c r="W28">
        <v>150</v>
      </c>
      <c r="X28">
        <v>212</v>
      </c>
      <c r="Z28">
        <v>2</v>
      </c>
      <c r="AA28">
        <v>226.66273059985517</v>
      </c>
      <c r="AB28">
        <v>23.337269400144834</v>
      </c>
      <c r="AC28">
        <v>0.46196330049017015</v>
      </c>
      <c r="AE28">
        <v>0.49504950495049505</v>
      </c>
      <c r="AF28">
        <v>131</v>
      </c>
    </row>
    <row r="29" spans="1:51">
      <c r="A29">
        <v>5</v>
      </c>
      <c r="B29">
        <v>249.47562425872755</v>
      </c>
      <c r="C29">
        <v>104.52437574127245</v>
      </c>
      <c r="D29">
        <v>2.0643252445872351</v>
      </c>
      <c r="F29">
        <v>1.4851485148514851</v>
      </c>
      <c r="G29">
        <v>149</v>
      </c>
      <c r="V29">
        <v>51</v>
      </c>
      <c r="W29">
        <v>110</v>
      </c>
      <c r="X29">
        <v>175</v>
      </c>
      <c r="Z29">
        <v>3</v>
      </c>
      <c r="AA29">
        <v>231.10140360282367</v>
      </c>
      <c r="AB29">
        <v>-27.101403602823666</v>
      </c>
      <c r="AC29">
        <v>-0.53647466812029476</v>
      </c>
      <c r="AE29">
        <v>0.82508250825082508</v>
      </c>
      <c r="AF29">
        <v>141</v>
      </c>
      <c r="AR29" t="s">
        <v>557</v>
      </c>
    </row>
    <row r="30" spans="1:51" ht="15.75" thickBot="1">
      <c r="A30">
        <v>6</v>
      </c>
      <c r="B30">
        <v>249.47562425872755</v>
      </c>
      <c r="C30">
        <v>-57.475624258727549</v>
      </c>
      <c r="D30">
        <v>-1.1351264359558602</v>
      </c>
      <c r="F30">
        <v>1.8151815181518152</v>
      </c>
      <c r="G30">
        <v>157</v>
      </c>
      <c r="V30">
        <v>65</v>
      </c>
      <c r="W30">
        <v>140</v>
      </c>
      <c r="X30">
        <v>417</v>
      </c>
      <c r="Z30">
        <v>4</v>
      </c>
      <c r="AA30">
        <v>245.71150271275914</v>
      </c>
      <c r="AB30">
        <v>-9.7115027127591418</v>
      </c>
      <c r="AC30">
        <v>-0.19224005040956554</v>
      </c>
      <c r="AE30">
        <v>1.1551155115511551</v>
      </c>
      <c r="AF30">
        <v>149</v>
      </c>
    </row>
    <row r="31" spans="1:51">
      <c r="A31">
        <v>7</v>
      </c>
      <c r="B31">
        <v>248.25618296750645</v>
      </c>
      <c r="C31">
        <v>45.743817032493553</v>
      </c>
      <c r="D31">
        <v>0.90342674246337873</v>
      </c>
      <c r="F31">
        <v>2.1452145214521452</v>
      </c>
      <c r="G31">
        <v>160</v>
      </c>
      <c r="V31">
        <v>53</v>
      </c>
      <c r="W31">
        <v>130</v>
      </c>
      <c r="X31">
        <v>197</v>
      </c>
      <c r="Z31">
        <v>5</v>
      </c>
      <c r="AA31">
        <v>246.82117096350126</v>
      </c>
      <c r="AB31">
        <v>107.17882903649874</v>
      </c>
      <c r="AC31">
        <v>2.1216143480807297</v>
      </c>
      <c r="AE31">
        <v>1.4851485148514851</v>
      </c>
      <c r="AF31">
        <v>149</v>
      </c>
      <c r="AR31" s="107" t="s">
        <v>86</v>
      </c>
      <c r="AS31" s="108">
        <v>303</v>
      </c>
    </row>
    <row r="32" spans="1:51">
      <c r="A32">
        <v>8</v>
      </c>
      <c r="B32">
        <v>233.62288747285317</v>
      </c>
      <c r="C32">
        <v>29.377112527146835</v>
      </c>
      <c r="D32">
        <v>0.58018921015113301</v>
      </c>
      <c r="F32">
        <v>2.4752475247524752</v>
      </c>
      <c r="G32">
        <v>164</v>
      </c>
      <c r="V32">
        <v>41</v>
      </c>
      <c r="W32">
        <v>105</v>
      </c>
      <c r="X32">
        <v>198</v>
      </c>
      <c r="Z32">
        <v>6</v>
      </c>
      <c r="AA32">
        <v>250.89102026589381</v>
      </c>
      <c r="AB32">
        <v>-58.891020265893815</v>
      </c>
      <c r="AC32">
        <v>-1.1657529261369783</v>
      </c>
      <c r="AE32">
        <v>1.8151815181518152</v>
      </c>
      <c r="AF32">
        <v>157</v>
      </c>
      <c r="AR32" s="57" t="s">
        <v>201</v>
      </c>
      <c r="AS32" s="63">
        <v>303</v>
      </c>
    </row>
    <row r="33" spans="1:45">
      <c r="A33">
        <v>9</v>
      </c>
      <c r="B33">
        <v>243.37841780262201</v>
      </c>
      <c r="C33">
        <v>-44.37841780262201</v>
      </c>
      <c r="D33">
        <v>-0.87646051492865806</v>
      </c>
      <c r="F33">
        <v>2.8052805280528053</v>
      </c>
      <c r="G33">
        <v>166</v>
      </c>
      <c r="V33">
        <v>65</v>
      </c>
      <c r="W33">
        <v>120</v>
      </c>
      <c r="X33">
        <v>177</v>
      </c>
      <c r="Z33">
        <v>7</v>
      </c>
      <c r="AA33">
        <v>249.7813520151517</v>
      </c>
      <c r="AB33">
        <v>44.218647984848303</v>
      </c>
      <c r="AC33">
        <v>0.87531202627188076</v>
      </c>
      <c r="AE33">
        <v>2.1452145214521452</v>
      </c>
      <c r="AF33">
        <v>160</v>
      </c>
      <c r="AR33" s="57" t="s">
        <v>202</v>
      </c>
      <c r="AS33" s="63">
        <v>301</v>
      </c>
    </row>
    <row r="34" spans="1:45">
      <c r="A34">
        <v>10</v>
      </c>
      <c r="B34">
        <v>249.47562425872755</v>
      </c>
      <c r="C34">
        <v>-81.475624258727549</v>
      </c>
      <c r="D34">
        <v>-1.6091192775178003</v>
      </c>
      <c r="F34">
        <v>3.1353135313531353</v>
      </c>
      <c r="G34">
        <v>167</v>
      </c>
      <c r="V34">
        <v>44</v>
      </c>
      <c r="W34">
        <v>130</v>
      </c>
      <c r="X34">
        <v>219</v>
      </c>
      <c r="Z34">
        <v>8</v>
      </c>
      <c r="AA34">
        <v>232.39548370385373</v>
      </c>
      <c r="AB34">
        <v>30.604516296146272</v>
      </c>
      <c r="AC34">
        <v>0.60581909201361783</v>
      </c>
      <c r="AE34">
        <v>2.4752475247524752</v>
      </c>
      <c r="AF34">
        <v>164</v>
      </c>
      <c r="AR34" s="57" t="s">
        <v>558</v>
      </c>
      <c r="AS34" s="66">
        <v>4.5658269119470019E-2</v>
      </c>
    </row>
    <row r="35" spans="1:45">
      <c r="A35">
        <v>11</v>
      </c>
      <c r="B35">
        <v>245.81730038506424</v>
      </c>
      <c r="C35">
        <v>-6.8173003850642431</v>
      </c>
      <c r="D35">
        <v>-0.1346396492207462</v>
      </c>
      <c r="F35">
        <v>3.4653465346534653</v>
      </c>
      <c r="G35">
        <v>168</v>
      </c>
      <c r="V35">
        <v>54</v>
      </c>
      <c r="W35">
        <v>125</v>
      </c>
      <c r="X35">
        <v>273</v>
      </c>
      <c r="Z35">
        <v>9</v>
      </c>
      <c r="AA35">
        <v>251.85443789601135</v>
      </c>
      <c r="AB35">
        <v>-52.854437896011348</v>
      </c>
      <c r="AC35">
        <v>-1.0462582471556245</v>
      </c>
      <c r="AE35">
        <v>2.8052805280528053</v>
      </c>
      <c r="AF35">
        <v>166</v>
      </c>
      <c r="AR35" s="57" t="s">
        <v>559</v>
      </c>
      <c r="AS35" s="66">
        <v>4.2487698584983205E-2</v>
      </c>
    </row>
    <row r="36" spans="1:45">
      <c r="A36">
        <v>12</v>
      </c>
      <c r="B36">
        <v>238.50065263773757</v>
      </c>
      <c r="C36">
        <v>36.499347362262426</v>
      </c>
      <c r="D36">
        <v>0.72085122380812783</v>
      </c>
      <c r="F36">
        <v>3.7953795379537953</v>
      </c>
      <c r="G36">
        <v>169</v>
      </c>
      <c r="V36">
        <v>51</v>
      </c>
      <c r="W36">
        <v>125</v>
      </c>
      <c r="X36">
        <v>213</v>
      </c>
      <c r="Z36">
        <v>10</v>
      </c>
      <c r="AA36">
        <v>252.92594491709011</v>
      </c>
      <c r="AB36">
        <v>-84.925944917090106</v>
      </c>
      <c r="AC36">
        <v>-1.681116549603779</v>
      </c>
      <c r="AE36">
        <v>3.1353135313531353</v>
      </c>
      <c r="AF36">
        <v>167</v>
      </c>
      <c r="AR36" s="57" t="s">
        <v>560</v>
      </c>
      <c r="AS36" s="66">
        <v>78.979979334840465</v>
      </c>
    </row>
    <row r="37" spans="1:45">
      <c r="A37">
        <v>13</v>
      </c>
      <c r="B37">
        <v>239.7200939289587</v>
      </c>
      <c r="C37">
        <v>26.279906071041296</v>
      </c>
      <c r="D37">
        <v>0.51902030644140595</v>
      </c>
      <c r="F37">
        <v>4.1254125412541249</v>
      </c>
      <c r="G37">
        <v>172</v>
      </c>
      <c r="V37">
        <v>46</v>
      </c>
      <c r="W37">
        <v>142</v>
      </c>
      <c r="X37">
        <v>177</v>
      </c>
      <c r="Z37">
        <v>11</v>
      </c>
      <c r="AA37">
        <v>247.56201551366746</v>
      </c>
      <c r="AB37">
        <v>-8.5620155136674612</v>
      </c>
      <c r="AC37">
        <v>-0.16948585019622359</v>
      </c>
      <c r="AE37">
        <v>3.4653465346534653</v>
      </c>
      <c r="AF37">
        <v>168</v>
      </c>
      <c r="AR37" s="57" t="s">
        <v>561</v>
      </c>
      <c r="AS37" s="66">
        <v>8.8870680955442474</v>
      </c>
    </row>
    <row r="38" spans="1:45">
      <c r="A38">
        <v>14</v>
      </c>
      <c r="B38">
        <v>258.01171329727526</v>
      </c>
      <c r="C38">
        <v>-47.011713297275264</v>
      </c>
      <c r="D38">
        <v>-0.92846731551961426</v>
      </c>
      <c r="F38">
        <v>4.4554455445544559</v>
      </c>
      <c r="G38">
        <v>174</v>
      </c>
      <c r="V38">
        <v>54</v>
      </c>
      <c r="W38">
        <v>135</v>
      </c>
      <c r="X38">
        <v>304</v>
      </c>
      <c r="Z38">
        <v>12</v>
      </c>
      <c r="AA38">
        <v>238.86908135801849</v>
      </c>
      <c r="AB38">
        <v>36.130918641981509</v>
      </c>
      <c r="AC38">
        <v>0.71521471254421942</v>
      </c>
      <c r="AE38">
        <v>3.7953795379537953</v>
      </c>
      <c r="AF38">
        <v>169</v>
      </c>
      <c r="AR38" s="57" t="s">
        <v>562</v>
      </c>
      <c r="AS38" s="66">
        <v>14.265554399116072</v>
      </c>
    </row>
    <row r="39" spans="1:45">
      <c r="A39">
        <v>15</v>
      </c>
      <c r="B39">
        <v>250.69506554994865</v>
      </c>
      <c r="C39">
        <v>32.304934450051348</v>
      </c>
      <c r="D39">
        <v>0.63801281985216862</v>
      </c>
      <c r="F39">
        <v>4.785478547854785</v>
      </c>
      <c r="G39">
        <v>175</v>
      </c>
      <c r="V39">
        <v>54</v>
      </c>
      <c r="W39">
        <v>150</v>
      </c>
      <c r="X39">
        <v>232</v>
      </c>
      <c r="Z39">
        <v>13</v>
      </c>
      <c r="AA39">
        <v>239.97874960876061</v>
      </c>
      <c r="AB39">
        <v>26.021250391239391</v>
      </c>
      <c r="AC39">
        <v>0.51509294028818464</v>
      </c>
      <c r="AE39">
        <v>4.1254125412541249</v>
      </c>
      <c r="AF39">
        <v>172</v>
      </c>
      <c r="AR39" s="57" t="s">
        <v>563</v>
      </c>
      <c r="AS39" s="66">
        <v>1.9342117695424383</v>
      </c>
    </row>
    <row r="40" spans="1:45">
      <c r="A40">
        <v>16</v>
      </c>
      <c r="B40">
        <v>240.93953522017978</v>
      </c>
      <c r="C40">
        <v>-21.939535220179778</v>
      </c>
      <c r="D40">
        <v>-0.43329927673171986</v>
      </c>
      <c r="F40">
        <v>5.1155115511551159</v>
      </c>
      <c r="G40">
        <v>175</v>
      </c>
      <c r="V40">
        <v>65</v>
      </c>
      <c r="W40">
        <v>155</v>
      </c>
      <c r="X40">
        <v>269</v>
      </c>
      <c r="Z40">
        <v>14</v>
      </c>
      <c r="AA40">
        <v>252.55392406749979</v>
      </c>
      <c r="AB40">
        <v>-41.553924067499793</v>
      </c>
      <c r="AC40">
        <v>-0.82256358194249524</v>
      </c>
      <c r="AE40">
        <v>4.4554455445544559</v>
      </c>
      <c r="AF40">
        <v>174</v>
      </c>
      <c r="AR40" s="57" t="s">
        <v>564</v>
      </c>
      <c r="AS40" s="66">
        <v>2</v>
      </c>
    </row>
    <row r="41" spans="1:45">
      <c r="A41">
        <v>17</v>
      </c>
      <c r="B41">
        <v>250.69506554994865</v>
      </c>
      <c r="C41">
        <v>89.304934450051348</v>
      </c>
      <c r="D41">
        <v>1.7637458185617763</v>
      </c>
      <c r="F41">
        <v>5.4455445544554451</v>
      </c>
      <c r="G41">
        <v>175</v>
      </c>
      <c r="V41">
        <v>65</v>
      </c>
      <c r="W41">
        <v>160</v>
      </c>
      <c r="X41">
        <v>360</v>
      </c>
      <c r="Z41">
        <v>15</v>
      </c>
      <c r="AA41">
        <v>254.03561316783222</v>
      </c>
      <c r="AB41">
        <v>28.964386832167776</v>
      </c>
      <c r="AC41">
        <v>0.5733525850106187</v>
      </c>
      <c r="AE41">
        <v>4.785478547854785</v>
      </c>
      <c r="AF41">
        <v>175</v>
      </c>
      <c r="AR41" s="57" t="s">
        <v>207</v>
      </c>
      <c r="AS41" s="66">
        <v>1325.8592715945736</v>
      </c>
    </row>
    <row r="42" spans="1:45">
      <c r="A42">
        <v>18</v>
      </c>
      <c r="B42">
        <v>260.45059587971753</v>
      </c>
      <c r="C42">
        <v>-34.450595879717525</v>
      </c>
      <c r="D42">
        <v>-0.68038899310539058</v>
      </c>
      <c r="F42">
        <v>5.775577557755776</v>
      </c>
      <c r="G42">
        <v>176</v>
      </c>
      <c r="V42">
        <v>51</v>
      </c>
      <c r="W42">
        <v>140</v>
      </c>
      <c r="X42">
        <v>308</v>
      </c>
      <c r="Z42">
        <v>16</v>
      </c>
      <c r="AA42">
        <v>239.05349320830643</v>
      </c>
      <c r="AB42">
        <v>-20.053493208306435</v>
      </c>
      <c r="AC42">
        <v>-0.39696066193626572</v>
      </c>
      <c r="AE42">
        <v>5.1155115511551159</v>
      </c>
      <c r="AF42">
        <v>175</v>
      </c>
      <c r="AR42" s="57" t="s">
        <v>565</v>
      </c>
      <c r="AS42" s="66">
        <v>1325.8992715945735</v>
      </c>
    </row>
    <row r="43" spans="1:45">
      <c r="A43">
        <v>19</v>
      </c>
      <c r="B43">
        <v>232.40344618163203</v>
      </c>
      <c r="C43">
        <v>14.596553818367966</v>
      </c>
      <c r="D43">
        <v>0.28827758422416738</v>
      </c>
      <c r="F43">
        <v>6.1056105610561051</v>
      </c>
      <c r="G43">
        <v>177</v>
      </c>
      <c r="V43">
        <v>48</v>
      </c>
      <c r="W43">
        <v>130</v>
      </c>
      <c r="X43">
        <v>245</v>
      </c>
      <c r="Z43">
        <v>17</v>
      </c>
      <c r="AA43">
        <v>247.93083921424338</v>
      </c>
      <c r="AB43">
        <v>92.069160785756623</v>
      </c>
      <c r="AC43">
        <v>1.8225171360315322</v>
      </c>
      <c r="AE43">
        <v>5.4455445544554451</v>
      </c>
      <c r="AF43">
        <v>175</v>
      </c>
      <c r="AR43" s="57" t="s">
        <v>208</v>
      </c>
      <c r="AS43" s="66">
        <v>1333.2867372055923</v>
      </c>
    </row>
    <row r="44" spans="1:45" ht="15.75" thickBot="1">
      <c r="A44">
        <v>20</v>
      </c>
      <c r="B44">
        <v>264.10891975338086</v>
      </c>
      <c r="C44">
        <v>-25.10891975338086</v>
      </c>
      <c r="D44">
        <v>-0.49589367593565503</v>
      </c>
      <c r="F44">
        <v>6.435643564356436</v>
      </c>
      <c r="G44">
        <v>177</v>
      </c>
      <c r="V44">
        <v>45</v>
      </c>
      <c r="W44">
        <v>104</v>
      </c>
      <c r="X44">
        <v>208</v>
      </c>
      <c r="Z44">
        <v>18</v>
      </c>
      <c r="AA44">
        <v>262.91295917376914</v>
      </c>
      <c r="AB44">
        <v>-36.912959173769138</v>
      </c>
      <c r="AC44">
        <v>-0.73069527365817133</v>
      </c>
      <c r="AE44">
        <v>5.775577557755776</v>
      </c>
      <c r="AF44">
        <v>176</v>
      </c>
      <c r="AR44" s="61" t="s">
        <v>566</v>
      </c>
      <c r="AS44" s="67">
        <v>0.96702401301847718</v>
      </c>
    </row>
    <row r="45" spans="1:45">
      <c r="A45">
        <v>21</v>
      </c>
      <c r="B45">
        <v>251.91450684116975</v>
      </c>
      <c r="C45">
        <v>-17.914506841169754</v>
      </c>
      <c r="D45">
        <v>-0.35380616678445276</v>
      </c>
      <c r="F45">
        <v>6.7656765676567652</v>
      </c>
      <c r="G45">
        <v>177</v>
      </c>
      <c r="V45">
        <v>53</v>
      </c>
      <c r="W45">
        <v>130</v>
      </c>
      <c r="X45">
        <v>264</v>
      </c>
      <c r="Z45">
        <v>19</v>
      </c>
      <c r="AA45">
        <v>237.39058940670046</v>
      </c>
      <c r="AB45">
        <v>9.6094105932995433</v>
      </c>
      <c r="AC45">
        <v>0.19021912792497955</v>
      </c>
      <c r="AE45">
        <v>6.1056105610561051</v>
      </c>
      <c r="AF45">
        <v>177</v>
      </c>
    </row>
    <row r="46" spans="1:45">
      <c r="A46">
        <v>22</v>
      </c>
      <c r="B46">
        <v>233.62288747285317</v>
      </c>
      <c r="C46">
        <v>-0.62288747285316504</v>
      </c>
      <c r="D46">
        <v>-1.2301841801291978E-2</v>
      </c>
      <c r="F46">
        <v>7.0957095709570961</v>
      </c>
      <c r="G46">
        <v>177</v>
      </c>
      <c r="V46">
        <v>39</v>
      </c>
      <c r="W46">
        <v>140</v>
      </c>
      <c r="X46">
        <v>321</v>
      </c>
      <c r="Z46">
        <v>20</v>
      </c>
      <c r="AA46">
        <v>264.20703927479923</v>
      </c>
      <c r="AB46">
        <v>-25.207039274799229</v>
      </c>
      <c r="AC46">
        <v>-0.4989755596213552</v>
      </c>
      <c r="AE46">
        <v>6.435643564356436</v>
      </c>
      <c r="AF46">
        <v>177</v>
      </c>
    </row>
    <row r="47" spans="1:45">
      <c r="A47">
        <v>23</v>
      </c>
      <c r="B47">
        <v>231.18400489041093</v>
      </c>
      <c r="C47">
        <v>-5.1840048904109324</v>
      </c>
      <c r="D47">
        <v>-0.1023825503615363</v>
      </c>
      <c r="F47">
        <v>7.4257425742574252</v>
      </c>
      <c r="G47">
        <v>178</v>
      </c>
      <c r="V47">
        <v>52</v>
      </c>
      <c r="W47">
        <v>120</v>
      </c>
      <c r="X47">
        <v>325</v>
      </c>
      <c r="Z47">
        <v>21</v>
      </c>
      <c r="AA47">
        <v>252.09289444177992</v>
      </c>
      <c r="AB47">
        <v>-18.092894441779919</v>
      </c>
      <c r="AC47">
        <v>-0.35815043690128689</v>
      </c>
      <c r="AE47">
        <v>6.7656765676567652</v>
      </c>
      <c r="AF47">
        <v>177</v>
      </c>
      <c r="AR47" t="s">
        <v>567</v>
      </c>
    </row>
    <row r="48" spans="1:45" ht="15.75" thickBot="1">
      <c r="A48">
        <v>24</v>
      </c>
      <c r="B48">
        <v>254.35338942361199</v>
      </c>
      <c r="C48">
        <v>-11.353389423611986</v>
      </c>
      <c r="D48">
        <v>-0.22422605476071342</v>
      </c>
      <c r="F48">
        <v>7.7557755775577562</v>
      </c>
      <c r="G48">
        <v>180</v>
      </c>
      <c r="V48">
        <v>44</v>
      </c>
      <c r="W48">
        <v>140</v>
      </c>
      <c r="X48">
        <v>235</v>
      </c>
      <c r="Z48">
        <v>22</v>
      </c>
      <c r="AA48">
        <v>234.43040835505002</v>
      </c>
      <c r="AB48">
        <v>-1.4304083550500195</v>
      </c>
      <c r="AC48">
        <v>-2.831505920497799E-2</v>
      </c>
      <c r="AE48">
        <v>7.0957095709570961</v>
      </c>
      <c r="AF48">
        <v>177</v>
      </c>
    </row>
    <row r="49" spans="1:51" ht="30" customHeight="1">
      <c r="A49">
        <v>25</v>
      </c>
      <c r="B49">
        <v>228.74512230796873</v>
      </c>
      <c r="C49">
        <v>-29.745122307968728</v>
      </c>
      <c r="D49">
        <v>-0.58745729355673126</v>
      </c>
      <c r="F49">
        <v>8.0858085808580853</v>
      </c>
      <c r="G49">
        <v>182</v>
      </c>
      <c r="V49">
        <v>47</v>
      </c>
      <c r="W49">
        <v>138</v>
      </c>
      <c r="X49">
        <v>257</v>
      </c>
      <c r="Z49">
        <v>23</v>
      </c>
      <c r="AA49">
        <v>234.24599650476205</v>
      </c>
      <c r="AB49">
        <v>-8.2459965047620472</v>
      </c>
      <c r="AC49">
        <v>-0.16323022611834104</v>
      </c>
      <c r="AE49">
        <v>7.4257425742574252</v>
      </c>
      <c r="AF49">
        <v>178</v>
      </c>
      <c r="AR49" s="58" t="s">
        <v>216</v>
      </c>
      <c r="AS49" s="59" t="s">
        <v>202</v>
      </c>
      <c r="AT49" s="59" t="s">
        <v>568</v>
      </c>
      <c r="AU49" s="59" t="s">
        <v>569</v>
      </c>
      <c r="AV49" s="59" t="s">
        <v>112</v>
      </c>
      <c r="AW49" s="59" t="s">
        <v>570</v>
      </c>
      <c r="AX49" s="59" t="s">
        <v>571</v>
      </c>
    </row>
    <row r="50" spans="1:51">
      <c r="A50">
        <v>26</v>
      </c>
      <c r="B50">
        <v>266.54780233582301</v>
      </c>
      <c r="C50">
        <v>35.452197664176992</v>
      </c>
      <c r="D50">
        <v>0.70017032960245107</v>
      </c>
      <c r="F50">
        <v>8.4158415841584144</v>
      </c>
      <c r="G50">
        <v>183</v>
      </c>
      <c r="V50">
        <v>53</v>
      </c>
      <c r="W50">
        <v>128</v>
      </c>
      <c r="X50">
        <v>216</v>
      </c>
      <c r="Z50">
        <v>24</v>
      </c>
      <c r="AA50">
        <v>257.36461792005855</v>
      </c>
      <c r="AB50">
        <v>-14.364617920058549</v>
      </c>
      <c r="AC50">
        <v>-0.28434887521970792</v>
      </c>
      <c r="AE50">
        <v>7.7557755775577562</v>
      </c>
      <c r="AF50">
        <v>180</v>
      </c>
      <c r="AR50" s="60" t="s">
        <v>572</v>
      </c>
      <c r="AS50" s="65">
        <v>1</v>
      </c>
      <c r="AT50" s="65">
        <v>1137.3628538763987</v>
      </c>
      <c r="AU50" s="65">
        <v>1137.3628538763987</v>
      </c>
      <c r="AV50" s="65">
        <v>14.400647650899973</v>
      </c>
      <c r="AW50" s="109">
        <v>1.7862864341448297E-4</v>
      </c>
      <c r="AX50" s="91" t="s">
        <v>574</v>
      </c>
    </row>
    <row r="51" spans="1:51">
      <c r="A51">
        <v>27</v>
      </c>
      <c r="B51">
        <v>251.91450684116975</v>
      </c>
      <c r="C51">
        <v>-39.914506841169754</v>
      </c>
      <c r="D51">
        <v>-0.78829960488289774</v>
      </c>
      <c r="F51">
        <v>8.7458745874587454</v>
      </c>
      <c r="G51">
        <v>184</v>
      </c>
      <c r="V51">
        <v>53</v>
      </c>
      <c r="W51">
        <v>138</v>
      </c>
      <c r="X51">
        <v>234</v>
      </c>
      <c r="Z51">
        <v>25</v>
      </c>
      <c r="AA51">
        <v>232.02666000327778</v>
      </c>
      <c r="AB51">
        <v>-33.026660003277783</v>
      </c>
      <c r="AC51">
        <v>-0.65376563974473434</v>
      </c>
      <c r="AE51">
        <v>8.0858085808580853</v>
      </c>
      <c r="AF51">
        <v>182</v>
      </c>
      <c r="AR51" s="57" t="s">
        <v>124</v>
      </c>
      <c r="AS51" s="66">
        <v>301</v>
      </c>
      <c r="AT51" s="66">
        <v>23772.973779786982</v>
      </c>
      <c r="AU51" s="66">
        <v>78.979979334840465</v>
      </c>
      <c r="AV51" s="66"/>
      <c r="AW51" s="110"/>
      <c r="AX51" s="92" t="s">
        <v>185</v>
      </c>
    </row>
    <row r="52" spans="1:51" ht="15.75" thickBot="1">
      <c r="A52">
        <v>28</v>
      </c>
      <c r="B52">
        <v>242.15897651140091</v>
      </c>
      <c r="C52">
        <v>-67.158976511400908</v>
      </c>
      <c r="D52">
        <v>-1.3263697547096043</v>
      </c>
      <c r="F52">
        <v>9.0759075907590763</v>
      </c>
      <c r="G52">
        <v>185</v>
      </c>
      <c r="V52">
        <v>51</v>
      </c>
      <c r="W52">
        <v>130</v>
      </c>
      <c r="X52">
        <v>256</v>
      </c>
      <c r="Z52">
        <v>26</v>
      </c>
      <c r="AA52">
        <v>270.49622507867605</v>
      </c>
      <c r="AB52">
        <v>31.503774921323952</v>
      </c>
      <c r="AC52">
        <v>0.62361999559656889</v>
      </c>
      <c r="AE52">
        <v>8.4158415841584144</v>
      </c>
      <c r="AF52">
        <v>183</v>
      </c>
      <c r="AR52" s="61" t="s">
        <v>573</v>
      </c>
      <c r="AS52" s="67">
        <v>302</v>
      </c>
      <c r="AT52" s="67">
        <v>24910.336633663381</v>
      </c>
      <c r="AU52" s="67"/>
      <c r="AV52" s="67"/>
      <c r="AW52" s="111"/>
      <c r="AX52" s="93" t="s">
        <v>185</v>
      </c>
    </row>
    <row r="53" spans="1:51">
      <c r="A53">
        <v>29</v>
      </c>
      <c r="B53">
        <v>259.23115458849639</v>
      </c>
      <c r="C53">
        <v>157.76884541150361</v>
      </c>
      <c r="D53">
        <v>3.1158876394393764</v>
      </c>
      <c r="F53">
        <v>9.4059405940594054</v>
      </c>
      <c r="G53">
        <v>186</v>
      </c>
      <c r="V53">
        <v>66</v>
      </c>
      <c r="W53">
        <v>120</v>
      </c>
      <c r="X53">
        <v>302</v>
      </c>
      <c r="Z53">
        <v>27</v>
      </c>
      <c r="AA53">
        <v>255.14528141857434</v>
      </c>
      <c r="AB53">
        <v>-43.145281418574342</v>
      </c>
      <c r="AC53">
        <v>-0.85406464068063237</v>
      </c>
      <c r="AE53">
        <v>8.7458745874587454</v>
      </c>
      <c r="AF53">
        <v>184</v>
      </c>
      <c r="AR53" s="112" t="s">
        <v>575</v>
      </c>
    </row>
    <row r="54" spans="1:51">
      <c r="A54">
        <v>30</v>
      </c>
      <c r="B54">
        <v>244.59785909384311</v>
      </c>
      <c r="C54">
        <v>-47.597859093843113</v>
      </c>
      <c r="D54">
        <v>-0.94004352017314685</v>
      </c>
      <c r="F54">
        <v>9.7359735973597346</v>
      </c>
      <c r="G54">
        <v>187</v>
      </c>
      <c r="V54">
        <v>62</v>
      </c>
      <c r="W54">
        <v>130</v>
      </c>
      <c r="X54">
        <v>231</v>
      </c>
      <c r="Z54">
        <v>28</v>
      </c>
      <c r="AA54">
        <v>238.12823680785226</v>
      </c>
      <c r="AB54">
        <v>-63.128236807852261</v>
      </c>
      <c r="AC54">
        <v>-1.2496290002848185</v>
      </c>
      <c r="AE54">
        <v>9.0759075907590763</v>
      </c>
      <c r="AF54">
        <v>185</v>
      </c>
      <c r="AR54" s="112" t="s">
        <v>576</v>
      </c>
    </row>
    <row r="55" spans="1:51">
      <c r="A55">
        <v>31</v>
      </c>
      <c r="B55">
        <v>229.96456359918983</v>
      </c>
      <c r="C55">
        <v>-31.96456359918983</v>
      </c>
      <c r="D55">
        <v>-0.63129059706947255</v>
      </c>
      <c r="F55">
        <v>10.066006600660065</v>
      </c>
      <c r="G55">
        <v>188</v>
      </c>
      <c r="V55">
        <v>44</v>
      </c>
      <c r="W55">
        <v>108</v>
      </c>
      <c r="X55">
        <v>141</v>
      </c>
      <c r="Z55">
        <v>29</v>
      </c>
      <c r="AA55">
        <v>259.76836627183076</v>
      </c>
      <c r="AB55">
        <v>157.23163372816924</v>
      </c>
      <c r="AC55">
        <v>3.1124140195286016</v>
      </c>
      <c r="AE55">
        <v>9.4059405940594054</v>
      </c>
      <c r="AF55">
        <v>186</v>
      </c>
    </row>
    <row r="56" spans="1:51">
      <c r="A56">
        <v>32</v>
      </c>
      <c r="B56">
        <v>259.23115458849639</v>
      </c>
      <c r="C56">
        <v>-82.231154588496395</v>
      </c>
      <c r="D56">
        <v>-1.6240407761800237</v>
      </c>
      <c r="F56">
        <v>10.396039603960396</v>
      </c>
      <c r="G56">
        <v>188</v>
      </c>
      <c r="V56">
        <v>63</v>
      </c>
      <c r="W56">
        <v>135</v>
      </c>
      <c r="X56">
        <v>252</v>
      </c>
      <c r="Z56">
        <v>30</v>
      </c>
      <c r="AA56">
        <v>244.41742261172908</v>
      </c>
      <c r="AB56">
        <v>-47.41742261172908</v>
      </c>
      <c r="AC56">
        <v>-0.93863205137082772</v>
      </c>
      <c r="AE56">
        <v>9.7359735973597346</v>
      </c>
      <c r="AF56">
        <v>187</v>
      </c>
    </row>
    <row r="57" spans="1:51">
      <c r="A57">
        <v>33</v>
      </c>
      <c r="B57">
        <v>233.62288747285317</v>
      </c>
      <c r="C57">
        <v>-14.622887472853165</v>
      </c>
      <c r="D57">
        <v>-0.28879766604575702</v>
      </c>
      <c r="F57">
        <v>10.726072607260726</v>
      </c>
      <c r="G57">
        <v>192</v>
      </c>
      <c r="V57">
        <v>52</v>
      </c>
      <c r="W57">
        <v>134</v>
      </c>
      <c r="X57">
        <v>201</v>
      </c>
      <c r="Z57">
        <v>31</v>
      </c>
      <c r="AA57">
        <v>226.01409197483295</v>
      </c>
      <c r="AB57">
        <v>-28.014091974832951</v>
      </c>
      <c r="AC57">
        <v>-0.55454141472303964</v>
      </c>
      <c r="AE57">
        <v>10.066006600660065</v>
      </c>
      <c r="AF57">
        <v>188</v>
      </c>
      <c r="AR57" t="s">
        <v>577</v>
      </c>
    </row>
    <row r="58" spans="1:51" ht="15.75" thickBot="1">
      <c r="A58">
        <v>34</v>
      </c>
      <c r="B58">
        <v>245.81730038506424</v>
      </c>
      <c r="C58">
        <v>27.182699614935757</v>
      </c>
      <c r="D58">
        <v>0.53685020965866881</v>
      </c>
      <c r="F58">
        <v>11.056105610561055</v>
      </c>
      <c r="G58">
        <v>192</v>
      </c>
      <c r="V58">
        <v>48</v>
      </c>
      <c r="W58">
        <v>122</v>
      </c>
      <c r="X58">
        <v>222</v>
      </c>
      <c r="Z58">
        <v>32</v>
      </c>
      <c r="AA58">
        <v>255.6985169694382</v>
      </c>
      <c r="AB58">
        <v>-78.698516969438202</v>
      </c>
      <c r="AC58">
        <v>-1.5578440656239632</v>
      </c>
      <c r="AE58">
        <v>10.396039603960396</v>
      </c>
      <c r="AF58">
        <v>188</v>
      </c>
    </row>
    <row r="59" spans="1:51" ht="30" customHeight="1">
      <c r="A59">
        <v>35</v>
      </c>
      <c r="B59">
        <v>242.15897651140091</v>
      </c>
      <c r="C59">
        <v>-29.158976511400908</v>
      </c>
      <c r="D59">
        <v>-0.57588108890319922</v>
      </c>
      <c r="F59">
        <v>11.386138613861386</v>
      </c>
      <c r="G59">
        <v>193</v>
      </c>
      <c r="V59">
        <v>45</v>
      </c>
      <c r="W59">
        <v>115</v>
      </c>
      <c r="X59">
        <v>260</v>
      </c>
      <c r="Z59">
        <v>33</v>
      </c>
      <c r="AA59">
        <v>234.43040835505002</v>
      </c>
      <c r="AB59">
        <v>-15.43040835505002</v>
      </c>
      <c r="AC59">
        <v>-0.30544629062583328</v>
      </c>
      <c r="AE59">
        <v>10.726072607260726</v>
      </c>
      <c r="AF59">
        <v>192</v>
      </c>
      <c r="AR59" s="58" t="s">
        <v>216</v>
      </c>
      <c r="AS59" s="59" t="s">
        <v>224</v>
      </c>
      <c r="AT59" s="59" t="s">
        <v>225</v>
      </c>
      <c r="AU59" s="59" t="s">
        <v>578</v>
      </c>
      <c r="AV59" s="59" t="s">
        <v>579</v>
      </c>
      <c r="AW59" s="59" t="s">
        <v>580</v>
      </c>
      <c r="AX59" s="59" t="s">
        <v>581</v>
      </c>
      <c r="AY59" s="59" t="s">
        <v>571</v>
      </c>
    </row>
    <row r="60" spans="1:51">
      <c r="A60">
        <v>36</v>
      </c>
      <c r="B60">
        <v>236.06177005529537</v>
      </c>
      <c r="C60">
        <v>-59.061770055295369</v>
      </c>
      <c r="D60">
        <v>-1.1664523423411397</v>
      </c>
      <c r="F60">
        <v>11.716171617161717</v>
      </c>
      <c r="G60">
        <v>193</v>
      </c>
      <c r="V60">
        <v>34</v>
      </c>
      <c r="W60">
        <v>118</v>
      </c>
      <c r="X60">
        <v>182</v>
      </c>
      <c r="Z60">
        <v>34</v>
      </c>
      <c r="AA60">
        <v>244.50962853687304</v>
      </c>
      <c r="AB60">
        <v>28.490371463126962</v>
      </c>
      <c r="AC60">
        <v>0.56396940908671211</v>
      </c>
      <c r="AE60">
        <v>11.056105610561055</v>
      </c>
      <c r="AF60">
        <v>192</v>
      </c>
      <c r="AR60" s="60" t="s">
        <v>140</v>
      </c>
      <c r="AS60" s="65">
        <v>45.145729399118508</v>
      </c>
      <c r="AT60" s="65">
        <v>2.4828478005963395</v>
      </c>
      <c r="AU60" s="65">
        <v>18.183043434347947</v>
      </c>
      <c r="AV60" s="109">
        <v>2.2745439197439966E-50</v>
      </c>
      <c r="AW60" s="65">
        <v>40.259791481570659</v>
      </c>
      <c r="AX60" s="65">
        <v>50.031667316666358</v>
      </c>
      <c r="AY60" s="91" t="s">
        <v>574</v>
      </c>
    </row>
    <row r="61" spans="1:51" ht="15.75" thickBot="1">
      <c r="A61">
        <v>37</v>
      </c>
      <c r="B61">
        <v>245.81730038506424</v>
      </c>
      <c r="C61">
        <v>58.182699614935757</v>
      </c>
      <c r="D61">
        <v>1.1490909633428414</v>
      </c>
      <c r="F61">
        <v>12.046204620462046</v>
      </c>
      <c r="G61">
        <v>195</v>
      </c>
      <c r="V61">
        <v>57</v>
      </c>
      <c r="W61">
        <v>128</v>
      </c>
      <c r="X61">
        <v>303</v>
      </c>
      <c r="Z61">
        <v>35</v>
      </c>
      <c r="AA61">
        <v>241.18062378464668</v>
      </c>
      <c r="AB61">
        <v>-28.180623784646684</v>
      </c>
      <c r="AC61">
        <v>-0.55783792654621278</v>
      </c>
      <c r="AE61">
        <v>11.386138613861386</v>
      </c>
      <c r="AF61">
        <v>193</v>
      </c>
      <c r="AR61" s="61" t="s">
        <v>4</v>
      </c>
      <c r="AS61" s="67">
        <v>3.7441957598261535E-2</v>
      </c>
      <c r="AT61" s="67">
        <v>9.8666002957492182E-3</v>
      </c>
      <c r="AU61" s="67">
        <v>3.7948185267414227</v>
      </c>
      <c r="AV61" s="111">
        <v>1.7862864341444684E-4</v>
      </c>
      <c r="AW61" s="67">
        <v>1.8025706432680109E-2</v>
      </c>
      <c r="AX61" s="67">
        <v>5.6858208763842961E-2</v>
      </c>
      <c r="AY61" s="93" t="s">
        <v>574</v>
      </c>
    </row>
    <row r="62" spans="1:51">
      <c r="A62">
        <v>38</v>
      </c>
      <c r="B62">
        <v>245.81730038506424</v>
      </c>
      <c r="C62">
        <v>-13.817300385064243</v>
      </c>
      <c r="D62">
        <v>-0.2728875613429787</v>
      </c>
      <c r="F62">
        <v>12.376237623762375</v>
      </c>
      <c r="G62">
        <v>196</v>
      </c>
      <c r="V62">
        <v>71</v>
      </c>
      <c r="W62">
        <v>110</v>
      </c>
      <c r="X62">
        <v>265</v>
      </c>
      <c r="Z62">
        <v>36</v>
      </c>
      <c r="AA62">
        <v>239.09165443796979</v>
      </c>
      <c r="AB62">
        <v>-62.091654437969794</v>
      </c>
      <c r="AC62">
        <v>-1.2291097610966273</v>
      </c>
      <c r="AE62">
        <v>11.716171617161717</v>
      </c>
      <c r="AF62">
        <v>193</v>
      </c>
      <c r="AR62" s="112" t="s">
        <v>576</v>
      </c>
    </row>
    <row r="63" spans="1:51">
      <c r="A63">
        <v>39</v>
      </c>
      <c r="B63">
        <v>259.23115458849639</v>
      </c>
      <c r="C63">
        <v>9.7688454115036052</v>
      </c>
      <c r="D63">
        <v>0.19293178314074638</v>
      </c>
      <c r="F63">
        <v>12.706270627062706</v>
      </c>
      <c r="G63">
        <v>196</v>
      </c>
      <c r="V63">
        <v>54</v>
      </c>
      <c r="W63">
        <v>108</v>
      </c>
      <c r="X63">
        <v>309</v>
      </c>
      <c r="Z63">
        <v>37</v>
      </c>
      <c r="AA63">
        <v>246.54455318806933</v>
      </c>
      <c r="AB63">
        <v>57.45544681193067</v>
      </c>
      <c r="AC63">
        <v>1.1373356233447001</v>
      </c>
      <c r="AE63">
        <v>12.046204620462046</v>
      </c>
      <c r="AF63">
        <v>195</v>
      </c>
    </row>
    <row r="64" spans="1:51">
      <c r="A64">
        <v>40</v>
      </c>
      <c r="B64">
        <v>259.23115458849639</v>
      </c>
      <c r="C64">
        <v>100.76884541150361</v>
      </c>
      <c r="D64">
        <v>1.990154640729769</v>
      </c>
      <c r="F64">
        <v>13.036303630363037</v>
      </c>
      <c r="G64">
        <v>197</v>
      </c>
      <c r="V64">
        <v>52</v>
      </c>
      <c r="W64">
        <v>118</v>
      </c>
      <c r="X64">
        <v>186</v>
      </c>
      <c r="Z64">
        <v>38</v>
      </c>
      <c r="AA64">
        <v>249.59694016486375</v>
      </c>
      <c r="AB64">
        <v>-17.596940164863753</v>
      </c>
      <c r="AC64">
        <v>-0.34833297836627142</v>
      </c>
      <c r="AE64">
        <v>12.376237623762375</v>
      </c>
      <c r="AF64">
        <v>196</v>
      </c>
    </row>
    <row r="65" spans="1:56">
      <c r="A65">
        <v>41</v>
      </c>
      <c r="B65">
        <v>242.15897651140091</v>
      </c>
      <c r="C65">
        <v>65.841023488599092</v>
      </c>
      <c r="D65">
        <v>1.3003405756128135</v>
      </c>
      <c r="F65">
        <v>13.366336633663366</v>
      </c>
      <c r="G65">
        <v>197</v>
      </c>
      <c r="V65">
        <v>41</v>
      </c>
      <c r="W65">
        <v>135</v>
      </c>
      <c r="X65">
        <v>203</v>
      </c>
      <c r="Z65">
        <v>39</v>
      </c>
      <c r="AA65">
        <v>262.82075324862518</v>
      </c>
      <c r="AB65">
        <v>6.1792467513748193</v>
      </c>
      <c r="AC65">
        <v>0.1223187329615588</v>
      </c>
      <c r="AE65">
        <v>12.706270627062706</v>
      </c>
      <c r="AF65">
        <v>196</v>
      </c>
      <c r="AR65" t="s">
        <v>582</v>
      </c>
    </row>
    <row r="66" spans="1:56">
      <c r="A66">
        <v>42</v>
      </c>
      <c r="B66">
        <v>238.50065263773757</v>
      </c>
      <c r="C66">
        <v>6.4993473622624265</v>
      </c>
      <c r="D66">
        <v>0.12836017185570281</v>
      </c>
      <c r="F66">
        <v>13.696369636963695</v>
      </c>
      <c r="G66">
        <v>197</v>
      </c>
      <c r="V66">
        <v>58</v>
      </c>
      <c r="W66">
        <v>140</v>
      </c>
      <c r="X66">
        <v>211</v>
      </c>
      <c r="Z66">
        <v>40</v>
      </c>
      <c r="AA66">
        <v>263.83821557422334</v>
      </c>
      <c r="AB66">
        <v>96.161784425776659</v>
      </c>
      <c r="AC66">
        <v>1.9035309809673078</v>
      </c>
      <c r="AE66">
        <v>13.036303630363037</v>
      </c>
      <c r="AF66">
        <v>197</v>
      </c>
    </row>
    <row r="67" spans="1:56">
      <c r="A67">
        <v>43</v>
      </c>
      <c r="B67">
        <v>234.84232876407427</v>
      </c>
      <c r="C67">
        <v>-26.842328764074267</v>
      </c>
      <c r="D67">
        <v>-0.53012798687597329</v>
      </c>
      <c r="F67">
        <v>14.026402640264026</v>
      </c>
      <c r="G67">
        <v>197</v>
      </c>
      <c r="V67">
        <v>35</v>
      </c>
      <c r="W67">
        <v>138</v>
      </c>
      <c r="X67">
        <v>183</v>
      </c>
      <c r="Z67">
        <v>41</v>
      </c>
      <c r="AA67">
        <v>244.23301076144111</v>
      </c>
      <c r="AB67">
        <v>63.766989238558892</v>
      </c>
      <c r="AC67">
        <v>1.2622731608344466</v>
      </c>
      <c r="AE67">
        <v>13.366336633663366</v>
      </c>
      <c r="AF67">
        <v>197</v>
      </c>
      <c r="AR67" t="s">
        <v>583</v>
      </c>
    </row>
    <row r="68" spans="1:56">
      <c r="A68">
        <v>44</v>
      </c>
      <c r="B68">
        <v>244.59785909384311</v>
      </c>
      <c r="C68">
        <v>19.402140906156887</v>
      </c>
      <c r="D68">
        <v>0.38318649585393572</v>
      </c>
      <c r="F68">
        <v>14.356435643564357</v>
      </c>
      <c r="G68">
        <v>197</v>
      </c>
      <c r="V68">
        <v>51</v>
      </c>
      <c r="W68">
        <v>100</v>
      </c>
      <c r="X68">
        <v>222</v>
      </c>
      <c r="Z68">
        <v>42</v>
      </c>
      <c r="AA68">
        <v>238.86908135801849</v>
      </c>
      <c r="AB68">
        <v>6.1309186419815092</v>
      </c>
      <c r="AC68">
        <v>0.12136207378524382</v>
      </c>
      <c r="AE68">
        <v>13.696369636963695</v>
      </c>
      <c r="AF68">
        <v>197</v>
      </c>
    </row>
    <row r="69" spans="1:56">
      <c r="A69">
        <v>45</v>
      </c>
      <c r="B69">
        <v>227.52568101674763</v>
      </c>
      <c r="C69">
        <v>93.474318983252374</v>
      </c>
      <c r="D69">
        <v>1.8460899194974576</v>
      </c>
      <c r="F69">
        <v>14.686468646864686</v>
      </c>
      <c r="G69">
        <v>197</v>
      </c>
      <c r="V69">
        <v>45</v>
      </c>
      <c r="W69">
        <v>130</v>
      </c>
      <c r="X69">
        <v>234</v>
      </c>
      <c r="Z69">
        <v>43</v>
      </c>
      <c r="AA69">
        <v>230.24927251268178</v>
      </c>
      <c r="AB69">
        <v>-22.249272512681785</v>
      </c>
      <c r="AC69">
        <v>-0.44042630640412073</v>
      </c>
      <c r="AE69">
        <v>14.026402640264026</v>
      </c>
      <c r="AF69">
        <v>197</v>
      </c>
    </row>
    <row r="70" spans="1:56">
      <c r="A70">
        <v>46</v>
      </c>
      <c r="B70">
        <v>243.37841780262201</v>
      </c>
      <c r="C70">
        <v>81.62158219737799</v>
      </c>
      <c r="D70">
        <v>1.6120019032715271</v>
      </c>
      <c r="F70">
        <v>15.016501650165015</v>
      </c>
      <c r="G70">
        <v>198</v>
      </c>
      <c r="V70">
        <v>44</v>
      </c>
      <c r="W70">
        <v>120</v>
      </c>
      <c r="X70">
        <v>220</v>
      </c>
      <c r="Z70">
        <v>44</v>
      </c>
      <c r="AA70">
        <v>244.41742261172908</v>
      </c>
      <c r="AB70">
        <v>19.58257738827092</v>
      </c>
      <c r="AC70">
        <v>0.38763884185755115</v>
      </c>
      <c r="AE70">
        <v>14.356435643564357</v>
      </c>
      <c r="AF70">
        <v>197</v>
      </c>
      <c r="AR70" t="s">
        <v>584</v>
      </c>
    </row>
    <row r="71" spans="1:56" ht="15.75" thickBot="1">
      <c r="A71">
        <v>47</v>
      </c>
      <c r="B71">
        <v>233.62288747285317</v>
      </c>
      <c r="C71">
        <v>1.377112527146835</v>
      </c>
      <c r="D71">
        <v>2.7197561662203024E-2</v>
      </c>
      <c r="F71">
        <v>15.346534653465346</v>
      </c>
      <c r="G71">
        <v>198</v>
      </c>
      <c r="V71">
        <v>62</v>
      </c>
      <c r="W71">
        <v>124</v>
      </c>
      <c r="X71">
        <v>209</v>
      </c>
      <c r="Z71">
        <v>45</v>
      </c>
      <c r="AA71">
        <v>230.91699175253567</v>
      </c>
      <c r="AB71">
        <v>90.083008247464335</v>
      </c>
      <c r="AC71">
        <v>1.7832010718367752</v>
      </c>
      <c r="AE71">
        <v>14.686468646864686</v>
      </c>
      <c r="AF71">
        <v>197</v>
      </c>
    </row>
    <row r="72" spans="1:56" ht="30" customHeight="1">
      <c r="A72">
        <v>48</v>
      </c>
      <c r="B72">
        <v>237.28121134651647</v>
      </c>
      <c r="C72">
        <v>19.718788653483529</v>
      </c>
      <c r="D72">
        <v>0.38944019441766664</v>
      </c>
      <c r="F72">
        <v>15.676567656765677</v>
      </c>
      <c r="G72">
        <v>199</v>
      </c>
      <c r="V72">
        <v>54</v>
      </c>
      <c r="W72">
        <v>120</v>
      </c>
      <c r="X72">
        <v>258</v>
      </c>
      <c r="Z72">
        <v>46</v>
      </c>
      <c r="AA72">
        <v>241.27282970979067</v>
      </c>
      <c r="AB72">
        <v>83.72717029020933</v>
      </c>
      <c r="AC72">
        <v>1.6573867004220972</v>
      </c>
      <c r="AE72">
        <v>15.016501650165015</v>
      </c>
      <c r="AF72">
        <v>198</v>
      </c>
      <c r="AR72" s="58" t="s">
        <v>216</v>
      </c>
      <c r="AS72" s="59" t="s">
        <v>224</v>
      </c>
      <c r="AT72" s="59" t="s">
        <v>225</v>
      </c>
      <c r="AU72" s="59" t="s">
        <v>578</v>
      </c>
      <c r="AV72" s="59" t="s">
        <v>579</v>
      </c>
      <c r="AW72" s="59" t="s">
        <v>580</v>
      </c>
      <c r="AX72" s="59" t="s">
        <v>581</v>
      </c>
      <c r="AY72" s="59" t="s">
        <v>571</v>
      </c>
    </row>
    <row r="73" spans="1:56" ht="15.75" thickBot="1">
      <c r="A73">
        <v>49</v>
      </c>
      <c r="B73">
        <v>244.59785909384311</v>
      </c>
      <c r="C73">
        <v>-28.597859093843113</v>
      </c>
      <c r="D73">
        <v>-0.56479918726994438</v>
      </c>
      <c r="F73">
        <v>16.006600660066006</v>
      </c>
      <c r="G73">
        <v>199</v>
      </c>
      <c r="V73">
        <v>51</v>
      </c>
      <c r="W73">
        <v>94</v>
      </c>
      <c r="X73">
        <v>227</v>
      </c>
      <c r="Z73">
        <v>47</v>
      </c>
      <c r="AA73">
        <v>236.46533300624628</v>
      </c>
      <c r="AB73">
        <v>-1.4653330062462828</v>
      </c>
      <c r="AC73">
        <v>-2.9006395747332585E-2</v>
      </c>
      <c r="AE73">
        <v>15.346534653465346</v>
      </c>
      <c r="AF73">
        <v>198</v>
      </c>
      <c r="AR73" s="87" t="s">
        <v>4</v>
      </c>
      <c r="AS73" s="88">
        <v>0.21367795655956201</v>
      </c>
      <c r="AT73" s="88">
        <v>5.6307819479063569E-2</v>
      </c>
      <c r="AU73" s="88">
        <v>3.7948185267414232</v>
      </c>
      <c r="AV73" s="113">
        <v>1.7862864341444684E-4</v>
      </c>
      <c r="AW73" s="88">
        <v>0.10287112007884106</v>
      </c>
      <c r="AX73" s="88">
        <v>0.32448479304028299</v>
      </c>
      <c r="AY73" s="96" t="s">
        <v>574</v>
      </c>
    </row>
    <row r="74" spans="1:56">
      <c r="A74">
        <v>50</v>
      </c>
      <c r="B74">
        <v>244.59785909384311</v>
      </c>
      <c r="C74">
        <v>-10.597859093843113</v>
      </c>
      <c r="D74">
        <v>-0.20930455609848933</v>
      </c>
      <c r="F74">
        <v>16.336633663366335</v>
      </c>
      <c r="G74">
        <v>199</v>
      </c>
      <c r="V74">
        <v>29</v>
      </c>
      <c r="W74">
        <v>130</v>
      </c>
      <c r="X74">
        <v>204</v>
      </c>
      <c r="Z74">
        <v>48</v>
      </c>
      <c r="AA74">
        <v>239.38735282823339</v>
      </c>
      <c r="AB74">
        <v>17.612647171766611</v>
      </c>
      <c r="AC74">
        <v>0.34864389994948036</v>
      </c>
      <c r="AE74">
        <v>15.676567656765677</v>
      </c>
      <c r="AF74">
        <v>199</v>
      </c>
      <c r="AR74" s="112" t="s">
        <v>576</v>
      </c>
    </row>
    <row r="75" spans="1:56">
      <c r="A75">
        <v>51</v>
      </c>
      <c r="B75">
        <v>242.15897651140091</v>
      </c>
      <c r="C75">
        <v>13.841023488599092</v>
      </c>
      <c r="D75">
        <v>0.2733560855619433</v>
      </c>
      <c r="F75">
        <v>16.666666666666664</v>
      </c>
      <c r="G75">
        <v>200</v>
      </c>
      <c r="V75">
        <v>51</v>
      </c>
      <c r="W75">
        <v>140</v>
      </c>
      <c r="X75">
        <v>261</v>
      </c>
      <c r="Z75">
        <v>49</v>
      </c>
      <c r="AA75">
        <v>244.0104376814898</v>
      </c>
      <c r="AB75">
        <v>-28.010437681489805</v>
      </c>
      <c r="AC75">
        <v>-0.5544690776648854</v>
      </c>
      <c r="AE75">
        <v>16.006600660066006</v>
      </c>
      <c r="AF75">
        <v>199</v>
      </c>
    </row>
    <row r="76" spans="1:56">
      <c r="A76">
        <v>52</v>
      </c>
      <c r="B76">
        <v>260.45059587971753</v>
      </c>
      <c r="C76">
        <v>41.549404120282475</v>
      </c>
      <c r="D76">
        <v>0.82058833850741952</v>
      </c>
      <c r="F76">
        <v>16.996699669966997</v>
      </c>
      <c r="G76">
        <v>201</v>
      </c>
      <c r="V76">
        <v>43</v>
      </c>
      <c r="W76">
        <v>122</v>
      </c>
      <c r="X76">
        <v>213</v>
      </c>
      <c r="Z76">
        <v>50</v>
      </c>
      <c r="AA76">
        <v>246.0453623326861</v>
      </c>
      <c r="AB76">
        <v>-12.045362332686096</v>
      </c>
      <c r="AC76">
        <v>-0.23843900686912026</v>
      </c>
      <c r="AE76">
        <v>16.336633663366335</v>
      </c>
      <c r="AF76">
        <v>199</v>
      </c>
    </row>
    <row r="77" spans="1:56">
      <c r="A77">
        <v>53</v>
      </c>
      <c r="B77">
        <v>255.57283071483306</v>
      </c>
      <c r="C77">
        <v>-24.57283071483306</v>
      </c>
      <c r="D77">
        <v>-0.48530607732267667</v>
      </c>
      <c r="F77">
        <v>17.326732673267326</v>
      </c>
      <c r="G77">
        <v>201</v>
      </c>
      <c r="V77">
        <v>55</v>
      </c>
      <c r="W77">
        <v>135</v>
      </c>
      <c r="X77">
        <v>250</v>
      </c>
      <c r="Z77">
        <v>51</v>
      </c>
      <c r="AA77">
        <v>242.19808611024484</v>
      </c>
      <c r="AB77">
        <v>13.801913889755156</v>
      </c>
      <c r="AC77">
        <v>0.27321009944517521</v>
      </c>
      <c r="AE77">
        <v>16.666666666666664</v>
      </c>
      <c r="AF77">
        <v>200</v>
      </c>
      <c r="AR77" t="s">
        <v>585</v>
      </c>
    </row>
    <row r="78" spans="1:56" ht="15.75" thickBot="1">
      <c r="A78">
        <v>54</v>
      </c>
      <c r="B78">
        <v>233.62288747285317</v>
      </c>
      <c r="C78">
        <v>-92.622887472853165</v>
      </c>
      <c r="D78">
        <v>-1.8292744011220621</v>
      </c>
      <c r="F78">
        <v>17.656765676567655</v>
      </c>
      <c r="G78">
        <v>201</v>
      </c>
      <c r="V78">
        <v>51</v>
      </c>
      <c r="W78">
        <v>125</v>
      </c>
      <c r="X78">
        <v>245</v>
      </c>
      <c r="Z78">
        <v>52</v>
      </c>
      <c r="AA78">
        <v>256.80818522018029</v>
      </c>
      <c r="AB78">
        <v>45.191814779819708</v>
      </c>
      <c r="AC78">
        <v>0.89457594857676026</v>
      </c>
      <c r="AE78">
        <v>16.996699669966997</v>
      </c>
      <c r="AF78">
        <v>201</v>
      </c>
    </row>
    <row r="79" spans="1:56" ht="75">
      <c r="A79">
        <v>55</v>
      </c>
      <c r="B79">
        <v>256.79227200605419</v>
      </c>
      <c r="C79">
        <v>-4.7922720060541906</v>
      </c>
      <c r="D79">
        <v>-9.4645942736973521E-2</v>
      </c>
      <c r="F79">
        <v>17.986798679867988</v>
      </c>
      <c r="G79">
        <v>203</v>
      </c>
      <c r="V79">
        <v>59</v>
      </c>
      <c r="W79">
        <v>140</v>
      </c>
      <c r="X79">
        <v>221</v>
      </c>
      <c r="Z79">
        <v>53</v>
      </c>
      <c r="AA79">
        <v>254.40443686840814</v>
      </c>
      <c r="AB79">
        <v>-23.404436868408141</v>
      </c>
      <c r="AC79">
        <v>-0.46329288643240096</v>
      </c>
      <c r="AE79">
        <v>17.326732673267326</v>
      </c>
      <c r="AF79">
        <v>201</v>
      </c>
      <c r="AR79" s="58" t="s">
        <v>148</v>
      </c>
      <c r="AS79" s="59" t="s">
        <v>586</v>
      </c>
      <c r="AT79" s="59" t="s">
        <v>4</v>
      </c>
      <c r="AU79" s="59" t="s">
        <v>0</v>
      </c>
      <c r="AV79" s="59" t="s">
        <v>587</v>
      </c>
      <c r="AW79" s="59" t="s">
        <v>139</v>
      </c>
      <c r="AX79" s="59" t="s">
        <v>588</v>
      </c>
      <c r="AY79" s="59" t="s">
        <v>589</v>
      </c>
      <c r="AZ79" s="59" t="s">
        <v>590</v>
      </c>
      <c r="BA79" s="59" t="s">
        <v>591</v>
      </c>
      <c r="BB79" s="59" t="s">
        <v>592</v>
      </c>
      <c r="BC79" s="59" t="s">
        <v>593</v>
      </c>
      <c r="BD79" s="59" t="s">
        <v>594</v>
      </c>
    </row>
    <row r="80" spans="1:56">
      <c r="A80">
        <v>56</v>
      </c>
      <c r="B80">
        <v>243.37841780262201</v>
      </c>
      <c r="C80">
        <v>-42.37841780262201</v>
      </c>
      <c r="D80">
        <v>-0.83696111146516305</v>
      </c>
      <c r="F80">
        <v>18.316831683168317</v>
      </c>
      <c r="G80">
        <v>203</v>
      </c>
      <c r="V80">
        <v>52</v>
      </c>
      <c r="W80">
        <v>128</v>
      </c>
      <c r="X80">
        <v>205</v>
      </c>
      <c r="Z80">
        <v>54</v>
      </c>
      <c r="AA80">
        <v>229.95357412241819</v>
      </c>
      <c r="AB80">
        <v>-88.953574122418189</v>
      </c>
      <c r="AC80">
        <v>-1.7608438239880055</v>
      </c>
      <c r="AE80">
        <v>17.656765676567655</v>
      </c>
      <c r="AF80">
        <v>201</v>
      </c>
      <c r="AR80" s="60" t="s">
        <v>238</v>
      </c>
      <c r="AS80" s="62">
        <v>1</v>
      </c>
      <c r="AT80" s="65">
        <v>233</v>
      </c>
      <c r="AU80" s="65">
        <v>63</v>
      </c>
      <c r="AV80" s="65">
        <v>53.869705519513445</v>
      </c>
      <c r="AW80" s="65">
        <v>9.1302944804865547</v>
      </c>
      <c r="AX80" s="65">
        <v>1.0273685744643113</v>
      </c>
      <c r="AY80" s="65">
        <v>0.52705519289159908</v>
      </c>
      <c r="AZ80" s="65">
        <v>52.832525974729812</v>
      </c>
      <c r="BA80" s="65">
        <v>54.906885064297079</v>
      </c>
      <c r="BB80" s="65">
        <v>8.9026831074229786</v>
      </c>
      <c r="BC80" s="65">
        <v>36.350324366942118</v>
      </c>
      <c r="BD80" s="65">
        <v>71.389086672084773</v>
      </c>
    </row>
    <row r="81" spans="1:56">
      <c r="A81">
        <v>57</v>
      </c>
      <c r="B81">
        <v>238.50065263773757</v>
      </c>
      <c r="C81">
        <v>-16.500652637737574</v>
      </c>
      <c r="D81">
        <v>-0.32588296797448973</v>
      </c>
      <c r="F81">
        <v>18.646864686468646</v>
      </c>
      <c r="G81">
        <v>203</v>
      </c>
      <c r="V81">
        <v>58</v>
      </c>
      <c r="W81">
        <v>105</v>
      </c>
      <c r="X81">
        <v>240</v>
      </c>
      <c r="Z81">
        <v>55</v>
      </c>
      <c r="AA81">
        <v>256.53156744474836</v>
      </c>
      <c r="AB81">
        <v>-4.5315674447483616</v>
      </c>
      <c r="AC81">
        <v>-8.9702776159269429E-2</v>
      </c>
      <c r="AE81">
        <v>17.986798679867988</v>
      </c>
      <c r="AF81">
        <v>203</v>
      </c>
      <c r="AR81" s="57" t="s">
        <v>239</v>
      </c>
      <c r="AS81" s="63">
        <v>1</v>
      </c>
      <c r="AT81" s="66">
        <v>250</v>
      </c>
      <c r="AU81" s="66">
        <v>37</v>
      </c>
      <c r="AV81" s="66">
        <v>54.506218798683889</v>
      </c>
      <c r="AW81" s="66">
        <v>-17.506218798683889</v>
      </c>
      <c r="AX81" s="66">
        <v>-1.9698531180897632</v>
      </c>
      <c r="AY81" s="66">
        <v>0.51187767829155084</v>
      </c>
      <c r="AZ81" s="66">
        <v>53.498906728684936</v>
      </c>
      <c r="BA81" s="66">
        <v>55.513530868682842</v>
      </c>
      <c r="BB81" s="66">
        <v>8.9017974641290056</v>
      </c>
      <c r="BC81" s="66">
        <v>36.988580482765869</v>
      </c>
      <c r="BD81" s="66">
        <v>72.02385711460191</v>
      </c>
    </row>
    <row r="82" spans="1:56">
      <c r="A82">
        <v>58</v>
      </c>
      <c r="B82">
        <v>234.84232876407427</v>
      </c>
      <c r="C82">
        <v>25.157671235925733</v>
      </c>
      <c r="D82">
        <v>0.49685650317489671</v>
      </c>
      <c r="F82">
        <v>18.976897689768975</v>
      </c>
      <c r="G82">
        <v>204</v>
      </c>
      <c r="V82">
        <v>41</v>
      </c>
      <c r="W82">
        <v>112</v>
      </c>
      <c r="X82">
        <v>250</v>
      </c>
      <c r="Z82">
        <v>56</v>
      </c>
      <c r="AA82">
        <v>244.12172422146546</v>
      </c>
      <c r="AB82">
        <v>-43.121724221465456</v>
      </c>
      <c r="AC82">
        <v>-0.85359832389180312</v>
      </c>
      <c r="AE82">
        <v>18.316831683168317</v>
      </c>
      <c r="AF82">
        <v>203</v>
      </c>
      <c r="AR82" s="57" t="s">
        <v>240</v>
      </c>
      <c r="AS82" s="63">
        <v>1</v>
      </c>
      <c r="AT82" s="66">
        <v>204</v>
      </c>
      <c r="AU82" s="66">
        <v>41</v>
      </c>
      <c r="AV82" s="66">
        <v>52.783888749163864</v>
      </c>
      <c r="AW82" s="66">
        <v>-11.783888749163864</v>
      </c>
      <c r="AX82" s="66">
        <v>-1.3259590927487108</v>
      </c>
      <c r="AY82" s="66">
        <v>0.65920473209515629</v>
      </c>
      <c r="AZ82" s="66">
        <v>51.486655227561329</v>
      </c>
      <c r="BA82" s="66">
        <v>54.0811222707664</v>
      </c>
      <c r="BB82" s="66">
        <v>8.9114830535470979</v>
      </c>
      <c r="BC82" s="66">
        <v>35.247190389138311</v>
      </c>
      <c r="BD82" s="66">
        <v>70.320587109189418</v>
      </c>
    </row>
    <row r="83" spans="1:56">
      <c r="A83">
        <v>59</v>
      </c>
      <c r="B83">
        <v>221.42847456064209</v>
      </c>
      <c r="C83">
        <v>-39.428474560642087</v>
      </c>
      <c r="D83">
        <v>-0.77870061231047527</v>
      </c>
      <c r="F83">
        <v>19.306930693069305</v>
      </c>
      <c r="G83">
        <v>204</v>
      </c>
      <c r="V83">
        <v>45</v>
      </c>
      <c r="W83">
        <v>128</v>
      </c>
      <c r="X83">
        <v>308</v>
      </c>
      <c r="Z83">
        <v>57</v>
      </c>
      <c r="AA83">
        <v>237.24114163706145</v>
      </c>
      <c r="AB83">
        <v>-15.241141637061446</v>
      </c>
      <c r="AC83">
        <v>-0.30169973929560778</v>
      </c>
      <c r="AE83">
        <v>18.646864686468646</v>
      </c>
      <c r="AF83">
        <v>203</v>
      </c>
      <c r="AR83" s="57" t="s">
        <v>241</v>
      </c>
      <c r="AS83" s="63">
        <v>1</v>
      </c>
      <c r="AT83" s="66">
        <v>236</v>
      </c>
      <c r="AU83" s="66">
        <v>56</v>
      </c>
      <c r="AV83" s="66">
        <v>53.98203139230823</v>
      </c>
      <c r="AW83" s="66">
        <v>2.0179686076917704</v>
      </c>
      <c r="AX83" s="66">
        <v>0.22706798080049923</v>
      </c>
      <c r="AY83" s="66">
        <v>0.52049574690914535</v>
      </c>
      <c r="AZ83" s="66">
        <v>52.957760027331702</v>
      </c>
      <c r="BA83" s="66">
        <v>55.006302757284757</v>
      </c>
      <c r="BB83" s="66">
        <v>8.9022971842885017</v>
      </c>
      <c r="BC83" s="66">
        <v>36.463409688816128</v>
      </c>
      <c r="BD83" s="66">
        <v>71.500653095800331</v>
      </c>
    </row>
    <row r="84" spans="1:56">
      <c r="A84">
        <v>60</v>
      </c>
      <c r="B84">
        <v>249.47562425872755</v>
      </c>
      <c r="C84">
        <v>53.524375741272451</v>
      </c>
      <c r="D84">
        <v>1.0570904562681125</v>
      </c>
      <c r="F84">
        <v>19.636963696369637</v>
      </c>
      <c r="G84">
        <v>204</v>
      </c>
      <c r="V84">
        <v>60</v>
      </c>
      <c r="W84">
        <v>102</v>
      </c>
      <c r="X84">
        <v>318</v>
      </c>
      <c r="Z84">
        <v>58</v>
      </c>
      <c r="AA84">
        <v>232.48768962899771</v>
      </c>
      <c r="AB84">
        <v>27.512310371002286</v>
      </c>
      <c r="AC84">
        <v>0.54460860373918796</v>
      </c>
      <c r="AE84">
        <v>18.976897689768975</v>
      </c>
      <c r="AF84">
        <v>204</v>
      </c>
      <c r="AR84" s="57" t="s">
        <v>242</v>
      </c>
      <c r="AS84" s="63">
        <v>1</v>
      </c>
      <c r="AT84" s="66">
        <v>354</v>
      </c>
      <c r="AU84" s="66">
        <v>57</v>
      </c>
      <c r="AV84" s="66">
        <v>58.40018238890309</v>
      </c>
      <c r="AW84" s="66">
        <v>-1.4001823889030902</v>
      </c>
      <c r="AX84" s="66">
        <v>-0.15755279174749504</v>
      </c>
      <c r="AY84" s="66">
        <v>1.1792383292955315</v>
      </c>
      <c r="AZ84" s="66">
        <v>56.079586955889859</v>
      </c>
      <c r="BA84" s="66">
        <v>60.720777821916322</v>
      </c>
      <c r="BB84" s="66">
        <v>8.9649641589980824</v>
      </c>
      <c r="BC84" s="66">
        <v>40.758239816593331</v>
      </c>
      <c r="BD84" s="66">
        <v>76.042124961212849</v>
      </c>
    </row>
    <row r="85" spans="1:56">
      <c r="A85">
        <v>61</v>
      </c>
      <c r="B85">
        <v>266.54780233582301</v>
      </c>
      <c r="C85">
        <v>-1.5478023358230075</v>
      </c>
      <c r="D85">
        <v>-3.056863447220648E-2</v>
      </c>
      <c r="F85">
        <v>19.966996699669966</v>
      </c>
      <c r="G85">
        <v>204</v>
      </c>
      <c r="V85">
        <v>52</v>
      </c>
      <c r="W85">
        <v>152</v>
      </c>
      <c r="X85">
        <v>298</v>
      </c>
      <c r="Z85">
        <v>59</v>
      </c>
      <c r="AA85">
        <v>220.89181626619327</v>
      </c>
      <c r="AB85">
        <v>-38.891816266193274</v>
      </c>
      <c r="AC85">
        <v>-0.76986692386027089</v>
      </c>
      <c r="AE85">
        <v>19.306930693069305</v>
      </c>
      <c r="AF85">
        <v>204</v>
      </c>
      <c r="AR85" s="57" t="s">
        <v>243</v>
      </c>
      <c r="AS85" s="63">
        <v>1</v>
      </c>
      <c r="AT85" s="66">
        <v>192</v>
      </c>
      <c r="AU85" s="66">
        <v>57</v>
      </c>
      <c r="AV85" s="66">
        <v>52.33458525798472</v>
      </c>
      <c r="AW85" s="66">
        <v>4.6654147420152796</v>
      </c>
      <c r="AX85" s="66">
        <v>0.52496669226090453</v>
      </c>
      <c r="AY85" s="66">
        <v>0.73980721816806971</v>
      </c>
      <c r="AZ85" s="66">
        <v>50.878735995676017</v>
      </c>
      <c r="BA85" s="66">
        <v>53.790434520293424</v>
      </c>
      <c r="BB85" s="66">
        <v>8.9178076933119641</v>
      </c>
      <c r="BC85" s="66">
        <v>34.785440787797043</v>
      </c>
      <c r="BD85" s="66">
        <v>69.883729728172398</v>
      </c>
    </row>
    <row r="86" spans="1:56">
      <c r="A86">
        <v>62</v>
      </c>
      <c r="B86">
        <v>245.81730038506424</v>
      </c>
      <c r="C86">
        <v>63.182699614935757</v>
      </c>
      <c r="D86">
        <v>1.2478394720015789</v>
      </c>
      <c r="F86">
        <v>20.297029702970296</v>
      </c>
      <c r="G86">
        <v>204</v>
      </c>
      <c r="V86">
        <v>42</v>
      </c>
      <c r="W86">
        <v>102</v>
      </c>
      <c r="X86">
        <v>265</v>
      </c>
      <c r="Z86">
        <v>60</v>
      </c>
      <c r="AA86">
        <v>248.44911068445828</v>
      </c>
      <c r="AB86">
        <v>54.550889315541724</v>
      </c>
      <c r="AC86">
        <v>1.0798396522227753</v>
      </c>
      <c r="AE86">
        <v>19.636963696369637</v>
      </c>
      <c r="AF86">
        <v>204</v>
      </c>
      <c r="AR86" s="57" t="s">
        <v>244</v>
      </c>
      <c r="AS86" s="63">
        <v>1</v>
      </c>
      <c r="AT86" s="66">
        <v>294</v>
      </c>
      <c r="AU86" s="66">
        <v>56</v>
      </c>
      <c r="AV86" s="66">
        <v>56.153664933007398</v>
      </c>
      <c r="AW86" s="66">
        <v>-0.15366493300739847</v>
      </c>
      <c r="AX86" s="66">
        <v>-1.7290846807446227E-2</v>
      </c>
      <c r="AY86" s="66">
        <v>0.69461733807591108</v>
      </c>
      <c r="AZ86" s="66">
        <v>54.786743775183666</v>
      </c>
      <c r="BA86" s="66">
        <v>57.520586090831131</v>
      </c>
      <c r="BB86" s="66">
        <v>8.9141725685111197</v>
      </c>
      <c r="BC86" s="66">
        <v>38.611673939603605</v>
      </c>
      <c r="BD86" s="66">
        <v>73.695655926411192</v>
      </c>
    </row>
    <row r="87" spans="1:56">
      <c r="A87">
        <v>63</v>
      </c>
      <c r="B87">
        <v>243.37841780262201</v>
      </c>
      <c r="C87">
        <v>-57.37841780262201</v>
      </c>
      <c r="D87">
        <v>-1.1332066374413756</v>
      </c>
      <c r="F87">
        <v>20.627062706270628</v>
      </c>
      <c r="G87">
        <v>204</v>
      </c>
      <c r="V87">
        <v>67</v>
      </c>
      <c r="W87">
        <v>115</v>
      </c>
      <c r="X87">
        <v>564</v>
      </c>
      <c r="Z87">
        <v>61</v>
      </c>
      <c r="AA87">
        <v>260.32160182269462</v>
      </c>
      <c r="AB87">
        <v>4.6783981773053824</v>
      </c>
      <c r="AC87">
        <v>9.2609303425266104E-2</v>
      </c>
      <c r="AE87">
        <v>19.966996699669966</v>
      </c>
      <c r="AF87">
        <v>204</v>
      </c>
      <c r="AR87" s="57" t="s">
        <v>245</v>
      </c>
      <c r="AS87" s="63">
        <v>1</v>
      </c>
      <c r="AT87" s="66">
        <v>263</v>
      </c>
      <c r="AU87" s="66">
        <v>44</v>
      </c>
      <c r="AV87" s="66">
        <v>54.992964247461288</v>
      </c>
      <c r="AW87" s="66">
        <v>-10.992964247461288</v>
      </c>
      <c r="AX87" s="66">
        <v>-1.236961856179867</v>
      </c>
      <c r="AY87" s="66">
        <v>0.5365882755427186</v>
      </c>
      <c r="AZ87" s="66">
        <v>53.937024773057708</v>
      </c>
      <c r="BA87" s="66">
        <v>56.048903721864868</v>
      </c>
      <c r="BB87" s="66">
        <v>8.903252569274354</v>
      </c>
      <c r="BC87" s="66">
        <v>37.472462464277186</v>
      </c>
      <c r="BD87" s="66">
        <v>72.51346603064539</v>
      </c>
    </row>
    <row r="88" spans="1:56">
      <c r="A88">
        <v>64</v>
      </c>
      <c r="B88">
        <v>229.96456359918983</v>
      </c>
      <c r="C88">
        <v>-26.96456359918983</v>
      </c>
      <c r="D88">
        <v>-0.53254208841073503</v>
      </c>
      <c r="F88">
        <v>20.957095709570957</v>
      </c>
      <c r="G88">
        <v>205</v>
      </c>
      <c r="V88">
        <v>68</v>
      </c>
      <c r="W88">
        <v>118</v>
      </c>
      <c r="X88">
        <v>277</v>
      </c>
      <c r="Z88">
        <v>62</v>
      </c>
      <c r="AA88">
        <v>241.05025662983937</v>
      </c>
      <c r="AB88">
        <v>67.949743370160633</v>
      </c>
      <c r="AC88">
        <v>1.3450711467788365</v>
      </c>
      <c r="AE88">
        <v>20.297029702970296</v>
      </c>
      <c r="AF88">
        <v>204</v>
      </c>
      <c r="AR88" s="57" t="s">
        <v>246</v>
      </c>
      <c r="AS88" s="63">
        <v>1</v>
      </c>
      <c r="AT88" s="66">
        <v>199</v>
      </c>
      <c r="AU88" s="66">
        <v>52</v>
      </c>
      <c r="AV88" s="66">
        <v>52.596678961172557</v>
      </c>
      <c r="AW88" s="66">
        <v>-0.59667896117255736</v>
      </c>
      <c r="AX88" s="66">
        <v>-6.7140136067114997E-2</v>
      </c>
      <c r="AY88" s="66">
        <v>0.69146841548729132</v>
      </c>
      <c r="AZ88" s="66">
        <v>51.235954494209807</v>
      </c>
      <c r="BA88" s="66">
        <v>53.957403428135308</v>
      </c>
      <c r="BB88" s="66">
        <v>8.9139277484427133</v>
      </c>
      <c r="BC88" s="66">
        <v>35.055169743435769</v>
      </c>
      <c r="BD88" s="66">
        <v>70.138188178909346</v>
      </c>
    </row>
    <row r="89" spans="1:56">
      <c r="A89">
        <v>65</v>
      </c>
      <c r="B89">
        <v>250.69506554994865</v>
      </c>
      <c r="C89">
        <v>-39.695065549948652</v>
      </c>
      <c r="D89">
        <v>-0.78396570483365147</v>
      </c>
      <c r="F89">
        <v>21.287128712871286</v>
      </c>
      <c r="G89">
        <v>205</v>
      </c>
      <c r="V89">
        <v>46</v>
      </c>
      <c r="W89">
        <v>101</v>
      </c>
      <c r="X89">
        <v>197</v>
      </c>
      <c r="Z89">
        <v>63</v>
      </c>
      <c r="AA89">
        <v>240.86584477955142</v>
      </c>
      <c r="AB89">
        <v>-54.865844779551423</v>
      </c>
      <c r="AC89">
        <v>-1.0860742233358993</v>
      </c>
      <c r="AE89">
        <v>20.627062706270628</v>
      </c>
      <c r="AF89">
        <v>204</v>
      </c>
      <c r="AR89" s="57" t="s">
        <v>247</v>
      </c>
      <c r="AS89" s="63">
        <v>1</v>
      </c>
      <c r="AT89" s="66">
        <v>168</v>
      </c>
      <c r="AU89" s="66">
        <v>57</v>
      </c>
      <c r="AV89" s="66">
        <v>51.435978275626447</v>
      </c>
      <c r="AW89" s="66">
        <v>5.5640217243735535</v>
      </c>
      <c r="AX89" s="66">
        <v>0.62608068989177812</v>
      </c>
      <c r="AY89" s="66">
        <v>0.92571736017731254</v>
      </c>
      <c r="AZ89" s="66">
        <v>49.614280807929759</v>
      </c>
      <c r="BA89" s="66">
        <v>53.257675743323134</v>
      </c>
      <c r="BB89" s="66">
        <v>8.9351514797329603</v>
      </c>
      <c r="BC89" s="66">
        <v>33.852703375177263</v>
      </c>
      <c r="BD89" s="66">
        <v>69.019253176075637</v>
      </c>
    </row>
    <row r="90" spans="1:56">
      <c r="A90">
        <v>66</v>
      </c>
      <c r="B90">
        <v>222.64791585186319</v>
      </c>
      <c r="C90">
        <v>-39.647915851863189</v>
      </c>
      <c r="D90">
        <v>-0.78303451235972166</v>
      </c>
      <c r="F90">
        <v>21.617161716171616</v>
      </c>
      <c r="G90">
        <v>206</v>
      </c>
      <c r="V90">
        <v>54</v>
      </c>
      <c r="W90">
        <v>110</v>
      </c>
      <c r="X90">
        <v>214</v>
      </c>
      <c r="Z90">
        <v>64</v>
      </c>
      <c r="AA90">
        <v>232.1188659284218</v>
      </c>
      <c r="AB90">
        <v>-29.118865928421798</v>
      </c>
      <c r="AC90">
        <v>-0.57641051230873708</v>
      </c>
      <c r="AE90">
        <v>20.957095709570957</v>
      </c>
      <c r="AF90">
        <v>205</v>
      </c>
      <c r="AR90" s="57" t="s">
        <v>248</v>
      </c>
      <c r="AS90" s="63">
        <v>1</v>
      </c>
      <c r="AT90" s="66">
        <v>239</v>
      </c>
      <c r="AU90" s="66">
        <v>54</v>
      </c>
      <c r="AV90" s="66">
        <v>54.094357265103014</v>
      </c>
      <c r="AW90" s="66">
        <v>-9.4357265103013788E-2</v>
      </c>
      <c r="AX90" s="66">
        <v>-1.06173671776322E-2</v>
      </c>
      <c r="AY90" s="66">
        <v>0.51555481296574757</v>
      </c>
      <c r="AZ90" s="66">
        <v>53.079809048076328</v>
      </c>
      <c r="BA90" s="66">
        <v>55.1089054821297</v>
      </c>
      <c r="BB90" s="66">
        <v>8.9020096663625683</v>
      </c>
      <c r="BC90" s="66">
        <v>36.576301361389682</v>
      </c>
      <c r="BD90" s="66">
        <v>71.612413168816346</v>
      </c>
    </row>
    <row r="91" spans="1:56">
      <c r="A91">
        <v>67</v>
      </c>
      <c r="B91">
        <v>242.15897651140091</v>
      </c>
      <c r="C91">
        <v>-20.158976511400908</v>
      </c>
      <c r="D91">
        <v>-0.39813377331747174</v>
      </c>
      <c r="F91">
        <v>21.947194719471945</v>
      </c>
      <c r="G91">
        <v>206</v>
      </c>
      <c r="V91">
        <v>58</v>
      </c>
      <c r="W91">
        <v>100</v>
      </c>
      <c r="X91">
        <v>248</v>
      </c>
      <c r="Z91">
        <v>65</v>
      </c>
      <c r="AA91">
        <v>252.00068851663593</v>
      </c>
      <c r="AB91">
        <v>-41.000688516635933</v>
      </c>
      <c r="AC91">
        <v>-0.81161223555130257</v>
      </c>
      <c r="AE91">
        <v>21.287128712871286</v>
      </c>
      <c r="AF91">
        <v>205</v>
      </c>
      <c r="AR91" s="57" t="s">
        <v>249</v>
      </c>
      <c r="AS91" s="63">
        <v>1</v>
      </c>
      <c r="AT91" s="66">
        <v>275</v>
      </c>
      <c r="AU91" s="66">
        <v>48</v>
      </c>
      <c r="AV91" s="66">
        <v>55.442267738640432</v>
      </c>
      <c r="AW91" s="66">
        <v>-7.4422677386404317</v>
      </c>
      <c r="AX91" s="66">
        <v>-0.83742665844676012</v>
      </c>
      <c r="AY91" s="66">
        <v>0.58399246381429892</v>
      </c>
      <c r="AZ91" s="66">
        <v>54.293042674652561</v>
      </c>
      <c r="BA91" s="66">
        <v>56.591492802628302</v>
      </c>
      <c r="BB91" s="66">
        <v>8.90623526146892</v>
      </c>
      <c r="BC91" s="66">
        <v>37.91589638548659</v>
      </c>
      <c r="BD91" s="66">
        <v>72.968639091794273</v>
      </c>
    </row>
    <row r="92" spans="1:56">
      <c r="A92">
        <v>68</v>
      </c>
      <c r="B92">
        <v>234.84232876407427</v>
      </c>
      <c r="C92">
        <v>-0.84232876407426716</v>
      </c>
      <c r="D92">
        <v>-1.6635741850538285E-2</v>
      </c>
      <c r="F92">
        <v>22.277227722772277</v>
      </c>
      <c r="G92">
        <v>207</v>
      </c>
      <c r="V92">
        <v>48</v>
      </c>
      <c r="W92">
        <v>124</v>
      </c>
      <c r="X92">
        <v>255</v>
      </c>
      <c r="Z92">
        <v>66</v>
      </c>
      <c r="AA92">
        <v>226.07133381932795</v>
      </c>
      <c r="AB92">
        <v>-43.071333819327947</v>
      </c>
      <c r="AC92">
        <v>-0.85260084144922021</v>
      </c>
      <c r="AE92">
        <v>21.617161716171616</v>
      </c>
      <c r="AF92">
        <v>206</v>
      </c>
      <c r="AR92" s="57" t="s">
        <v>250</v>
      </c>
      <c r="AS92" s="63">
        <v>1</v>
      </c>
      <c r="AT92" s="66">
        <v>266</v>
      </c>
      <c r="AU92" s="66">
        <v>49</v>
      </c>
      <c r="AV92" s="66">
        <v>55.105290120256079</v>
      </c>
      <c r="AW92" s="66">
        <v>-6.105290120256079</v>
      </c>
      <c r="AX92" s="66">
        <v>-0.68698586019804642</v>
      </c>
      <c r="AY92" s="66">
        <v>0.54642345108689383</v>
      </c>
      <c r="AZ92" s="66">
        <v>54.029996234718041</v>
      </c>
      <c r="BA92" s="66">
        <v>56.180584005794117</v>
      </c>
      <c r="BB92" s="66">
        <v>8.9038507356501757</v>
      </c>
      <c r="BC92" s="66">
        <v>37.58361121949919</v>
      </c>
      <c r="BD92" s="66">
        <v>72.626969021012968</v>
      </c>
    </row>
    <row r="93" spans="1:56">
      <c r="A93">
        <v>69</v>
      </c>
      <c r="B93">
        <v>233.62288747285317</v>
      </c>
      <c r="C93">
        <v>-13.622887472853165</v>
      </c>
      <c r="D93">
        <v>-0.26904796431400951</v>
      </c>
      <c r="F93">
        <v>22.607260726072607</v>
      </c>
      <c r="G93">
        <v>207</v>
      </c>
      <c r="V93">
        <v>57</v>
      </c>
      <c r="W93">
        <v>132</v>
      </c>
      <c r="X93">
        <v>207</v>
      </c>
      <c r="Z93">
        <v>67</v>
      </c>
      <c r="AA93">
        <v>236.093312156656</v>
      </c>
      <c r="AB93">
        <v>-14.093312156655998</v>
      </c>
      <c r="AC93">
        <v>-0.27897835376947044</v>
      </c>
      <c r="AE93">
        <v>21.947194719471945</v>
      </c>
      <c r="AF93">
        <v>206</v>
      </c>
      <c r="AR93" s="57" t="s">
        <v>251</v>
      </c>
      <c r="AS93" s="63">
        <v>1</v>
      </c>
      <c r="AT93" s="66">
        <v>211</v>
      </c>
      <c r="AU93" s="66">
        <v>64</v>
      </c>
      <c r="AV93" s="66">
        <v>53.045982452351694</v>
      </c>
      <c r="AW93" s="66">
        <v>10.954017547648306</v>
      </c>
      <c r="AX93" s="66">
        <v>1.2325794547630815</v>
      </c>
      <c r="AY93" s="66">
        <v>0.61783452073683576</v>
      </c>
      <c r="AZ93" s="66">
        <v>51.830160398775526</v>
      </c>
      <c r="BA93" s="66">
        <v>54.261804505927863</v>
      </c>
      <c r="BB93" s="66">
        <v>8.9085183296581132</v>
      </c>
      <c r="BC93" s="66">
        <v>35.515118302889015</v>
      </c>
      <c r="BD93" s="66">
        <v>70.576846601814367</v>
      </c>
    </row>
    <row r="94" spans="1:56">
      <c r="A94">
        <v>70</v>
      </c>
      <c r="B94">
        <v>255.57283071483306</v>
      </c>
      <c r="C94">
        <v>-46.57283071483306</v>
      </c>
      <c r="D94">
        <v>-0.91979951542112171</v>
      </c>
      <c r="F94">
        <v>22.937293729372936</v>
      </c>
      <c r="G94">
        <v>208</v>
      </c>
      <c r="V94">
        <v>52</v>
      </c>
      <c r="W94">
        <v>138</v>
      </c>
      <c r="X94">
        <v>223</v>
      </c>
      <c r="Z94">
        <v>68</v>
      </c>
      <c r="AA94">
        <v>235.54007660579214</v>
      </c>
      <c r="AB94">
        <v>-1.5400766057921373</v>
      </c>
      <c r="AC94">
        <v>-3.048595187468758E-2</v>
      </c>
      <c r="AE94">
        <v>22.277227722772277</v>
      </c>
      <c r="AF94">
        <v>207</v>
      </c>
      <c r="AR94" s="57" t="s">
        <v>252</v>
      </c>
      <c r="AS94" s="63">
        <v>1</v>
      </c>
      <c r="AT94" s="66">
        <v>283</v>
      </c>
      <c r="AU94" s="66">
        <v>58</v>
      </c>
      <c r="AV94" s="66">
        <v>55.741803399426523</v>
      </c>
      <c r="AW94" s="66">
        <v>2.258196600573477</v>
      </c>
      <c r="AX94" s="66">
        <v>0.25409916704764307</v>
      </c>
      <c r="AY94" s="66">
        <v>0.62612829854851548</v>
      </c>
      <c r="AZ94" s="66">
        <v>54.50966021513905</v>
      </c>
      <c r="BA94" s="66">
        <v>56.973946583713996</v>
      </c>
      <c r="BB94" s="66">
        <v>8.90909737184883</v>
      </c>
      <c r="BC94" s="66">
        <v>38.209799766426102</v>
      </c>
      <c r="BD94" s="66">
        <v>73.273807032426944</v>
      </c>
    </row>
    <row r="95" spans="1:56">
      <c r="A95">
        <v>71</v>
      </c>
      <c r="B95">
        <v>245.81730038506424</v>
      </c>
      <c r="C95">
        <v>12.182699614935757</v>
      </c>
      <c r="D95">
        <v>0.24060468368245633</v>
      </c>
      <c r="F95">
        <v>23.267326732673268</v>
      </c>
      <c r="G95">
        <v>208</v>
      </c>
      <c r="V95">
        <v>54</v>
      </c>
      <c r="W95">
        <v>132</v>
      </c>
      <c r="X95">
        <v>288</v>
      </c>
      <c r="Z95">
        <v>69</v>
      </c>
      <c r="AA95">
        <v>232.39548370385373</v>
      </c>
      <c r="AB95">
        <v>-12.395483703853728</v>
      </c>
      <c r="AC95">
        <v>-0.24536969020758057</v>
      </c>
      <c r="AE95">
        <v>22.607260726072607</v>
      </c>
      <c r="AF95">
        <v>207</v>
      </c>
      <c r="AR95" s="57" t="s">
        <v>253</v>
      </c>
      <c r="AS95" s="63">
        <v>1</v>
      </c>
      <c r="AT95" s="66">
        <v>219</v>
      </c>
      <c r="AU95" s="66">
        <v>50</v>
      </c>
      <c r="AV95" s="66">
        <v>53.345518113137786</v>
      </c>
      <c r="AW95" s="66">
        <v>-3.3455181131377856</v>
      </c>
      <c r="AX95" s="66">
        <v>-0.37644789903378195</v>
      </c>
      <c r="AY95" s="66">
        <v>0.57708123070837669</v>
      </c>
      <c r="AZ95" s="66">
        <v>52.209893502581302</v>
      </c>
      <c r="BA95" s="66">
        <v>54.481142723694269</v>
      </c>
      <c r="BB95" s="66">
        <v>8.9057847538370449</v>
      </c>
      <c r="BC95" s="66">
        <v>35.820033303379873</v>
      </c>
      <c r="BD95" s="66">
        <v>70.871002922895698</v>
      </c>
    </row>
    <row r="96" spans="1:56">
      <c r="A96">
        <v>72</v>
      </c>
      <c r="B96">
        <v>242.15897651140091</v>
      </c>
      <c r="C96">
        <v>-15.158976511400908</v>
      </c>
      <c r="D96">
        <v>-0.29938526465873422</v>
      </c>
      <c r="F96">
        <v>23.597359735973598</v>
      </c>
      <c r="G96">
        <v>209</v>
      </c>
      <c r="V96">
        <v>45</v>
      </c>
      <c r="W96">
        <v>112</v>
      </c>
      <c r="X96">
        <v>160</v>
      </c>
      <c r="Z96">
        <v>70</v>
      </c>
      <c r="AA96">
        <v>253.18348207769037</v>
      </c>
      <c r="AB96">
        <v>-44.183482077690371</v>
      </c>
      <c r="AC96">
        <v>-0.87461591404654437</v>
      </c>
      <c r="AE96">
        <v>22.937293729372936</v>
      </c>
      <c r="AF96">
        <v>208</v>
      </c>
      <c r="AR96" s="57" t="s">
        <v>254</v>
      </c>
      <c r="AS96" s="63">
        <v>1</v>
      </c>
      <c r="AT96" s="66">
        <v>340</v>
      </c>
      <c r="AU96" s="66">
        <v>58</v>
      </c>
      <c r="AV96" s="66">
        <v>57.87599498252743</v>
      </c>
      <c r="AW96" s="66">
        <v>0.12400501747256953</v>
      </c>
      <c r="AX96" s="66">
        <v>1.3953422674317364E-2</v>
      </c>
      <c r="AY96" s="66">
        <v>1.0564172852768439</v>
      </c>
      <c r="AZ96" s="66">
        <v>55.797096199586576</v>
      </c>
      <c r="BA96" s="66">
        <v>59.954893765468285</v>
      </c>
      <c r="BB96" s="66">
        <v>8.9496366862276684</v>
      </c>
      <c r="BC96" s="66">
        <v>40.264214984166486</v>
      </c>
      <c r="BD96" s="66">
        <v>75.487774980888375</v>
      </c>
    </row>
    <row r="97" spans="1:56">
      <c r="A97">
        <v>73</v>
      </c>
      <c r="B97">
        <v>215.33126810453655</v>
      </c>
      <c r="C97">
        <v>-11.331268104536548</v>
      </c>
      <c r="D97">
        <v>-0.22378916530706069</v>
      </c>
      <c r="F97">
        <v>23.927392739273927</v>
      </c>
      <c r="G97">
        <v>209</v>
      </c>
      <c r="V97">
        <v>53</v>
      </c>
      <c r="W97">
        <v>142</v>
      </c>
      <c r="X97">
        <v>226</v>
      </c>
      <c r="Z97">
        <v>71</v>
      </c>
      <c r="AA97">
        <v>243.49216621127491</v>
      </c>
      <c r="AB97">
        <v>14.507833788725094</v>
      </c>
      <c r="AC97">
        <v>0.28718384593703411</v>
      </c>
      <c r="AE97">
        <v>23.267326732673268</v>
      </c>
      <c r="AF97">
        <v>208</v>
      </c>
      <c r="AR97" s="57" t="s">
        <v>255</v>
      </c>
      <c r="AS97" s="63">
        <v>1</v>
      </c>
      <c r="AT97" s="66">
        <v>226</v>
      </c>
      <c r="AU97" s="66">
        <v>66</v>
      </c>
      <c r="AV97" s="66">
        <v>53.607611816325615</v>
      </c>
      <c r="AW97" s="66">
        <v>12.392388183674385</v>
      </c>
      <c r="AX97" s="66">
        <v>1.3944293045180578</v>
      </c>
      <c r="AY97" s="66">
        <v>0.54830176119226526</v>
      </c>
      <c r="AZ97" s="66">
        <v>52.528621648412738</v>
      </c>
      <c r="BA97" s="66">
        <v>54.686601984238493</v>
      </c>
      <c r="BB97" s="66">
        <v>8.9039662036738996</v>
      </c>
      <c r="BC97" s="66">
        <v>36.085705688754729</v>
      </c>
      <c r="BD97" s="66">
        <v>71.129517943896502</v>
      </c>
    </row>
    <row r="98" spans="1:56">
      <c r="A98">
        <v>74</v>
      </c>
      <c r="B98">
        <v>242.15897651140091</v>
      </c>
      <c r="C98">
        <v>18.841023488599092</v>
      </c>
      <c r="D98">
        <v>0.37210459422068082</v>
      </c>
      <c r="F98">
        <v>24.257425742574256</v>
      </c>
      <c r="G98">
        <v>210</v>
      </c>
      <c r="V98">
        <v>62</v>
      </c>
      <c r="W98">
        <v>140</v>
      </c>
      <c r="X98">
        <v>394</v>
      </c>
      <c r="Z98">
        <v>72</v>
      </c>
      <c r="AA98">
        <v>234.87235736593823</v>
      </c>
      <c r="AB98">
        <v>-7.8723573659382282</v>
      </c>
      <c r="AC98">
        <v>-0.15583400650053583</v>
      </c>
      <c r="AE98">
        <v>23.597359735973598</v>
      </c>
      <c r="AF98">
        <v>209</v>
      </c>
      <c r="AR98" s="57" t="s">
        <v>256</v>
      </c>
      <c r="AS98" s="63">
        <v>1</v>
      </c>
      <c r="AT98" s="66">
        <v>247</v>
      </c>
      <c r="AU98" s="66">
        <v>43</v>
      </c>
      <c r="AV98" s="66">
        <v>54.393892925889105</v>
      </c>
      <c r="AW98" s="66">
        <v>-11.393892925889105</v>
      </c>
      <c r="AX98" s="66">
        <v>-1.2820755735630873</v>
      </c>
      <c r="AY98" s="66">
        <v>0.51060036037920042</v>
      </c>
      <c r="AZ98" s="66">
        <v>53.389094459832855</v>
      </c>
      <c r="BA98" s="66">
        <v>55.398691391945356</v>
      </c>
      <c r="BB98" s="66">
        <v>8.9017241061976211</v>
      </c>
      <c r="BC98" s="66">
        <v>36.876398969322636</v>
      </c>
      <c r="BD98" s="66">
        <v>71.911386882455574</v>
      </c>
    </row>
    <row r="99" spans="1:56">
      <c r="A99">
        <v>75</v>
      </c>
      <c r="B99">
        <v>232.40344618163203</v>
      </c>
      <c r="C99">
        <v>-19.403446181632034</v>
      </c>
      <c r="D99">
        <v>-0.38321227465524765</v>
      </c>
      <c r="F99">
        <v>24.587458745874585</v>
      </c>
      <c r="G99">
        <v>211</v>
      </c>
      <c r="V99">
        <v>52</v>
      </c>
      <c r="W99">
        <v>108</v>
      </c>
      <c r="X99">
        <v>233</v>
      </c>
      <c r="Z99">
        <v>73</v>
      </c>
      <c r="AA99">
        <v>217.78538459391822</v>
      </c>
      <c r="AB99">
        <v>-13.785384593918224</v>
      </c>
      <c r="AC99">
        <v>-0.27288290058018888</v>
      </c>
      <c r="AE99">
        <v>23.927392739273927</v>
      </c>
      <c r="AF99">
        <v>209</v>
      </c>
      <c r="AR99" s="57" t="s">
        <v>257</v>
      </c>
      <c r="AS99" s="63">
        <v>1</v>
      </c>
      <c r="AT99" s="66">
        <v>239</v>
      </c>
      <c r="AU99" s="66">
        <v>69</v>
      </c>
      <c r="AV99" s="66">
        <v>54.094357265103014</v>
      </c>
      <c r="AW99" s="66">
        <v>14.905642734896986</v>
      </c>
      <c r="AX99" s="66">
        <v>1.6772283698794095</v>
      </c>
      <c r="AY99" s="66">
        <v>0.51555481296574757</v>
      </c>
      <c r="AZ99" s="66">
        <v>53.079809048076328</v>
      </c>
      <c r="BA99" s="66">
        <v>55.1089054821297</v>
      </c>
      <c r="BB99" s="66">
        <v>8.9020096663625683</v>
      </c>
      <c r="BC99" s="66">
        <v>36.576301361389682</v>
      </c>
      <c r="BD99" s="66">
        <v>71.612413168816346</v>
      </c>
    </row>
    <row r="100" spans="1:56">
      <c r="A100">
        <v>76</v>
      </c>
      <c r="B100">
        <v>247.03674167628532</v>
      </c>
      <c r="C100">
        <v>2.9632583237146832</v>
      </c>
      <c r="D100">
        <v>5.8523468047483075E-2</v>
      </c>
      <c r="F100">
        <v>24.917491749174918</v>
      </c>
      <c r="G100">
        <v>211</v>
      </c>
      <c r="V100">
        <v>43</v>
      </c>
      <c r="W100">
        <v>130</v>
      </c>
      <c r="X100">
        <v>315</v>
      </c>
      <c r="Z100">
        <v>74</v>
      </c>
      <c r="AA100">
        <v>244.23301076144111</v>
      </c>
      <c r="AB100">
        <v>16.766989238558892</v>
      </c>
      <c r="AC100">
        <v>0.33190402677871816</v>
      </c>
      <c r="AE100">
        <v>24.257425742574256</v>
      </c>
      <c r="AF100">
        <v>210</v>
      </c>
      <c r="AR100" s="57" t="s">
        <v>258</v>
      </c>
      <c r="AS100" s="63">
        <v>1</v>
      </c>
      <c r="AT100" s="66">
        <v>234</v>
      </c>
      <c r="AU100" s="66">
        <v>59</v>
      </c>
      <c r="AV100" s="66">
        <v>53.907147477111707</v>
      </c>
      <c r="AW100" s="66">
        <v>5.0928525228882933</v>
      </c>
      <c r="AX100" s="66">
        <v>0.57306329468114703</v>
      </c>
      <c r="AY100" s="66">
        <v>0.52469231506033898</v>
      </c>
      <c r="AZ100" s="66">
        <v>52.874617784158502</v>
      </c>
      <c r="BA100" s="66">
        <v>54.939677170064911</v>
      </c>
      <c r="BB100" s="66">
        <v>8.9025435331889202</v>
      </c>
      <c r="BC100" s="66">
        <v>36.388040989399961</v>
      </c>
      <c r="BD100" s="66">
        <v>71.426253964823445</v>
      </c>
    </row>
    <row r="101" spans="1:56">
      <c r="A101">
        <v>77</v>
      </c>
      <c r="B101">
        <v>242.15897651140091</v>
      </c>
      <c r="C101">
        <v>2.8410234885990917</v>
      </c>
      <c r="D101">
        <v>5.6109366512720811E-2</v>
      </c>
      <c r="F101">
        <v>25.247524752475247</v>
      </c>
      <c r="G101">
        <v>211</v>
      </c>
      <c r="V101">
        <v>53</v>
      </c>
      <c r="W101">
        <v>130</v>
      </c>
      <c r="X101">
        <v>246</v>
      </c>
      <c r="Z101">
        <v>75</v>
      </c>
      <c r="AA101">
        <v>231.69280038335086</v>
      </c>
      <c r="AB101">
        <v>-18.692800383350857</v>
      </c>
      <c r="AC101">
        <v>-0.37002562778158987</v>
      </c>
      <c r="AE101">
        <v>24.587458745874585</v>
      </c>
      <c r="AF101">
        <v>211</v>
      </c>
      <c r="AR101" s="57" t="s">
        <v>259</v>
      </c>
      <c r="AS101" s="63">
        <v>1</v>
      </c>
      <c r="AT101" s="66">
        <v>233</v>
      </c>
      <c r="AU101" s="66">
        <v>44</v>
      </c>
      <c r="AV101" s="66">
        <v>53.869705519513445</v>
      </c>
      <c r="AW101" s="66">
        <v>-9.8697055195134453</v>
      </c>
      <c r="AX101" s="66">
        <v>-1.1105693591412749</v>
      </c>
      <c r="AY101" s="66">
        <v>0.52705519289159908</v>
      </c>
      <c r="AZ101" s="66">
        <v>52.832525974729812</v>
      </c>
      <c r="BA101" s="66">
        <v>54.906885064297079</v>
      </c>
      <c r="BB101" s="66">
        <v>8.9026831074229786</v>
      </c>
      <c r="BC101" s="66">
        <v>36.350324366942118</v>
      </c>
      <c r="BD101" s="66">
        <v>71.389086672084773</v>
      </c>
    </row>
    <row r="102" spans="1:56">
      <c r="A102">
        <v>78</v>
      </c>
      <c r="B102">
        <v>251.91450684116975</v>
      </c>
      <c r="C102">
        <v>-30.914506841169754</v>
      </c>
      <c r="D102">
        <v>-0.6105522892971702</v>
      </c>
      <c r="F102">
        <v>25.577557755775576</v>
      </c>
      <c r="G102">
        <v>211</v>
      </c>
      <c r="V102">
        <v>42</v>
      </c>
      <c r="W102">
        <v>148</v>
      </c>
      <c r="X102">
        <v>244</v>
      </c>
      <c r="Z102">
        <v>76</v>
      </c>
      <c r="AA102">
        <v>247.65422143881145</v>
      </c>
      <c r="AB102">
        <v>2.3457785611885527</v>
      </c>
      <c r="AC102">
        <v>4.6434892950201839E-2</v>
      </c>
      <c r="AE102">
        <v>24.917491749174918</v>
      </c>
      <c r="AF102">
        <v>211</v>
      </c>
      <c r="AR102" s="57" t="s">
        <v>260</v>
      </c>
      <c r="AS102" s="63">
        <v>1</v>
      </c>
      <c r="AT102" s="66">
        <v>226</v>
      </c>
      <c r="AU102" s="66">
        <v>42</v>
      </c>
      <c r="AV102" s="66">
        <v>53.607611816325615</v>
      </c>
      <c r="AW102" s="66">
        <v>-11.607611816325615</v>
      </c>
      <c r="AX102" s="66">
        <v>-1.3061238747732089</v>
      </c>
      <c r="AY102" s="66">
        <v>0.54830176119226526</v>
      </c>
      <c r="AZ102" s="66">
        <v>52.528621648412738</v>
      </c>
      <c r="BA102" s="66">
        <v>54.686601984238493</v>
      </c>
      <c r="BB102" s="66">
        <v>8.9039662036738996</v>
      </c>
      <c r="BC102" s="66">
        <v>36.085705688754729</v>
      </c>
      <c r="BD102" s="66">
        <v>71.129517943896502</v>
      </c>
    </row>
    <row r="103" spans="1:56">
      <c r="A103">
        <v>79</v>
      </c>
      <c r="B103">
        <v>243.37841780262201</v>
      </c>
      <c r="C103">
        <v>-38.37841780262201</v>
      </c>
      <c r="D103">
        <v>-0.75796230453817304</v>
      </c>
      <c r="F103">
        <v>25.907590759075909</v>
      </c>
      <c r="G103">
        <v>212</v>
      </c>
      <c r="V103">
        <v>59</v>
      </c>
      <c r="W103">
        <v>178</v>
      </c>
      <c r="X103">
        <v>270</v>
      </c>
      <c r="Z103">
        <v>77</v>
      </c>
      <c r="AA103">
        <v>241.18062378464668</v>
      </c>
      <c r="AB103">
        <v>3.8193762153533157</v>
      </c>
      <c r="AC103">
        <v>7.5604888130027872E-2</v>
      </c>
      <c r="AE103">
        <v>25.247524752475247</v>
      </c>
      <c r="AF103">
        <v>211</v>
      </c>
      <c r="AR103" s="57" t="s">
        <v>261</v>
      </c>
      <c r="AS103" s="63">
        <v>1</v>
      </c>
      <c r="AT103" s="66">
        <v>243</v>
      </c>
      <c r="AU103" s="66">
        <v>61</v>
      </c>
      <c r="AV103" s="66">
        <v>54.244125095496059</v>
      </c>
      <c r="AW103" s="66">
        <v>6.7558749045039406</v>
      </c>
      <c r="AX103" s="66">
        <v>0.76019164384384164</v>
      </c>
      <c r="AY103" s="66">
        <v>0.5115634367049906</v>
      </c>
      <c r="AZ103" s="66">
        <v>53.237431414140453</v>
      </c>
      <c r="BA103" s="66">
        <v>55.250818776851666</v>
      </c>
      <c r="BB103" s="66">
        <v>8.9017793999072961</v>
      </c>
      <c r="BC103" s="66">
        <v>36.726522327735992</v>
      </c>
      <c r="BD103" s="66">
        <v>71.761727863256127</v>
      </c>
    </row>
    <row r="104" spans="1:56">
      <c r="A104">
        <v>80</v>
      </c>
      <c r="B104">
        <v>250.69506554994865</v>
      </c>
      <c r="C104">
        <v>-10.695065549948652</v>
      </c>
      <c r="D104">
        <v>-0.21122435461297392</v>
      </c>
      <c r="F104">
        <v>26.237623762376238</v>
      </c>
      <c r="G104">
        <v>212</v>
      </c>
      <c r="V104">
        <v>63</v>
      </c>
      <c r="W104">
        <v>140</v>
      </c>
      <c r="X104">
        <v>195</v>
      </c>
      <c r="Z104">
        <v>78</v>
      </c>
      <c r="AA104">
        <v>253.11035676737805</v>
      </c>
      <c r="AB104">
        <v>-32.11035676737805</v>
      </c>
      <c r="AC104">
        <v>-0.63562733659331949</v>
      </c>
      <c r="AE104">
        <v>25.577557755775576</v>
      </c>
      <c r="AF104">
        <v>211</v>
      </c>
      <c r="AR104" s="57" t="s">
        <v>262</v>
      </c>
      <c r="AS104" s="63">
        <v>1</v>
      </c>
      <c r="AT104" s="66">
        <v>199</v>
      </c>
      <c r="AU104" s="66">
        <v>40</v>
      </c>
      <c r="AV104" s="66">
        <v>52.596678961172557</v>
      </c>
      <c r="AW104" s="66">
        <v>-12.596678961172557</v>
      </c>
      <c r="AX104" s="66">
        <v>-1.4174167257127483</v>
      </c>
      <c r="AY104" s="66">
        <v>0.69146841548729132</v>
      </c>
      <c r="AZ104" s="66">
        <v>51.235954494209807</v>
      </c>
      <c r="BA104" s="66">
        <v>53.957403428135308</v>
      </c>
      <c r="BB104" s="66">
        <v>8.9139277484427133</v>
      </c>
      <c r="BC104" s="66">
        <v>35.055169743435769</v>
      </c>
      <c r="BD104" s="66">
        <v>70.138188178909346</v>
      </c>
    </row>
    <row r="105" spans="1:56">
      <c r="A105">
        <v>81</v>
      </c>
      <c r="B105">
        <v>229.96456359918983</v>
      </c>
      <c r="C105">
        <v>20.03543640081017</v>
      </c>
      <c r="D105">
        <v>0.39569389298139751</v>
      </c>
      <c r="F105">
        <v>26.567656765676567</v>
      </c>
      <c r="G105">
        <v>212</v>
      </c>
      <c r="V105">
        <v>42</v>
      </c>
      <c r="W105">
        <v>120</v>
      </c>
      <c r="X105">
        <v>240</v>
      </c>
      <c r="Z105">
        <v>79</v>
      </c>
      <c r="AA105">
        <v>242.90076943074769</v>
      </c>
      <c r="AB105">
        <v>-37.900769430747687</v>
      </c>
      <c r="AC105">
        <v>-0.75024906458150109</v>
      </c>
      <c r="AE105">
        <v>25.907590759075909</v>
      </c>
      <c r="AF105">
        <v>212</v>
      </c>
      <c r="AR105" s="57" t="s">
        <v>263</v>
      </c>
      <c r="AS105" s="63">
        <v>1</v>
      </c>
      <c r="AT105" s="66">
        <v>302</v>
      </c>
      <c r="AU105" s="66">
        <v>71</v>
      </c>
      <c r="AV105" s="66">
        <v>56.45320059379349</v>
      </c>
      <c r="AW105" s="66">
        <v>14.54679940620651</v>
      </c>
      <c r="AX105" s="66">
        <v>1.6368502243726375</v>
      </c>
      <c r="AY105" s="66">
        <v>0.75038459101412525</v>
      </c>
      <c r="AZ105" s="66">
        <v>54.976536367698372</v>
      </c>
      <c r="BA105" s="66">
        <v>57.929864819888607</v>
      </c>
      <c r="BB105" s="66">
        <v>8.9186914045319394</v>
      </c>
      <c r="BC105" s="66">
        <v>38.902317089035591</v>
      </c>
      <c r="BD105" s="66">
        <v>74.004084098551388</v>
      </c>
    </row>
    <row r="106" spans="1:56">
      <c r="A106">
        <v>82</v>
      </c>
      <c r="B106">
        <v>234.84232876407427</v>
      </c>
      <c r="C106">
        <v>73.157671235925733</v>
      </c>
      <c r="D106">
        <v>1.4448421862987768</v>
      </c>
      <c r="F106">
        <v>26.897689768976896</v>
      </c>
      <c r="G106">
        <v>212</v>
      </c>
      <c r="V106">
        <v>50</v>
      </c>
      <c r="W106">
        <v>129</v>
      </c>
      <c r="X106">
        <v>196</v>
      </c>
      <c r="Z106">
        <v>80</v>
      </c>
      <c r="AA106">
        <v>244.87845223744895</v>
      </c>
      <c r="AB106">
        <v>-4.8784522374489541</v>
      </c>
      <c r="AC106">
        <v>-9.6569391142289671E-2</v>
      </c>
      <c r="AE106">
        <v>26.237623762376238</v>
      </c>
      <c r="AF106">
        <v>212</v>
      </c>
      <c r="AR106" s="57" t="s">
        <v>264</v>
      </c>
      <c r="AS106" s="63">
        <v>1</v>
      </c>
      <c r="AT106" s="66">
        <v>212</v>
      </c>
      <c r="AU106" s="66">
        <v>59</v>
      </c>
      <c r="AV106" s="66">
        <v>53.083424409949956</v>
      </c>
      <c r="AW106" s="66">
        <v>5.9165755900500443</v>
      </c>
      <c r="AX106" s="66">
        <v>0.66575112584278118</v>
      </c>
      <c r="AY106" s="66">
        <v>0.61233238758215736</v>
      </c>
      <c r="AZ106" s="66">
        <v>51.87842987508089</v>
      </c>
      <c r="BA106" s="66">
        <v>54.288418944819021</v>
      </c>
      <c r="BB106" s="66">
        <v>8.908138429982019</v>
      </c>
      <c r="BC106" s="66">
        <v>35.553307856144102</v>
      </c>
      <c r="BD106" s="66">
        <v>70.61354096375581</v>
      </c>
    </row>
    <row r="107" spans="1:56">
      <c r="A107">
        <v>83</v>
      </c>
      <c r="B107">
        <v>253.13394813239086</v>
      </c>
      <c r="C107">
        <v>64.866051867609144</v>
      </c>
      <c r="D107">
        <v>1.2810851769013436</v>
      </c>
      <c r="F107">
        <v>27.227722772277225</v>
      </c>
      <c r="G107">
        <v>212</v>
      </c>
      <c r="V107">
        <v>68</v>
      </c>
      <c r="W107">
        <v>120</v>
      </c>
      <c r="X107">
        <v>211</v>
      </c>
      <c r="Z107">
        <v>81</v>
      </c>
      <c r="AA107">
        <v>227.43853923067036</v>
      </c>
      <c r="AB107">
        <v>22.561460769329642</v>
      </c>
      <c r="AC107">
        <v>0.44660610040411719</v>
      </c>
      <c r="AE107">
        <v>26.567656765676567</v>
      </c>
      <c r="AF107">
        <v>212</v>
      </c>
      <c r="AR107" s="57" t="s">
        <v>265</v>
      </c>
      <c r="AS107" s="63">
        <v>1</v>
      </c>
      <c r="AT107" s="66">
        <v>175</v>
      </c>
      <c r="AU107" s="66">
        <v>51</v>
      </c>
      <c r="AV107" s="66">
        <v>51.698071978814276</v>
      </c>
      <c r="AW107" s="66">
        <v>-0.69807197881427641</v>
      </c>
      <c r="AX107" s="66">
        <v>-7.8549187573376658E-2</v>
      </c>
      <c r="AY107" s="66">
        <v>0.86894012867832104</v>
      </c>
      <c r="AZ107" s="66">
        <v>49.988105092495836</v>
      </c>
      <c r="BA107" s="66">
        <v>53.408038865132717</v>
      </c>
      <c r="BB107" s="66">
        <v>8.9294477030815269</v>
      </c>
      <c r="BC107" s="66">
        <v>34.126021406577145</v>
      </c>
      <c r="BD107" s="66">
        <v>69.270122551051401</v>
      </c>
    </row>
    <row r="108" spans="1:56">
      <c r="A108">
        <v>84</v>
      </c>
      <c r="B108">
        <v>243.37841780262201</v>
      </c>
      <c r="C108">
        <v>54.62158219737799</v>
      </c>
      <c r="D108">
        <v>1.0787599565143446</v>
      </c>
      <c r="F108">
        <v>27.557755775577558</v>
      </c>
      <c r="G108">
        <v>213</v>
      </c>
      <c r="V108">
        <v>69</v>
      </c>
      <c r="W108">
        <v>160</v>
      </c>
      <c r="X108">
        <v>234</v>
      </c>
      <c r="Z108">
        <v>82</v>
      </c>
      <c r="AA108">
        <v>235.13309167555286</v>
      </c>
      <c r="AB108">
        <v>72.866908324447138</v>
      </c>
      <c r="AC108">
        <v>1.4424068595560433</v>
      </c>
      <c r="AE108">
        <v>26.897689768976896</v>
      </c>
      <c r="AF108">
        <v>212</v>
      </c>
      <c r="AR108" s="57" t="s">
        <v>266</v>
      </c>
      <c r="AS108" s="63">
        <v>1</v>
      </c>
      <c r="AT108" s="66">
        <v>417</v>
      </c>
      <c r="AU108" s="66">
        <v>65</v>
      </c>
      <c r="AV108" s="66">
        <v>60.759025717593566</v>
      </c>
      <c r="AW108" s="66">
        <v>4.2409742824064338</v>
      </c>
      <c r="AX108" s="66">
        <v>0.47720735756854971</v>
      </c>
      <c r="AY108" s="66">
        <v>1.7602505301144449</v>
      </c>
      <c r="AZ108" s="66">
        <v>57.295070010198138</v>
      </c>
      <c r="BA108" s="66">
        <v>64.222981424988987</v>
      </c>
      <c r="BB108" s="66">
        <v>9.0597164008377575</v>
      </c>
      <c r="BC108" s="66">
        <v>42.930622432280799</v>
      </c>
      <c r="BD108" s="66">
        <v>78.587429002906333</v>
      </c>
    </row>
    <row r="109" spans="1:56">
      <c r="A109">
        <v>85</v>
      </c>
      <c r="B109">
        <v>231.18400489041093</v>
      </c>
      <c r="C109">
        <v>33.815995109589068</v>
      </c>
      <c r="D109">
        <v>0.66785581717661624</v>
      </c>
      <c r="F109">
        <v>27.887788778877887</v>
      </c>
      <c r="G109">
        <v>213</v>
      </c>
      <c r="V109">
        <v>45</v>
      </c>
      <c r="W109">
        <v>138</v>
      </c>
      <c r="X109">
        <v>236</v>
      </c>
      <c r="Z109">
        <v>83</v>
      </c>
      <c r="AA109">
        <v>246.48731134357431</v>
      </c>
      <c r="AB109">
        <v>71.512688656425695</v>
      </c>
      <c r="AC109">
        <v>1.4155999621122486</v>
      </c>
      <c r="AE109">
        <v>27.227722772277225</v>
      </c>
      <c r="AF109">
        <v>212</v>
      </c>
      <c r="AR109" s="57" t="s">
        <v>267</v>
      </c>
      <c r="AS109" s="63">
        <v>1</v>
      </c>
      <c r="AT109" s="66">
        <v>197</v>
      </c>
      <c r="AU109" s="66">
        <v>53</v>
      </c>
      <c r="AV109" s="66">
        <v>52.521795045976035</v>
      </c>
      <c r="AW109" s="66">
        <v>0.47820495402396546</v>
      </c>
      <c r="AX109" s="66">
        <v>5.3809079539260583E-2</v>
      </c>
      <c r="AY109" s="66">
        <v>0.70492733182647549</v>
      </c>
      <c r="AZ109" s="66">
        <v>51.134585093412866</v>
      </c>
      <c r="BA109" s="66">
        <v>53.909004998539203</v>
      </c>
      <c r="BB109" s="66">
        <v>8.9149818776033669</v>
      </c>
      <c r="BC109" s="66">
        <v>34.978211432203054</v>
      </c>
      <c r="BD109" s="66">
        <v>70.065378659749015</v>
      </c>
    </row>
    <row r="110" spans="1:56">
      <c r="A110">
        <v>86</v>
      </c>
      <c r="B110">
        <v>261.6700371709386</v>
      </c>
      <c r="C110">
        <v>302.3299628290614</v>
      </c>
      <c r="D110">
        <v>5.9709265904442717</v>
      </c>
      <c r="F110">
        <v>28.217821782178216</v>
      </c>
      <c r="G110">
        <v>214</v>
      </c>
      <c r="V110">
        <v>50</v>
      </c>
      <c r="W110">
        <v>120</v>
      </c>
      <c r="X110">
        <v>244</v>
      </c>
      <c r="Z110">
        <v>84</v>
      </c>
      <c r="AA110">
        <v>247.78458859361876</v>
      </c>
      <c r="AB110">
        <v>50.215411406381236</v>
      </c>
      <c r="AC110">
        <v>0.99401848566823525</v>
      </c>
      <c r="AE110">
        <v>27.557755775577558</v>
      </c>
      <c r="AF110">
        <v>213</v>
      </c>
      <c r="AR110" s="57" t="s">
        <v>268</v>
      </c>
      <c r="AS110" s="63">
        <v>1</v>
      </c>
      <c r="AT110" s="66">
        <v>198</v>
      </c>
      <c r="AU110" s="66">
        <v>41</v>
      </c>
      <c r="AV110" s="66">
        <v>52.559237003574296</v>
      </c>
      <c r="AW110" s="66">
        <v>-11.559237003574296</v>
      </c>
      <c r="AX110" s="66">
        <v>-1.3006805933409924</v>
      </c>
      <c r="AY110" s="66">
        <v>0.69816058796300839</v>
      </c>
      <c r="AZ110" s="66">
        <v>51.185343167453269</v>
      </c>
      <c r="BA110" s="66">
        <v>53.933130839695323</v>
      </c>
      <c r="BB110" s="66">
        <v>8.9144493683808257</v>
      </c>
      <c r="BC110" s="66">
        <v>35.016701302203046</v>
      </c>
      <c r="BD110" s="66">
        <v>70.101772704945546</v>
      </c>
    </row>
    <row r="111" spans="1:56">
      <c r="A111">
        <v>87</v>
      </c>
      <c r="B111">
        <v>262.88947846215973</v>
      </c>
      <c r="C111">
        <v>14.11052153784027</v>
      </c>
      <c r="D111">
        <v>0.27867859165174441</v>
      </c>
      <c r="F111">
        <v>28.547854785478549</v>
      </c>
      <c r="G111">
        <v>214</v>
      </c>
      <c r="V111">
        <v>50</v>
      </c>
      <c r="W111">
        <v>110</v>
      </c>
      <c r="X111">
        <v>254</v>
      </c>
      <c r="Z111">
        <v>85</v>
      </c>
      <c r="AA111">
        <v>226.51328283021618</v>
      </c>
      <c r="AB111">
        <v>38.486717169783816</v>
      </c>
      <c r="AC111">
        <v>0.76184795161488306</v>
      </c>
      <c r="AE111">
        <v>27.887788778877887</v>
      </c>
      <c r="AF111">
        <v>213</v>
      </c>
      <c r="AR111" s="57" t="s">
        <v>269</v>
      </c>
      <c r="AS111" s="63">
        <v>1</v>
      </c>
      <c r="AT111" s="66">
        <v>177</v>
      </c>
      <c r="AU111" s="66">
        <v>65</v>
      </c>
      <c r="AV111" s="66">
        <v>51.772955894010799</v>
      </c>
      <c r="AW111" s="66">
        <v>13.227044105989201</v>
      </c>
      <c r="AX111" s="66">
        <v>1.4883473338772895</v>
      </c>
      <c r="AY111" s="66">
        <v>0.85305110700658127</v>
      </c>
      <c r="AZ111" s="66">
        <v>50.094256640545261</v>
      </c>
      <c r="BA111" s="66">
        <v>53.451655147476338</v>
      </c>
      <c r="BB111" s="66">
        <v>8.927915519649904</v>
      </c>
      <c r="BC111" s="66">
        <v>34.203920469590386</v>
      </c>
      <c r="BD111" s="66">
        <v>69.341991318431212</v>
      </c>
    </row>
    <row r="112" spans="1:56">
      <c r="A112">
        <v>88</v>
      </c>
      <c r="B112">
        <v>236.06177005529537</v>
      </c>
      <c r="C112">
        <v>-39.061770055295369</v>
      </c>
      <c r="D112">
        <v>-0.77145830770618962</v>
      </c>
      <c r="F112">
        <v>28.877887788778878</v>
      </c>
      <c r="G112">
        <v>215</v>
      </c>
      <c r="V112">
        <v>64</v>
      </c>
      <c r="W112">
        <v>180</v>
      </c>
      <c r="X112">
        <v>325</v>
      </c>
      <c r="Z112">
        <v>86</v>
      </c>
      <c r="AA112">
        <v>256.90039114532431</v>
      </c>
      <c r="AB112">
        <v>307.09960885467569</v>
      </c>
      <c r="AC112">
        <v>6.0790637693399479</v>
      </c>
      <c r="AE112">
        <v>28.217821782178216</v>
      </c>
      <c r="AF112">
        <v>214</v>
      </c>
      <c r="AR112" s="57" t="s">
        <v>270</v>
      </c>
      <c r="AS112" s="63">
        <v>1</v>
      </c>
      <c r="AT112" s="66">
        <v>219</v>
      </c>
      <c r="AU112" s="66">
        <v>44</v>
      </c>
      <c r="AV112" s="66">
        <v>53.345518113137786</v>
      </c>
      <c r="AW112" s="66">
        <v>-9.3455181131377856</v>
      </c>
      <c r="AX112" s="66">
        <v>-1.0515861938565987</v>
      </c>
      <c r="AY112" s="66">
        <v>0.57708123070837669</v>
      </c>
      <c r="AZ112" s="66">
        <v>52.209893502581302</v>
      </c>
      <c r="BA112" s="66">
        <v>54.481142723694269</v>
      </c>
      <c r="BB112" s="66">
        <v>8.9057847538370449</v>
      </c>
      <c r="BC112" s="66">
        <v>35.820033303379873</v>
      </c>
      <c r="BD112" s="66">
        <v>70.871002922895698</v>
      </c>
    </row>
    <row r="113" spans="1:56">
      <c r="A113">
        <v>89</v>
      </c>
      <c r="B113">
        <v>245.81730038506424</v>
      </c>
      <c r="C113">
        <v>-31.817300385064243</v>
      </c>
      <c r="D113">
        <v>-0.62838219251443372</v>
      </c>
      <c r="F113">
        <v>29.207920792079207</v>
      </c>
      <c r="G113">
        <v>216</v>
      </c>
      <c r="V113">
        <v>57</v>
      </c>
      <c r="W113">
        <v>150</v>
      </c>
      <c r="X113">
        <v>126</v>
      </c>
      <c r="Z113">
        <v>87</v>
      </c>
      <c r="AA113">
        <v>258.62053679142531</v>
      </c>
      <c r="AB113">
        <v>18.379463208574691</v>
      </c>
      <c r="AC113">
        <v>0.3638230908461863</v>
      </c>
      <c r="AE113">
        <v>28.547854785478549</v>
      </c>
      <c r="AF113">
        <v>214</v>
      </c>
      <c r="AR113" s="57" t="s">
        <v>271</v>
      </c>
      <c r="AS113" s="63">
        <v>1</v>
      </c>
      <c r="AT113" s="66">
        <v>273</v>
      </c>
      <c r="AU113" s="66">
        <v>54</v>
      </c>
      <c r="AV113" s="66">
        <v>55.367383823443909</v>
      </c>
      <c r="AW113" s="66">
        <v>-1.3673838234439089</v>
      </c>
      <c r="AX113" s="66">
        <v>-0.15386219715470401</v>
      </c>
      <c r="AY113" s="66">
        <v>0.57467106392002709</v>
      </c>
      <c r="AZ113" s="66">
        <v>54.236502123546707</v>
      </c>
      <c r="BA113" s="66">
        <v>56.498265523341111</v>
      </c>
      <c r="BB113" s="66">
        <v>8.9056289034827536</v>
      </c>
      <c r="BC113" s="66">
        <v>37.8422057079406</v>
      </c>
      <c r="BD113" s="66">
        <v>72.89256193894721</v>
      </c>
    </row>
    <row r="114" spans="1:56">
      <c r="A114">
        <v>90</v>
      </c>
      <c r="B114">
        <v>250.69506554994865</v>
      </c>
      <c r="C114">
        <v>-2.6950655499486516</v>
      </c>
      <c r="D114">
        <v>-5.3226740758993918E-2</v>
      </c>
      <c r="F114">
        <v>29.537953795379536</v>
      </c>
      <c r="G114">
        <v>216</v>
      </c>
      <c r="V114">
        <v>64</v>
      </c>
      <c r="W114">
        <v>140</v>
      </c>
      <c r="X114">
        <v>313</v>
      </c>
      <c r="Z114">
        <v>88</v>
      </c>
      <c r="AA114">
        <v>230.74846336806502</v>
      </c>
      <c r="AB114">
        <v>-33.748463368065018</v>
      </c>
      <c r="AC114">
        <v>-0.66805380083953447</v>
      </c>
      <c r="AE114">
        <v>28.877887788778878</v>
      </c>
      <c r="AF114">
        <v>215</v>
      </c>
      <c r="AR114" s="57" t="s">
        <v>272</v>
      </c>
      <c r="AS114" s="63">
        <v>1</v>
      </c>
      <c r="AT114" s="66">
        <v>213</v>
      </c>
      <c r="AU114" s="66">
        <v>51</v>
      </c>
      <c r="AV114" s="66">
        <v>53.120866367548217</v>
      </c>
      <c r="AW114" s="66">
        <v>-2.1208663675482171</v>
      </c>
      <c r="AX114" s="66">
        <v>-0.23864635048892741</v>
      </c>
      <c r="AY114" s="66">
        <v>0.60694077993887285</v>
      </c>
      <c r="AZ114" s="66">
        <v>51.926481850826271</v>
      </c>
      <c r="BA114" s="66">
        <v>54.315250884270164</v>
      </c>
      <c r="BB114" s="66">
        <v>8.9077694427501477</v>
      </c>
      <c r="BC114" s="66">
        <v>35.591475935056309</v>
      </c>
      <c r="BD114" s="66">
        <v>70.650256800040125</v>
      </c>
    </row>
    <row r="115" spans="1:56">
      <c r="A115">
        <v>91</v>
      </c>
      <c r="B115">
        <v>238.50065263773757</v>
      </c>
      <c r="C115">
        <v>16.499347362262426</v>
      </c>
      <c r="D115">
        <v>0.3258571891731778</v>
      </c>
      <c r="F115">
        <v>29.867986798679866</v>
      </c>
      <c r="G115">
        <v>217</v>
      </c>
      <c r="V115">
        <v>43</v>
      </c>
      <c r="W115">
        <v>110</v>
      </c>
      <c r="X115">
        <v>211</v>
      </c>
      <c r="Z115">
        <v>89</v>
      </c>
      <c r="AA115">
        <v>241.45724156007861</v>
      </c>
      <c r="AB115">
        <v>-27.457241560078614</v>
      </c>
      <c r="AC115">
        <v>-0.54351851178317656</v>
      </c>
      <c r="AE115">
        <v>29.207920792079207</v>
      </c>
      <c r="AF115">
        <v>216</v>
      </c>
      <c r="AR115" s="57" t="s">
        <v>273</v>
      </c>
      <c r="AS115" s="63">
        <v>1</v>
      </c>
      <c r="AT115" s="66">
        <v>177</v>
      </c>
      <c r="AU115" s="66">
        <v>46</v>
      </c>
      <c r="AV115" s="66">
        <v>51.772955894010799</v>
      </c>
      <c r="AW115" s="66">
        <v>-5.7729558940107992</v>
      </c>
      <c r="AX115" s="66">
        <v>-0.64959059972829669</v>
      </c>
      <c r="AY115" s="66">
        <v>0.85305110700658127</v>
      </c>
      <c r="AZ115" s="66">
        <v>50.094256640545261</v>
      </c>
      <c r="BA115" s="66">
        <v>53.451655147476338</v>
      </c>
      <c r="BB115" s="66">
        <v>8.927915519649904</v>
      </c>
      <c r="BC115" s="66">
        <v>34.203920469590386</v>
      </c>
      <c r="BD115" s="66">
        <v>69.341991318431212</v>
      </c>
    </row>
    <row r="116" spans="1:56">
      <c r="A116">
        <v>92</v>
      </c>
      <c r="B116">
        <v>249.47562425872755</v>
      </c>
      <c r="C116">
        <v>-42.475624258727549</v>
      </c>
      <c r="D116">
        <v>-0.83888090997964759</v>
      </c>
      <c r="F116">
        <v>30.198019801980198</v>
      </c>
      <c r="G116">
        <v>218</v>
      </c>
      <c r="V116">
        <v>55</v>
      </c>
      <c r="W116">
        <v>130</v>
      </c>
      <c r="X116">
        <v>262</v>
      </c>
      <c r="Z116">
        <v>90</v>
      </c>
      <c r="AA116">
        <v>243.86098991185082</v>
      </c>
      <c r="AB116">
        <v>4.1390100881491776</v>
      </c>
      <c r="AC116">
        <v>8.1932068756580309E-2</v>
      </c>
      <c r="AE116">
        <v>29.537953795379536</v>
      </c>
      <c r="AF116">
        <v>216</v>
      </c>
      <c r="AR116" s="57" t="s">
        <v>274</v>
      </c>
      <c r="AS116" s="63">
        <v>1</v>
      </c>
      <c r="AT116" s="66">
        <v>304</v>
      </c>
      <c r="AU116" s="66">
        <v>54</v>
      </c>
      <c r="AV116" s="66">
        <v>56.528084508990013</v>
      </c>
      <c r="AW116" s="66">
        <v>-2.5280845089900126</v>
      </c>
      <c r="AX116" s="66">
        <v>-0.28446777742791579</v>
      </c>
      <c r="AY116" s="66">
        <v>0.76496403672218516</v>
      </c>
      <c r="AZ116" s="66">
        <v>55.022729733846852</v>
      </c>
      <c r="BA116" s="66">
        <v>58.033439284133173</v>
      </c>
      <c r="BB116" s="66">
        <v>8.9199298939127747</v>
      </c>
      <c r="BC116" s="66">
        <v>38.974763810045324</v>
      </c>
      <c r="BD116" s="66">
        <v>74.081405207934694</v>
      </c>
    </row>
    <row r="117" spans="1:56">
      <c r="A117">
        <v>93</v>
      </c>
      <c r="B117">
        <v>243.37841780262201</v>
      </c>
      <c r="C117">
        <v>-20.37841780262201</v>
      </c>
      <c r="D117">
        <v>-0.40246767336671802</v>
      </c>
      <c r="F117">
        <v>30.528052805280527</v>
      </c>
      <c r="G117">
        <v>218</v>
      </c>
      <c r="V117">
        <v>37</v>
      </c>
      <c r="W117">
        <v>120</v>
      </c>
      <c r="X117">
        <v>215</v>
      </c>
      <c r="Z117">
        <v>91</v>
      </c>
      <c r="AA117">
        <v>237.64812656730072</v>
      </c>
      <c r="AB117">
        <v>17.351873432699279</v>
      </c>
      <c r="AC117">
        <v>0.343481860847341</v>
      </c>
      <c r="AE117">
        <v>29.867986798679866</v>
      </c>
      <c r="AF117">
        <v>217</v>
      </c>
      <c r="AR117" s="57" t="s">
        <v>275</v>
      </c>
      <c r="AS117" s="63">
        <v>1</v>
      </c>
      <c r="AT117" s="66">
        <v>232</v>
      </c>
      <c r="AU117" s="66">
        <v>54</v>
      </c>
      <c r="AV117" s="66">
        <v>53.832263561915184</v>
      </c>
      <c r="AW117" s="66">
        <v>0.16773643808481609</v>
      </c>
      <c r="AX117" s="66">
        <v>1.8874215464705951E-2</v>
      </c>
      <c r="AY117" s="66">
        <v>0.52959137722154759</v>
      </c>
      <c r="AZ117" s="66">
        <v>52.790093119509628</v>
      </c>
      <c r="BA117" s="66">
        <v>54.87443400432074</v>
      </c>
      <c r="BB117" s="66">
        <v>8.902833614174078</v>
      </c>
      <c r="BC117" s="66">
        <v>36.312586230640576</v>
      </c>
      <c r="BD117" s="66">
        <v>71.351940893189791</v>
      </c>
    </row>
    <row r="118" spans="1:56">
      <c r="A118">
        <v>94</v>
      </c>
      <c r="B118">
        <v>245.81730038506424</v>
      </c>
      <c r="C118">
        <v>42.182699614935757</v>
      </c>
      <c r="D118">
        <v>0.83309573563488137</v>
      </c>
      <c r="F118">
        <v>30.858085808580856</v>
      </c>
      <c r="G118">
        <v>219</v>
      </c>
      <c r="V118">
        <v>41</v>
      </c>
      <c r="W118">
        <v>130</v>
      </c>
      <c r="X118">
        <v>214</v>
      </c>
      <c r="Z118">
        <v>92</v>
      </c>
      <c r="AA118">
        <v>249.2630805449368</v>
      </c>
      <c r="AB118">
        <v>-42.263080544936798</v>
      </c>
      <c r="AC118">
        <v>-0.83660139678979473</v>
      </c>
      <c r="AE118">
        <v>30.198019801980198</v>
      </c>
      <c r="AF118">
        <v>218</v>
      </c>
      <c r="AR118" s="57" t="s">
        <v>276</v>
      </c>
      <c r="AS118" s="63">
        <v>1</v>
      </c>
      <c r="AT118" s="66">
        <v>269</v>
      </c>
      <c r="AU118" s="66">
        <v>65</v>
      </c>
      <c r="AV118" s="66">
        <v>55.217615993050863</v>
      </c>
      <c r="AW118" s="66">
        <v>9.7823840069491368</v>
      </c>
      <c r="AX118" s="66">
        <v>1.1007436762922722</v>
      </c>
      <c r="AY118" s="66">
        <v>0.5576580446569771</v>
      </c>
      <c r="AZ118" s="66">
        <v>54.120213814487727</v>
      </c>
      <c r="BA118" s="66">
        <v>56.315018171614</v>
      </c>
      <c r="BB118" s="66">
        <v>8.904547255734629</v>
      </c>
      <c r="BC118" s="66">
        <v>37.694566426766208</v>
      </c>
      <c r="BD118" s="66">
        <v>72.740665559335525</v>
      </c>
    </row>
    <row r="119" spans="1:56">
      <c r="A119">
        <v>95</v>
      </c>
      <c r="B119">
        <v>234.84232876407427</v>
      </c>
      <c r="C119">
        <v>-74.842328764074267</v>
      </c>
      <c r="D119">
        <v>-1.4781136699998534</v>
      </c>
      <c r="F119">
        <v>31.188118811881189</v>
      </c>
      <c r="G119">
        <v>219</v>
      </c>
      <c r="V119">
        <v>56</v>
      </c>
      <c r="W119">
        <v>120</v>
      </c>
      <c r="X119">
        <v>193</v>
      </c>
      <c r="Z119">
        <v>93</v>
      </c>
      <c r="AA119">
        <v>244.93569408194398</v>
      </c>
      <c r="AB119">
        <v>-21.935694081943979</v>
      </c>
      <c r="AC119">
        <v>-0.43421899378573586</v>
      </c>
      <c r="AE119">
        <v>30.528052805280527</v>
      </c>
      <c r="AF119">
        <v>218</v>
      </c>
      <c r="AR119" s="57" t="s">
        <v>277</v>
      </c>
      <c r="AS119" s="63">
        <v>1</v>
      </c>
      <c r="AT119" s="66">
        <v>360</v>
      </c>
      <c r="AU119" s="66">
        <v>65</v>
      </c>
      <c r="AV119" s="66">
        <v>58.624834134492659</v>
      </c>
      <c r="AW119" s="66">
        <v>6.3751658655073413</v>
      </c>
      <c r="AX119" s="66">
        <v>0.7173531019418754</v>
      </c>
      <c r="AY119" s="66">
        <v>1.2328684186582803</v>
      </c>
      <c r="AZ119" s="66">
        <v>56.198701307251717</v>
      </c>
      <c r="BA119" s="66">
        <v>61.0509669617336</v>
      </c>
      <c r="BB119" s="66">
        <v>8.9721760946029949</v>
      </c>
      <c r="BC119" s="66">
        <v>40.968699363360841</v>
      </c>
      <c r="BD119" s="66">
        <v>76.280968905624476</v>
      </c>
    </row>
    <row r="120" spans="1:56">
      <c r="A120">
        <v>96</v>
      </c>
      <c r="B120">
        <v>244.59785909384311</v>
      </c>
      <c r="C120">
        <v>-18.597859093843113</v>
      </c>
      <c r="D120">
        <v>-0.36730216995246934</v>
      </c>
      <c r="F120">
        <v>31.518151815181518</v>
      </c>
      <c r="G120">
        <v>219</v>
      </c>
      <c r="V120">
        <v>46</v>
      </c>
      <c r="W120">
        <v>105</v>
      </c>
      <c r="X120">
        <v>204</v>
      </c>
      <c r="Z120">
        <v>94</v>
      </c>
      <c r="AA120">
        <v>245.93407579271044</v>
      </c>
      <c r="AB120">
        <v>42.065924207289555</v>
      </c>
      <c r="AC120">
        <v>0.83269866974446571</v>
      </c>
      <c r="AE120">
        <v>30.858085808580856</v>
      </c>
      <c r="AF120">
        <v>219</v>
      </c>
      <c r="AR120" s="57" t="s">
        <v>278</v>
      </c>
      <c r="AS120" s="63">
        <v>1</v>
      </c>
      <c r="AT120" s="66">
        <v>308</v>
      </c>
      <c r="AU120" s="66">
        <v>51</v>
      </c>
      <c r="AV120" s="66">
        <v>56.677852339383065</v>
      </c>
      <c r="AW120" s="66">
        <v>-5.6778523393830653</v>
      </c>
      <c r="AX120" s="66">
        <v>-0.63888925777780392</v>
      </c>
      <c r="AY120" s="66">
        <v>0.79479070125759244</v>
      </c>
      <c r="AZ120" s="66">
        <v>55.113802371094145</v>
      </c>
      <c r="BA120" s="66">
        <v>58.241902307671985</v>
      </c>
      <c r="BB120" s="66">
        <v>8.9225372845198017</v>
      </c>
      <c r="BC120" s="66">
        <v>39.119400617654918</v>
      </c>
      <c r="BD120" s="66">
        <v>74.236304061111213</v>
      </c>
    </row>
    <row r="121" spans="1:56">
      <c r="A121">
        <v>97</v>
      </c>
      <c r="B121">
        <v>255.57283071483306</v>
      </c>
      <c r="C121">
        <v>138.42716928516694</v>
      </c>
      <c r="D121">
        <v>2.7338953049521661</v>
      </c>
      <c r="F121">
        <v>31.848184818481847</v>
      </c>
      <c r="G121">
        <v>220</v>
      </c>
      <c r="V121">
        <v>46</v>
      </c>
      <c r="W121">
        <v>138</v>
      </c>
      <c r="X121">
        <v>243</v>
      </c>
      <c r="Z121">
        <v>95</v>
      </c>
      <c r="AA121">
        <v>231.87721223363883</v>
      </c>
      <c r="AB121">
        <v>-71.877212233638829</v>
      </c>
      <c r="AC121">
        <v>-1.4228157383861779</v>
      </c>
      <c r="AE121">
        <v>31.188118811881189</v>
      </c>
      <c r="AF121">
        <v>219</v>
      </c>
      <c r="AR121" s="57" t="s">
        <v>279</v>
      </c>
      <c r="AS121" s="63">
        <v>1</v>
      </c>
      <c r="AT121" s="66">
        <v>245</v>
      </c>
      <c r="AU121" s="66">
        <v>48</v>
      </c>
      <c r="AV121" s="66">
        <v>54.319009010692582</v>
      </c>
      <c r="AW121" s="66">
        <v>-6.3190090106925823</v>
      </c>
      <c r="AX121" s="66">
        <v>-0.71103416140816733</v>
      </c>
      <c r="AY121" s="66">
        <v>0.51070102769703807</v>
      </c>
      <c r="AZ121" s="66">
        <v>53.314012443784094</v>
      </c>
      <c r="BA121" s="66">
        <v>55.324005577601071</v>
      </c>
      <c r="BB121" s="66">
        <v>8.9017298810136491</v>
      </c>
      <c r="BC121" s="66">
        <v>36.801503690001184</v>
      </c>
      <c r="BD121" s="66">
        <v>71.836514331383981</v>
      </c>
    </row>
    <row r="122" spans="1:56">
      <c r="A122">
        <v>98</v>
      </c>
      <c r="B122">
        <v>243.37841780262201</v>
      </c>
      <c r="C122">
        <v>-10.37841780262201</v>
      </c>
      <c r="D122">
        <v>-0.204970656049243</v>
      </c>
      <c r="F122">
        <v>32.178217821782177</v>
      </c>
      <c r="G122">
        <v>220</v>
      </c>
      <c r="V122">
        <v>64</v>
      </c>
      <c r="W122">
        <v>130</v>
      </c>
      <c r="X122">
        <v>303</v>
      </c>
      <c r="Z122">
        <v>96</v>
      </c>
      <c r="AA122">
        <v>246.85933219316462</v>
      </c>
      <c r="AB122">
        <v>-20.859332193164619</v>
      </c>
      <c r="AC122">
        <v>-0.41291231552202862</v>
      </c>
      <c r="AE122">
        <v>31.518151815181518</v>
      </c>
      <c r="AF122">
        <v>219</v>
      </c>
      <c r="AR122" s="57" t="s">
        <v>280</v>
      </c>
      <c r="AS122" s="63">
        <v>1</v>
      </c>
      <c r="AT122" s="66">
        <v>208</v>
      </c>
      <c r="AU122" s="66">
        <v>45</v>
      </c>
      <c r="AV122" s="66">
        <v>52.93365657955691</v>
      </c>
      <c r="AW122" s="66">
        <v>-7.9336565795569101</v>
      </c>
      <c r="AX122" s="66">
        <v>-0.89271922913864543</v>
      </c>
      <c r="AY122" s="66">
        <v>0.63497505386197561</v>
      </c>
      <c r="AZ122" s="66">
        <v>51.684104073110056</v>
      </c>
      <c r="BA122" s="66">
        <v>54.183209086003764</v>
      </c>
      <c r="BB122" s="66">
        <v>8.9097234891924391</v>
      </c>
      <c r="BC122" s="66">
        <v>35.40042082493018</v>
      </c>
      <c r="BD122" s="66">
        <v>70.46689233418364</v>
      </c>
    </row>
    <row r="123" spans="1:56">
      <c r="A123">
        <v>99</v>
      </c>
      <c r="B123">
        <v>232.40344618163203</v>
      </c>
      <c r="C123">
        <v>82.596553818367966</v>
      </c>
      <c r="D123">
        <v>1.6312573019829975</v>
      </c>
      <c r="F123">
        <v>32.508250825082506</v>
      </c>
      <c r="G123">
        <v>220</v>
      </c>
      <c r="V123">
        <v>59</v>
      </c>
      <c r="W123">
        <v>138</v>
      </c>
      <c r="X123">
        <v>271</v>
      </c>
      <c r="Z123">
        <v>97</v>
      </c>
      <c r="AA123">
        <v>256.4393615196044</v>
      </c>
      <c r="AB123">
        <v>137.5606384803956</v>
      </c>
      <c r="AC123">
        <v>2.72302493836508</v>
      </c>
      <c r="AE123">
        <v>31.848184818481847</v>
      </c>
      <c r="AF123">
        <v>220</v>
      </c>
      <c r="AR123" s="57" t="s">
        <v>281</v>
      </c>
      <c r="AS123" s="63">
        <v>1</v>
      </c>
      <c r="AT123" s="66">
        <v>264</v>
      </c>
      <c r="AU123" s="66">
        <v>53</v>
      </c>
      <c r="AV123" s="66">
        <v>55.030406205059556</v>
      </c>
      <c r="AW123" s="66">
        <v>-2.0304062050595562</v>
      </c>
      <c r="AX123" s="66">
        <v>-0.22846749718026249</v>
      </c>
      <c r="AY123" s="66">
        <v>0.53970622996501583</v>
      </c>
      <c r="AZ123" s="66">
        <v>53.968330981322715</v>
      </c>
      <c r="BA123" s="66">
        <v>56.092481428796397</v>
      </c>
      <c r="BB123" s="66">
        <v>8.9034410285857177</v>
      </c>
      <c r="BC123" s="66">
        <v>37.509533557219513</v>
      </c>
      <c r="BD123" s="66">
        <v>72.5512788528996</v>
      </c>
    </row>
    <row r="124" spans="1:56">
      <c r="A124">
        <v>100</v>
      </c>
      <c r="B124">
        <v>244.59785909384311</v>
      </c>
      <c r="C124">
        <v>1.4021409061568875</v>
      </c>
      <c r="D124">
        <v>2.769186468248069E-2</v>
      </c>
      <c r="F124">
        <v>32.838283828382835</v>
      </c>
      <c r="G124">
        <v>221</v>
      </c>
      <c r="V124">
        <v>41</v>
      </c>
      <c r="W124">
        <v>112</v>
      </c>
      <c r="X124">
        <v>268</v>
      </c>
      <c r="Z124">
        <v>98</v>
      </c>
      <c r="AA124">
        <v>238.83092012835513</v>
      </c>
      <c r="AB124">
        <v>-5.8309201283551317</v>
      </c>
      <c r="AC124">
        <v>-0.11542357682055066</v>
      </c>
      <c r="AE124">
        <v>32.178217821782177</v>
      </c>
      <c r="AF124">
        <v>220</v>
      </c>
      <c r="AR124" s="57" t="s">
        <v>282</v>
      </c>
      <c r="AS124" s="63">
        <v>1</v>
      </c>
      <c r="AT124" s="66">
        <v>321</v>
      </c>
      <c r="AU124" s="66">
        <v>39</v>
      </c>
      <c r="AV124" s="66">
        <v>57.164597788160464</v>
      </c>
      <c r="AW124" s="66">
        <v>-18.164597788160464</v>
      </c>
      <c r="AX124" s="66">
        <v>-2.043935929473494</v>
      </c>
      <c r="AY124" s="66">
        <v>0.89688571135211081</v>
      </c>
      <c r="AZ124" s="66">
        <v>55.399637445545167</v>
      </c>
      <c r="BA124" s="66">
        <v>58.92955813077576</v>
      </c>
      <c r="BB124" s="66">
        <v>8.9322104382995846</v>
      </c>
      <c r="BC124" s="66">
        <v>39.587110494125561</v>
      </c>
      <c r="BD124" s="66">
        <v>74.742085082195359</v>
      </c>
    </row>
    <row r="125" spans="1:56">
      <c r="A125">
        <v>101</v>
      </c>
      <c r="B125">
        <v>231.18400489041093</v>
      </c>
      <c r="C125">
        <v>12.815995109589068</v>
      </c>
      <c r="D125">
        <v>0.2531120808099187</v>
      </c>
      <c r="F125">
        <v>33.168316831683164</v>
      </c>
      <c r="G125">
        <v>221</v>
      </c>
      <c r="V125">
        <v>54</v>
      </c>
      <c r="W125">
        <v>108</v>
      </c>
      <c r="X125">
        <v>267</v>
      </c>
      <c r="Z125">
        <v>99</v>
      </c>
      <c r="AA125">
        <v>233.3207401043079</v>
      </c>
      <c r="AB125">
        <v>81.679259895692098</v>
      </c>
      <c r="AC125">
        <v>1.6168481340312308</v>
      </c>
      <c r="AE125">
        <v>32.508250825082506</v>
      </c>
      <c r="AF125">
        <v>220</v>
      </c>
      <c r="AR125" s="57" t="s">
        <v>283</v>
      </c>
      <c r="AS125" s="63">
        <v>1</v>
      </c>
      <c r="AT125" s="66">
        <v>325</v>
      </c>
      <c r="AU125" s="66">
        <v>52</v>
      </c>
      <c r="AV125" s="66">
        <v>57.314365618553509</v>
      </c>
      <c r="AW125" s="66">
        <v>-5.3143656185535093</v>
      </c>
      <c r="AX125" s="66">
        <v>-0.59798862362920324</v>
      </c>
      <c r="AY125" s="66">
        <v>0.92960520305379291</v>
      </c>
      <c r="AZ125" s="66">
        <v>55.485017356102873</v>
      </c>
      <c r="BA125" s="66">
        <v>59.143713881004146</v>
      </c>
      <c r="BB125" s="66">
        <v>8.9355551124921817</v>
      </c>
      <c r="BC125" s="66">
        <v>39.730296418670193</v>
      </c>
      <c r="BD125" s="66">
        <v>74.898434818436826</v>
      </c>
    </row>
    <row r="126" spans="1:56">
      <c r="A126">
        <v>102</v>
      </c>
      <c r="B126">
        <v>251.91450684116975</v>
      </c>
      <c r="C126">
        <v>18.085493158830246</v>
      </c>
      <c r="D126">
        <v>0.35718309555845729</v>
      </c>
      <c r="F126">
        <v>33.4983498349835</v>
      </c>
      <c r="G126">
        <v>222</v>
      </c>
      <c r="V126">
        <v>39</v>
      </c>
      <c r="W126">
        <v>94</v>
      </c>
      <c r="X126">
        <v>199</v>
      </c>
      <c r="Z126">
        <v>100</v>
      </c>
      <c r="AA126">
        <v>244.41742261172908</v>
      </c>
      <c r="AB126">
        <v>1.58257738827092</v>
      </c>
      <c r="AC126">
        <v>3.1327258602165793E-2</v>
      </c>
      <c r="AE126">
        <v>32.838283828382835</v>
      </c>
      <c r="AF126">
        <v>221</v>
      </c>
      <c r="AR126" s="57" t="s">
        <v>284</v>
      </c>
      <c r="AS126" s="63">
        <v>1</v>
      </c>
      <c r="AT126" s="66">
        <v>235</v>
      </c>
      <c r="AU126" s="66">
        <v>44</v>
      </c>
      <c r="AV126" s="66">
        <v>53.944589434709968</v>
      </c>
      <c r="AW126" s="66">
        <v>-9.9445894347099681</v>
      </c>
      <c r="AX126" s="66">
        <v>-1.1189955256105144</v>
      </c>
      <c r="AY126" s="66">
        <v>0.52250509491826724</v>
      </c>
      <c r="AZ126" s="66">
        <v>52.916363920943105</v>
      </c>
      <c r="BA126" s="66">
        <v>54.972814948476831</v>
      </c>
      <c r="BB126" s="66">
        <v>8.9024148919861066</v>
      </c>
      <c r="BC126" s="66">
        <v>36.425736097002194</v>
      </c>
      <c r="BD126" s="66">
        <v>71.46344277241775</v>
      </c>
    </row>
    <row r="127" spans="1:56">
      <c r="A127">
        <v>103</v>
      </c>
      <c r="B127">
        <v>256.79227200605419</v>
      </c>
      <c r="C127">
        <v>-61.792272006054191</v>
      </c>
      <c r="D127">
        <v>-1.2203789414465811</v>
      </c>
      <c r="F127">
        <v>33.828382838283829</v>
      </c>
      <c r="G127">
        <v>222</v>
      </c>
      <c r="V127">
        <v>34</v>
      </c>
      <c r="W127">
        <v>118</v>
      </c>
      <c r="X127">
        <v>210</v>
      </c>
      <c r="Z127">
        <v>101</v>
      </c>
      <c r="AA127">
        <v>235.87393622571909</v>
      </c>
      <c r="AB127">
        <v>8.1260637742809081</v>
      </c>
      <c r="AC127">
        <v>0.16085614716934793</v>
      </c>
      <c r="AE127">
        <v>33.168316831683164</v>
      </c>
      <c r="AF127">
        <v>221</v>
      </c>
      <c r="AR127" s="57" t="s">
        <v>285</v>
      </c>
      <c r="AS127" s="63">
        <v>1</v>
      </c>
      <c r="AT127" s="66">
        <v>257</v>
      </c>
      <c r="AU127" s="66">
        <v>47</v>
      </c>
      <c r="AV127" s="66">
        <v>54.768312501871719</v>
      </c>
      <c r="AW127" s="66">
        <v>-7.7683125018717192</v>
      </c>
      <c r="AX127" s="66">
        <v>-0.87411420936074025</v>
      </c>
      <c r="AY127" s="66">
        <v>0.52142175427353588</v>
      </c>
      <c r="AZ127" s="66">
        <v>53.742218868735009</v>
      </c>
      <c r="BA127" s="66">
        <v>55.79440613500843</v>
      </c>
      <c r="BB127" s="66">
        <v>8.9023513736916815</v>
      </c>
      <c r="BC127" s="66">
        <v>37.249584160324851</v>
      </c>
      <c r="BD127" s="66">
        <v>72.287040843418595</v>
      </c>
    </row>
    <row r="128" spans="1:56">
      <c r="A128">
        <v>104</v>
      </c>
      <c r="B128">
        <v>231.18400489041093</v>
      </c>
      <c r="C128">
        <v>8.8159951095890676</v>
      </c>
      <c r="D128">
        <v>0.17411327388292872</v>
      </c>
      <c r="F128">
        <v>34.158415841584159</v>
      </c>
      <c r="G128">
        <v>223</v>
      </c>
      <c r="V128">
        <v>47</v>
      </c>
      <c r="W128">
        <v>112</v>
      </c>
      <c r="X128">
        <v>204</v>
      </c>
      <c r="Z128">
        <v>102</v>
      </c>
      <c r="AA128">
        <v>260.84307044192394</v>
      </c>
      <c r="AB128">
        <v>9.1569295580760581</v>
      </c>
      <c r="AC128">
        <v>0.18126222603311759</v>
      </c>
      <c r="AE128">
        <v>33.4983498349835</v>
      </c>
      <c r="AF128">
        <v>222</v>
      </c>
      <c r="AR128" s="57" t="s">
        <v>286</v>
      </c>
      <c r="AS128" s="63">
        <v>1</v>
      </c>
      <c r="AT128" s="66">
        <v>216</v>
      </c>
      <c r="AU128" s="66">
        <v>53</v>
      </c>
      <c r="AV128" s="66">
        <v>53.233192240343001</v>
      </c>
      <c r="AW128" s="66">
        <v>-0.23319224034300134</v>
      </c>
      <c r="AX128" s="66">
        <v>-2.6239501918514395E-2</v>
      </c>
      <c r="AY128" s="66">
        <v>0.59145902679880236</v>
      </c>
      <c r="AZ128" s="66">
        <v>52.069273902288558</v>
      </c>
      <c r="BA128" s="66">
        <v>54.397110578397445</v>
      </c>
      <c r="BB128" s="66">
        <v>8.9067279690817021</v>
      </c>
      <c r="BC128" s="66">
        <v>35.705851299441179</v>
      </c>
      <c r="BD128" s="66">
        <v>70.760533181244824</v>
      </c>
    </row>
    <row r="129" spans="1:56">
      <c r="A129">
        <v>105</v>
      </c>
      <c r="B129">
        <v>240.93953522017978</v>
      </c>
      <c r="C129">
        <v>-44.939535220179778</v>
      </c>
      <c r="D129">
        <v>-0.88754241656191235</v>
      </c>
      <c r="F129">
        <v>34.488448844884488</v>
      </c>
      <c r="G129">
        <v>223</v>
      </c>
      <c r="V129">
        <v>67</v>
      </c>
      <c r="W129">
        <v>152</v>
      </c>
      <c r="X129">
        <v>277</v>
      </c>
      <c r="Z129">
        <v>103</v>
      </c>
      <c r="AA129">
        <v>257.54902977034652</v>
      </c>
      <c r="AB129">
        <v>-62.549029770346522</v>
      </c>
      <c r="AC129">
        <v>-1.2381635460311335</v>
      </c>
      <c r="AE129">
        <v>33.828382838283829</v>
      </c>
      <c r="AF129">
        <v>222</v>
      </c>
      <c r="AR129" s="57" t="s">
        <v>287</v>
      </c>
      <c r="AS129" s="63">
        <v>1</v>
      </c>
      <c r="AT129" s="66">
        <v>234</v>
      </c>
      <c r="AU129" s="66">
        <v>53</v>
      </c>
      <c r="AV129" s="66">
        <v>53.907147477111707</v>
      </c>
      <c r="AW129" s="66">
        <v>-0.90714747711170673</v>
      </c>
      <c r="AX129" s="66">
        <v>-0.10207500014166963</v>
      </c>
      <c r="AY129" s="66">
        <v>0.52469231506033898</v>
      </c>
      <c r="AZ129" s="66">
        <v>52.874617784158502</v>
      </c>
      <c r="BA129" s="66">
        <v>54.939677170064911</v>
      </c>
      <c r="BB129" s="66">
        <v>8.9025435331889202</v>
      </c>
      <c r="BC129" s="66">
        <v>36.388040989399961</v>
      </c>
      <c r="BD129" s="66">
        <v>71.426253964823445</v>
      </c>
    </row>
    <row r="130" spans="1:56">
      <c r="A130">
        <v>106</v>
      </c>
      <c r="B130">
        <v>262.88947846215973</v>
      </c>
      <c r="C130">
        <v>-51.88947846215973</v>
      </c>
      <c r="D130">
        <v>-1.0248017226435906</v>
      </c>
      <c r="F130">
        <v>34.818481848184817</v>
      </c>
      <c r="G130">
        <v>223</v>
      </c>
      <c r="V130">
        <v>52</v>
      </c>
      <c r="W130">
        <v>136</v>
      </c>
      <c r="X130">
        <v>196</v>
      </c>
      <c r="Z130">
        <v>104</v>
      </c>
      <c r="AA130">
        <v>230.17614720236949</v>
      </c>
      <c r="AB130">
        <v>9.8238527976305079</v>
      </c>
      <c r="AC130">
        <v>0.19446403022175407</v>
      </c>
      <c r="AE130">
        <v>34.158415841584159</v>
      </c>
      <c r="AF130">
        <v>223</v>
      </c>
      <c r="AR130" s="57" t="s">
        <v>288</v>
      </c>
      <c r="AS130" s="63">
        <v>1</v>
      </c>
      <c r="AT130" s="66">
        <v>256</v>
      </c>
      <c r="AU130" s="66">
        <v>51</v>
      </c>
      <c r="AV130" s="66">
        <v>54.730870544273458</v>
      </c>
      <c r="AW130" s="66">
        <v>-3.7308705442734578</v>
      </c>
      <c r="AX130" s="66">
        <v>-0.41980892957757604</v>
      </c>
      <c r="AY130" s="66">
        <v>0.5195071759235812</v>
      </c>
      <c r="AZ130" s="66">
        <v>53.708544564938933</v>
      </c>
      <c r="BA130" s="66">
        <v>55.753196523607983</v>
      </c>
      <c r="BB130" s="66">
        <v>8.9022394396397004</v>
      </c>
      <c r="BC130" s="66">
        <v>37.212362475120536</v>
      </c>
      <c r="BD130" s="66">
        <v>72.249378613426387</v>
      </c>
    </row>
    <row r="131" spans="1:56">
      <c r="A131">
        <v>107</v>
      </c>
      <c r="B131">
        <v>264.10891975338086</v>
      </c>
      <c r="C131">
        <v>-30.10891975338086</v>
      </c>
      <c r="D131">
        <v>-0.59464218459439255</v>
      </c>
      <c r="F131">
        <v>35.148514851485146</v>
      </c>
      <c r="G131">
        <v>224</v>
      </c>
      <c r="V131">
        <v>74</v>
      </c>
      <c r="W131">
        <v>120</v>
      </c>
      <c r="X131">
        <v>269</v>
      </c>
      <c r="Z131">
        <v>105</v>
      </c>
      <c r="AA131">
        <v>240.88492539438309</v>
      </c>
      <c r="AB131">
        <v>-44.884925394383089</v>
      </c>
      <c r="AC131">
        <v>-0.8885010461984717</v>
      </c>
      <c r="AE131">
        <v>34.488448844884488</v>
      </c>
      <c r="AF131">
        <v>223</v>
      </c>
      <c r="AR131" s="57" t="s">
        <v>289</v>
      </c>
      <c r="AS131" s="63">
        <v>1</v>
      </c>
      <c r="AT131" s="66">
        <v>302</v>
      </c>
      <c r="AU131" s="66">
        <v>66</v>
      </c>
      <c r="AV131" s="66">
        <v>56.45320059379349</v>
      </c>
      <c r="AW131" s="66">
        <v>9.5467994062065102</v>
      </c>
      <c r="AX131" s="66">
        <v>1.0742349786869569</v>
      </c>
      <c r="AY131" s="66">
        <v>0.75038459101412525</v>
      </c>
      <c r="AZ131" s="66">
        <v>54.976536367698372</v>
      </c>
      <c r="BA131" s="66">
        <v>57.929864819888607</v>
      </c>
      <c r="BB131" s="66">
        <v>8.9186914045319394</v>
      </c>
      <c r="BC131" s="66">
        <v>38.902317089035591</v>
      </c>
      <c r="BD131" s="66">
        <v>74.004084098551388</v>
      </c>
    </row>
    <row r="132" spans="1:56">
      <c r="A132">
        <v>108</v>
      </c>
      <c r="B132">
        <v>234.84232876407427</v>
      </c>
      <c r="C132">
        <v>1.1576712359257328</v>
      </c>
      <c r="D132">
        <v>2.2863661612956717E-2</v>
      </c>
      <c r="F132">
        <v>35.478547854785475</v>
      </c>
      <c r="G132">
        <v>225</v>
      </c>
      <c r="V132">
        <v>54</v>
      </c>
      <c r="W132">
        <v>160</v>
      </c>
      <c r="X132">
        <v>201</v>
      </c>
      <c r="Z132">
        <v>106</v>
      </c>
      <c r="AA132">
        <v>259.02752172166453</v>
      </c>
      <c r="AB132">
        <v>-48.027521721664527</v>
      </c>
      <c r="AC132">
        <v>-0.95070901691548326</v>
      </c>
      <c r="AE132">
        <v>34.818481848184817</v>
      </c>
      <c r="AF132">
        <v>223</v>
      </c>
      <c r="AR132" s="57" t="s">
        <v>290</v>
      </c>
      <c r="AS132" s="63">
        <v>1</v>
      </c>
      <c r="AT132" s="66">
        <v>231</v>
      </c>
      <c r="AU132" s="66">
        <v>62</v>
      </c>
      <c r="AV132" s="66">
        <v>53.794821604316923</v>
      </c>
      <c r="AW132" s="66">
        <v>8.2051783956830775</v>
      </c>
      <c r="AX132" s="66">
        <v>0.92327169179641455</v>
      </c>
      <c r="AY132" s="66">
        <v>0.53229839085199426</v>
      </c>
      <c r="AZ132" s="66">
        <v>52.747324093318142</v>
      </c>
      <c r="BA132" s="66">
        <v>54.842319115315703</v>
      </c>
      <c r="BB132" s="66">
        <v>8.9029950528877695</v>
      </c>
      <c r="BC132" s="66">
        <v>36.274826581586396</v>
      </c>
      <c r="BD132" s="66">
        <v>71.314816627047449</v>
      </c>
    </row>
    <row r="133" spans="1:56">
      <c r="A133">
        <v>109</v>
      </c>
      <c r="B133">
        <v>240.93953522017978</v>
      </c>
      <c r="C133">
        <v>3.0604647798202222</v>
      </c>
      <c r="D133">
        <v>6.0443266561967676E-2</v>
      </c>
      <c r="F133">
        <v>35.808580858085811</v>
      </c>
      <c r="G133">
        <v>225</v>
      </c>
      <c r="V133">
        <v>49</v>
      </c>
      <c r="W133">
        <v>134</v>
      </c>
      <c r="X133">
        <v>271</v>
      </c>
      <c r="Z133">
        <v>107</v>
      </c>
      <c r="AA133">
        <v>268.27688857719181</v>
      </c>
      <c r="AB133">
        <v>-34.276888577191812</v>
      </c>
      <c r="AC133">
        <v>-0.67851402433375818</v>
      </c>
      <c r="AE133">
        <v>35.148514851485146</v>
      </c>
      <c r="AF133">
        <v>224</v>
      </c>
      <c r="AR133" s="57" t="s">
        <v>291</v>
      </c>
      <c r="AS133" s="63">
        <v>1</v>
      </c>
      <c r="AT133" s="66">
        <v>141</v>
      </c>
      <c r="AU133" s="66">
        <v>44</v>
      </c>
      <c r="AV133" s="66">
        <v>50.425045420473381</v>
      </c>
      <c r="AW133" s="66">
        <v>-6.4250454204733813</v>
      </c>
      <c r="AX133" s="66">
        <v>-0.72296570155625761</v>
      </c>
      <c r="AY133" s="66">
        <v>1.1573011523350936</v>
      </c>
      <c r="AZ133" s="66">
        <v>48.147619643163253</v>
      </c>
      <c r="BA133" s="66">
        <v>52.70247119778351</v>
      </c>
      <c r="BB133" s="66">
        <v>8.9621049587714943</v>
      </c>
      <c r="BC133" s="66">
        <v>32.788729401187766</v>
      </c>
      <c r="BD133" s="66">
        <v>68.061361439758997</v>
      </c>
    </row>
    <row r="134" spans="1:56">
      <c r="A134">
        <v>110</v>
      </c>
      <c r="B134">
        <v>240.93953522017978</v>
      </c>
      <c r="C134">
        <v>13.060464779820222</v>
      </c>
      <c r="D134">
        <v>0.25794028387944268</v>
      </c>
      <c r="F134">
        <v>36.138613861386141</v>
      </c>
      <c r="G134">
        <v>226</v>
      </c>
      <c r="V134">
        <v>42</v>
      </c>
      <c r="W134">
        <v>120</v>
      </c>
      <c r="X134">
        <v>295</v>
      </c>
      <c r="Z134">
        <v>108</v>
      </c>
      <c r="AA134">
        <v>237.16801632674915</v>
      </c>
      <c r="AB134">
        <v>-1.1680163267491537</v>
      </c>
      <c r="AC134">
        <v>-2.3120985925118357E-2</v>
      </c>
      <c r="AE134">
        <v>35.478547854785475</v>
      </c>
      <c r="AF134">
        <v>225</v>
      </c>
      <c r="AR134" s="57" t="s">
        <v>292</v>
      </c>
      <c r="AS134" s="63">
        <v>1</v>
      </c>
      <c r="AT134" s="66">
        <v>252</v>
      </c>
      <c r="AU134" s="66">
        <v>63</v>
      </c>
      <c r="AV134" s="66">
        <v>54.581102713880412</v>
      </c>
      <c r="AW134" s="66">
        <v>8.4188972861195879</v>
      </c>
      <c r="AX134" s="66">
        <v>0.94731999300653624</v>
      </c>
      <c r="AY134" s="66">
        <v>0.51367591133868495</v>
      </c>
      <c r="AZ134" s="66">
        <v>53.570251943270222</v>
      </c>
      <c r="BA134" s="66">
        <v>55.591953484490602</v>
      </c>
      <c r="BB134" s="66">
        <v>8.9019010484688099</v>
      </c>
      <c r="BC134" s="66">
        <v>37.063260556771084</v>
      </c>
      <c r="BD134" s="66">
        <v>72.09894487098974</v>
      </c>
    </row>
    <row r="135" spans="1:56">
      <c r="A135">
        <v>111</v>
      </c>
      <c r="B135">
        <v>258.01171329727526</v>
      </c>
      <c r="C135">
        <v>66.988286702724736</v>
      </c>
      <c r="D135">
        <v>1.3229986818996009</v>
      </c>
      <c r="F135">
        <v>36.46864686468647</v>
      </c>
      <c r="G135">
        <v>226</v>
      </c>
      <c r="V135">
        <v>41</v>
      </c>
      <c r="W135">
        <v>110</v>
      </c>
      <c r="X135">
        <v>235</v>
      </c>
      <c r="Z135">
        <v>109</v>
      </c>
      <c r="AA135">
        <v>239.05349320830643</v>
      </c>
      <c r="AB135">
        <v>4.9465067916935652</v>
      </c>
      <c r="AC135">
        <v>9.7916537029547265E-2</v>
      </c>
      <c r="AE135">
        <v>35.808580858085811</v>
      </c>
      <c r="AF135">
        <v>225</v>
      </c>
      <c r="AR135" s="57" t="s">
        <v>293</v>
      </c>
      <c r="AS135" s="63">
        <v>1</v>
      </c>
      <c r="AT135" s="66">
        <v>201</v>
      </c>
      <c r="AU135" s="66">
        <v>52</v>
      </c>
      <c r="AV135" s="66">
        <v>52.67156287636908</v>
      </c>
      <c r="AW135" s="66">
        <v>-0.67156287636908019</v>
      </c>
      <c r="AX135" s="66">
        <v>-7.5566302536354477E-2</v>
      </c>
      <c r="AY135" s="66">
        <v>0.67831658868715983</v>
      </c>
      <c r="AZ135" s="66">
        <v>51.336719580709847</v>
      </c>
      <c r="BA135" s="66">
        <v>54.006406172028314</v>
      </c>
      <c r="BB135" s="66">
        <v>8.9129171840272736</v>
      </c>
      <c r="BC135" s="66">
        <v>35.132042324628785</v>
      </c>
      <c r="BD135" s="66">
        <v>70.211083428109376</v>
      </c>
    </row>
    <row r="136" spans="1:56">
      <c r="A136">
        <v>112</v>
      </c>
      <c r="B136">
        <v>249.47562425872755</v>
      </c>
      <c r="C136">
        <v>-123.47562425872755</v>
      </c>
      <c r="D136">
        <v>-2.438606750251195</v>
      </c>
      <c r="F136">
        <v>36.798679867986799</v>
      </c>
      <c r="G136">
        <v>226</v>
      </c>
      <c r="V136">
        <v>41</v>
      </c>
      <c r="W136">
        <v>126</v>
      </c>
      <c r="X136">
        <v>306</v>
      </c>
      <c r="Z136">
        <v>110</v>
      </c>
      <c r="AA136">
        <v>237.01856855711014</v>
      </c>
      <c r="AB136">
        <v>16.981431442889857</v>
      </c>
      <c r="AC136">
        <v>0.33614892907549265</v>
      </c>
      <c r="AE136">
        <v>36.138613861386141</v>
      </c>
      <c r="AF136">
        <v>226</v>
      </c>
      <c r="AR136" s="57" t="s">
        <v>294</v>
      </c>
      <c r="AS136" s="63">
        <v>1</v>
      </c>
      <c r="AT136" s="66">
        <v>222</v>
      </c>
      <c r="AU136" s="66">
        <v>48</v>
      </c>
      <c r="AV136" s="66">
        <v>53.45784398593257</v>
      </c>
      <c r="AW136" s="66">
        <v>-5.4578439859325698</v>
      </c>
      <c r="AX136" s="66">
        <v>-0.61413324701191341</v>
      </c>
      <c r="AY136" s="66">
        <v>0.56389184221367528</v>
      </c>
      <c r="AZ136" s="66">
        <v>52.348174463456822</v>
      </c>
      <c r="BA136" s="66">
        <v>54.567513508408318</v>
      </c>
      <c r="BB136" s="66">
        <v>8.9049398282389074</v>
      </c>
      <c r="BC136" s="66">
        <v>35.934021885429914</v>
      </c>
      <c r="BD136" s="66">
        <v>70.981666086435226</v>
      </c>
    </row>
    <row r="137" spans="1:56">
      <c r="A137">
        <v>113</v>
      </c>
      <c r="B137">
        <v>258.01171329727526</v>
      </c>
      <c r="C137">
        <v>54.988286702724736</v>
      </c>
      <c r="D137">
        <v>1.0860022611186309</v>
      </c>
      <c r="F137">
        <v>37.128712871287128</v>
      </c>
      <c r="G137">
        <v>226</v>
      </c>
      <c r="V137">
        <v>49</v>
      </c>
      <c r="W137">
        <v>130</v>
      </c>
      <c r="X137">
        <v>269</v>
      </c>
      <c r="Z137">
        <v>111</v>
      </c>
      <c r="AA137">
        <v>266.79839662587381</v>
      </c>
      <c r="AB137">
        <v>58.201603374126194</v>
      </c>
      <c r="AC137">
        <v>1.1521058581242714</v>
      </c>
      <c r="AE137">
        <v>36.46864686468647</v>
      </c>
      <c r="AF137">
        <v>226</v>
      </c>
      <c r="AR137" s="57" t="s">
        <v>295</v>
      </c>
      <c r="AS137" s="63">
        <v>1</v>
      </c>
      <c r="AT137" s="66">
        <v>260</v>
      </c>
      <c r="AU137" s="66">
        <v>45</v>
      </c>
      <c r="AV137" s="66">
        <v>54.880638374666503</v>
      </c>
      <c r="AW137" s="66">
        <v>-9.8806383746665034</v>
      </c>
      <c r="AX137" s="66">
        <v>-1.1117995573388717</v>
      </c>
      <c r="AY137" s="66">
        <v>0.52823069148548663</v>
      </c>
      <c r="AZ137" s="66">
        <v>53.841145593787395</v>
      </c>
      <c r="BA137" s="66">
        <v>55.920131155545612</v>
      </c>
      <c r="BB137" s="66">
        <v>8.9027527764320009</v>
      </c>
      <c r="BC137" s="66">
        <v>37.361120122087371</v>
      </c>
      <c r="BD137" s="66">
        <v>72.400156627245636</v>
      </c>
    </row>
    <row r="138" spans="1:56">
      <c r="A138">
        <v>114</v>
      </c>
      <c r="B138">
        <v>232.40344618163203</v>
      </c>
      <c r="C138">
        <v>-21.403446181632034</v>
      </c>
      <c r="D138">
        <v>-0.42271167811874261</v>
      </c>
      <c r="F138">
        <v>37.458745874587457</v>
      </c>
      <c r="G138">
        <v>227</v>
      </c>
      <c r="V138">
        <v>60</v>
      </c>
      <c r="W138">
        <v>120</v>
      </c>
      <c r="X138">
        <v>178</v>
      </c>
      <c r="Z138">
        <v>112</v>
      </c>
      <c r="AA138">
        <v>252.92594491709011</v>
      </c>
      <c r="AB138">
        <v>-126.92594491709011</v>
      </c>
      <c r="AC138">
        <v>-2.5125102438663447</v>
      </c>
      <c r="AE138">
        <v>36.798679867986799</v>
      </c>
      <c r="AF138">
        <v>226</v>
      </c>
      <c r="AR138" s="57" t="s">
        <v>296</v>
      </c>
      <c r="AS138" s="63">
        <v>1</v>
      </c>
      <c r="AT138" s="66">
        <v>182</v>
      </c>
      <c r="AU138" s="66">
        <v>34</v>
      </c>
      <c r="AV138" s="66">
        <v>51.960165682002106</v>
      </c>
      <c r="AW138" s="66">
        <v>-17.960165682002106</v>
      </c>
      <c r="AX138" s="66">
        <v>-2.0209326055470287</v>
      </c>
      <c r="AY138" s="66">
        <v>0.81406482792106782</v>
      </c>
      <c r="AZ138" s="66">
        <v>50.358186612191105</v>
      </c>
      <c r="BA138" s="66">
        <v>53.562144751813108</v>
      </c>
      <c r="BB138" s="66">
        <v>8.9242748096917435</v>
      </c>
      <c r="BC138" s="66">
        <v>34.398294725265572</v>
      </c>
      <c r="BD138" s="66">
        <v>69.522036638738641</v>
      </c>
    </row>
    <row r="139" spans="1:56">
      <c r="A139">
        <v>115</v>
      </c>
      <c r="B139">
        <v>247.03674167628532</v>
      </c>
      <c r="C139">
        <v>14.963258323714683</v>
      </c>
      <c r="D139">
        <v>0.29551988882845309</v>
      </c>
      <c r="F139">
        <v>37.788778877887786</v>
      </c>
      <c r="G139">
        <v>227</v>
      </c>
      <c r="V139">
        <v>62</v>
      </c>
      <c r="W139">
        <v>128</v>
      </c>
      <c r="X139">
        <v>208</v>
      </c>
      <c r="Z139">
        <v>113</v>
      </c>
      <c r="AA139">
        <v>258.65869802108864</v>
      </c>
      <c r="AB139">
        <v>54.34130197891136</v>
      </c>
      <c r="AC139">
        <v>1.0756908524591617</v>
      </c>
      <c r="AE139">
        <v>37.128712871287128</v>
      </c>
      <c r="AF139">
        <v>226</v>
      </c>
      <c r="AR139" s="57" t="s">
        <v>297</v>
      </c>
      <c r="AS139" s="63">
        <v>1</v>
      </c>
      <c r="AT139" s="66">
        <v>303</v>
      </c>
      <c r="AU139" s="66">
        <v>57</v>
      </c>
      <c r="AV139" s="66">
        <v>56.490642551391751</v>
      </c>
      <c r="AW139" s="66">
        <v>0.50935744860824883</v>
      </c>
      <c r="AX139" s="66">
        <v>5.7314453218112266E-2</v>
      </c>
      <c r="AY139" s="66">
        <v>0.75764513867210437</v>
      </c>
      <c r="AZ139" s="66">
        <v>54.99969046395622</v>
      </c>
      <c r="BA139" s="66">
        <v>57.981594638827282</v>
      </c>
      <c r="BB139" s="66">
        <v>8.919305213467803</v>
      </c>
      <c r="BC139" s="66">
        <v>38.938551146434278</v>
      </c>
      <c r="BD139" s="66">
        <v>74.042733956349224</v>
      </c>
    </row>
    <row r="140" spans="1:56">
      <c r="A140">
        <v>116</v>
      </c>
      <c r="B140">
        <v>225.08679843430539</v>
      </c>
      <c r="C140">
        <v>-10.086798434305393</v>
      </c>
      <c r="D140">
        <v>-0.19921126050578922</v>
      </c>
      <c r="F140">
        <v>38.118811881188115</v>
      </c>
      <c r="G140">
        <v>228</v>
      </c>
      <c r="V140">
        <v>57</v>
      </c>
      <c r="W140">
        <v>110</v>
      </c>
      <c r="X140">
        <v>201</v>
      </c>
      <c r="Z140">
        <v>114</v>
      </c>
      <c r="AA140">
        <v>229.25089080191532</v>
      </c>
      <c r="AB140">
        <v>-18.250890801915318</v>
      </c>
      <c r="AC140">
        <v>-0.36127798874731093</v>
      </c>
      <c r="AE140">
        <v>37.458745874587457</v>
      </c>
      <c r="AF140">
        <v>227</v>
      </c>
      <c r="AR140" s="57" t="s">
        <v>298</v>
      </c>
      <c r="AS140" s="63">
        <v>1</v>
      </c>
      <c r="AT140" s="66">
        <v>265</v>
      </c>
      <c r="AU140" s="66">
        <v>71</v>
      </c>
      <c r="AV140" s="66">
        <v>55.067848162657818</v>
      </c>
      <c r="AW140" s="66">
        <v>15.932151837342182</v>
      </c>
      <c r="AX140" s="66">
        <v>1.7927343040535677</v>
      </c>
      <c r="AY140" s="66">
        <v>0.54298559048927331</v>
      </c>
      <c r="AZ140" s="66">
        <v>53.999319562307669</v>
      </c>
      <c r="BA140" s="66">
        <v>56.136376763007966</v>
      </c>
      <c r="BB140" s="66">
        <v>8.9036404176224142</v>
      </c>
      <c r="BC140" s="66">
        <v>37.546583141811865</v>
      </c>
      <c r="BD140" s="66">
        <v>72.58911318350377</v>
      </c>
    </row>
    <row r="141" spans="1:56">
      <c r="A141">
        <v>117</v>
      </c>
      <c r="B141">
        <v>229.96456359918983</v>
      </c>
      <c r="C141">
        <v>-15.96456359918983</v>
      </c>
      <c r="D141">
        <v>-0.31529536936151253</v>
      </c>
      <c r="F141">
        <v>38.448844884488445</v>
      </c>
      <c r="G141">
        <v>228</v>
      </c>
      <c r="V141">
        <v>64</v>
      </c>
      <c r="W141">
        <v>128</v>
      </c>
      <c r="X141">
        <v>263</v>
      </c>
      <c r="Z141">
        <v>115</v>
      </c>
      <c r="AA141">
        <v>246.63675911321332</v>
      </c>
      <c r="AB141">
        <v>15.363240886786684</v>
      </c>
      <c r="AC141">
        <v>0.30411670468360191</v>
      </c>
      <c r="AE141">
        <v>37.788778877887786</v>
      </c>
      <c r="AF141">
        <v>227</v>
      </c>
      <c r="AR141" s="57" t="s">
        <v>299</v>
      </c>
      <c r="AS141" s="63">
        <v>1</v>
      </c>
      <c r="AT141" s="66">
        <v>309</v>
      </c>
      <c r="AU141" s="66">
        <v>54</v>
      </c>
      <c r="AV141" s="66">
        <v>56.715294296981327</v>
      </c>
      <c r="AW141" s="66">
        <v>-2.7152942969813267</v>
      </c>
      <c r="AX141" s="66">
        <v>-0.30553319360101527</v>
      </c>
      <c r="AY141" s="66">
        <v>0.80237745366150748</v>
      </c>
      <c r="AZ141" s="66">
        <v>55.136314536688069</v>
      </c>
      <c r="BA141" s="66">
        <v>58.294274057274585</v>
      </c>
      <c r="BB141" s="66">
        <v>8.9232162874708347</v>
      </c>
      <c r="BC141" s="66">
        <v>39.155506381281164</v>
      </c>
      <c r="BD141" s="66">
        <v>74.275082212681497</v>
      </c>
    </row>
    <row r="142" spans="1:56">
      <c r="A142">
        <v>118</v>
      </c>
      <c r="B142">
        <v>248.25618296750645</v>
      </c>
      <c r="C142">
        <v>-55.256182967506447</v>
      </c>
      <c r="D142">
        <v>-1.0912931324431188</v>
      </c>
      <c r="F142">
        <v>38.778877887788781</v>
      </c>
      <c r="G142">
        <v>229</v>
      </c>
      <c r="V142">
        <v>51</v>
      </c>
      <c r="W142">
        <v>120</v>
      </c>
      <c r="X142">
        <v>295</v>
      </c>
      <c r="Z142">
        <v>116</v>
      </c>
      <c r="AA142">
        <v>224.62780594865887</v>
      </c>
      <c r="AB142">
        <v>-9.6278059486588745</v>
      </c>
      <c r="AC142">
        <v>-0.19058326560234784</v>
      </c>
      <c r="AE142">
        <v>38.118811881188115</v>
      </c>
      <c r="AF142">
        <v>228</v>
      </c>
      <c r="AR142" s="57" t="s">
        <v>300</v>
      </c>
      <c r="AS142" s="63">
        <v>1</v>
      </c>
      <c r="AT142" s="66">
        <v>186</v>
      </c>
      <c r="AU142" s="66">
        <v>52</v>
      </c>
      <c r="AV142" s="66">
        <v>52.109933512395152</v>
      </c>
      <c r="AW142" s="66">
        <v>-0.10993351239515192</v>
      </c>
      <c r="AX142" s="66">
        <v>-1.2370054017057642E-2</v>
      </c>
      <c r="AY142" s="66">
        <v>0.78371577706641837</v>
      </c>
      <c r="AZ142" s="66">
        <v>50.567677627507813</v>
      </c>
      <c r="BA142" s="66">
        <v>53.652189397282491</v>
      </c>
      <c r="BB142" s="66">
        <v>8.9215575856496763</v>
      </c>
      <c r="BC142" s="66">
        <v>34.553409717081252</v>
      </c>
      <c r="BD142" s="66">
        <v>69.666457307709052</v>
      </c>
    </row>
    <row r="143" spans="1:56">
      <c r="A143">
        <v>119</v>
      </c>
      <c r="B143">
        <v>236.06177005529537</v>
      </c>
      <c r="C143">
        <v>-32.061770055295369</v>
      </c>
      <c r="D143">
        <v>-0.63321039558395709</v>
      </c>
      <c r="F143">
        <v>39.10891089108911</v>
      </c>
      <c r="G143">
        <v>229</v>
      </c>
      <c r="V143">
        <v>43</v>
      </c>
      <c r="W143">
        <v>115</v>
      </c>
      <c r="X143">
        <v>303</v>
      </c>
      <c r="Z143">
        <v>117</v>
      </c>
      <c r="AA143">
        <v>231.10140360282367</v>
      </c>
      <c r="AB143">
        <v>-17.101403602823666</v>
      </c>
      <c r="AC143">
        <v>-0.33852378853396953</v>
      </c>
      <c r="AE143">
        <v>38.448844884488445</v>
      </c>
      <c r="AF143">
        <v>228</v>
      </c>
      <c r="AR143" s="57" t="s">
        <v>301</v>
      </c>
      <c r="AS143" s="63">
        <v>1</v>
      </c>
      <c r="AT143" s="66">
        <v>203</v>
      </c>
      <c r="AU143" s="66">
        <v>41</v>
      </c>
      <c r="AV143" s="66">
        <v>52.746446791565603</v>
      </c>
      <c r="AW143" s="66">
        <v>-11.746446791565603</v>
      </c>
      <c r="AX143" s="66">
        <v>-1.3217460095140912</v>
      </c>
      <c r="AY143" s="66">
        <v>0.66549005835627195</v>
      </c>
      <c r="AZ143" s="66">
        <v>51.436844523922346</v>
      </c>
      <c r="BA143" s="66">
        <v>54.05604905920886</v>
      </c>
      <c r="BB143" s="66">
        <v>8.9119501991770296</v>
      </c>
      <c r="BC143" s="66">
        <v>35.208829146618214</v>
      </c>
      <c r="BD143" s="66">
        <v>70.284064436512992</v>
      </c>
    </row>
    <row r="144" spans="1:56">
      <c r="A144">
        <v>120</v>
      </c>
      <c r="B144">
        <v>236.06177005529537</v>
      </c>
      <c r="C144">
        <v>6.9382299447046307</v>
      </c>
      <c r="D144">
        <v>0.13702797195419542</v>
      </c>
      <c r="F144">
        <v>39.438943894389439</v>
      </c>
      <c r="G144">
        <v>229</v>
      </c>
      <c r="V144">
        <v>42</v>
      </c>
      <c r="W144">
        <v>120</v>
      </c>
      <c r="X144">
        <v>209</v>
      </c>
      <c r="Z144">
        <v>118</v>
      </c>
      <c r="AA144">
        <v>245.71150271275914</v>
      </c>
      <c r="AB144">
        <v>-52.711502712759142</v>
      </c>
      <c r="AC144">
        <v>-1.0434288326307639</v>
      </c>
      <c r="AE144">
        <v>38.778877887788781</v>
      </c>
      <c r="AF144">
        <v>229</v>
      </c>
      <c r="AR144" s="57" t="s">
        <v>302</v>
      </c>
      <c r="AS144" s="63">
        <v>1</v>
      </c>
      <c r="AT144" s="66">
        <v>211</v>
      </c>
      <c r="AU144" s="66">
        <v>58</v>
      </c>
      <c r="AV144" s="66">
        <v>53.045982452351694</v>
      </c>
      <c r="AW144" s="66">
        <v>4.9540175476483057</v>
      </c>
      <c r="AX144" s="66">
        <v>0.55744115994026489</v>
      </c>
      <c r="AY144" s="66">
        <v>0.61783452073683576</v>
      </c>
      <c r="AZ144" s="66">
        <v>51.830160398775526</v>
      </c>
      <c r="BA144" s="66">
        <v>54.261804505927863</v>
      </c>
      <c r="BB144" s="66">
        <v>8.9085183296581132</v>
      </c>
      <c r="BC144" s="66">
        <v>35.515118302889015</v>
      </c>
      <c r="BD144" s="66">
        <v>70.576846601814367</v>
      </c>
    </row>
    <row r="145" spans="1:56">
      <c r="A145">
        <v>121</v>
      </c>
      <c r="B145">
        <v>258.01171329727526</v>
      </c>
      <c r="C145">
        <v>44.988286702724736</v>
      </c>
      <c r="D145">
        <v>0.88850524380115581</v>
      </c>
      <c r="F145">
        <v>39.768976897689768</v>
      </c>
      <c r="G145">
        <v>230</v>
      </c>
      <c r="V145">
        <v>67</v>
      </c>
      <c r="W145">
        <v>106</v>
      </c>
      <c r="X145">
        <v>223</v>
      </c>
      <c r="Z145">
        <v>119</v>
      </c>
      <c r="AA145">
        <v>231.56243322854354</v>
      </c>
      <c r="AB145">
        <v>-27.56243322854354</v>
      </c>
      <c r="AC145">
        <v>-0.54560079011295504</v>
      </c>
      <c r="AE145">
        <v>39.10891089108911</v>
      </c>
      <c r="AF145">
        <v>229</v>
      </c>
      <c r="AR145" s="57" t="s">
        <v>303</v>
      </c>
      <c r="AS145" s="63">
        <v>1</v>
      </c>
      <c r="AT145" s="66">
        <v>183</v>
      </c>
      <c r="AU145" s="66">
        <v>35</v>
      </c>
      <c r="AV145" s="66">
        <v>51.997607639600368</v>
      </c>
      <c r="AW145" s="66">
        <v>-16.997607639600368</v>
      </c>
      <c r="AX145" s="66">
        <v>-1.9126226396445123</v>
      </c>
      <c r="AY145" s="66">
        <v>0.80640356735640439</v>
      </c>
      <c r="AZ145" s="66">
        <v>50.410704984654636</v>
      </c>
      <c r="BA145" s="66">
        <v>53.584510294546099</v>
      </c>
      <c r="BB145" s="66">
        <v>8.9235792173480259</v>
      </c>
      <c r="BC145" s="66">
        <v>34.437105522712379</v>
      </c>
      <c r="BD145" s="66">
        <v>69.558109756488363</v>
      </c>
    </row>
    <row r="146" spans="1:56">
      <c r="A146">
        <v>122</v>
      </c>
      <c r="B146">
        <v>251.91450684116975</v>
      </c>
      <c r="C146">
        <v>19.085493158830246</v>
      </c>
      <c r="D146">
        <v>0.37693279729020479</v>
      </c>
      <c r="F146">
        <v>40.099009900990097</v>
      </c>
      <c r="G146">
        <v>230</v>
      </c>
      <c r="V146">
        <v>76</v>
      </c>
      <c r="W146">
        <v>140</v>
      </c>
      <c r="X146">
        <v>197</v>
      </c>
      <c r="Z146">
        <v>120</v>
      </c>
      <c r="AA146">
        <v>238.27768457749127</v>
      </c>
      <c r="AB146">
        <v>4.7223154225087285</v>
      </c>
      <c r="AC146">
        <v>9.3478649156967172E-2</v>
      </c>
      <c r="AE146">
        <v>39.438943894389439</v>
      </c>
      <c r="AF146">
        <v>229</v>
      </c>
      <c r="AR146" s="57" t="s">
        <v>304</v>
      </c>
      <c r="AS146" s="63">
        <v>1</v>
      </c>
      <c r="AT146" s="66">
        <v>222</v>
      </c>
      <c r="AU146" s="66">
        <v>51</v>
      </c>
      <c r="AV146" s="66">
        <v>53.45784398593257</v>
      </c>
      <c r="AW146" s="66">
        <v>-2.4578439859325698</v>
      </c>
      <c r="AX146" s="66">
        <v>-0.27656409960050504</v>
      </c>
      <c r="AY146" s="66">
        <v>0.56389184221367528</v>
      </c>
      <c r="AZ146" s="66">
        <v>52.348174463456822</v>
      </c>
      <c r="BA146" s="66">
        <v>54.567513508408318</v>
      </c>
      <c r="BB146" s="66">
        <v>8.9049398282389074</v>
      </c>
      <c r="BC146" s="66">
        <v>35.934021885429914</v>
      </c>
      <c r="BD146" s="66">
        <v>70.981666086435226</v>
      </c>
    </row>
    <row r="147" spans="1:56">
      <c r="A147">
        <v>123</v>
      </c>
      <c r="B147">
        <v>229.96456359918983</v>
      </c>
      <c r="C147">
        <v>38.03543640081017</v>
      </c>
      <c r="D147">
        <v>0.75118852415285253</v>
      </c>
      <c r="F147">
        <v>40.429042904290426</v>
      </c>
      <c r="G147">
        <v>230</v>
      </c>
      <c r="V147">
        <v>70</v>
      </c>
      <c r="W147">
        <v>156</v>
      </c>
      <c r="X147">
        <v>245</v>
      </c>
      <c r="Z147">
        <v>121</v>
      </c>
      <c r="AA147">
        <v>256.62377336989238</v>
      </c>
      <c r="AB147">
        <v>46.376226630107624</v>
      </c>
      <c r="AC147">
        <v>0.9180214853324562</v>
      </c>
      <c r="AE147">
        <v>39.768976897689768</v>
      </c>
      <c r="AF147">
        <v>230</v>
      </c>
      <c r="AR147" s="57" t="s">
        <v>305</v>
      </c>
      <c r="AS147" s="63">
        <v>1</v>
      </c>
      <c r="AT147" s="66">
        <v>234</v>
      </c>
      <c r="AU147" s="66">
        <v>45</v>
      </c>
      <c r="AV147" s="66">
        <v>53.907147477111707</v>
      </c>
      <c r="AW147" s="66">
        <v>-8.9071474771117067</v>
      </c>
      <c r="AX147" s="66">
        <v>-1.0022593932387585</v>
      </c>
      <c r="AY147" s="66">
        <v>0.52469231506033898</v>
      </c>
      <c r="AZ147" s="66">
        <v>52.874617784158502</v>
      </c>
      <c r="BA147" s="66">
        <v>54.939677170064911</v>
      </c>
      <c r="BB147" s="66">
        <v>8.9025435331889202</v>
      </c>
      <c r="BC147" s="66">
        <v>36.388040989399961</v>
      </c>
      <c r="BD147" s="66">
        <v>71.426253964823445</v>
      </c>
    </row>
    <row r="148" spans="1:56">
      <c r="A148">
        <v>124</v>
      </c>
      <c r="B148">
        <v>245.81730038506424</v>
      </c>
      <c r="C148">
        <v>21.182699614935757</v>
      </c>
      <c r="D148">
        <v>0.41835199926818384</v>
      </c>
      <c r="F148">
        <v>40.759075907590756</v>
      </c>
      <c r="G148">
        <v>231</v>
      </c>
      <c r="V148">
        <v>44</v>
      </c>
      <c r="W148">
        <v>118</v>
      </c>
      <c r="X148">
        <v>242</v>
      </c>
      <c r="Z148">
        <v>122</v>
      </c>
      <c r="AA148">
        <v>252.7033718371388</v>
      </c>
      <c r="AB148">
        <v>18.296628162861197</v>
      </c>
      <c r="AC148">
        <v>0.36218336383023031</v>
      </c>
      <c r="AE148">
        <v>40.099009900990097</v>
      </c>
      <c r="AF148">
        <v>230</v>
      </c>
      <c r="AR148" s="57" t="s">
        <v>306</v>
      </c>
      <c r="AS148" s="63">
        <v>1</v>
      </c>
      <c r="AT148" s="66">
        <v>220</v>
      </c>
      <c r="AU148" s="66">
        <v>44</v>
      </c>
      <c r="AV148" s="66">
        <v>53.382960070736047</v>
      </c>
      <c r="AW148" s="66">
        <v>-9.382960070736047</v>
      </c>
      <c r="AX148" s="66">
        <v>-1.0557992770912183</v>
      </c>
      <c r="AY148" s="66">
        <v>0.57254851456115208</v>
      </c>
      <c r="AZ148" s="66">
        <v>52.256255285908665</v>
      </c>
      <c r="BA148" s="66">
        <v>54.509664855563429</v>
      </c>
      <c r="BB148" s="66">
        <v>8.9054921894506567</v>
      </c>
      <c r="BC148" s="66">
        <v>35.858050991568</v>
      </c>
      <c r="BD148" s="66">
        <v>70.907869149904087</v>
      </c>
    </row>
    <row r="149" spans="1:56">
      <c r="A149">
        <v>125</v>
      </c>
      <c r="B149">
        <v>227.52568101674763</v>
      </c>
      <c r="C149">
        <v>-28.525681016747626</v>
      </c>
      <c r="D149">
        <v>-0.56337369177573737</v>
      </c>
      <c r="F149">
        <v>41.089108910891092</v>
      </c>
      <c r="G149">
        <v>231</v>
      </c>
      <c r="V149">
        <v>60</v>
      </c>
      <c r="W149">
        <v>150</v>
      </c>
      <c r="X149">
        <v>240</v>
      </c>
      <c r="Z149">
        <v>123</v>
      </c>
      <c r="AA149">
        <v>227.43853923067036</v>
      </c>
      <c r="AB149">
        <v>40.561460769329642</v>
      </c>
      <c r="AC149">
        <v>0.80291768365950256</v>
      </c>
      <c r="AE149">
        <v>40.429042904290426</v>
      </c>
      <c r="AF149">
        <v>230</v>
      </c>
      <c r="AR149" s="57" t="s">
        <v>307</v>
      </c>
      <c r="AS149" s="63">
        <v>1</v>
      </c>
      <c r="AT149" s="66">
        <v>209</v>
      </c>
      <c r="AU149" s="66">
        <v>62</v>
      </c>
      <c r="AV149" s="66">
        <v>52.971098537155171</v>
      </c>
      <c r="AW149" s="66">
        <v>9.0289014628448285</v>
      </c>
      <c r="AX149" s="66">
        <v>1.0159595229580487</v>
      </c>
      <c r="AY149" s="66">
        <v>0.62915870659682704</v>
      </c>
      <c r="AZ149" s="66">
        <v>51.732991883989207</v>
      </c>
      <c r="BA149" s="66">
        <v>54.209205190321136</v>
      </c>
      <c r="BB149" s="66">
        <v>8.909310860719085</v>
      </c>
      <c r="BC149" s="66">
        <v>35.438674784417287</v>
      </c>
      <c r="BD149" s="66">
        <v>70.503522289893056</v>
      </c>
    </row>
    <row r="150" spans="1:56">
      <c r="A150">
        <v>126</v>
      </c>
      <c r="B150">
        <v>221.42847456064209</v>
      </c>
      <c r="C150">
        <v>-11.428474560642087</v>
      </c>
      <c r="D150">
        <v>-0.22570896382154529</v>
      </c>
      <c r="F150">
        <v>41.419141914191421</v>
      </c>
      <c r="G150">
        <v>231</v>
      </c>
      <c r="V150">
        <v>44</v>
      </c>
      <c r="W150">
        <v>120</v>
      </c>
      <c r="X150">
        <v>226</v>
      </c>
      <c r="Z150">
        <v>124</v>
      </c>
      <c r="AA150">
        <v>241.05025662983937</v>
      </c>
      <c r="AB150">
        <v>25.949743370160633</v>
      </c>
      <c r="AC150">
        <v>0.51367745251627084</v>
      </c>
      <c r="AE150">
        <v>40.759075907590756</v>
      </c>
      <c r="AF150">
        <v>231</v>
      </c>
      <c r="AR150" s="57" t="s">
        <v>308</v>
      </c>
      <c r="AS150" s="63">
        <v>1</v>
      </c>
      <c r="AT150" s="66">
        <v>258</v>
      </c>
      <c r="AU150" s="66">
        <v>54</v>
      </c>
      <c r="AV150" s="66">
        <v>54.805754459469981</v>
      </c>
      <c r="AW150" s="66">
        <v>-0.80575445946998059</v>
      </c>
      <c r="AX150" s="66">
        <v>-9.0665948635407168E-2</v>
      </c>
      <c r="AY150" s="66">
        <v>0.52351531536916918</v>
      </c>
      <c r="AZ150" s="66">
        <v>53.775540956586362</v>
      </c>
      <c r="BA150" s="66">
        <v>55.8359679623536</v>
      </c>
      <c r="BB150" s="66">
        <v>8.902474241482901</v>
      </c>
      <c r="BC150" s="66">
        <v>37.286784329280323</v>
      </c>
      <c r="BD150" s="66">
        <v>72.324724589659638</v>
      </c>
    </row>
    <row r="151" spans="1:56">
      <c r="A151">
        <v>127</v>
      </c>
      <c r="B151">
        <v>237.28121134651647</v>
      </c>
      <c r="C151">
        <v>-33.281211346516471</v>
      </c>
      <c r="D151">
        <v>-0.65729399736495098</v>
      </c>
      <c r="F151">
        <v>41.74917491749175</v>
      </c>
      <c r="G151">
        <v>232</v>
      </c>
      <c r="V151">
        <v>42</v>
      </c>
      <c r="W151">
        <v>130</v>
      </c>
      <c r="X151">
        <v>180</v>
      </c>
      <c r="Z151">
        <v>125</v>
      </c>
      <c r="AA151">
        <v>221.55633835703279</v>
      </c>
      <c r="AB151">
        <v>-22.556338357032786</v>
      </c>
      <c r="AC151">
        <v>-0.44650470180214052</v>
      </c>
      <c r="AE151">
        <v>41.089108910891092</v>
      </c>
      <c r="AF151">
        <v>231</v>
      </c>
      <c r="AR151" s="57" t="s">
        <v>309</v>
      </c>
      <c r="AS151" s="63">
        <v>1</v>
      </c>
      <c r="AT151" s="66">
        <v>227</v>
      </c>
      <c r="AU151" s="66">
        <v>51</v>
      </c>
      <c r="AV151" s="66">
        <v>53.645053773923877</v>
      </c>
      <c r="AW151" s="66">
        <v>-2.6450537739238769</v>
      </c>
      <c r="AX151" s="66">
        <v>-0.29762951577360369</v>
      </c>
      <c r="AY151" s="66">
        <v>0.54478139949558857</v>
      </c>
      <c r="AZ151" s="66">
        <v>52.57299124317553</v>
      </c>
      <c r="BA151" s="66">
        <v>54.717116304672224</v>
      </c>
      <c r="BB151" s="66">
        <v>8.9037501148716451</v>
      </c>
      <c r="BC151" s="66">
        <v>36.123572882435617</v>
      </c>
      <c r="BD151" s="66">
        <v>71.166534665412144</v>
      </c>
    </row>
    <row r="152" spans="1:56">
      <c r="A152">
        <v>128</v>
      </c>
      <c r="B152">
        <v>261.6700371709386</v>
      </c>
      <c r="C152">
        <v>15.329962829061401</v>
      </c>
      <c r="D152">
        <v>0.30276219343273875</v>
      </c>
      <c r="F152">
        <v>42.079207920792079</v>
      </c>
      <c r="G152">
        <v>232</v>
      </c>
      <c r="V152">
        <v>66</v>
      </c>
      <c r="W152">
        <v>160</v>
      </c>
      <c r="X152">
        <v>228</v>
      </c>
      <c r="Z152">
        <v>126</v>
      </c>
      <c r="AA152">
        <v>220.89181626619327</v>
      </c>
      <c r="AB152">
        <v>-10.891816266193274</v>
      </c>
      <c r="AC152">
        <v>-0.21560446101856029</v>
      </c>
      <c r="AE152">
        <v>41.419141914191421</v>
      </c>
      <c r="AF152">
        <v>231</v>
      </c>
      <c r="AR152" s="57" t="s">
        <v>310</v>
      </c>
      <c r="AS152" s="63">
        <v>1</v>
      </c>
      <c r="AT152" s="66">
        <v>204</v>
      </c>
      <c r="AU152" s="66">
        <v>29</v>
      </c>
      <c r="AV152" s="66">
        <v>52.783888749163864</v>
      </c>
      <c r="AW152" s="66">
        <v>-23.783888749163864</v>
      </c>
      <c r="AX152" s="66">
        <v>-2.6762356823943443</v>
      </c>
      <c r="AY152" s="66">
        <v>0.65920473209515629</v>
      </c>
      <c r="AZ152" s="66">
        <v>51.486655227561329</v>
      </c>
      <c r="BA152" s="66">
        <v>54.0811222707664</v>
      </c>
      <c r="BB152" s="66">
        <v>8.9114830535470979</v>
      </c>
      <c r="BC152" s="66">
        <v>35.247190389138311</v>
      </c>
      <c r="BD152" s="66">
        <v>70.320587109189418</v>
      </c>
    </row>
    <row r="153" spans="1:56">
      <c r="A153">
        <v>129</v>
      </c>
      <c r="B153">
        <v>243.37841780262201</v>
      </c>
      <c r="C153">
        <v>-47.37841780262201</v>
      </c>
      <c r="D153">
        <v>-0.93570962012390058</v>
      </c>
      <c r="F153">
        <v>42.409240924092408</v>
      </c>
      <c r="G153">
        <v>233</v>
      </c>
      <c r="V153">
        <v>71</v>
      </c>
      <c r="W153">
        <v>112</v>
      </c>
      <c r="X153">
        <v>149</v>
      </c>
      <c r="Z153">
        <v>127</v>
      </c>
      <c r="AA153">
        <v>234.09654873512306</v>
      </c>
      <c r="AB153">
        <v>-30.096548735123065</v>
      </c>
      <c r="AC153">
        <v>-0.59576382946303141</v>
      </c>
      <c r="AE153">
        <v>41.74917491749175</v>
      </c>
      <c r="AF153">
        <v>232</v>
      </c>
      <c r="AR153" s="57" t="s">
        <v>311</v>
      </c>
      <c r="AS153" s="63">
        <v>1</v>
      </c>
      <c r="AT153" s="66">
        <v>261</v>
      </c>
      <c r="AU153" s="66">
        <v>51</v>
      </c>
      <c r="AV153" s="66">
        <v>54.918080332264765</v>
      </c>
      <c r="AW153" s="66">
        <v>-3.9180803322647648</v>
      </c>
      <c r="AX153" s="66">
        <v>-0.44087434575067475</v>
      </c>
      <c r="AY153" s="66">
        <v>0.53084781419160132</v>
      </c>
      <c r="AZ153" s="66">
        <v>53.873437377032801</v>
      </c>
      <c r="BA153" s="66">
        <v>55.962723287496729</v>
      </c>
      <c r="BB153" s="66">
        <v>8.9029084425637262</v>
      </c>
      <c r="BC153" s="66">
        <v>37.398255747958288</v>
      </c>
      <c r="BD153" s="66">
        <v>72.437904916571242</v>
      </c>
    </row>
    <row r="154" spans="1:56">
      <c r="A154">
        <v>130</v>
      </c>
      <c r="B154">
        <v>270.20612620948634</v>
      </c>
      <c r="C154">
        <v>-1.2061262094863423</v>
      </c>
      <c r="D154">
        <v>-2.3820632888198464E-2</v>
      </c>
      <c r="F154">
        <v>42.739273927392738</v>
      </c>
      <c r="G154">
        <v>233</v>
      </c>
      <c r="V154">
        <v>64</v>
      </c>
      <c r="W154">
        <v>170</v>
      </c>
      <c r="X154">
        <v>227</v>
      </c>
      <c r="Z154">
        <v>128</v>
      </c>
      <c r="AA154">
        <v>264.42961235475053</v>
      </c>
      <c r="AB154">
        <v>12.570387645249468</v>
      </c>
      <c r="AC154">
        <v>0.24883192911182075</v>
      </c>
      <c r="AE154">
        <v>42.079207920792079</v>
      </c>
      <c r="AF154">
        <v>232</v>
      </c>
      <c r="AR154" s="57" t="s">
        <v>312</v>
      </c>
      <c r="AS154" s="63">
        <v>1</v>
      </c>
      <c r="AT154" s="66">
        <v>213</v>
      </c>
      <c r="AU154" s="66">
        <v>43</v>
      </c>
      <c r="AV154" s="66">
        <v>53.120866367548217</v>
      </c>
      <c r="AW154" s="66">
        <v>-10.120866367548217</v>
      </c>
      <c r="AX154" s="66">
        <v>-1.1388307435860163</v>
      </c>
      <c r="AY154" s="66">
        <v>0.60694077993887285</v>
      </c>
      <c r="AZ154" s="66">
        <v>51.926481850826271</v>
      </c>
      <c r="BA154" s="66">
        <v>54.315250884270164</v>
      </c>
      <c r="BB154" s="66">
        <v>8.9077694427501477</v>
      </c>
      <c r="BC154" s="66">
        <v>35.591475935056309</v>
      </c>
      <c r="BD154" s="66">
        <v>70.650256800040125</v>
      </c>
    </row>
    <row r="155" spans="1:56">
      <c r="A155">
        <v>131</v>
      </c>
      <c r="B155">
        <v>245.81730038506424</v>
      </c>
      <c r="C155">
        <v>-44.817300385064243</v>
      </c>
      <c r="D155">
        <v>-0.88512831502715117</v>
      </c>
      <c r="F155">
        <v>43.069306930693067</v>
      </c>
      <c r="G155">
        <v>233</v>
      </c>
      <c r="V155">
        <v>66</v>
      </c>
      <c r="W155">
        <v>146</v>
      </c>
      <c r="X155">
        <v>278</v>
      </c>
      <c r="Z155">
        <v>129</v>
      </c>
      <c r="AA155">
        <v>244.52870915170473</v>
      </c>
      <c r="AB155">
        <v>-48.528709151704732</v>
      </c>
      <c r="AC155">
        <v>-0.96063006617689006</v>
      </c>
      <c r="AE155">
        <v>42.409240924092408</v>
      </c>
      <c r="AF155">
        <v>233</v>
      </c>
      <c r="AR155" s="57" t="s">
        <v>313</v>
      </c>
      <c r="AS155" s="63">
        <v>1</v>
      </c>
      <c r="AT155" s="66">
        <v>250</v>
      </c>
      <c r="AU155" s="66">
        <v>55</v>
      </c>
      <c r="AV155" s="66">
        <v>54.506218798683889</v>
      </c>
      <c r="AW155" s="66">
        <v>0.4937812013161107</v>
      </c>
      <c r="AX155" s="66">
        <v>5.5561766378686823E-2</v>
      </c>
      <c r="AY155" s="66">
        <v>0.51187767829155084</v>
      </c>
      <c r="AZ155" s="66">
        <v>53.498906728684936</v>
      </c>
      <c r="BA155" s="66">
        <v>55.513530868682842</v>
      </c>
      <c r="BB155" s="66">
        <v>8.9017974641290056</v>
      </c>
      <c r="BC155" s="66">
        <v>36.988580482765869</v>
      </c>
      <c r="BD155" s="66">
        <v>72.02385711460191</v>
      </c>
    </row>
    <row r="156" spans="1:56">
      <c r="A156">
        <v>132</v>
      </c>
      <c r="B156">
        <v>239.7200939289587</v>
      </c>
      <c r="C156">
        <v>31.279906071041296</v>
      </c>
      <c r="D156">
        <v>0.61776881510014348</v>
      </c>
      <c r="F156">
        <v>43.399339933993396</v>
      </c>
      <c r="G156">
        <v>233</v>
      </c>
      <c r="V156">
        <v>39</v>
      </c>
      <c r="W156">
        <v>138</v>
      </c>
      <c r="X156">
        <v>220</v>
      </c>
      <c r="Z156">
        <v>130</v>
      </c>
      <c r="AA156">
        <v>265.68553122611723</v>
      </c>
      <c r="AB156">
        <v>3.3144687738827656</v>
      </c>
      <c r="AC156">
        <v>6.5610200915150227E-2</v>
      </c>
      <c r="AE156">
        <v>42.739273927392738</v>
      </c>
      <c r="AF156">
        <v>233</v>
      </c>
      <c r="AR156" s="57" t="s">
        <v>314</v>
      </c>
      <c r="AS156" s="63">
        <v>1</v>
      </c>
      <c r="AT156" s="66">
        <v>245</v>
      </c>
      <c r="AU156" s="66">
        <v>51</v>
      </c>
      <c r="AV156" s="66">
        <v>54.319009010692582</v>
      </c>
      <c r="AW156" s="66">
        <v>-3.3190090106925823</v>
      </c>
      <c r="AX156" s="66">
        <v>-0.37346501399675897</v>
      </c>
      <c r="AY156" s="66">
        <v>0.51070102769703807</v>
      </c>
      <c r="AZ156" s="66">
        <v>53.314012443784094</v>
      </c>
      <c r="BA156" s="66">
        <v>55.324005577601071</v>
      </c>
      <c r="BB156" s="66">
        <v>8.9017298810136491</v>
      </c>
      <c r="BC156" s="66">
        <v>36.801503690001184</v>
      </c>
      <c r="BD156" s="66">
        <v>71.836514331383981</v>
      </c>
    </row>
    <row r="157" spans="1:56">
      <c r="A157">
        <v>133</v>
      </c>
      <c r="B157">
        <v>231.18400489041093</v>
      </c>
      <c r="C157">
        <v>63.815995109589068</v>
      </c>
      <c r="D157">
        <v>1.2603468691290411</v>
      </c>
      <c r="F157">
        <v>43.729372937293725</v>
      </c>
      <c r="G157">
        <v>234</v>
      </c>
      <c r="V157">
        <v>58</v>
      </c>
      <c r="W157">
        <v>130</v>
      </c>
      <c r="X157">
        <v>197</v>
      </c>
      <c r="Z157">
        <v>131</v>
      </c>
      <c r="AA157">
        <v>251.63186481606004</v>
      </c>
      <c r="AB157">
        <v>-50.631864816060045</v>
      </c>
      <c r="AC157">
        <v>-1.0022622175434996</v>
      </c>
      <c r="AE157">
        <v>43.069306930693067</v>
      </c>
      <c r="AF157">
        <v>233</v>
      </c>
      <c r="AR157" s="57" t="s">
        <v>315</v>
      </c>
      <c r="AS157" s="63">
        <v>1</v>
      </c>
      <c r="AT157" s="66">
        <v>221</v>
      </c>
      <c r="AU157" s="66">
        <v>59</v>
      </c>
      <c r="AV157" s="66">
        <v>53.420402028334308</v>
      </c>
      <c r="AW157" s="66">
        <v>5.5795979716656916</v>
      </c>
      <c r="AX157" s="66">
        <v>0.62783337673120365</v>
      </c>
      <c r="AY157" s="66">
        <v>0.56815099737592745</v>
      </c>
      <c r="AZ157" s="66">
        <v>52.302351014371659</v>
      </c>
      <c r="BA157" s="66">
        <v>54.538453042296958</v>
      </c>
      <c r="BB157" s="66">
        <v>8.9052105472391681</v>
      </c>
      <c r="BC157" s="66">
        <v>35.896047186264468</v>
      </c>
      <c r="BD157" s="66">
        <v>70.944756870404149</v>
      </c>
    </row>
    <row r="158" spans="1:56">
      <c r="A158">
        <v>134</v>
      </c>
      <c r="B158">
        <v>229.96456359918983</v>
      </c>
      <c r="C158">
        <v>5.0354364008101697</v>
      </c>
      <c r="D158">
        <v>9.9448367005185015E-2</v>
      </c>
      <c r="F158">
        <v>44.059405940594061</v>
      </c>
      <c r="G158">
        <v>234</v>
      </c>
      <c r="V158">
        <v>47</v>
      </c>
      <c r="W158">
        <v>130</v>
      </c>
      <c r="X158">
        <v>253</v>
      </c>
      <c r="Z158">
        <v>132</v>
      </c>
      <c r="AA158">
        <v>240.7927194692391</v>
      </c>
      <c r="AB158">
        <v>30.207280530760897</v>
      </c>
      <c r="AC158">
        <v>0.59795577509749964</v>
      </c>
      <c r="AE158">
        <v>43.399339933993396</v>
      </c>
      <c r="AF158">
        <v>233</v>
      </c>
      <c r="AR158" s="57" t="s">
        <v>316</v>
      </c>
      <c r="AS158" s="63">
        <v>1</v>
      </c>
      <c r="AT158" s="66">
        <v>205</v>
      </c>
      <c r="AU158" s="66">
        <v>52</v>
      </c>
      <c r="AV158" s="66">
        <v>52.821330706762126</v>
      </c>
      <c r="AW158" s="66">
        <v>-0.82133070676212583</v>
      </c>
      <c r="AX158" s="66">
        <v>-9.2418635474833422E-2</v>
      </c>
      <c r="AY158" s="66">
        <v>0.65300799341589344</v>
      </c>
      <c r="AZ158" s="66">
        <v>51.536291601777023</v>
      </c>
      <c r="BA158" s="66">
        <v>54.106369811747228</v>
      </c>
      <c r="BB158" s="66">
        <v>8.9110268080791624</v>
      </c>
      <c r="BC158" s="66">
        <v>35.285530181485427</v>
      </c>
      <c r="BD158" s="66">
        <v>70.357131232038824</v>
      </c>
    </row>
    <row r="159" spans="1:56">
      <c r="A159">
        <v>135</v>
      </c>
      <c r="B159">
        <v>229.96456359918983</v>
      </c>
      <c r="C159">
        <v>76.03543640081017</v>
      </c>
      <c r="D159">
        <v>1.5016771899592576</v>
      </c>
      <c r="F159">
        <v>44.38943894389439</v>
      </c>
      <c r="G159">
        <v>234</v>
      </c>
      <c r="V159">
        <v>35</v>
      </c>
      <c r="W159">
        <v>122</v>
      </c>
      <c r="X159">
        <v>192</v>
      </c>
      <c r="Z159">
        <v>133</v>
      </c>
      <c r="AA159">
        <v>230.17614720236949</v>
      </c>
      <c r="AB159">
        <v>64.823852797630508</v>
      </c>
      <c r="AC159">
        <v>1.2831938679465427</v>
      </c>
      <c r="AE159">
        <v>43.729372937293725</v>
      </c>
      <c r="AF159">
        <v>234</v>
      </c>
      <c r="AR159" s="57" t="s">
        <v>317</v>
      </c>
      <c r="AS159" s="63">
        <v>1</v>
      </c>
      <c r="AT159" s="66">
        <v>240</v>
      </c>
      <c r="AU159" s="66">
        <v>58</v>
      </c>
      <c r="AV159" s="66">
        <v>54.131799222701275</v>
      </c>
      <c r="AW159" s="66">
        <v>3.8682007772987248</v>
      </c>
      <c r="AX159" s="66">
        <v>0.43526174613629254</v>
      </c>
      <c r="AY159" s="66">
        <v>0.51427600752735603</v>
      </c>
      <c r="AZ159" s="66">
        <v>53.119767536884886</v>
      </c>
      <c r="BA159" s="66">
        <v>55.143830908517664</v>
      </c>
      <c r="BB159" s="66">
        <v>8.9019356966200753</v>
      </c>
      <c r="BC159" s="66">
        <v>36.613888882308217</v>
      </c>
      <c r="BD159" s="66">
        <v>71.649709563094333</v>
      </c>
    </row>
    <row r="160" spans="1:56">
      <c r="A160">
        <v>136</v>
      </c>
      <c r="B160">
        <v>239.7200939289587</v>
      </c>
      <c r="C160">
        <v>29.279906071041296</v>
      </c>
      <c r="D160">
        <v>0.57826941163664847</v>
      </c>
      <c r="F160">
        <v>44.71947194719472</v>
      </c>
      <c r="G160">
        <v>234</v>
      </c>
      <c r="V160">
        <v>58</v>
      </c>
      <c r="W160">
        <v>125</v>
      </c>
      <c r="X160">
        <v>220</v>
      </c>
      <c r="Z160">
        <v>134</v>
      </c>
      <c r="AA160">
        <v>227.03155430043108</v>
      </c>
      <c r="AB160">
        <v>7.9684456995689175</v>
      </c>
      <c r="AC160">
        <v>0.15773608351655377</v>
      </c>
      <c r="AE160">
        <v>44.059405940594061</v>
      </c>
      <c r="AF160">
        <v>234</v>
      </c>
      <c r="AR160" s="57" t="s">
        <v>318</v>
      </c>
      <c r="AS160" s="63">
        <v>1</v>
      </c>
      <c r="AT160" s="66">
        <v>250</v>
      </c>
      <c r="AU160" s="66">
        <v>41</v>
      </c>
      <c r="AV160" s="66">
        <v>54.506218798683889</v>
      </c>
      <c r="AW160" s="66">
        <v>-13.506218798683889</v>
      </c>
      <c r="AX160" s="66">
        <v>-1.5197609215412187</v>
      </c>
      <c r="AY160" s="66">
        <v>0.51187767829155084</v>
      </c>
      <c r="AZ160" s="66">
        <v>53.498906728684936</v>
      </c>
      <c r="BA160" s="66">
        <v>55.513530868682842</v>
      </c>
      <c r="BB160" s="66">
        <v>8.9017974641290056</v>
      </c>
      <c r="BC160" s="66">
        <v>36.988580482765869</v>
      </c>
      <c r="BD160" s="66">
        <v>72.02385711460191</v>
      </c>
    </row>
    <row r="161" spans="1:56">
      <c r="A161">
        <v>137</v>
      </c>
      <c r="B161">
        <v>253.13394813239086</v>
      </c>
      <c r="C161">
        <v>-75.133948132390856</v>
      </c>
      <c r="D161">
        <v>-1.4838730655433066</v>
      </c>
      <c r="F161">
        <v>45.049504950495049</v>
      </c>
      <c r="G161">
        <v>234</v>
      </c>
      <c r="V161">
        <v>56</v>
      </c>
      <c r="W161">
        <v>130</v>
      </c>
      <c r="X161">
        <v>221</v>
      </c>
      <c r="Z161">
        <v>135</v>
      </c>
      <c r="AA161">
        <v>230.28743374234514</v>
      </c>
      <c r="AB161">
        <v>75.712566257654856</v>
      </c>
      <c r="AC161">
        <v>1.4987369086440705</v>
      </c>
      <c r="AE161">
        <v>44.38943894389439</v>
      </c>
      <c r="AF161">
        <v>234</v>
      </c>
      <c r="AR161" s="57" t="s">
        <v>319</v>
      </c>
      <c r="AS161" s="63">
        <v>1</v>
      </c>
      <c r="AT161" s="66">
        <v>308</v>
      </c>
      <c r="AU161" s="66">
        <v>45</v>
      </c>
      <c r="AV161" s="66">
        <v>56.677852339383065</v>
      </c>
      <c r="AW161" s="66">
        <v>-11.677852339383065</v>
      </c>
      <c r="AX161" s="66">
        <v>-1.3140275526006207</v>
      </c>
      <c r="AY161" s="66">
        <v>0.79479070125759244</v>
      </c>
      <c r="AZ161" s="66">
        <v>55.113802371094145</v>
      </c>
      <c r="BA161" s="66">
        <v>58.241902307671985</v>
      </c>
      <c r="BB161" s="66">
        <v>8.9225372845198017</v>
      </c>
      <c r="BC161" s="66">
        <v>39.119400617654918</v>
      </c>
      <c r="BD161" s="66">
        <v>74.236304061111213</v>
      </c>
    </row>
    <row r="162" spans="1:56">
      <c r="A162">
        <v>138</v>
      </c>
      <c r="B162">
        <v>255.57283071483306</v>
      </c>
      <c r="C162">
        <v>-47.57283071483306</v>
      </c>
      <c r="D162">
        <v>-0.93954921715286921</v>
      </c>
      <c r="F162">
        <v>45.379537953795378</v>
      </c>
      <c r="G162">
        <v>234</v>
      </c>
      <c r="V162">
        <v>56</v>
      </c>
      <c r="W162">
        <v>120</v>
      </c>
      <c r="X162">
        <v>240</v>
      </c>
      <c r="Z162">
        <v>136</v>
      </c>
      <c r="AA162">
        <v>239.97874960876061</v>
      </c>
      <c r="AB162">
        <v>29.021250391239391</v>
      </c>
      <c r="AC162">
        <v>0.57447820416408213</v>
      </c>
      <c r="AE162">
        <v>44.71947194719472</v>
      </c>
      <c r="AF162">
        <v>234</v>
      </c>
      <c r="AR162" s="57" t="s">
        <v>320</v>
      </c>
      <c r="AS162" s="63">
        <v>1</v>
      </c>
      <c r="AT162" s="66">
        <v>318</v>
      </c>
      <c r="AU162" s="66">
        <v>60</v>
      </c>
      <c r="AV162" s="66">
        <v>57.052271915365679</v>
      </c>
      <c r="AW162" s="66">
        <v>2.9477280846343206</v>
      </c>
      <c r="AX162" s="66">
        <v>0.33168735211022377</v>
      </c>
      <c r="AY162" s="66">
        <v>0.87271240069055589</v>
      </c>
      <c r="AZ162" s="66">
        <v>55.33488166348473</v>
      </c>
      <c r="BA162" s="66">
        <v>58.769662167246629</v>
      </c>
      <c r="BB162" s="66">
        <v>8.9298155786757167</v>
      </c>
      <c r="BC162" s="66">
        <v>39.479497409380315</v>
      </c>
      <c r="BD162" s="66">
        <v>74.625046421351044</v>
      </c>
    </row>
    <row r="163" spans="1:56">
      <c r="A163">
        <v>139</v>
      </c>
      <c r="B163">
        <v>249.47562425872755</v>
      </c>
      <c r="C163">
        <v>-48.475624258727549</v>
      </c>
      <c r="D163">
        <v>-0.95737912037013262</v>
      </c>
      <c r="F163">
        <v>45.709570957095707</v>
      </c>
      <c r="G163">
        <v>235</v>
      </c>
      <c r="V163">
        <v>55</v>
      </c>
      <c r="W163">
        <v>132</v>
      </c>
      <c r="X163">
        <v>342</v>
      </c>
      <c r="Z163">
        <v>137</v>
      </c>
      <c r="AA163">
        <v>250.15017571572761</v>
      </c>
      <c r="AB163">
        <v>-72.150175715727613</v>
      </c>
      <c r="AC163">
        <v>-1.4282190745236201</v>
      </c>
      <c r="AE163">
        <v>45.049504950495049</v>
      </c>
      <c r="AF163">
        <v>234</v>
      </c>
      <c r="AR163" s="57" t="s">
        <v>321</v>
      </c>
      <c r="AS163" s="63">
        <v>1</v>
      </c>
      <c r="AT163" s="66">
        <v>298</v>
      </c>
      <c r="AU163" s="66">
        <v>52</v>
      </c>
      <c r="AV163" s="66">
        <v>56.303432763400444</v>
      </c>
      <c r="AW163" s="66">
        <v>-4.3034327634004441</v>
      </c>
      <c r="AX163" s="66">
        <v>-0.48423537629446961</v>
      </c>
      <c r="AY163" s="66">
        <v>0.7219609016915064</v>
      </c>
      <c r="AZ163" s="66">
        <v>54.882702848455864</v>
      </c>
      <c r="BA163" s="66">
        <v>57.724162678345024</v>
      </c>
      <c r="BB163" s="66">
        <v>8.9163449281873159</v>
      </c>
      <c r="BC163" s="66">
        <v>38.757166834372349</v>
      </c>
      <c r="BD163" s="66">
        <v>73.849698692428547</v>
      </c>
    </row>
    <row r="164" spans="1:56">
      <c r="A164">
        <v>140</v>
      </c>
      <c r="B164">
        <v>258.01171329727526</v>
      </c>
      <c r="C164">
        <v>4.9882867027247357</v>
      </c>
      <c r="D164">
        <v>9.8517174531255747E-2</v>
      </c>
      <c r="F164">
        <v>46.039603960396036</v>
      </c>
      <c r="G164">
        <v>235</v>
      </c>
      <c r="V164">
        <v>41</v>
      </c>
      <c r="W164">
        <v>120</v>
      </c>
      <c r="X164">
        <v>157</v>
      </c>
      <c r="Z164">
        <v>138</v>
      </c>
      <c r="AA164">
        <v>253.99745193816887</v>
      </c>
      <c r="AB164">
        <v>-45.997451938168865</v>
      </c>
      <c r="AC164">
        <v>-0.91052360698902457</v>
      </c>
      <c r="AE164">
        <v>45.379537953795378</v>
      </c>
      <c r="AF164">
        <v>234</v>
      </c>
      <c r="AR164" s="57" t="s">
        <v>322</v>
      </c>
      <c r="AS164" s="63">
        <v>1</v>
      </c>
      <c r="AT164" s="66">
        <v>265</v>
      </c>
      <c r="AU164" s="66">
        <v>42</v>
      </c>
      <c r="AV164" s="66">
        <v>55.067848162657818</v>
      </c>
      <c r="AW164" s="66">
        <v>-13.067848162657818</v>
      </c>
      <c r="AX164" s="66">
        <v>-1.4704341209233796</v>
      </c>
      <c r="AY164" s="66">
        <v>0.54298559048927331</v>
      </c>
      <c r="AZ164" s="66">
        <v>53.999319562307669</v>
      </c>
      <c r="BA164" s="66">
        <v>56.136376763007966</v>
      </c>
      <c r="BB164" s="66">
        <v>8.9036404176224142</v>
      </c>
      <c r="BC164" s="66">
        <v>37.546583141811865</v>
      </c>
      <c r="BD164" s="66">
        <v>72.58911318350377</v>
      </c>
    </row>
    <row r="165" spans="1:56">
      <c r="A165">
        <v>141</v>
      </c>
      <c r="B165">
        <v>242.15897651140091</v>
      </c>
      <c r="C165">
        <v>52.841023488599092</v>
      </c>
      <c r="D165">
        <v>1.0435944531000958</v>
      </c>
      <c r="F165">
        <v>46.369636963696372</v>
      </c>
      <c r="G165">
        <v>236</v>
      </c>
      <c r="V165">
        <v>38</v>
      </c>
      <c r="W165">
        <v>138</v>
      </c>
      <c r="X165">
        <v>175</v>
      </c>
      <c r="Z165">
        <v>139</v>
      </c>
      <c r="AA165">
        <v>244.78624631230497</v>
      </c>
      <c r="AB165">
        <v>-43.786246312304968</v>
      </c>
      <c r="AC165">
        <v>-0.86675259713042563</v>
      </c>
      <c r="AE165">
        <v>45.709570957095707</v>
      </c>
      <c r="AF165">
        <v>235</v>
      </c>
      <c r="AR165" s="57" t="s">
        <v>323</v>
      </c>
      <c r="AS165" s="63">
        <v>1</v>
      </c>
      <c r="AT165" s="66">
        <v>564</v>
      </c>
      <c r="AU165" s="66">
        <v>67</v>
      </c>
      <c r="AV165" s="66">
        <v>66.262993484538015</v>
      </c>
      <c r="AW165" s="66">
        <v>0.73700651546198515</v>
      </c>
      <c r="AX165" s="66">
        <v>8.2930220353718415E-2</v>
      </c>
      <c r="AY165" s="66">
        <v>3.176274711776605</v>
      </c>
      <c r="AZ165" s="66">
        <v>60.012477022316588</v>
      </c>
      <c r="BA165" s="66">
        <v>72.513509946759442</v>
      </c>
      <c r="BB165" s="66">
        <v>9.4376215425027521</v>
      </c>
      <c r="BC165" s="66">
        <v>47.690919539890508</v>
      </c>
      <c r="BD165" s="66">
        <v>84.835067429185528</v>
      </c>
    </row>
    <row r="166" spans="1:56">
      <c r="A166">
        <v>142</v>
      </c>
      <c r="B166">
        <v>232.40344618163203</v>
      </c>
      <c r="C166">
        <v>70.596553818367966</v>
      </c>
      <c r="D166">
        <v>1.3942608812020274</v>
      </c>
      <c r="F166">
        <v>46.699669966996701</v>
      </c>
      <c r="G166">
        <v>236</v>
      </c>
      <c r="V166">
        <v>38</v>
      </c>
      <c r="W166">
        <v>138</v>
      </c>
      <c r="X166">
        <v>175</v>
      </c>
      <c r="Z166">
        <v>140</v>
      </c>
      <c r="AA166">
        <v>256.2167884396531</v>
      </c>
      <c r="AB166">
        <v>6.7832115603468992</v>
      </c>
      <c r="AC166">
        <v>0.13427426947907981</v>
      </c>
      <c r="AE166">
        <v>46.039603960396036</v>
      </c>
      <c r="AF166">
        <v>235</v>
      </c>
      <c r="AR166" s="57" t="s">
        <v>324</v>
      </c>
      <c r="AS166" s="63">
        <v>1</v>
      </c>
      <c r="AT166" s="66">
        <v>277</v>
      </c>
      <c r="AU166" s="66">
        <v>68</v>
      </c>
      <c r="AV166" s="66">
        <v>55.517151653836954</v>
      </c>
      <c r="AW166" s="66">
        <v>12.482848346163046</v>
      </c>
      <c r="AX166" s="66">
        <v>1.4046081578267227</v>
      </c>
      <c r="AY166" s="66">
        <v>0.59382351106030085</v>
      </c>
      <c r="AZ166" s="66">
        <v>54.348580302695716</v>
      </c>
      <c r="BA166" s="66">
        <v>56.685723004978193</v>
      </c>
      <c r="BB166" s="66">
        <v>8.9068852971804038</v>
      </c>
      <c r="BC166" s="66">
        <v>37.98950111066199</v>
      </c>
      <c r="BD166" s="66">
        <v>73.044802197011919</v>
      </c>
    </row>
    <row r="167" spans="1:56">
      <c r="A167">
        <v>143</v>
      </c>
      <c r="B167">
        <v>231.18400489041093</v>
      </c>
      <c r="C167">
        <v>-22.184004890410932</v>
      </c>
      <c r="D167">
        <v>-0.43812747980124384</v>
      </c>
      <c r="F167">
        <v>47.029702970297031</v>
      </c>
      <c r="G167">
        <v>236</v>
      </c>
      <c r="V167">
        <v>67</v>
      </c>
      <c r="W167">
        <v>160</v>
      </c>
      <c r="X167">
        <v>286</v>
      </c>
      <c r="Z167">
        <v>141</v>
      </c>
      <c r="AA167">
        <v>240.16316145904855</v>
      </c>
      <c r="AB167">
        <v>54.836838540951447</v>
      </c>
      <c r="AC167">
        <v>1.0855000422914636</v>
      </c>
      <c r="AE167">
        <v>46.369636963696372</v>
      </c>
      <c r="AF167">
        <v>236</v>
      </c>
      <c r="AR167" s="57" t="s">
        <v>325</v>
      </c>
      <c r="AS167" s="63">
        <v>1</v>
      </c>
      <c r="AT167" s="66">
        <v>197</v>
      </c>
      <c r="AU167" s="66">
        <v>46</v>
      </c>
      <c r="AV167" s="66">
        <v>52.521795045976035</v>
      </c>
      <c r="AW167" s="66">
        <v>-6.5217950459760345</v>
      </c>
      <c r="AX167" s="66">
        <v>-0.73385226442069218</v>
      </c>
      <c r="AY167" s="66">
        <v>0.70492733182647549</v>
      </c>
      <c r="AZ167" s="66">
        <v>51.134585093412866</v>
      </c>
      <c r="BA167" s="66">
        <v>53.909004998539203</v>
      </c>
      <c r="BB167" s="66">
        <v>8.9149818776033669</v>
      </c>
      <c r="BC167" s="66">
        <v>34.978211432203054</v>
      </c>
      <c r="BD167" s="66">
        <v>70.065378659749015</v>
      </c>
    </row>
    <row r="168" spans="1:56">
      <c r="A168">
        <v>144</v>
      </c>
      <c r="B168">
        <v>261.6700371709386</v>
      </c>
      <c r="C168">
        <v>-38.670037170938599</v>
      </c>
      <c r="D168">
        <v>-0.76372170008162632</v>
      </c>
      <c r="F168">
        <v>47.35973597359736</v>
      </c>
      <c r="G168">
        <v>237</v>
      </c>
      <c r="V168">
        <v>67</v>
      </c>
      <c r="W168">
        <v>120</v>
      </c>
      <c r="X168">
        <v>229</v>
      </c>
      <c r="Z168">
        <v>142</v>
      </c>
      <c r="AA168">
        <v>230.26835312751348</v>
      </c>
      <c r="AB168">
        <v>72.731646872486522</v>
      </c>
      <c r="AC168">
        <v>1.4397293472170705</v>
      </c>
      <c r="AE168">
        <v>46.699669966996701</v>
      </c>
      <c r="AF168">
        <v>236</v>
      </c>
      <c r="AR168" s="57" t="s">
        <v>326</v>
      </c>
      <c r="AS168" s="63">
        <v>1</v>
      </c>
      <c r="AT168" s="66">
        <v>214</v>
      </c>
      <c r="AU168" s="66">
        <v>54</v>
      </c>
      <c r="AV168" s="66">
        <v>53.158308325146479</v>
      </c>
      <c r="AW168" s="66">
        <v>0.84169167485352148</v>
      </c>
      <c r="AX168" s="66">
        <v>9.4709713687861186E-2</v>
      </c>
      <c r="AY168" s="66">
        <v>0.60166266913141753</v>
      </c>
      <c r="AZ168" s="66">
        <v>51.97431047881205</v>
      </c>
      <c r="BA168" s="66">
        <v>54.342306171480907</v>
      </c>
      <c r="BB168" s="66">
        <v>8.9074113693186305</v>
      </c>
      <c r="BC168" s="66">
        <v>35.62962253695693</v>
      </c>
      <c r="BD168" s="66">
        <v>70.686994113336027</v>
      </c>
    </row>
    <row r="169" spans="1:56">
      <c r="A169">
        <v>145</v>
      </c>
      <c r="B169">
        <v>272.6450087919286</v>
      </c>
      <c r="C169">
        <v>-75.645008791928603</v>
      </c>
      <c r="D169">
        <v>-1.4939663611360072</v>
      </c>
      <c r="F169">
        <v>47.689768976897689</v>
      </c>
      <c r="G169">
        <v>239</v>
      </c>
      <c r="V169">
        <v>62</v>
      </c>
      <c r="W169">
        <v>140</v>
      </c>
      <c r="X169">
        <v>268</v>
      </c>
      <c r="Z169">
        <v>143</v>
      </c>
      <c r="AA169">
        <v>230.17614720236949</v>
      </c>
      <c r="AB169">
        <v>-21.176147202369492</v>
      </c>
      <c r="AC169">
        <v>-0.41918369649585407</v>
      </c>
      <c r="AE169">
        <v>47.029702970297031</v>
      </c>
      <c r="AF169">
        <v>236</v>
      </c>
      <c r="AR169" s="57" t="s">
        <v>327</v>
      </c>
      <c r="AS169" s="63">
        <v>1</v>
      </c>
      <c r="AT169" s="66">
        <v>248</v>
      </c>
      <c r="AU169" s="66">
        <v>58</v>
      </c>
      <c r="AV169" s="66">
        <v>54.431334883487366</v>
      </c>
      <c r="AW169" s="66">
        <v>3.5686651165126335</v>
      </c>
      <c r="AX169" s="66">
        <v>0.40155708025933462</v>
      </c>
      <c r="AY169" s="66">
        <v>0.51083595369534918</v>
      </c>
      <c r="AZ169" s="66">
        <v>53.426072798873342</v>
      </c>
      <c r="BA169" s="66">
        <v>55.436596968101391</v>
      </c>
      <c r="BB169" s="66">
        <v>8.9017376228705096</v>
      </c>
      <c r="BC169" s="66">
        <v>36.913814327777544</v>
      </c>
      <c r="BD169" s="66">
        <v>71.948855439197189</v>
      </c>
    </row>
    <row r="170" spans="1:56">
      <c r="A170">
        <v>146</v>
      </c>
      <c r="B170">
        <v>265.32836104460193</v>
      </c>
      <c r="C170">
        <v>-20.328361044601934</v>
      </c>
      <c r="D170">
        <v>-0.40147906732616323</v>
      </c>
      <c r="F170">
        <v>48.019801980198018</v>
      </c>
      <c r="G170">
        <v>239</v>
      </c>
      <c r="V170">
        <v>63</v>
      </c>
      <c r="W170">
        <v>130</v>
      </c>
      <c r="X170">
        <v>254</v>
      </c>
      <c r="Z170">
        <v>144</v>
      </c>
      <c r="AA170">
        <v>255.06895895924765</v>
      </c>
      <c r="AB170">
        <v>-32.068958959247652</v>
      </c>
      <c r="AC170">
        <v>-0.63480786334008366</v>
      </c>
      <c r="AE170">
        <v>47.35973597359736</v>
      </c>
      <c r="AF170">
        <v>237</v>
      </c>
      <c r="AR170" s="57" t="s">
        <v>328</v>
      </c>
      <c r="AS170" s="63">
        <v>1</v>
      </c>
      <c r="AT170" s="66">
        <v>255</v>
      </c>
      <c r="AU170" s="66">
        <v>48</v>
      </c>
      <c r="AV170" s="66">
        <v>54.693428586675196</v>
      </c>
      <c r="AW170" s="66">
        <v>-6.6934285866751964</v>
      </c>
      <c r="AX170" s="66">
        <v>-0.75316499375436463</v>
      </c>
      <c r="AY170" s="66">
        <v>0.51777356580390421</v>
      </c>
      <c r="AZ170" s="66">
        <v>53.674514138009584</v>
      </c>
      <c r="BA170" s="66">
        <v>55.712343035340808</v>
      </c>
      <c r="BB170" s="66">
        <v>8.9021384397393959</v>
      </c>
      <c r="BC170" s="66">
        <v>37.175119272855746</v>
      </c>
      <c r="BD170" s="66">
        <v>72.211737900494654</v>
      </c>
    </row>
    <row r="171" spans="1:56">
      <c r="A171">
        <v>147</v>
      </c>
      <c r="B171">
        <v>233.62288747285317</v>
      </c>
      <c r="C171">
        <v>8.377112527146835</v>
      </c>
      <c r="D171">
        <v>0.16544547378443553</v>
      </c>
      <c r="F171">
        <v>48.349834983498347</v>
      </c>
      <c r="G171">
        <v>239</v>
      </c>
      <c r="V171">
        <v>53</v>
      </c>
      <c r="W171">
        <v>140</v>
      </c>
      <c r="X171">
        <v>203</v>
      </c>
      <c r="Z171">
        <v>145</v>
      </c>
      <c r="AA171">
        <v>271.97471702999405</v>
      </c>
      <c r="AB171">
        <v>-74.974717029994054</v>
      </c>
      <c r="AC171">
        <v>-1.4841311182823158</v>
      </c>
      <c r="AE171">
        <v>47.689768976897689</v>
      </c>
      <c r="AF171">
        <v>239</v>
      </c>
      <c r="AR171" s="57" t="s">
        <v>329</v>
      </c>
      <c r="AS171" s="63">
        <v>1</v>
      </c>
      <c r="AT171" s="66">
        <v>207</v>
      </c>
      <c r="AU171" s="66">
        <v>57</v>
      </c>
      <c r="AV171" s="66">
        <v>52.896214621958649</v>
      </c>
      <c r="AW171" s="66">
        <v>4.1037853780413514</v>
      </c>
      <c r="AX171" s="66">
        <v>0.46177044374160769</v>
      </c>
      <c r="AY171" s="66">
        <v>0.64089052073676167</v>
      </c>
      <c r="AZ171" s="66">
        <v>51.635021207077301</v>
      </c>
      <c r="BA171" s="66">
        <v>54.157408036839996</v>
      </c>
      <c r="BB171" s="66">
        <v>8.9101470242870118</v>
      </c>
      <c r="BC171" s="66">
        <v>35.362145402559129</v>
      </c>
      <c r="BD171" s="66">
        <v>70.430283841358175</v>
      </c>
    </row>
    <row r="172" spans="1:56">
      <c r="A172">
        <v>148</v>
      </c>
      <c r="B172">
        <v>253.13394813239086</v>
      </c>
      <c r="C172">
        <v>-13.133948132390856</v>
      </c>
      <c r="D172">
        <v>-0.25939155817496157</v>
      </c>
      <c r="F172">
        <v>48.679867986798676</v>
      </c>
      <c r="G172">
        <v>239</v>
      </c>
      <c r="V172">
        <v>56</v>
      </c>
      <c r="W172">
        <v>130</v>
      </c>
      <c r="X172">
        <v>256</v>
      </c>
      <c r="Z172">
        <v>146</v>
      </c>
      <c r="AA172">
        <v>268.57258696745538</v>
      </c>
      <c r="AB172">
        <v>-23.572586967455379</v>
      </c>
      <c r="AC172">
        <v>-0.46662143243329385</v>
      </c>
      <c r="AE172">
        <v>48.019801980198018</v>
      </c>
      <c r="AF172">
        <v>239</v>
      </c>
      <c r="AR172" s="57" t="s">
        <v>330</v>
      </c>
      <c r="AS172" s="63">
        <v>1</v>
      </c>
      <c r="AT172" s="66">
        <v>223</v>
      </c>
      <c r="AU172" s="66">
        <v>52</v>
      </c>
      <c r="AV172" s="66">
        <v>53.495285943530831</v>
      </c>
      <c r="AW172" s="66">
        <v>-1.4952859435308312</v>
      </c>
      <c r="AX172" s="66">
        <v>-0.16825413369798867</v>
      </c>
      <c r="AY172" s="66">
        <v>0.55977420734953132</v>
      </c>
      <c r="AZ172" s="66">
        <v>52.393719418068635</v>
      </c>
      <c r="BA172" s="66">
        <v>54.596852468993028</v>
      </c>
      <c r="BB172" s="66">
        <v>8.9046800334461356</v>
      </c>
      <c r="BC172" s="66">
        <v>35.971975087103829</v>
      </c>
      <c r="BD172" s="66">
        <v>71.018596799957834</v>
      </c>
    </row>
    <row r="173" spans="1:56">
      <c r="A173">
        <v>149</v>
      </c>
      <c r="B173">
        <v>233.62288747285317</v>
      </c>
      <c r="C173">
        <v>-7.622887472853165</v>
      </c>
      <c r="D173">
        <v>-0.15054975392352449</v>
      </c>
      <c r="F173">
        <v>49.009900990099005</v>
      </c>
      <c r="G173">
        <v>240</v>
      </c>
      <c r="V173">
        <v>48</v>
      </c>
      <c r="W173">
        <v>110</v>
      </c>
      <c r="X173">
        <v>229</v>
      </c>
      <c r="Z173">
        <v>147</v>
      </c>
      <c r="AA173">
        <v>231.98849877361448</v>
      </c>
      <c r="AB173">
        <v>10.011501226385519</v>
      </c>
      <c r="AC173">
        <v>0.19817854737425869</v>
      </c>
      <c r="AE173">
        <v>48.349834983498347</v>
      </c>
      <c r="AF173">
        <v>239</v>
      </c>
      <c r="AR173" s="57" t="s">
        <v>331</v>
      </c>
      <c r="AS173" s="63">
        <v>1</v>
      </c>
      <c r="AT173" s="66">
        <v>288</v>
      </c>
      <c r="AU173" s="66">
        <v>54</v>
      </c>
      <c r="AV173" s="66">
        <v>55.92901318741783</v>
      </c>
      <c r="AW173" s="66">
        <v>-1.92901318741783</v>
      </c>
      <c r="AX173" s="66">
        <v>-0.21705844567400004</v>
      </c>
      <c r="AY173" s="66">
        <v>0.65592132806923298</v>
      </c>
      <c r="AZ173" s="66">
        <v>54.638240999540642</v>
      </c>
      <c r="BA173" s="66">
        <v>57.219785375295018</v>
      </c>
      <c r="BB173" s="66">
        <v>8.9112407735094088</v>
      </c>
      <c r="BC173" s="66">
        <v>38.392791604592446</v>
      </c>
      <c r="BD173" s="66">
        <v>73.465234770243214</v>
      </c>
    </row>
    <row r="174" spans="1:56">
      <c r="A174">
        <v>150</v>
      </c>
      <c r="B174">
        <v>231.18400489041093</v>
      </c>
      <c r="C174">
        <v>-51.184004890410932</v>
      </c>
      <c r="D174">
        <v>-1.0108688300219213</v>
      </c>
      <c r="F174">
        <v>49.339933993399342</v>
      </c>
      <c r="G174">
        <v>240</v>
      </c>
      <c r="V174">
        <v>58</v>
      </c>
      <c r="W174">
        <v>120</v>
      </c>
      <c r="X174">
        <v>284</v>
      </c>
      <c r="Z174">
        <v>148</v>
      </c>
      <c r="AA174">
        <v>256.25494966931643</v>
      </c>
      <c r="AB174">
        <v>-16.254949669316431</v>
      </c>
      <c r="AC174">
        <v>-0.32176815846726337</v>
      </c>
      <c r="AE174">
        <v>48.679867986798676</v>
      </c>
      <c r="AF174">
        <v>239</v>
      </c>
      <c r="AR174" s="57" t="s">
        <v>332</v>
      </c>
      <c r="AS174" s="63">
        <v>1</v>
      </c>
      <c r="AT174" s="66">
        <v>160</v>
      </c>
      <c r="AU174" s="66">
        <v>45</v>
      </c>
      <c r="AV174" s="66">
        <v>51.136442614840355</v>
      </c>
      <c r="AW174" s="66">
        <v>-6.1364426148403552</v>
      </c>
      <c r="AX174" s="66">
        <v>-0.69049123387689726</v>
      </c>
      <c r="AY174" s="66">
        <v>0.99251539889871387</v>
      </c>
      <c r="AZ174" s="66">
        <v>49.183294854407912</v>
      </c>
      <c r="BA174" s="66">
        <v>53.089590375272799</v>
      </c>
      <c r="BB174" s="66">
        <v>8.9423188352849241</v>
      </c>
      <c r="BC174" s="66">
        <v>33.539063243609078</v>
      </c>
      <c r="BD174" s="66">
        <v>68.733821986071632</v>
      </c>
    </row>
    <row r="175" spans="1:56">
      <c r="A175">
        <v>151</v>
      </c>
      <c r="B175">
        <v>260.45059587971753</v>
      </c>
      <c r="C175">
        <v>-32.450595879717525</v>
      </c>
      <c r="D175">
        <v>-0.64088958964189557</v>
      </c>
      <c r="F175">
        <v>49.669966996699671</v>
      </c>
      <c r="G175">
        <v>240</v>
      </c>
      <c r="V175">
        <v>58</v>
      </c>
      <c r="W175">
        <v>132</v>
      </c>
      <c r="X175">
        <v>224</v>
      </c>
      <c r="Z175">
        <v>149</v>
      </c>
      <c r="AA175">
        <v>232.39548370385373</v>
      </c>
      <c r="AB175">
        <v>-6.3954837038537278</v>
      </c>
      <c r="AC175">
        <v>-0.12659916245578542</v>
      </c>
      <c r="AE175">
        <v>49.009900990099005</v>
      </c>
      <c r="AF175">
        <v>240</v>
      </c>
      <c r="AR175" s="57" t="s">
        <v>333</v>
      </c>
      <c r="AS175" s="63">
        <v>1</v>
      </c>
      <c r="AT175" s="66">
        <v>226</v>
      </c>
      <c r="AU175" s="66">
        <v>53</v>
      </c>
      <c r="AV175" s="66">
        <v>53.607611816325615</v>
      </c>
      <c r="AW175" s="66">
        <v>-0.60761181632561545</v>
      </c>
      <c r="AX175" s="66">
        <v>-6.8370334264711743E-2</v>
      </c>
      <c r="AY175" s="66">
        <v>0.54830176119226526</v>
      </c>
      <c r="AZ175" s="66">
        <v>52.528621648412738</v>
      </c>
      <c r="BA175" s="66">
        <v>54.686601984238493</v>
      </c>
      <c r="BB175" s="66">
        <v>8.9039662036738996</v>
      </c>
      <c r="BC175" s="66">
        <v>36.085705688754729</v>
      </c>
      <c r="BD175" s="66">
        <v>71.129517943896502</v>
      </c>
    </row>
    <row r="176" spans="1:56">
      <c r="A176">
        <v>152</v>
      </c>
      <c r="B176">
        <v>266.54780233582301</v>
      </c>
      <c r="C176">
        <v>-117.54780233582301</v>
      </c>
      <c r="D176">
        <v>-2.3215340353549165</v>
      </c>
      <c r="F176">
        <v>50</v>
      </c>
      <c r="G176">
        <v>240</v>
      </c>
      <c r="V176">
        <v>60</v>
      </c>
      <c r="W176">
        <v>130</v>
      </c>
      <c r="X176">
        <v>206</v>
      </c>
      <c r="Z176">
        <v>150</v>
      </c>
      <c r="AA176">
        <v>232.21107185356578</v>
      </c>
      <c r="AB176">
        <v>-52.211071853565784</v>
      </c>
      <c r="AC176">
        <v>-1.0335227597558174</v>
      </c>
      <c r="AE176">
        <v>49.339933993399342</v>
      </c>
      <c r="AF176">
        <v>240</v>
      </c>
      <c r="AR176" s="57" t="s">
        <v>334</v>
      </c>
      <c r="AS176" s="63">
        <v>1</v>
      </c>
      <c r="AT176" s="66">
        <v>394</v>
      </c>
      <c r="AU176" s="66">
        <v>62</v>
      </c>
      <c r="AV176" s="66">
        <v>59.897860692833554</v>
      </c>
      <c r="AW176" s="66">
        <v>2.1021393071664463</v>
      </c>
      <c r="AX176" s="66">
        <v>0.23653912455339529</v>
      </c>
      <c r="AY176" s="66">
        <v>1.5444768596993392</v>
      </c>
      <c r="AZ176" s="66">
        <v>56.85852092751739</v>
      </c>
      <c r="BA176" s="66">
        <v>62.937200458149718</v>
      </c>
      <c r="BB176" s="66">
        <v>9.0202764982558712</v>
      </c>
      <c r="BC176" s="66">
        <v>42.147070266207876</v>
      </c>
      <c r="BD176" s="66">
        <v>77.648651119459231</v>
      </c>
    </row>
    <row r="177" spans="1:56">
      <c r="A177">
        <v>153</v>
      </c>
      <c r="B177">
        <v>258.01171329727526</v>
      </c>
      <c r="C177">
        <v>-31.011713297275264</v>
      </c>
      <c r="D177">
        <v>-0.6124720878116543</v>
      </c>
      <c r="F177">
        <v>50.330033003300329</v>
      </c>
      <c r="G177">
        <v>241</v>
      </c>
      <c r="V177">
        <v>40</v>
      </c>
      <c r="W177">
        <v>110</v>
      </c>
      <c r="X177">
        <v>167</v>
      </c>
      <c r="Z177">
        <v>151</v>
      </c>
      <c r="AA177">
        <v>264.94788382496546</v>
      </c>
      <c r="AB177">
        <v>-36.947883824965459</v>
      </c>
      <c r="AC177">
        <v>-0.73138661020052698</v>
      </c>
      <c r="AE177">
        <v>49.669966996699671</v>
      </c>
      <c r="AF177">
        <v>240</v>
      </c>
      <c r="AR177" s="57" t="s">
        <v>335</v>
      </c>
      <c r="AS177" s="63">
        <v>1</v>
      </c>
      <c r="AT177" s="66">
        <v>233</v>
      </c>
      <c r="AU177" s="66">
        <v>52</v>
      </c>
      <c r="AV177" s="66">
        <v>53.869705519513445</v>
      </c>
      <c r="AW177" s="66">
        <v>-1.8697055195134453</v>
      </c>
      <c r="AX177" s="66">
        <v>-0.21038496604418602</v>
      </c>
      <c r="AY177" s="66">
        <v>0.52705519289159908</v>
      </c>
      <c r="AZ177" s="66">
        <v>52.832525974729812</v>
      </c>
      <c r="BA177" s="66">
        <v>54.906885064297079</v>
      </c>
      <c r="BB177" s="66">
        <v>8.9026831074229786</v>
      </c>
      <c r="BC177" s="66">
        <v>36.350324366942118</v>
      </c>
      <c r="BD177" s="66">
        <v>71.389086672084773</v>
      </c>
    </row>
    <row r="178" spans="1:56">
      <c r="A178">
        <v>154</v>
      </c>
      <c r="B178">
        <v>260.45059587971753</v>
      </c>
      <c r="C178">
        <v>17.549404120282475</v>
      </c>
      <c r="D178">
        <v>0.34659549694547953</v>
      </c>
      <c r="F178">
        <v>50.660066006600658</v>
      </c>
      <c r="G178">
        <v>242</v>
      </c>
      <c r="V178">
        <v>60</v>
      </c>
      <c r="W178">
        <v>117</v>
      </c>
      <c r="X178">
        <v>230</v>
      </c>
      <c r="Z178">
        <v>152</v>
      </c>
      <c r="AA178">
        <v>260.72858675293389</v>
      </c>
      <c r="AB178">
        <v>-111.72858675293389</v>
      </c>
      <c r="AC178">
        <v>-2.2116772022680307</v>
      </c>
      <c r="AE178">
        <v>50</v>
      </c>
      <c r="AF178">
        <v>240</v>
      </c>
      <c r="AR178" s="57" t="s">
        <v>336</v>
      </c>
      <c r="AS178" s="63">
        <v>1</v>
      </c>
      <c r="AT178" s="66">
        <v>315</v>
      </c>
      <c r="AU178" s="66">
        <v>43</v>
      </c>
      <c r="AV178" s="66">
        <v>56.939946042570895</v>
      </c>
      <c r="AW178" s="66">
        <v>-13.939946042570895</v>
      </c>
      <c r="AX178" s="66">
        <v>-1.5685652335172309</v>
      </c>
      <c r="AY178" s="66">
        <v>0.84888290466688898</v>
      </c>
      <c r="AZ178" s="66">
        <v>55.26944929666729</v>
      </c>
      <c r="BA178" s="66">
        <v>58.610442788474501</v>
      </c>
      <c r="BB178" s="66">
        <v>8.9275182173253587</v>
      </c>
      <c r="BC178" s="66">
        <v>39.371692460070776</v>
      </c>
      <c r="BD178" s="66">
        <v>74.508199625071015</v>
      </c>
    </row>
    <row r="179" spans="1:56">
      <c r="A179">
        <v>155</v>
      </c>
      <c r="B179">
        <v>227.52568101674763</v>
      </c>
      <c r="C179">
        <v>-7.525681016747626</v>
      </c>
      <c r="D179">
        <v>-0.14862995540903989</v>
      </c>
      <c r="F179">
        <v>50.990099009900987</v>
      </c>
      <c r="G179">
        <v>243</v>
      </c>
      <c r="V179">
        <v>64</v>
      </c>
      <c r="W179">
        <v>140</v>
      </c>
      <c r="X179">
        <v>335</v>
      </c>
      <c r="Z179">
        <v>153</v>
      </c>
      <c r="AA179">
        <v>264.76347197467749</v>
      </c>
      <c r="AB179">
        <v>-37.763471974677486</v>
      </c>
      <c r="AC179">
        <v>-0.74753124936209492</v>
      </c>
      <c r="AE179">
        <v>50.330033003300329</v>
      </c>
      <c r="AF179">
        <v>241</v>
      </c>
      <c r="AR179" s="57" t="s">
        <v>337</v>
      </c>
      <c r="AS179" s="63">
        <v>1</v>
      </c>
      <c r="AT179" s="66">
        <v>246</v>
      </c>
      <c r="AU179" s="66">
        <v>53</v>
      </c>
      <c r="AV179" s="66">
        <v>54.356450968290844</v>
      </c>
      <c r="AW179" s="66">
        <v>-1.3564509682908437</v>
      </c>
      <c r="AX179" s="66">
        <v>-0.15263199895710647</v>
      </c>
      <c r="AY179" s="66">
        <v>0.51055536825470171</v>
      </c>
      <c r="AZ179" s="66">
        <v>53.351741041180489</v>
      </c>
      <c r="BA179" s="66">
        <v>55.361160895401198</v>
      </c>
      <c r="BB179" s="66">
        <v>8.901721525575498</v>
      </c>
      <c r="BC179" s="66">
        <v>36.838962090070083</v>
      </c>
      <c r="BD179" s="66">
        <v>71.873939846511604</v>
      </c>
    </row>
    <row r="180" spans="1:56">
      <c r="A180">
        <v>156</v>
      </c>
      <c r="B180">
        <v>250.69506554994865</v>
      </c>
      <c r="C180">
        <v>-53.695065549948652</v>
      </c>
      <c r="D180">
        <v>-1.0604615290781165</v>
      </c>
      <c r="F180">
        <v>51.320132013201317</v>
      </c>
      <c r="G180">
        <v>243</v>
      </c>
      <c r="V180">
        <v>43</v>
      </c>
      <c r="W180">
        <v>120</v>
      </c>
      <c r="X180">
        <v>177</v>
      </c>
      <c r="Z180">
        <v>154</v>
      </c>
      <c r="AA180">
        <v>262.09898931329064</v>
      </c>
      <c r="AB180">
        <v>15.901010686709355</v>
      </c>
      <c r="AC180">
        <v>0.31476190517456737</v>
      </c>
      <c r="AE180">
        <v>50.660066006600658</v>
      </c>
      <c r="AF180">
        <v>242</v>
      </c>
      <c r="AR180" s="57" t="s">
        <v>338</v>
      </c>
      <c r="AS180" s="63">
        <v>1</v>
      </c>
      <c r="AT180" s="66">
        <v>244</v>
      </c>
      <c r="AU180" s="66">
        <v>42</v>
      </c>
      <c r="AV180" s="66">
        <v>54.281567053094321</v>
      </c>
      <c r="AW180" s="66">
        <v>-12.281567053094321</v>
      </c>
      <c r="AX180" s="66">
        <v>-1.3819593729963642</v>
      </c>
      <c r="AY180" s="66">
        <v>0.51103717568364804</v>
      </c>
      <c r="AZ180" s="66">
        <v>53.275908988451945</v>
      </c>
      <c r="BA180" s="66">
        <v>55.287225117736696</v>
      </c>
      <c r="BB180" s="66">
        <v>8.9017491724812814</v>
      </c>
      <c r="BC180" s="66">
        <v>36.764023769176511</v>
      </c>
      <c r="BD180" s="66">
        <v>71.799110337012138</v>
      </c>
    </row>
    <row r="181" spans="1:56">
      <c r="A181">
        <v>157</v>
      </c>
      <c r="B181">
        <v>237.28121134651647</v>
      </c>
      <c r="C181">
        <v>15.718788653483529</v>
      </c>
      <c r="D181">
        <v>0.31044138749067662</v>
      </c>
      <c r="F181">
        <v>51.650165016501653</v>
      </c>
      <c r="G181">
        <v>243</v>
      </c>
      <c r="V181">
        <v>57</v>
      </c>
      <c r="W181">
        <v>150</v>
      </c>
      <c r="X181">
        <v>276</v>
      </c>
      <c r="Z181">
        <v>155</v>
      </c>
      <c r="AA181">
        <v>230.51000682229642</v>
      </c>
      <c r="AB181">
        <v>-10.510006822296418</v>
      </c>
      <c r="AC181">
        <v>-0.20804650949318546</v>
      </c>
      <c r="AE181">
        <v>50.990099009900987</v>
      </c>
      <c r="AF181">
        <v>243</v>
      </c>
      <c r="AR181" s="57" t="s">
        <v>339</v>
      </c>
      <c r="AS181" s="63">
        <v>1</v>
      </c>
      <c r="AT181" s="66">
        <v>270</v>
      </c>
      <c r="AU181" s="66">
        <v>59</v>
      </c>
      <c r="AV181" s="66">
        <v>55.255057950649125</v>
      </c>
      <c r="AW181" s="66">
        <v>3.7449420493508754</v>
      </c>
      <c r="AX181" s="66">
        <v>0.42139229823483576</v>
      </c>
      <c r="AY181" s="66">
        <v>0.56169967918856611</v>
      </c>
      <c r="AZ181" s="66">
        <v>54.149702334343239</v>
      </c>
      <c r="BA181" s="66">
        <v>56.36041356695501</v>
      </c>
      <c r="BB181" s="66">
        <v>8.904801281580685</v>
      </c>
      <c r="BC181" s="66">
        <v>37.731508492863675</v>
      </c>
      <c r="BD181" s="66">
        <v>72.778607408434567</v>
      </c>
    </row>
    <row r="182" spans="1:56">
      <c r="A182">
        <v>158</v>
      </c>
      <c r="B182">
        <v>222.64791585186319</v>
      </c>
      <c r="C182">
        <v>-30.647915851863189</v>
      </c>
      <c r="D182">
        <v>-0.60528719677399412</v>
      </c>
      <c r="F182">
        <v>51.980198019801982</v>
      </c>
      <c r="G182">
        <v>243</v>
      </c>
      <c r="V182">
        <v>55</v>
      </c>
      <c r="W182">
        <v>132</v>
      </c>
      <c r="X182">
        <v>353</v>
      </c>
      <c r="Z182">
        <v>156</v>
      </c>
      <c r="AA182">
        <v>249.96576386543967</v>
      </c>
      <c r="AB182">
        <v>-52.965763865439669</v>
      </c>
      <c r="AC182">
        <v>-1.0484619545125382</v>
      </c>
      <c r="AE182">
        <v>51.320132013201317</v>
      </c>
      <c r="AF182">
        <v>243</v>
      </c>
      <c r="AR182" s="57" t="s">
        <v>340</v>
      </c>
      <c r="AS182" s="63">
        <v>1</v>
      </c>
      <c r="AT182" s="66">
        <v>195</v>
      </c>
      <c r="AU182" s="66">
        <v>63</v>
      </c>
      <c r="AV182" s="66">
        <v>52.446911130779505</v>
      </c>
      <c r="AW182" s="66">
        <v>10.553088869220495</v>
      </c>
      <c r="AX182" s="66">
        <v>1.1874657373798621</v>
      </c>
      <c r="AY182" s="66">
        <v>0.71867608496919599</v>
      </c>
      <c r="AZ182" s="66">
        <v>51.03264532957234</v>
      </c>
      <c r="BA182" s="66">
        <v>53.86117693198667</v>
      </c>
      <c r="BB182" s="66">
        <v>8.9160795560575341</v>
      </c>
      <c r="BC182" s="66">
        <v>34.901167421337661</v>
      </c>
      <c r="BD182" s="66">
        <v>69.992654840221348</v>
      </c>
    </row>
    <row r="183" spans="1:56">
      <c r="A183">
        <v>159</v>
      </c>
      <c r="B183">
        <v>250.69506554994865</v>
      </c>
      <c r="C183">
        <v>-30.695065549948652</v>
      </c>
      <c r="D183">
        <v>-0.60621838924792393</v>
      </c>
      <c r="F183">
        <v>52.310231023102311</v>
      </c>
      <c r="G183">
        <v>244</v>
      </c>
      <c r="V183">
        <v>65</v>
      </c>
      <c r="W183">
        <v>150</v>
      </c>
      <c r="X183">
        <v>225</v>
      </c>
      <c r="Z183">
        <v>157</v>
      </c>
      <c r="AA183">
        <v>237.75941310727637</v>
      </c>
      <c r="AB183">
        <v>15.240586892723627</v>
      </c>
      <c r="AC183">
        <v>0.30168875808264606</v>
      </c>
      <c r="AE183">
        <v>51.650165016501653</v>
      </c>
      <c r="AF183">
        <v>243</v>
      </c>
      <c r="AR183" s="57" t="s">
        <v>341</v>
      </c>
      <c r="AS183" s="63">
        <v>1</v>
      </c>
      <c r="AT183" s="66">
        <v>240</v>
      </c>
      <c r="AU183" s="66">
        <v>42</v>
      </c>
      <c r="AV183" s="66">
        <v>54.131799222701275</v>
      </c>
      <c r="AW183" s="66">
        <v>-12.131799222701275</v>
      </c>
      <c r="AX183" s="66">
        <v>-1.3651070400578853</v>
      </c>
      <c r="AY183" s="66">
        <v>0.51427600752735603</v>
      </c>
      <c r="AZ183" s="66">
        <v>53.119767536884886</v>
      </c>
      <c r="BA183" s="66">
        <v>55.143830908517664</v>
      </c>
      <c r="BB183" s="66">
        <v>8.9019356966200753</v>
      </c>
      <c r="BC183" s="66">
        <v>36.613888882308217</v>
      </c>
      <c r="BD183" s="66">
        <v>71.649709563094333</v>
      </c>
    </row>
    <row r="184" spans="1:56">
      <c r="A184">
        <v>160</v>
      </c>
      <c r="B184">
        <v>248.25618296750645</v>
      </c>
      <c r="C184">
        <v>-27.256182967506447</v>
      </c>
      <c r="D184">
        <v>-0.53830148395418886</v>
      </c>
      <c r="F184">
        <v>52.64026402640264</v>
      </c>
      <c r="G184">
        <v>244</v>
      </c>
      <c r="V184">
        <v>61</v>
      </c>
      <c r="W184">
        <v>130</v>
      </c>
      <c r="X184">
        <v>330</v>
      </c>
      <c r="Z184">
        <v>158</v>
      </c>
      <c r="AA184">
        <v>222.81545437741389</v>
      </c>
      <c r="AB184">
        <v>-30.815454377413886</v>
      </c>
      <c r="AC184">
        <v>-0.6099946298861354</v>
      </c>
      <c r="AE184">
        <v>51.980198019801982</v>
      </c>
      <c r="AF184">
        <v>243</v>
      </c>
      <c r="AR184" s="57" t="s">
        <v>342</v>
      </c>
      <c r="AS184" s="63">
        <v>1</v>
      </c>
      <c r="AT184" s="66">
        <v>196</v>
      </c>
      <c r="AU184" s="66">
        <v>50</v>
      </c>
      <c r="AV184" s="66">
        <v>52.484353088377773</v>
      </c>
      <c r="AW184" s="66">
        <v>-2.4843530883777731</v>
      </c>
      <c r="AX184" s="66">
        <v>-0.27954698463752803</v>
      </c>
      <c r="AY184" s="66">
        <v>0.71176652023674614</v>
      </c>
      <c r="AZ184" s="66">
        <v>51.083684457448996</v>
      </c>
      <c r="BA184" s="66">
        <v>53.88502171930655</v>
      </c>
      <c r="BB184" s="66">
        <v>8.9155252741591386</v>
      </c>
      <c r="BC184" s="66">
        <v>34.939700137275508</v>
      </c>
      <c r="BD184" s="66">
        <v>70.029006039480038</v>
      </c>
    </row>
    <row r="185" spans="1:56">
      <c r="A185">
        <v>161</v>
      </c>
      <c r="B185">
        <v>248.25618296750645</v>
      </c>
      <c r="C185">
        <v>-8.2561829675064473</v>
      </c>
      <c r="D185">
        <v>-0.16305715105098631</v>
      </c>
      <c r="F185">
        <v>52.970297029702969</v>
      </c>
      <c r="G185">
        <v>244</v>
      </c>
      <c r="V185">
        <v>58</v>
      </c>
      <c r="W185">
        <v>112</v>
      </c>
      <c r="X185">
        <v>230</v>
      </c>
      <c r="Z185">
        <v>159</v>
      </c>
      <c r="AA185">
        <v>248.94830153984151</v>
      </c>
      <c r="AB185">
        <v>-28.948301539841509</v>
      </c>
      <c r="AC185">
        <v>-0.57303417523417988</v>
      </c>
      <c r="AE185">
        <v>52.310231023102311</v>
      </c>
      <c r="AF185">
        <v>244</v>
      </c>
      <c r="AR185" s="57" t="s">
        <v>343</v>
      </c>
      <c r="AS185" s="63">
        <v>1</v>
      </c>
      <c r="AT185" s="66">
        <v>211</v>
      </c>
      <c r="AU185" s="66">
        <v>68</v>
      </c>
      <c r="AV185" s="66">
        <v>53.045982452351694</v>
      </c>
      <c r="AW185" s="66">
        <v>14.954017547648306</v>
      </c>
      <c r="AX185" s="66">
        <v>1.682671651311626</v>
      </c>
      <c r="AY185" s="66">
        <v>0.61783452073683576</v>
      </c>
      <c r="AZ185" s="66">
        <v>51.830160398775526</v>
      </c>
      <c r="BA185" s="66">
        <v>54.261804505927863</v>
      </c>
      <c r="BB185" s="66">
        <v>8.9085183296581132</v>
      </c>
      <c r="BC185" s="66">
        <v>35.515118302889015</v>
      </c>
      <c r="BD185" s="66">
        <v>70.576846601814367</v>
      </c>
    </row>
    <row r="186" spans="1:56">
      <c r="A186">
        <v>162</v>
      </c>
      <c r="B186">
        <v>247.03674167628532</v>
      </c>
      <c r="C186">
        <v>94.963258323714683</v>
      </c>
      <c r="D186">
        <v>1.875496027368253</v>
      </c>
      <c r="F186">
        <v>53.300330033003299</v>
      </c>
      <c r="G186">
        <v>245</v>
      </c>
      <c r="V186">
        <v>50</v>
      </c>
      <c r="W186">
        <v>150</v>
      </c>
      <c r="X186">
        <v>243</v>
      </c>
      <c r="Z186">
        <v>160</v>
      </c>
      <c r="AA186">
        <v>247.74642736395543</v>
      </c>
      <c r="AB186">
        <v>-26.746427363955434</v>
      </c>
      <c r="AC186">
        <v>-0.52944788224867356</v>
      </c>
      <c r="AE186">
        <v>52.64026402640264</v>
      </c>
      <c r="AF186">
        <v>244</v>
      </c>
      <c r="AR186" s="57" t="s">
        <v>344</v>
      </c>
      <c r="AS186" s="63">
        <v>1</v>
      </c>
      <c r="AT186" s="66">
        <v>234</v>
      </c>
      <c r="AU186" s="66">
        <v>69</v>
      </c>
      <c r="AV186" s="66">
        <v>53.907147477111707</v>
      </c>
      <c r="AW186" s="66">
        <v>15.092852522888293</v>
      </c>
      <c r="AX186" s="66">
        <v>1.6982937860525082</v>
      </c>
      <c r="AY186" s="66">
        <v>0.52469231506033898</v>
      </c>
      <c r="AZ186" s="66">
        <v>52.874617784158502</v>
      </c>
      <c r="BA186" s="66">
        <v>54.939677170064911</v>
      </c>
      <c r="BB186" s="66">
        <v>8.9025435331889202</v>
      </c>
      <c r="BC186" s="66">
        <v>36.388040989399961</v>
      </c>
      <c r="BD186" s="66">
        <v>71.426253964823445</v>
      </c>
    </row>
    <row r="187" spans="1:56">
      <c r="A187">
        <v>163</v>
      </c>
      <c r="B187">
        <v>229.96456359918983</v>
      </c>
      <c r="C187">
        <v>-72.96456359918983</v>
      </c>
      <c r="D187">
        <v>-1.44102836807112</v>
      </c>
      <c r="F187">
        <v>53.630363036303628</v>
      </c>
      <c r="G187">
        <v>245</v>
      </c>
      <c r="V187">
        <v>44</v>
      </c>
      <c r="W187">
        <v>112</v>
      </c>
      <c r="X187">
        <v>290</v>
      </c>
      <c r="Z187">
        <v>161</v>
      </c>
      <c r="AA187">
        <v>245.71150271275914</v>
      </c>
      <c r="AB187">
        <v>-5.7115027127591418</v>
      </c>
      <c r="AC187">
        <v>-0.11305969857503546</v>
      </c>
      <c r="AE187">
        <v>52.970297029702969</v>
      </c>
      <c r="AF187">
        <v>244</v>
      </c>
      <c r="AR187" s="57" t="s">
        <v>345</v>
      </c>
      <c r="AS187" s="63">
        <v>1</v>
      </c>
      <c r="AT187" s="66">
        <v>236</v>
      </c>
      <c r="AU187" s="66">
        <v>45</v>
      </c>
      <c r="AV187" s="66">
        <v>53.98203139230823</v>
      </c>
      <c r="AW187" s="66">
        <v>-8.9820313923082296</v>
      </c>
      <c r="AX187" s="66">
        <v>-1.010685559707998</v>
      </c>
      <c r="AY187" s="66">
        <v>0.52049574690914535</v>
      </c>
      <c r="AZ187" s="66">
        <v>52.957760027331702</v>
      </c>
      <c r="BA187" s="66">
        <v>55.006302757284757</v>
      </c>
      <c r="BB187" s="66">
        <v>8.9022971842885017</v>
      </c>
      <c r="BC187" s="66">
        <v>36.463409688816128</v>
      </c>
      <c r="BD187" s="66">
        <v>71.500653095800331</v>
      </c>
    </row>
    <row r="188" spans="1:56">
      <c r="A188">
        <v>164</v>
      </c>
      <c r="B188">
        <v>226.3062397255265</v>
      </c>
      <c r="C188">
        <v>-51.306239725526495</v>
      </c>
      <c r="D188">
        <v>-1.0132829315566831</v>
      </c>
      <c r="F188">
        <v>53.960396039603957</v>
      </c>
      <c r="G188">
        <v>245</v>
      </c>
      <c r="V188">
        <v>60</v>
      </c>
      <c r="W188">
        <v>130</v>
      </c>
      <c r="X188">
        <v>253</v>
      </c>
      <c r="Z188">
        <v>162</v>
      </c>
      <c r="AA188">
        <v>247.04374404345256</v>
      </c>
      <c r="AB188">
        <v>94.956255956547437</v>
      </c>
      <c r="AC188">
        <v>1.8796674388822796</v>
      </c>
      <c r="AE188">
        <v>53.300330033003299</v>
      </c>
      <c r="AF188">
        <v>245</v>
      </c>
      <c r="AR188" s="57" t="s">
        <v>346</v>
      </c>
      <c r="AS188" s="63">
        <v>1</v>
      </c>
      <c r="AT188" s="66">
        <v>244</v>
      </c>
      <c r="AU188" s="66">
        <v>50</v>
      </c>
      <c r="AV188" s="66">
        <v>54.281567053094321</v>
      </c>
      <c r="AW188" s="66">
        <v>-4.2815670530943208</v>
      </c>
      <c r="AX188" s="66">
        <v>-0.48177497989927531</v>
      </c>
      <c r="AY188" s="66">
        <v>0.51103717568364804</v>
      </c>
      <c r="AZ188" s="66">
        <v>53.275908988451945</v>
      </c>
      <c r="BA188" s="66">
        <v>55.287225117736696</v>
      </c>
      <c r="BB188" s="66">
        <v>8.9017491724812814</v>
      </c>
      <c r="BC188" s="66">
        <v>36.764023769176511</v>
      </c>
      <c r="BD188" s="66">
        <v>71.799110337012138</v>
      </c>
    </row>
    <row r="189" spans="1:56">
      <c r="A189">
        <v>165</v>
      </c>
      <c r="B189">
        <v>226.3062397255265</v>
      </c>
      <c r="C189">
        <v>-51.306239725526495</v>
      </c>
      <c r="D189">
        <v>-1.0132829315566831</v>
      </c>
      <c r="F189">
        <v>54.290429042904286</v>
      </c>
      <c r="G189">
        <v>246</v>
      </c>
      <c r="V189">
        <v>54</v>
      </c>
      <c r="W189">
        <v>124</v>
      </c>
      <c r="X189">
        <v>266</v>
      </c>
      <c r="Z189">
        <v>163</v>
      </c>
      <c r="AA189">
        <v>229.06647895162737</v>
      </c>
      <c r="AB189">
        <v>-72.066478951627374</v>
      </c>
      <c r="AC189">
        <v>-1.426562289716403</v>
      </c>
      <c r="AE189">
        <v>53.630363036303628</v>
      </c>
      <c r="AF189">
        <v>245</v>
      </c>
      <c r="AR189" s="57" t="s">
        <v>347</v>
      </c>
      <c r="AS189" s="63">
        <v>1</v>
      </c>
      <c r="AT189" s="66">
        <v>254</v>
      </c>
      <c r="AU189" s="66">
        <v>50</v>
      </c>
      <c r="AV189" s="66">
        <v>54.655986629076935</v>
      </c>
      <c r="AW189" s="66">
        <v>-4.6559866290769349</v>
      </c>
      <c r="AX189" s="66">
        <v>-0.52390581224547272</v>
      </c>
      <c r="AY189" s="66">
        <v>0.51622274713274441</v>
      </c>
      <c r="AZ189" s="66">
        <v>53.640124000078572</v>
      </c>
      <c r="BA189" s="66">
        <v>55.671849258075298</v>
      </c>
      <c r="BB189" s="66">
        <v>8.9020483743629324</v>
      </c>
      <c r="BC189" s="66">
        <v>37.137854552798103</v>
      </c>
      <c r="BD189" s="66">
        <v>72.174118705355767</v>
      </c>
    </row>
    <row r="190" spans="1:56">
      <c r="A190">
        <v>166</v>
      </c>
      <c r="B190">
        <v>261.6700371709386</v>
      </c>
      <c r="C190">
        <v>24.329962829061401</v>
      </c>
      <c r="D190">
        <v>0.48050950901846629</v>
      </c>
      <c r="F190">
        <v>54.620462046204622</v>
      </c>
      <c r="G190">
        <v>246</v>
      </c>
      <c r="V190">
        <v>50</v>
      </c>
      <c r="W190">
        <v>140</v>
      </c>
      <c r="X190">
        <v>233</v>
      </c>
      <c r="Z190">
        <v>164</v>
      </c>
      <c r="AA190">
        <v>229.4003385715543</v>
      </c>
      <c r="AB190">
        <v>-54.4003385715543</v>
      </c>
      <c r="AC190">
        <v>-1.0768594870033068</v>
      </c>
      <c r="AE190">
        <v>53.960396039603957</v>
      </c>
      <c r="AF190">
        <v>245</v>
      </c>
      <c r="AR190" s="57" t="s">
        <v>348</v>
      </c>
      <c r="AS190" s="63">
        <v>1</v>
      </c>
      <c r="AT190" s="66">
        <v>325</v>
      </c>
      <c r="AU190" s="66">
        <v>64</v>
      </c>
      <c r="AV190" s="66">
        <v>57.314365618553509</v>
      </c>
      <c r="AW190" s="66">
        <v>6.6856343814464907</v>
      </c>
      <c r="AX190" s="66">
        <v>0.75228796601643011</v>
      </c>
      <c r="AY190" s="66">
        <v>0.92960520305379291</v>
      </c>
      <c r="AZ190" s="66">
        <v>55.485017356102873</v>
      </c>
      <c r="BA190" s="66">
        <v>59.143713881004146</v>
      </c>
      <c r="BB190" s="66">
        <v>8.9355551124921817</v>
      </c>
      <c r="BC190" s="66">
        <v>39.730296418670193</v>
      </c>
      <c r="BD190" s="66">
        <v>74.898434818436826</v>
      </c>
    </row>
    <row r="191" spans="1:56">
      <c r="A191">
        <v>167</v>
      </c>
      <c r="B191">
        <v>261.6700371709386</v>
      </c>
      <c r="C191">
        <v>-32.670037170938599</v>
      </c>
      <c r="D191">
        <v>-0.64522348969114129</v>
      </c>
      <c r="F191">
        <v>54.950495049504951</v>
      </c>
      <c r="G191">
        <v>246</v>
      </c>
      <c r="V191">
        <v>41</v>
      </c>
      <c r="W191">
        <v>110</v>
      </c>
      <c r="X191">
        <v>172</v>
      </c>
      <c r="Z191">
        <v>165</v>
      </c>
      <c r="AA191">
        <v>229.4003385715543</v>
      </c>
      <c r="AB191">
        <v>-54.4003385715543</v>
      </c>
      <c r="AC191">
        <v>-1.0768594870033068</v>
      </c>
      <c r="AE191">
        <v>54.290429042904286</v>
      </c>
      <c r="AF191">
        <v>246</v>
      </c>
      <c r="AR191" s="57" t="s">
        <v>349</v>
      </c>
      <c r="AS191" s="63">
        <v>1</v>
      </c>
      <c r="AT191" s="66">
        <v>126</v>
      </c>
      <c r="AU191" s="66">
        <v>57</v>
      </c>
      <c r="AV191" s="66">
        <v>49.86341605649946</v>
      </c>
      <c r="AW191" s="66">
        <v>7.1365839435005398</v>
      </c>
      <c r="AX191" s="66">
        <v>0.80303018574580787</v>
      </c>
      <c r="AY191" s="66">
        <v>1.291771119217221</v>
      </c>
      <c r="AZ191" s="66">
        <v>47.321369987199233</v>
      </c>
      <c r="BA191" s="66">
        <v>52.405462125799687</v>
      </c>
      <c r="BB191" s="66">
        <v>8.9804594514581595</v>
      </c>
      <c r="BC191" s="66">
        <v>32.190980661812105</v>
      </c>
      <c r="BD191" s="66">
        <v>67.535851451186815</v>
      </c>
    </row>
    <row r="192" spans="1:56">
      <c r="A192">
        <v>168</v>
      </c>
      <c r="B192">
        <v>255.57283071483306</v>
      </c>
      <c r="C192">
        <v>12.42716928516694</v>
      </c>
      <c r="D192">
        <v>0.24543288675198086</v>
      </c>
      <c r="F192">
        <v>55.28052805280528</v>
      </c>
      <c r="G192">
        <v>247</v>
      </c>
      <c r="V192">
        <v>51</v>
      </c>
      <c r="W192">
        <v>130</v>
      </c>
      <c r="X192">
        <v>305</v>
      </c>
      <c r="Z192">
        <v>166</v>
      </c>
      <c r="AA192">
        <v>266.05755207570758</v>
      </c>
      <c r="AB192">
        <v>19.942447924292424</v>
      </c>
      <c r="AC192">
        <v>0.39476251077181707</v>
      </c>
      <c r="AE192">
        <v>54.620462046204622</v>
      </c>
      <c r="AF192">
        <v>246</v>
      </c>
      <c r="AR192" s="57" t="s">
        <v>350</v>
      </c>
      <c r="AS192" s="63">
        <v>1</v>
      </c>
      <c r="AT192" s="66">
        <v>313</v>
      </c>
      <c r="AU192" s="66">
        <v>64</v>
      </c>
      <c r="AV192" s="66">
        <v>56.865062127374372</v>
      </c>
      <c r="AW192" s="66">
        <v>7.1349378726256276</v>
      </c>
      <c r="AX192" s="66">
        <v>0.80284496483186685</v>
      </c>
      <c r="AY192" s="66">
        <v>0.83320216726038498</v>
      </c>
      <c r="AZ192" s="66">
        <v>55.225423136606281</v>
      </c>
      <c r="BA192" s="66">
        <v>58.504701118142464</v>
      </c>
      <c r="BB192" s="66">
        <v>8.926040846106849</v>
      </c>
      <c r="BC192" s="66">
        <v>39.299715829023157</v>
      </c>
      <c r="BD192" s="66">
        <v>74.430408425725588</v>
      </c>
    </row>
    <row r="193" spans="1:56">
      <c r="A193">
        <v>169</v>
      </c>
      <c r="B193">
        <v>256.79227200605419</v>
      </c>
      <c r="C193">
        <v>-2.7922720060541906</v>
      </c>
      <c r="D193">
        <v>-5.5146539273478519E-2</v>
      </c>
      <c r="F193">
        <v>55.61056105610561</v>
      </c>
      <c r="G193">
        <v>247</v>
      </c>
      <c r="V193">
        <v>58</v>
      </c>
      <c r="W193">
        <v>128</v>
      </c>
      <c r="X193">
        <v>216</v>
      </c>
      <c r="Z193">
        <v>167</v>
      </c>
      <c r="AA193">
        <v>257.91785347092241</v>
      </c>
      <c r="AB193">
        <v>-28.91785347092241</v>
      </c>
      <c r="AC193">
        <v>-0.5724314530317558</v>
      </c>
      <c r="AE193">
        <v>54.950495049504951</v>
      </c>
      <c r="AF193">
        <v>246</v>
      </c>
      <c r="AR193" s="57" t="s">
        <v>351</v>
      </c>
      <c r="AS193" s="63">
        <v>1</v>
      </c>
      <c r="AT193" s="66">
        <v>211</v>
      </c>
      <c r="AU193" s="66">
        <v>43</v>
      </c>
      <c r="AV193" s="66">
        <v>53.045982452351694</v>
      </c>
      <c r="AW193" s="66">
        <v>-10.045982452351694</v>
      </c>
      <c r="AX193" s="66">
        <v>-1.1304045771167768</v>
      </c>
      <c r="AY193" s="66">
        <v>0.61783452073683576</v>
      </c>
      <c r="AZ193" s="66">
        <v>51.830160398775526</v>
      </c>
      <c r="BA193" s="66">
        <v>54.261804505927863</v>
      </c>
      <c r="BB193" s="66">
        <v>8.9085183296581132</v>
      </c>
      <c r="BC193" s="66">
        <v>35.515118302889015</v>
      </c>
      <c r="BD193" s="66">
        <v>70.576846601814367</v>
      </c>
    </row>
    <row r="194" spans="1:56">
      <c r="A194">
        <v>170</v>
      </c>
      <c r="B194">
        <v>244.59785909384311</v>
      </c>
      <c r="C194">
        <v>-41.597859093843113</v>
      </c>
      <c r="D194">
        <v>-0.82154530978266183</v>
      </c>
      <c r="F194">
        <v>55.940594059405939</v>
      </c>
      <c r="G194">
        <v>248</v>
      </c>
      <c r="V194">
        <v>54</v>
      </c>
      <c r="W194">
        <v>120</v>
      </c>
      <c r="X194">
        <v>188</v>
      </c>
      <c r="Z194">
        <v>168</v>
      </c>
      <c r="AA194">
        <v>256.4393615196044</v>
      </c>
      <c r="AB194">
        <v>11.560638480395596</v>
      </c>
      <c r="AC194">
        <v>0.22884385557738263</v>
      </c>
      <c r="AE194">
        <v>55.28052805280528</v>
      </c>
      <c r="AF194">
        <v>247</v>
      </c>
      <c r="AR194" s="57" t="s">
        <v>352</v>
      </c>
      <c r="AS194" s="63">
        <v>1</v>
      </c>
      <c r="AT194" s="66">
        <v>262</v>
      </c>
      <c r="AU194" s="66">
        <v>55</v>
      </c>
      <c r="AV194" s="66">
        <v>54.955522289863026</v>
      </c>
      <c r="AW194" s="66">
        <v>4.4477710136973769E-2</v>
      </c>
      <c r="AX194" s="66">
        <v>5.0047675632499964E-3</v>
      </c>
      <c r="AY194" s="66">
        <v>0.53363455645184621</v>
      </c>
      <c r="AZ194" s="66">
        <v>53.905395369938383</v>
      </c>
      <c r="BA194" s="66">
        <v>56.00564920978767</v>
      </c>
      <c r="BB194" s="66">
        <v>8.9030750403823973</v>
      </c>
      <c r="BC194" s="66">
        <v>37.435369861619023</v>
      </c>
      <c r="BD194" s="66">
        <v>72.47567471810703</v>
      </c>
    </row>
    <row r="195" spans="1:56">
      <c r="A195">
        <v>171</v>
      </c>
      <c r="B195">
        <v>248.25618296750645</v>
      </c>
      <c r="C195">
        <v>7.7438170324935527</v>
      </c>
      <c r="D195">
        <v>0.1529380766569737</v>
      </c>
      <c r="F195">
        <v>56.270627062706268</v>
      </c>
      <c r="G195">
        <v>248</v>
      </c>
      <c r="V195">
        <v>60</v>
      </c>
      <c r="W195">
        <v>145</v>
      </c>
      <c r="X195">
        <v>282</v>
      </c>
      <c r="Z195">
        <v>169</v>
      </c>
      <c r="AA195">
        <v>255.51410511915026</v>
      </c>
      <c r="AB195">
        <v>-1.5141051191502584</v>
      </c>
      <c r="AC195">
        <v>-2.9971844012195135E-2</v>
      </c>
      <c r="AE195">
        <v>55.61056105610561</v>
      </c>
      <c r="AF195">
        <v>247</v>
      </c>
      <c r="AR195" s="57" t="s">
        <v>353</v>
      </c>
      <c r="AS195" s="63">
        <v>1</v>
      </c>
      <c r="AT195" s="66">
        <v>215</v>
      </c>
      <c r="AU195" s="66">
        <v>37</v>
      </c>
      <c r="AV195" s="66">
        <v>53.19575028274474</v>
      </c>
      <c r="AW195" s="66">
        <v>-16.19575028274474</v>
      </c>
      <c r="AX195" s="66">
        <v>-1.8223952048780725</v>
      </c>
      <c r="AY195" s="66">
        <v>0.59650106798116287</v>
      </c>
      <c r="AZ195" s="66">
        <v>52.021909830177755</v>
      </c>
      <c r="BA195" s="66">
        <v>54.369590735311725</v>
      </c>
      <c r="BB195" s="66">
        <v>8.9070642110037088</v>
      </c>
      <c r="BC195" s="66">
        <v>35.667747659255767</v>
      </c>
      <c r="BD195" s="66">
        <v>70.723752906233713</v>
      </c>
    </row>
    <row r="196" spans="1:56">
      <c r="A196">
        <v>172</v>
      </c>
      <c r="B196">
        <v>238.50065263773757</v>
      </c>
      <c r="C196">
        <v>-9.5006526377375735</v>
      </c>
      <c r="D196">
        <v>-0.1876350558522572</v>
      </c>
      <c r="F196">
        <v>56.600660066006597</v>
      </c>
      <c r="G196">
        <v>249</v>
      </c>
      <c r="V196">
        <v>60</v>
      </c>
      <c r="W196">
        <v>140</v>
      </c>
      <c r="X196">
        <v>185</v>
      </c>
      <c r="Z196">
        <v>170</v>
      </c>
      <c r="AA196">
        <v>246.45234726292534</v>
      </c>
      <c r="AB196">
        <v>-43.452347262925343</v>
      </c>
      <c r="AC196">
        <v>-0.86014303607865217</v>
      </c>
      <c r="AE196">
        <v>55.940594059405939</v>
      </c>
      <c r="AF196">
        <v>248</v>
      </c>
      <c r="AR196" s="57" t="s">
        <v>354</v>
      </c>
      <c r="AS196" s="63">
        <v>1</v>
      </c>
      <c r="AT196" s="66">
        <v>214</v>
      </c>
      <c r="AU196" s="66">
        <v>41</v>
      </c>
      <c r="AV196" s="66">
        <v>53.158308325146479</v>
      </c>
      <c r="AW196" s="66">
        <v>-12.158308325146479</v>
      </c>
      <c r="AX196" s="66">
        <v>-1.3680899250949083</v>
      </c>
      <c r="AY196" s="66">
        <v>0.60166266913141753</v>
      </c>
      <c r="AZ196" s="66">
        <v>51.97431047881205</v>
      </c>
      <c r="BA196" s="66">
        <v>54.342306171480907</v>
      </c>
      <c r="BB196" s="66">
        <v>8.9074113693186305</v>
      </c>
      <c r="BC196" s="66">
        <v>35.62962253695693</v>
      </c>
      <c r="BD196" s="66">
        <v>70.686994113336027</v>
      </c>
    </row>
    <row r="197" spans="1:56">
      <c r="A197">
        <v>173</v>
      </c>
      <c r="B197">
        <v>250.69506554994865</v>
      </c>
      <c r="C197">
        <v>33.304934450051348</v>
      </c>
      <c r="D197">
        <v>0.65776252158391613</v>
      </c>
      <c r="F197">
        <v>56.930693069306933</v>
      </c>
      <c r="G197">
        <v>249</v>
      </c>
      <c r="V197">
        <v>59</v>
      </c>
      <c r="W197">
        <v>170</v>
      </c>
      <c r="X197">
        <v>326</v>
      </c>
      <c r="Z197">
        <v>171</v>
      </c>
      <c r="AA197">
        <v>247.74642736395543</v>
      </c>
      <c r="AB197">
        <v>8.2535726360445665</v>
      </c>
      <c r="AC197">
        <v>0.16338019630346468</v>
      </c>
      <c r="AE197">
        <v>56.270627062706268</v>
      </c>
      <c r="AF197">
        <v>248</v>
      </c>
      <c r="AR197" s="57" t="s">
        <v>355</v>
      </c>
      <c r="AS197" s="63">
        <v>1</v>
      </c>
      <c r="AT197" s="66">
        <v>193</v>
      </c>
      <c r="AU197" s="66">
        <v>56</v>
      </c>
      <c r="AV197" s="66">
        <v>52.372027215582982</v>
      </c>
      <c r="AW197" s="66">
        <v>3.6279727844170182</v>
      </c>
      <c r="AX197" s="66">
        <v>0.40823055988914864</v>
      </c>
      <c r="AY197" s="66">
        <v>0.73269835912773595</v>
      </c>
      <c r="AZ197" s="66">
        <v>50.930167310143972</v>
      </c>
      <c r="BA197" s="66">
        <v>53.813887121021992</v>
      </c>
      <c r="BB197" s="66">
        <v>8.9172207677229203</v>
      </c>
      <c r="BC197" s="66">
        <v>34.824037742487604</v>
      </c>
      <c r="BD197" s="66">
        <v>69.920016688678359</v>
      </c>
    </row>
    <row r="198" spans="1:56">
      <c r="A198">
        <v>174</v>
      </c>
      <c r="B198">
        <v>250.69506554994865</v>
      </c>
      <c r="C198">
        <v>-26.695065549948652</v>
      </c>
      <c r="D198">
        <v>-0.52721958232093391</v>
      </c>
      <c r="F198">
        <v>57.260726072607262</v>
      </c>
      <c r="G198">
        <v>249</v>
      </c>
      <c r="V198">
        <v>46</v>
      </c>
      <c r="W198">
        <v>150</v>
      </c>
      <c r="X198">
        <v>231</v>
      </c>
      <c r="Z198">
        <v>172</v>
      </c>
      <c r="AA198">
        <v>234.79923205562591</v>
      </c>
      <c r="AB198">
        <v>-5.7992320556259074</v>
      </c>
      <c r="AC198">
        <v>-0.11479630863363612</v>
      </c>
      <c r="AE198">
        <v>56.600660066006597</v>
      </c>
      <c r="AF198">
        <v>249</v>
      </c>
      <c r="AR198" s="57" t="s">
        <v>356</v>
      </c>
      <c r="AS198" s="63">
        <v>1</v>
      </c>
      <c r="AT198" s="66">
        <v>204</v>
      </c>
      <c r="AU198" s="66">
        <v>46</v>
      </c>
      <c r="AV198" s="66">
        <v>52.783888749163864</v>
      </c>
      <c r="AW198" s="66">
        <v>-6.7838887491638644</v>
      </c>
      <c r="AX198" s="66">
        <v>-0.76334384706303038</v>
      </c>
      <c r="AY198" s="66">
        <v>0.65920473209515629</v>
      </c>
      <c r="AZ198" s="66">
        <v>51.486655227561329</v>
      </c>
      <c r="BA198" s="66">
        <v>54.0811222707664</v>
      </c>
      <c r="BB198" s="66">
        <v>8.9114830535470979</v>
      </c>
      <c r="BC198" s="66">
        <v>35.247190389138311</v>
      </c>
      <c r="BD198" s="66">
        <v>70.320587109189418</v>
      </c>
    </row>
    <row r="199" spans="1:56">
      <c r="A199">
        <v>175</v>
      </c>
      <c r="B199">
        <v>253.13394813239086</v>
      </c>
      <c r="C199">
        <v>-47.133948132390856</v>
      </c>
      <c r="D199">
        <v>-0.93088141705437655</v>
      </c>
      <c r="F199">
        <v>57.590759075907592</v>
      </c>
      <c r="G199">
        <v>250</v>
      </c>
      <c r="V199">
        <v>67</v>
      </c>
      <c r="W199">
        <v>125</v>
      </c>
      <c r="X199">
        <v>254</v>
      </c>
      <c r="Z199">
        <v>173</v>
      </c>
      <c r="AA199">
        <v>247.93083921424338</v>
      </c>
      <c r="AB199">
        <v>36.069160785756623</v>
      </c>
      <c r="AC199">
        <v>0.71399221034811122</v>
      </c>
      <c r="AE199">
        <v>56.930693069306933</v>
      </c>
      <c r="AF199">
        <v>249</v>
      </c>
      <c r="AR199" s="57" t="s">
        <v>357</v>
      </c>
      <c r="AS199" s="63">
        <v>1</v>
      </c>
      <c r="AT199" s="66">
        <v>243</v>
      </c>
      <c r="AU199" s="66">
        <v>46</v>
      </c>
      <c r="AV199" s="66">
        <v>54.244125095496059</v>
      </c>
      <c r="AW199" s="66">
        <v>-8.2441250954960594</v>
      </c>
      <c r="AX199" s="66">
        <v>-0.92765409321320003</v>
      </c>
      <c r="AY199" s="66">
        <v>0.5115634367049906</v>
      </c>
      <c r="AZ199" s="66">
        <v>53.237431414140453</v>
      </c>
      <c r="BA199" s="66">
        <v>55.250818776851666</v>
      </c>
      <c r="BB199" s="66">
        <v>8.9017793999072961</v>
      </c>
      <c r="BC199" s="66">
        <v>36.726522327735992</v>
      </c>
      <c r="BD199" s="66">
        <v>71.761727863256127</v>
      </c>
    </row>
    <row r="200" spans="1:56">
      <c r="A200">
        <v>176</v>
      </c>
      <c r="B200">
        <v>228.74512230796873</v>
      </c>
      <c r="C200">
        <v>-61.745122307968728</v>
      </c>
      <c r="D200">
        <v>-1.2194477489726512</v>
      </c>
      <c r="F200">
        <v>57.920792079207921</v>
      </c>
      <c r="G200">
        <v>250</v>
      </c>
      <c r="V200">
        <v>62</v>
      </c>
      <c r="W200">
        <v>120</v>
      </c>
      <c r="X200">
        <v>267</v>
      </c>
      <c r="Z200">
        <v>174</v>
      </c>
      <c r="AA200">
        <v>250.37274879567892</v>
      </c>
      <c r="AB200">
        <v>-26.372748795678916</v>
      </c>
      <c r="AC200">
        <v>-0.52205088212138395</v>
      </c>
      <c r="AE200">
        <v>57.260726072607262</v>
      </c>
      <c r="AF200">
        <v>249</v>
      </c>
      <c r="AR200" s="57" t="s">
        <v>358</v>
      </c>
      <c r="AS200" s="63">
        <v>1</v>
      </c>
      <c r="AT200" s="66">
        <v>303</v>
      </c>
      <c r="AU200" s="66">
        <v>64</v>
      </c>
      <c r="AV200" s="66">
        <v>56.490642551391751</v>
      </c>
      <c r="AW200" s="66">
        <v>7.5093574486082488</v>
      </c>
      <c r="AX200" s="66">
        <v>0.84497579717806504</v>
      </c>
      <c r="AY200" s="66">
        <v>0.75764513867210437</v>
      </c>
      <c r="AZ200" s="66">
        <v>54.99969046395622</v>
      </c>
      <c r="BA200" s="66">
        <v>57.981594638827282</v>
      </c>
      <c r="BB200" s="66">
        <v>8.919305213467803</v>
      </c>
      <c r="BC200" s="66">
        <v>38.938551146434278</v>
      </c>
      <c r="BD200" s="66">
        <v>74.042733956349224</v>
      </c>
    </row>
    <row r="201" spans="1:56">
      <c r="A201">
        <v>177</v>
      </c>
      <c r="B201">
        <v>253.13394813239086</v>
      </c>
      <c r="C201">
        <v>-23.133948132390856</v>
      </c>
      <c r="D201">
        <v>-0.45688857549243655</v>
      </c>
      <c r="F201">
        <v>58.25082508250825</v>
      </c>
      <c r="G201">
        <v>250</v>
      </c>
      <c r="V201">
        <v>65</v>
      </c>
      <c r="W201">
        <v>110</v>
      </c>
      <c r="X201">
        <v>248</v>
      </c>
      <c r="Z201">
        <v>175</v>
      </c>
      <c r="AA201">
        <v>252.1851003669239</v>
      </c>
      <c r="AB201">
        <v>-46.185100366923905</v>
      </c>
      <c r="AC201">
        <v>-0.91423812414152972</v>
      </c>
      <c r="AE201">
        <v>57.590759075907592</v>
      </c>
      <c r="AF201">
        <v>250</v>
      </c>
      <c r="AR201" s="57" t="s">
        <v>359</v>
      </c>
      <c r="AS201" s="63">
        <v>1</v>
      </c>
      <c r="AT201" s="66">
        <v>271</v>
      </c>
      <c r="AU201" s="66">
        <v>59</v>
      </c>
      <c r="AV201" s="66">
        <v>55.292499908247386</v>
      </c>
      <c r="AW201" s="66">
        <v>3.707500091752614</v>
      </c>
      <c r="AX201" s="66">
        <v>0.41717921500021604</v>
      </c>
      <c r="AY201" s="66">
        <v>0.5658844970780037</v>
      </c>
      <c r="AZ201" s="66">
        <v>54.178909087029169</v>
      </c>
      <c r="BA201" s="66">
        <v>56.406090729465603</v>
      </c>
      <c r="BB201" s="66">
        <v>8.905066232144133</v>
      </c>
      <c r="BC201" s="66">
        <v>37.768429060466175</v>
      </c>
      <c r="BD201" s="66">
        <v>72.816570756028597</v>
      </c>
    </row>
    <row r="202" spans="1:56">
      <c r="A202">
        <v>178</v>
      </c>
      <c r="B202">
        <v>258.01171329727526</v>
      </c>
      <c r="C202">
        <v>76.988286702724736</v>
      </c>
      <c r="D202">
        <v>1.5204956992170757</v>
      </c>
      <c r="F202">
        <v>58.580858085808579</v>
      </c>
      <c r="G202">
        <v>252</v>
      </c>
      <c r="V202">
        <v>44</v>
      </c>
      <c r="W202">
        <v>110</v>
      </c>
      <c r="X202">
        <v>197</v>
      </c>
      <c r="Z202">
        <v>176</v>
      </c>
      <c r="AA202">
        <v>225.92188604968894</v>
      </c>
      <c r="AB202">
        <v>-58.921886049688936</v>
      </c>
      <c r="AC202">
        <v>-1.166363917042115</v>
      </c>
      <c r="AE202">
        <v>57.920792079207921</v>
      </c>
      <c r="AF202">
        <v>250</v>
      </c>
      <c r="AR202" s="57" t="s">
        <v>360</v>
      </c>
      <c r="AS202" s="63">
        <v>1</v>
      </c>
      <c r="AT202" s="66">
        <v>268</v>
      </c>
      <c r="AU202" s="66">
        <v>41</v>
      </c>
      <c r="AV202" s="66">
        <v>55.180174035452602</v>
      </c>
      <c r="AW202" s="66">
        <v>-14.180174035452602</v>
      </c>
      <c r="AX202" s="66">
        <v>-1.5955964197643748</v>
      </c>
      <c r="AY202" s="66">
        <v>0.55376272856119546</v>
      </c>
      <c r="AZ202" s="66">
        <v>54.090437358016295</v>
      </c>
      <c r="BA202" s="66">
        <v>56.269910712888908</v>
      </c>
      <c r="BB202" s="66">
        <v>8.9043041555409594</v>
      </c>
      <c r="BC202" s="66">
        <v>37.657602860333824</v>
      </c>
      <c r="BD202" s="66">
        <v>72.702745210571379</v>
      </c>
    </row>
    <row r="203" spans="1:56">
      <c r="A203">
        <v>179</v>
      </c>
      <c r="B203">
        <v>232.40344618163203</v>
      </c>
      <c r="C203">
        <v>-55.403446181632034</v>
      </c>
      <c r="D203">
        <v>-1.0942015369981577</v>
      </c>
      <c r="F203">
        <v>58.910891089108908</v>
      </c>
      <c r="G203">
        <v>253</v>
      </c>
      <c r="V203">
        <v>60</v>
      </c>
      <c r="W203">
        <v>125</v>
      </c>
      <c r="X203">
        <v>258</v>
      </c>
      <c r="Z203">
        <v>177</v>
      </c>
      <c r="AA203">
        <v>249.53969832036873</v>
      </c>
      <c r="AB203">
        <v>-19.539698320368728</v>
      </c>
      <c r="AC203">
        <v>-0.3867900469368431</v>
      </c>
      <c r="AE203">
        <v>58.25082508250825</v>
      </c>
      <c r="AF203">
        <v>250</v>
      </c>
      <c r="AR203" s="57" t="s">
        <v>361</v>
      </c>
      <c r="AS203" s="63">
        <v>1</v>
      </c>
      <c r="AT203" s="66">
        <v>267</v>
      </c>
      <c r="AU203" s="66">
        <v>54</v>
      </c>
      <c r="AV203" s="66">
        <v>55.14273207785434</v>
      </c>
      <c r="AW203" s="66">
        <v>-1.1427320778543404</v>
      </c>
      <c r="AX203" s="66">
        <v>-0.12858369774698558</v>
      </c>
      <c r="AY203" s="66">
        <v>0.55001683966877735</v>
      </c>
      <c r="AZ203" s="66">
        <v>54.060366847258223</v>
      </c>
      <c r="BA203" s="66">
        <v>56.225097308450458</v>
      </c>
      <c r="BB203" s="66">
        <v>8.9040719818945586</v>
      </c>
      <c r="BC203" s="66">
        <v>37.620617791805493</v>
      </c>
      <c r="BD203" s="66">
        <v>72.664846363903195</v>
      </c>
    </row>
    <row r="204" spans="1:56">
      <c r="A204">
        <v>180</v>
      </c>
      <c r="B204">
        <v>249.47562425872755</v>
      </c>
      <c r="C204">
        <v>26.524375741272451</v>
      </c>
      <c r="D204">
        <v>0.52384850951092987</v>
      </c>
      <c r="F204">
        <v>59.240924092409237</v>
      </c>
      <c r="G204">
        <v>253</v>
      </c>
      <c r="V204">
        <v>58</v>
      </c>
      <c r="W204">
        <v>150</v>
      </c>
      <c r="X204">
        <v>270</v>
      </c>
      <c r="Z204">
        <v>178</v>
      </c>
      <c r="AA204">
        <v>258.65869802108864</v>
      </c>
      <c r="AB204">
        <v>76.34130197891136</v>
      </c>
      <c r="AC204">
        <v>1.5111827875490773</v>
      </c>
      <c r="AE204">
        <v>58.580858085808579</v>
      </c>
      <c r="AF204">
        <v>252</v>
      </c>
      <c r="AR204" s="57" t="s">
        <v>362</v>
      </c>
      <c r="AS204" s="63">
        <v>1</v>
      </c>
      <c r="AT204" s="66">
        <v>199</v>
      </c>
      <c r="AU204" s="66">
        <v>39</v>
      </c>
      <c r="AV204" s="66">
        <v>52.596678961172557</v>
      </c>
      <c r="AW204" s="66">
        <v>-13.596678961172557</v>
      </c>
      <c r="AX204" s="66">
        <v>-1.5299397748498844</v>
      </c>
      <c r="AY204" s="66">
        <v>0.69146841548729132</v>
      </c>
      <c r="AZ204" s="66">
        <v>51.235954494209807</v>
      </c>
      <c r="BA204" s="66">
        <v>53.957403428135308</v>
      </c>
      <c r="BB204" s="66">
        <v>8.9139277484427133</v>
      </c>
      <c r="BC204" s="66">
        <v>35.055169743435769</v>
      </c>
      <c r="BD204" s="66">
        <v>70.138188178909346</v>
      </c>
    </row>
    <row r="205" spans="1:56">
      <c r="A205">
        <v>181</v>
      </c>
      <c r="B205">
        <v>247.03674167628532</v>
      </c>
      <c r="C205">
        <v>105.96325832371468</v>
      </c>
      <c r="D205">
        <v>2.0927427464174757</v>
      </c>
      <c r="F205">
        <v>59.570957095709566</v>
      </c>
      <c r="G205">
        <v>254</v>
      </c>
      <c r="V205">
        <v>68</v>
      </c>
      <c r="W205">
        <v>180</v>
      </c>
      <c r="X205">
        <v>274</v>
      </c>
      <c r="Z205">
        <v>179</v>
      </c>
      <c r="AA205">
        <v>231.28581545311161</v>
      </c>
      <c r="AB205">
        <v>-54.28581545311161</v>
      </c>
      <c r="AC205">
        <v>-1.0745924918004368</v>
      </c>
      <c r="AE205">
        <v>58.910891089108908</v>
      </c>
      <c r="AF205">
        <v>253</v>
      </c>
      <c r="AR205" s="57" t="s">
        <v>363</v>
      </c>
      <c r="AS205" s="63">
        <v>1</v>
      </c>
      <c r="AT205" s="66">
        <v>210</v>
      </c>
      <c r="AU205" s="66">
        <v>34</v>
      </c>
      <c r="AV205" s="66">
        <v>53.008540494753433</v>
      </c>
      <c r="AW205" s="66">
        <v>-19.008540494753433</v>
      </c>
      <c r="AX205" s="66">
        <v>-2.1388989361163819</v>
      </c>
      <c r="AY205" s="66">
        <v>0.62344425312048368</v>
      </c>
      <c r="AZ205" s="66">
        <v>51.781679180472693</v>
      </c>
      <c r="BA205" s="66">
        <v>54.235401809034173</v>
      </c>
      <c r="BB205" s="66">
        <v>8.9089091403824199</v>
      </c>
      <c r="BC205" s="66">
        <v>35.476907278038212</v>
      </c>
      <c r="BD205" s="66">
        <v>70.540173711468654</v>
      </c>
    </row>
    <row r="206" spans="1:56">
      <c r="A206">
        <v>182</v>
      </c>
      <c r="B206">
        <v>259.23115458849639</v>
      </c>
      <c r="C206">
        <v>-34.231154588496395</v>
      </c>
      <c r="D206">
        <v>-0.67605509305614364</v>
      </c>
      <c r="F206">
        <v>59.900990099009903</v>
      </c>
      <c r="G206">
        <v>254</v>
      </c>
      <c r="V206">
        <v>62</v>
      </c>
      <c r="W206">
        <v>160</v>
      </c>
      <c r="X206">
        <v>164</v>
      </c>
      <c r="Z206">
        <v>180</v>
      </c>
      <c r="AA206">
        <v>252.92594491709011</v>
      </c>
      <c r="AB206">
        <v>23.074055082909894</v>
      </c>
      <c r="AC206">
        <v>0.4567529499285331</v>
      </c>
      <c r="AE206">
        <v>59.240924092409237</v>
      </c>
      <c r="AF206">
        <v>253</v>
      </c>
      <c r="AR206" s="57" t="s">
        <v>364</v>
      </c>
      <c r="AS206" s="63">
        <v>1</v>
      </c>
      <c r="AT206" s="66">
        <v>204</v>
      </c>
      <c r="AU206" s="66">
        <v>47</v>
      </c>
      <c r="AV206" s="66">
        <v>52.783888749163864</v>
      </c>
      <c r="AW206" s="66">
        <v>-5.7838887491638644</v>
      </c>
      <c r="AX206" s="66">
        <v>-0.6508207979258942</v>
      </c>
      <c r="AY206" s="66">
        <v>0.65920473209515629</v>
      </c>
      <c r="AZ206" s="66">
        <v>51.486655227561329</v>
      </c>
      <c r="BA206" s="66">
        <v>54.0811222707664</v>
      </c>
      <c r="BB206" s="66">
        <v>8.9114830535470979</v>
      </c>
      <c r="BC206" s="66">
        <v>35.247190389138311</v>
      </c>
      <c r="BD206" s="66">
        <v>70.320587109189418</v>
      </c>
    </row>
    <row r="207" spans="1:56">
      <c r="A207">
        <v>183</v>
      </c>
      <c r="B207">
        <v>254.35338942361199</v>
      </c>
      <c r="C207">
        <v>75.646610576388014</v>
      </c>
      <c r="D207">
        <v>1.4939979959013192</v>
      </c>
      <c r="F207">
        <v>60.231023102310232</v>
      </c>
      <c r="G207">
        <v>254</v>
      </c>
      <c r="V207">
        <v>52</v>
      </c>
      <c r="W207">
        <v>128</v>
      </c>
      <c r="X207">
        <v>255</v>
      </c>
      <c r="Z207">
        <v>181</v>
      </c>
      <c r="AA207">
        <v>247.04374404345256</v>
      </c>
      <c r="AB207">
        <v>105.95625595654744</v>
      </c>
      <c r="AC207">
        <v>2.0974134064272372</v>
      </c>
      <c r="AE207">
        <v>59.570957095709566</v>
      </c>
      <c r="AF207">
        <v>254</v>
      </c>
      <c r="AR207" s="57" t="s">
        <v>365</v>
      </c>
      <c r="AS207" s="63">
        <v>1</v>
      </c>
      <c r="AT207" s="66">
        <v>277</v>
      </c>
      <c r="AU207" s="66">
        <v>67</v>
      </c>
      <c r="AV207" s="66">
        <v>55.517151653836954</v>
      </c>
      <c r="AW207" s="66">
        <v>11.482848346163046</v>
      </c>
      <c r="AX207" s="66">
        <v>1.2920851086895866</v>
      </c>
      <c r="AY207" s="66">
        <v>0.59382351106030085</v>
      </c>
      <c r="AZ207" s="66">
        <v>54.348580302695716</v>
      </c>
      <c r="BA207" s="66">
        <v>56.685723004978193</v>
      </c>
      <c r="BB207" s="66">
        <v>8.9068852971804038</v>
      </c>
      <c r="BC207" s="66">
        <v>37.98950111066199</v>
      </c>
      <c r="BD207" s="66">
        <v>73.044802197011919</v>
      </c>
    </row>
    <row r="208" spans="1:56">
      <c r="A208">
        <v>184</v>
      </c>
      <c r="B208">
        <v>250.69506554994865</v>
      </c>
      <c r="C208">
        <v>-20.695065549948652</v>
      </c>
      <c r="D208">
        <v>-0.40872137193044894</v>
      </c>
      <c r="F208">
        <v>60.561056105610561</v>
      </c>
      <c r="G208">
        <v>254</v>
      </c>
      <c r="V208">
        <v>59</v>
      </c>
      <c r="W208">
        <v>110</v>
      </c>
      <c r="X208">
        <v>239</v>
      </c>
      <c r="Z208">
        <v>182</v>
      </c>
      <c r="AA208">
        <v>261.80329092302702</v>
      </c>
      <c r="AB208">
        <v>-36.803290923027021</v>
      </c>
      <c r="AC208">
        <v>-0.72852438098846173</v>
      </c>
      <c r="AE208">
        <v>59.900990099009903</v>
      </c>
      <c r="AF208">
        <v>254</v>
      </c>
      <c r="AR208" s="57" t="s">
        <v>366</v>
      </c>
      <c r="AS208" s="63">
        <v>1</v>
      </c>
      <c r="AT208" s="66">
        <v>196</v>
      </c>
      <c r="AU208" s="66">
        <v>52</v>
      </c>
      <c r="AV208" s="66">
        <v>52.484353088377773</v>
      </c>
      <c r="AW208" s="66">
        <v>-0.48435308837777313</v>
      </c>
      <c r="AX208" s="66">
        <v>-5.4500886363255799E-2</v>
      </c>
      <c r="AY208" s="66">
        <v>0.71176652023674614</v>
      </c>
      <c r="AZ208" s="66">
        <v>51.083684457448996</v>
      </c>
      <c r="BA208" s="66">
        <v>53.88502171930655</v>
      </c>
      <c r="BB208" s="66">
        <v>8.9155252741591386</v>
      </c>
      <c r="BC208" s="66">
        <v>34.939700137275508</v>
      </c>
      <c r="BD208" s="66">
        <v>70.029006039480038</v>
      </c>
    </row>
    <row r="209" spans="1:56">
      <c r="A209">
        <v>185</v>
      </c>
      <c r="B209">
        <v>240.93953522017978</v>
      </c>
      <c r="C209">
        <v>2.0604647798202222</v>
      </c>
      <c r="D209">
        <v>4.0693564830220179E-2</v>
      </c>
      <c r="F209">
        <v>60.89108910891089</v>
      </c>
      <c r="G209">
        <v>254</v>
      </c>
      <c r="V209">
        <v>60</v>
      </c>
      <c r="W209">
        <v>150</v>
      </c>
      <c r="X209">
        <v>258</v>
      </c>
      <c r="Z209">
        <v>183</v>
      </c>
      <c r="AA209">
        <v>253.29476861766602</v>
      </c>
      <c r="AB209">
        <v>76.705231382333977</v>
      </c>
      <c r="AC209">
        <v>1.5183868021005607</v>
      </c>
      <c r="AE209">
        <v>60.231023102310232</v>
      </c>
      <c r="AF209">
        <v>254</v>
      </c>
      <c r="AR209" s="57" t="s">
        <v>367</v>
      </c>
      <c r="AS209" s="63">
        <v>1</v>
      </c>
      <c r="AT209" s="66">
        <v>269</v>
      </c>
      <c r="AU209" s="66">
        <v>74</v>
      </c>
      <c r="AV209" s="66">
        <v>55.217615993050863</v>
      </c>
      <c r="AW209" s="66">
        <v>18.782384006949137</v>
      </c>
      <c r="AX209" s="66">
        <v>2.113451118526497</v>
      </c>
      <c r="AY209" s="66">
        <v>0.5576580446569771</v>
      </c>
      <c r="AZ209" s="66">
        <v>54.120213814487727</v>
      </c>
      <c r="BA209" s="66">
        <v>56.315018171614</v>
      </c>
      <c r="BB209" s="66">
        <v>8.904547255734629</v>
      </c>
      <c r="BC209" s="66">
        <v>37.694566426766208</v>
      </c>
      <c r="BD209" s="66">
        <v>72.740665559335525</v>
      </c>
    </row>
    <row r="210" spans="1:56">
      <c r="A210">
        <v>186</v>
      </c>
      <c r="B210">
        <v>233.62288747285317</v>
      </c>
      <c r="C210">
        <v>56.377112527146835</v>
      </c>
      <c r="D210">
        <v>1.1134311569083155</v>
      </c>
      <c r="F210">
        <v>61.221122112211219</v>
      </c>
      <c r="G210">
        <v>255</v>
      </c>
      <c r="V210">
        <v>49</v>
      </c>
      <c r="W210">
        <v>120</v>
      </c>
      <c r="X210">
        <v>188</v>
      </c>
      <c r="Z210">
        <v>184</v>
      </c>
      <c r="AA210">
        <v>246.30289949328636</v>
      </c>
      <c r="AB210">
        <v>-16.302899493286361</v>
      </c>
      <c r="AC210">
        <v>-0.32271732945034903</v>
      </c>
      <c r="AE210">
        <v>60.561056105610561</v>
      </c>
      <c r="AF210">
        <v>254</v>
      </c>
      <c r="AR210" s="57" t="s">
        <v>368</v>
      </c>
      <c r="AS210" s="63">
        <v>1</v>
      </c>
      <c r="AT210" s="66">
        <v>201</v>
      </c>
      <c r="AU210" s="66">
        <v>54</v>
      </c>
      <c r="AV210" s="66">
        <v>52.67156287636908</v>
      </c>
      <c r="AW210" s="66">
        <v>1.3284371236309198</v>
      </c>
      <c r="AX210" s="66">
        <v>0.14947979573791775</v>
      </c>
      <c r="AY210" s="66">
        <v>0.67831658868715983</v>
      </c>
      <c r="AZ210" s="66">
        <v>51.336719580709847</v>
      </c>
      <c r="BA210" s="66">
        <v>54.006406172028314</v>
      </c>
      <c r="BB210" s="66">
        <v>8.9129171840272736</v>
      </c>
      <c r="BC210" s="66">
        <v>35.132042324628785</v>
      </c>
      <c r="BD210" s="66">
        <v>70.211083428109376</v>
      </c>
    </row>
    <row r="211" spans="1:56">
      <c r="A211">
        <v>187</v>
      </c>
      <c r="B211">
        <v>253.13394813239086</v>
      </c>
      <c r="C211">
        <v>-0.13394813239085579</v>
      </c>
      <c r="D211">
        <v>-2.6454356622440281E-3</v>
      </c>
      <c r="F211">
        <v>61.551155115511548</v>
      </c>
      <c r="G211">
        <v>255</v>
      </c>
      <c r="V211">
        <v>59</v>
      </c>
      <c r="W211">
        <v>140</v>
      </c>
      <c r="X211">
        <v>177</v>
      </c>
      <c r="Z211">
        <v>185</v>
      </c>
      <c r="AA211">
        <v>245.15826716189528</v>
      </c>
      <c r="AB211">
        <v>-2.1582671618952816</v>
      </c>
      <c r="AC211">
        <v>-4.2723088307945273E-2</v>
      </c>
      <c r="AE211">
        <v>60.89108910891089</v>
      </c>
      <c r="AF211">
        <v>254</v>
      </c>
      <c r="AR211" s="57" t="s">
        <v>369</v>
      </c>
      <c r="AS211" s="63">
        <v>1</v>
      </c>
      <c r="AT211" s="66">
        <v>271</v>
      </c>
      <c r="AU211" s="66">
        <v>49</v>
      </c>
      <c r="AV211" s="66">
        <v>55.292499908247386</v>
      </c>
      <c r="AW211" s="66">
        <v>-6.292499908247386</v>
      </c>
      <c r="AX211" s="66">
        <v>-0.70805127637114507</v>
      </c>
      <c r="AY211" s="66">
        <v>0.5658844970780037</v>
      </c>
      <c r="AZ211" s="66">
        <v>54.178909087029169</v>
      </c>
      <c r="BA211" s="66">
        <v>56.406090729465603</v>
      </c>
      <c r="BB211" s="66">
        <v>8.905066232144133</v>
      </c>
      <c r="BC211" s="66">
        <v>37.768429060466175</v>
      </c>
      <c r="BD211" s="66">
        <v>72.816570756028597</v>
      </c>
    </row>
    <row r="212" spans="1:56">
      <c r="A212">
        <v>188</v>
      </c>
      <c r="B212">
        <v>245.81730038506424</v>
      </c>
      <c r="C212">
        <v>20.182699614935757</v>
      </c>
      <c r="D212">
        <v>0.39860229753643633</v>
      </c>
      <c r="F212">
        <v>61.881188118811878</v>
      </c>
      <c r="G212">
        <v>256</v>
      </c>
      <c r="V212">
        <v>57</v>
      </c>
      <c r="W212">
        <v>128</v>
      </c>
      <c r="X212">
        <v>229</v>
      </c>
      <c r="Z212">
        <v>186</v>
      </c>
      <c r="AA212">
        <v>230.76754398289671</v>
      </c>
      <c r="AB212">
        <v>59.232456017103289</v>
      </c>
      <c r="AC212">
        <v>1.1725116768643917</v>
      </c>
      <c r="AE212">
        <v>61.221122112211219</v>
      </c>
      <c r="AF212">
        <v>255</v>
      </c>
      <c r="AR212" s="57" t="s">
        <v>370</v>
      </c>
      <c r="AS212" s="63">
        <v>1</v>
      </c>
      <c r="AT212" s="66">
        <v>295</v>
      </c>
      <c r="AU212" s="66">
        <v>42</v>
      </c>
      <c r="AV212" s="66">
        <v>56.19110689060566</v>
      </c>
      <c r="AW212" s="66">
        <v>-14.19110689060566</v>
      </c>
      <c r="AX212" s="66">
        <v>-1.5968266179619715</v>
      </c>
      <c r="AY212" s="66">
        <v>0.70134497307342514</v>
      </c>
      <c r="AZ212" s="66">
        <v>54.810946577759267</v>
      </c>
      <c r="BA212" s="66">
        <v>57.571267203452052</v>
      </c>
      <c r="BB212" s="66">
        <v>8.9146993278571003</v>
      </c>
      <c r="BC212" s="66">
        <v>38.648079299847275</v>
      </c>
      <c r="BD212" s="66">
        <v>73.734134481364038</v>
      </c>
    </row>
    <row r="213" spans="1:56">
      <c r="A213">
        <v>189</v>
      </c>
      <c r="B213">
        <v>240.93953522017978</v>
      </c>
      <c r="C213">
        <v>-7.9395352201797778</v>
      </c>
      <c r="D213">
        <v>-0.15680345248725483</v>
      </c>
      <c r="F213">
        <v>62.211221122112214</v>
      </c>
      <c r="G213">
        <v>256</v>
      </c>
      <c r="V213">
        <v>61</v>
      </c>
      <c r="W213">
        <v>120</v>
      </c>
      <c r="X213">
        <v>260</v>
      </c>
      <c r="Z213">
        <v>187</v>
      </c>
      <c r="AA213">
        <v>252.1851003669239</v>
      </c>
      <c r="AB213">
        <v>0.81489963307609514</v>
      </c>
      <c r="AC213">
        <v>1.613100991419867E-2</v>
      </c>
      <c r="AE213">
        <v>61.551155115511548</v>
      </c>
      <c r="AF213">
        <v>255</v>
      </c>
      <c r="AR213" s="57" t="s">
        <v>371</v>
      </c>
      <c r="AS213" s="63">
        <v>1</v>
      </c>
      <c r="AT213" s="66">
        <v>235</v>
      </c>
      <c r="AU213" s="66">
        <v>41</v>
      </c>
      <c r="AV213" s="66">
        <v>53.944589434709968</v>
      </c>
      <c r="AW213" s="66">
        <v>-12.944589434709968</v>
      </c>
      <c r="AX213" s="66">
        <v>-1.4565646730219228</v>
      </c>
      <c r="AY213" s="66">
        <v>0.52250509491826724</v>
      </c>
      <c r="AZ213" s="66">
        <v>52.916363920943105</v>
      </c>
      <c r="BA213" s="66">
        <v>54.972814948476831</v>
      </c>
      <c r="BB213" s="66">
        <v>8.9024148919861066</v>
      </c>
      <c r="BC213" s="66">
        <v>36.425736097002194</v>
      </c>
      <c r="BD213" s="66">
        <v>71.46344277241775</v>
      </c>
    </row>
    <row r="214" spans="1:56">
      <c r="A214">
        <v>190</v>
      </c>
      <c r="B214">
        <v>229.96456359918983</v>
      </c>
      <c r="C214">
        <v>-57.96456359918983</v>
      </c>
      <c r="D214">
        <v>-1.1447828420949075</v>
      </c>
      <c r="F214">
        <v>62.541254125412543</v>
      </c>
      <c r="G214">
        <v>256</v>
      </c>
      <c r="V214">
        <v>39</v>
      </c>
      <c r="W214">
        <v>118</v>
      </c>
      <c r="X214">
        <v>219</v>
      </c>
      <c r="Z214">
        <v>188</v>
      </c>
      <c r="AA214">
        <v>244.30613607175343</v>
      </c>
      <c r="AB214">
        <v>21.693863928246572</v>
      </c>
      <c r="AC214">
        <v>0.4294319446222461</v>
      </c>
      <c r="AE214">
        <v>61.881188118811878</v>
      </c>
      <c r="AF214">
        <v>256</v>
      </c>
      <c r="AR214" s="57" t="s">
        <v>372</v>
      </c>
      <c r="AS214" s="63">
        <v>1</v>
      </c>
      <c r="AT214" s="66">
        <v>306</v>
      </c>
      <c r="AU214" s="66">
        <v>41</v>
      </c>
      <c r="AV214" s="66">
        <v>56.602968424186543</v>
      </c>
      <c r="AW214" s="66">
        <v>-15.602968424186543</v>
      </c>
      <c r="AX214" s="66">
        <v>-1.7556935826799256</v>
      </c>
      <c r="AY214" s="66">
        <v>0.77977029882929871</v>
      </c>
      <c r="AZ214" s="66">
        <v>55.068476753326728</v>
      </c>
      <c r="BA214" s="66">
        <v>58.137460095046357</v>
      </c>
      <c r="BB214" s="66">
        <v>8.9212118601553687</v>
      </c>
      <c r="BC214" s="66">
        <v>39.047124973959157</v>
      </c>
      <c r="BD214" s="66">
        <v>74.158811874413928</v>
      </c>
    </row>
    <row r="215" spans="1:56">
      <c r="A215">
        <v>191</v>
      </c>
      <c r="B215">
        <v>242.15897651140091</v>
      </c>
      <c r="C215">
        <v>62.841023488599092</v>
      </c>
      <c r="D215">
        <v>1.2410914704175708</v>
      </c>
      <c r="F215">
        <v>62.871287128712872</v>
      </c>
      <c r="G215">
        <v>257</v>
      </c>
      <c r="V215">
        <v>61</v>
      </c>
      <c r="W215">
        <v>145</v>
      </c>
      <c r="X215">
        <v>307</v>
      </c>
      <c r="Z215">
        <v>189</v>
      </c>
      <c r="AA215">
        <v>243.12334251069899</v>
      </c>
      <c r="AB215">
        <v>-10.12334251069899</v>
      </c>
      <c r="AC215">
        <v>-0.20039245543465029</v>
      </c>
      <c r="AE215">
        <v>62.211221122112214</v>
      </c>
      <c r="AF215">
        <v>256</v>
      </c>
      <c r="AR215" s="57" t="s">
        <v>373</v>
      </c>
      <c r="AS215" s="63">
        <v>1</v>
      </c>
      <c r="AT215" s="66">
        <v>269</v>
      </c>
      <c r="AU215" s="66">
        <v>49</v>
      </c>
      <c r="AV215" s="66">
        <v>55.217615993050863</v>
      </c>
      <c r="AW215" s="66">
        <v>-6.2176159930508632</v>
      </c>
      <c r="AX215" s="66">
        <v>-0.69962510990190563</v>
      </c>
      <c r="AY215" s="66">
        <v>0.5576580446569771</v>
      </c>
      <c r="AZ215" s="66">
        <v>54.120213814487727</v>
      </c>
      <c r="BA215" s="66">
        <v>56.315018171614</v>
      </c>
      <c r="BB215" s="66">
        <v>8.904547255734629</v>
      </c>
      <c r="BC215" s="66">
        <v>37.694566426766208</v>
      </c>
      <c r="BD215" s="66">
        <v>72.740665559335525</v>
      </c>
    </row>
    <row r="216" spans="1:56">
      <c r="A216">
        <v>192</v>
      </c>
      <c r="B216">
        <v>250.69506554994865</v>
      </c>
      <c r="C216">
        <v>-34.695065549948652</v>
      </c>
      <c r="D216">
        <v>-0.68521719617491395</v>
      </c>
      <c r="F216">
        <v>63.201320132013201</v>
      </c>
      <c r="G216">
        <v>258</v>
      </c>
      <c r="V216">
        <v>56</v>
      </c>
      <c r="W216">
        <v>125</v>
      </c>
      <c r="X216">
        <v>249</v>
      </c>
      <c r="Z216">
        <v>190</v>
      </c>
      <c r="AA216">
        <v>227.03155430043108</v>
      </c>
      <c r="AB216">
        <v>-55.031554300431083</v>
      </c>
      <c r="AC216">
        <v>-1.0893544578772949</v>
      </c>
      <c r="AE216">
        <v>62.541254125412543</v>
      </c>
      <c r="AF216">
        <v>256</v>
      </c>
      <c r="AR216" s="57" t="s">
        <v>374</v>
      </c>
      <c r="AS216" s="63">
        <v>1</v>
      </c>
      <c r="AT216" s="66">
        <v>178</v>
      </c>
      <c r="AU216" s="66">
        <v>60</v>
      </c>
      <c r="AV216" s="66">
        <v>51.810397851609061</v>
      </c>
      <c r="AW216" s="66">
        <v>8.1896021483909394</v>
      </c>
      <c r="AX216" s="66">
        <v>0.92151900495698913</v>
      </c>
      <c r="AY216" s="66">
        <v>0.84516735770980311</v>
      </c>
      <c r="AZ216" s="66">
        <v>50.147212843363192</v>
      </c>
      <c r="BA216" s="66">
        <v>53.473582859854929</v>
      </c>
      <c r="BB216" s="66">
        <v>8.9271656866767426</v>
      </c>
      <c r="BC216" s="66">
        <v>34.242838005898918</v>
      </c>
      <c r="BD216" s="66">
        <v>69.377957697319204</v>
      </c>
    </row>
    <row r="217" spans="1:56">
      <c r="A217">
        <v>193</v>
      </c>
      <c r="B217">
        <v>245.81730038506424</v>
      </c>
      <c r="C217">
        <v>-57.817300385064243</v>
      </c>
      <c r="D217">
        <v>-1.1418744375398688</v>
      </c>
      <c r="F217">
        <v>63.53135313531353</v>
      </c>
      <c r="G217">
        <v>258</v>
      </c>
      <c r="V217">
        <v>43</v>
      </c>
      <c r="W217">
        <v>132</v>
      </c>
      <c r="X217">
        <v>341</v>
      </c>
      <c r="Z217">
        <v>191</v>
      </c>
      <c r="AA217">
        <v>242.19808611024484</v>
      </c>
      <c r="AB217">
        <v>62.801913889755156</v>
      </c>
      <c r="AC217">
        <v>1.2431694094181687</v>
      </c>
      <c r="AE217">
        <v>62.871287128712872</v>
      </c>
      <c r="AF217">
        <v>257</v>
      </c>
      <c r="AR217" s="57" t="s">
        <v>375</v>
      </c>
      <c r="AS217" s="63">
        <v>1</v>
      </c>
      <c r="AT217" s="66">
        <v>208</v>
      </c>
      <c r="AU217" s="66">
        <v>62</v>
      </c>
      <c r="AV217" s="66">
        <v>52.93365657955691</v>
      </c>
      <c r="AW217" s="66">
        <v>9.0663434204430899</v>
      </c>
      <c r="AX217" s="66">
        <v>1.0201726061926686</v>
      </c>
      <c r="AY217" s="66">
        <v>0.63497505386197561</v>
      </c>
      <c r="AZ217" s="66">
        <v>51.684104073110056</v>
      </c>
      <c r="BA217" s="66">
        <v>54.183209086003764</v>
      </c>
      <c r="BB217" s="66">
        <v>8.9097234891924391</v>
      </c>
      <c r="BC217" s="66">
        <v>35.40042082493018</v>
      </c>
      <c r="BD217" s="66">
        <v>70.46689233418364</v>
      </c>
    </row>
    <row r="218" spans="1:56">
      <c r="A218">
        <v>194</v>
      </c>
      <c r="B218">
        <v>253.13394813239086</v>
      </c>
      <c r="C218">
        <v>28.866051867609144</v>
      </c>
      <c r="D218">
        <v>0.57009591455843345</v>
      </c>
      <c r="F218">
        <v>63.861386138613859</v>
      </c>
      <c r="G218">
        <v>258</v>
      </c>
      <c r="V218">
        <v>62</v>
      </c>
      <c r="W218">
        <v>130</v>
      </c>
      <c r="X218">
        <v>263</v>
      </c>
      <c r="Z218">
        <v>192</v>
      </c>
      <c r="AA218">
        <v>249.55877893520039</v>
      </c>
      <c r="AB218">
        <v>-33.558778935200394</v>
      </c>
      <c r="AC218">
        <v>-0.664298980806596</v>
      </c>
      <c r="AE218">
        <v>63.201320132013201</v>
      </c>
      <c r="AF218">
        <v>258</v>
      </c>
      <c r="AR218" s="57" t="s">
        <v>376</v>
      </c>
      <c r="AS218" s="63">
        <v>1</v>
      </c>
      <c r="AT218" s="66">
        <v>201</v>
      </c>
      <c r="AU218" s="66">
        <v>57</v>
      </c>
      <c r="AV218" s="66">
        <v>52.67156287636908</v>
      </c>
      <c r="AW218" s="66">
        <v>4.3284371236309198</v>
      </c>
      <c r="AX218" s="66">
        <v>0.48704894314932606</v>
      </c>
      <c r="AY218" s="66">
        <v>0.67831658868715983</v>
      </c>
      <c r="AZ218" s="66">
        <v>51.336719580709847</v>
      </c>
      <c r="BA218" s="66">
        <v>54.006406172028314</v>
      </c>
      <c r="BB218" s="66">
        <v>8.9129171840272736</v>
      </c>
      <c r="BC218" s="66">
        <v>35.132042324628785</v>
      </c>
      <c r="BD218" s="66">
        <v>70.211083428109376</v>
      </c>
    </row>
    <row r="219" spans="1:56">
      <c r="A219">
        <v>195</v>
      </c>
      <c r="B219">
        <v>253.13394813239086</v>
      </c>
      <c r="C219">
        <v>-68.133948132390856</v>
      </c>
      <c r="D219">
        <v>-1.3456251534210741</v>
      </c>
      <c r="F219">
        <v>64.191419141914196</v>
      </c>
      <c r="G219">
        <v>259</v>
      </c>
      <c r="V219">
        <v>63</v>
      </c>
      <c r="W219">
        <v>130</v>
      </c>
      <c r="X219">
        <v>330</v>
      </c>
      <c r="Z219">
        <v>193</v>
      </c>
      <c r="AA219">
        <v>243.49216621127491</v>
      </c>
      <c r="AB219">
        <v>-55.492166211274906</v>
      </c>
      <c r="AC219">
        <v>-1.0984723111672423</v>
      </c>
      <c r="AE219">
        <v>63.53135313531353</v>
      </c>
      <c r="AF219">
        <v>258</v>
      </c>
      <c r="AR219" s="57" t="s">
        <v>377</v>
      </c>
      <c r="AS219" s="63">
        <v>1</v>
      </c>
      <c r="AT219" s="66">
        <v>263</v>
      </c>
      <c r="AU219" s="66">
        <v>64</v>
      </c>
      <c r="AV219" s="66">
        <v>54.992964247461288</v>
      </c>
      <c r="AW219" s="66">
        <v>9.0070357525387124</v>
      </c>
      <c r="AX219" s="66">
        <v>1.0134991265628552</v>
      </c>
      <c r="AY219" s="66">
        <v>0.5365882755427186</v>
      </c>
      <c r="AZ219" s="66">
        <v>53.937024773057708</v>
      </c>
      <c r="BA219" s="66">
        <v>56.048903721864868</v>
      </c>
      <c r="BB219" s="66">
        <v>8.903252569274354</v>
      </c>
      <c r="BC219" s="66">
        <v>37.472462464277186</v>
      </c>
      <c r="BD219" s="66">
        <v>72.51346603064539</v>
      </c>
    </row>
    <row r="220" spans="1:56">
      <c r="A220">
        <v>196</v>
      </c>
      <c r="B220">
        <v>251.91450684116975</v>
      </c>
      <c r="C220">
        <v>74.085493158830246</v>
      </c>
      <c r="D220">
        <v>1.4631663925363174</v>
      </c>
      <c r="F220">
        <v>64.521452145214525</v>
      </c>
      <c r="G220">
        <v>260</v>
      </c>
      <c r="V220">
        <v>65</v>
      </c>
      <c r="W220">
        <v>135</v>
      </c>
      <c r="X220">
        <v>254</v>
      </c>
      <c r="Z220">
        <v>194</v>
      </c>
      <c r="AA220">
        <v>255.23748734371833</v>
      </c>
      <c r="AB220">
        <v>26.762512656281672</v>
      </c>
      <c r="AC220">
        <v>0.52976629202511172</v>
      </c>
      <c r="AE220">
        <v>63.861386138613859</v>
      </c>
      <c r="AF220">
        <v>258</v>
      </c>
      <c r="AR220" s="57" t="s">
        <v>378</v>
      </c>
      <c r="AS220" s="63">
        <v>1</v>
      </c>
      <c r="AT220" s="66">
        <v>295</v>
      </c>
      <c r="AU220" s="66">
        <v>51</v>
      </c>
      <c r="AV220" s="66">
        <v>56.19110689060566</v>
      </c>
      <c r="AW220" s="66">
        <v>-5.1911068906056599</v>
      </c>
      <c r="AX220" s="66">
        <v>-0.58411917572774652</v>
      </c>
      <c r="AY220" s="66">
        <v>0.70134497307342514</v>
      </c>
      <c r="AZ220" s="66">
        <v>54.810946577759267</v>
      </c>
      <c r="BA220" s="66">
        <v>57.571267203452052</v>
      </c>
      <c r="BB220" s="66">
        <v>8.9146993278571003</v>
      </c>
      <c r="BC220" s="66">
        <v>38.648079299847275</v>
      </c>
      <c r="BD220" s="66">
        <v>73.734134481364038</v>
      </c>
    </row>
    <row r="221" spans="1:56">
      <c r="A221">
        <v>197</v>
      </c>
      <c r="B221">
        <v>236.06177005529537</v>
      </c>
      <c r="C221">
        <v>-5.0617700552953693</v>
      </c>
      <c r="D221">
        <v>-9.9968448826774595E-2</v>
      </c>
      <c r="F221">
        <v>64.851485148514854</v>
      </c>
      <c r="G221">
        <v>260</v>
      </c>
      <c r="V221">
        <v>48</v>
      </c>
      <c r="W221">
        <v>130</v>
      </c>
      <c r="X221">
        <v>256</v>
      </c>
      <c r="Z221">
        <v>195</v>
      </c>
      <c r="AA221">
        <v>254.22002501812017</v>
      </c>
      <c r="AB221">
        <v>-69.220025018120168</v>
      </c>
      <c r="AC221">
        <v>-1.3702164837324322</v>
      </c>
      <c r="AE221">
        <v>64.191419141914196</v>
      </c>
      <c r="AF221">
        <v>259</v>
      </c>
      <c r="AR221" s="57" t="s">
        <v>379</v>
      </c>
      <c r="AS221" s="63">
        <v>1</v>
      </c>
      <c r="AT221" s="66">
        <v>303</v>
      </c>
      <c r="AU221" s="66">
        <v>43</v>
      </c>
      <c r="AV221" s="66">
        <v>56.490642551391751</v>
      </c>
      <c r="AW221" s="66">
        <v>-13.490642551391751</v>
      </c>
      <c r="AX221" s="66">
        <v>-1.5180082347017934</v>
      </c>
      <c r="AY221" s="66">
        <v>0.75764513867210437</v>
      </c>
      <c r="AZ221" s="66">
        <v>54.99969046395622</v>
      </c>
      <c r="BA221" s="66">
        <v>57.981594638827282</v>
      </c>
      <c r="BB221" s="66">
        <v>8.919305213467803</v>
      </c>
      <c r="BC221" s="66">
        <v>38.938551146434278</v>
      </c>
      <c r="BD221" s="66">
        <v>74.042733956349224</v>
      </c>
    </row>
    <row r="222" spans="1:56">
      <c r="A222">
        <v>198</v>
      </c>
      <c r="B222">
        <v>261.6700371709386</v>
      </c>
      <c r="C222">
        <v>-7.670037170938599</v>
      </c>
      <c r="D222">
        <v>-0.15148094639745374</v>
      </c>
      <c r="F222">
        <v>65.181518151815183</v>
      </c>
      <c r="G222">
        <v>261</v>
      </c>
      <c r="V222">
        <v>63</v>
      </c>
      <c r="W222">
        <v>150</v>
      </c>
      <c r="X222">
        <v>407</v>
      </c>
      <c r="Z222">
        <v>196</v>
      </c>
      <c r="AA222">
        <v>259.2151307209669</v>
      </c>
      <c r="AB222">
        <v>66.784869279033103</v>
      </c>
      <c r="AC222">
        <v>1.322012361684235</v>
      </c>
      <c r="AE222">
        <v>64.521452145214525</v>
      </c>
      <c r="AF222">
        <v>260</v>
      </c>
      <c r="AR222" s="57" t="s">
        <v>380</v>
      </c>
      <c r="AS222" s="63">
        <v>1</v>
      </c>
      <c r="AT222" s="66">
        <v>209</v>
      </c>
      <c r="AU222" s="66">
        <v>42</v>
      </c>
      <c r="AV222" s="66">
        <v>52.971098537155171</v>
      </c>
      <c r="AW222" s="66">
        <v>-10.971098537155171</v>
      </c>
      <c r="AX222" s="66">
        <v>-1.2345014597846735</v>
      </c>
      <c r="AY222" s="66">
        <v>0.62915870659682704</v>
      </c>
      <c r="AZ222" s="66">
        <v>51.732991883989207</v>
      </c>
      <c r="BA222" s="66">
        <v>54.209205190321136</v>
      </c>
      <c r="BB222" s="66">
        <v>8.909310860719085</v>
      </c>
      <c r="BC222" s="66">
        <v>35.438674784417287</v>
      </c>
      <c r="BD222" s="66">
        <v>70.503522289893056</v>
      </c>
    </row>
    <row r="223" spans="1:56">
      <c r="A223">
        <v>199</v>
      </c>
      <c r="B223">
        <v>255.57283071483306</v>
      </c>
      <c r="C223">
        <v>11.42716928516694</v>
      </c>
      <c r="D223">
        <v>0.22568318502023338</v>
      </c>
      <c r="F223">
        <v>65.511551155115512</v>
      </c>
      <c r="G223">
        <v>261</v>
      </c>
      <c r="V223">
        <v>55</v>
      </c>
      <c r="W223">
        <v>140</v>
      </c>
      <c r="X223">
        <v>217</v>
      </c>
      <c r="Z223">
        <v>197</v>
      </c>
      <c r="AA223">
        <v>240.71959415892681</v>
      </c>
      <c r="AB223">
        <v>-9.7195941589268102</v>
      </c>
      <c r="AC223">
        <v>-0.19240022129816708</v>
      </c>
      <c r="AE223">
        <v>64.851485148514854</v>
      </c>
      <c r="AF223">
        <v>260</v>
      </c>
      <c r="AR223" s="57" t="s">
        <v>381</v>
      </c>
      <c r="AS223" s="63">
        <v>1</v>
      </c>
      <c r="AT223" s="66">
        <v>223</v>
      </c>
      <c r="AU223" s="66">
        <v>67</v>
      </c>
      <c r="AV223" s="66">
        <v>53.495285943530831</v>
      </c>
      <c r="AW223" s="66">
        <v>13.504714056469169</v>
      </c>
      <c r="AX223" s="66">
        <v>1.5195916033590531</v>
      </c>
      <c r="AY223" s="66">
        <v>0.55977420734953132</v>
      </c>
      <c r="AZ223" s="66">
        <v>52.393719418068635</v>
      </c>
      <c r="BA223" s="66">
        <v>54.596852468993028</v>
      </c>
      <c r="BB223" s="66">
        <v>8.9046800334461356</v>
      </c>
      <c r="BC223" s="66">
        <v>35.971975087103829</v>
      </c>
      <c r="BD223" s="66">
        <v>71.018596799957834</v>
      </c>
    </row>
    <row r="224" spans="1:56">
      <c r="A224">
        <v>200</v>
      </c>
      <c r="B224">
        <v>259.23115458849639</v>
      </c>
      <c r="C224">
        <v>-11.231154588496395</v>
      </c>
      <c r="D224">
        <v>-0.22181195322595115</v>
      </c>
      <c r="F224">
        <v>65.841584158415841</v>
      </c>
      <c r="G224">
        <v>262</v>
      </c>
      <c r="V224">
        <v>65</v>
      </c>
      <c r="W224">
        <v>138</v>
      </c>
      <c r="X224">
        <v>282</v>
      </c>
      <c r="Z224">
        <v>198</v>
      </c>
      <c r="AA224">
        <v>258.93531579652057</v>
      </c>
      <c r="AB224">
        <v>-4.9353157965205696</v>
      </c>
      <c r="AC224">
        <v>-9.7695010295753185E-2</v>
      </c>
      <c r="AE224">
        <v>65.181518151815183</v>
      </c>
      <c r="AF224">
        <v>261</v>
      </c>
      <c r="AR224" s="57" t="s">
        <v>382</v>
      </c>
      <c r="AS224" s="63">
        <v>1</v>
      </c>
      <c r="AT224" s="66">
        <v>197</v>
      </c>
      <c r="AU224" s="66">
        <v>76</v>
      </c>
      <c r="AV224" s="66">
        <v>52.521795045976035</v>
      </c>
      <c r="AW224" s="66">
        <v>23.478204954023965</v>
      </c>
      <c r="AX224" s="66">
        <v>2.6418392096933911</v>
      </c>
      <c r="AY224" s="66">
        <v>0.70492733182647549</v>
      </c>
      <c r="AZ224" s="66">
        <v>51.134585093412866</v>
      </c>
      <c r="BA224" s="66">
        <v>53.909004998539203</v>
      </c>
      <c r="BB224" s="66">
        <v>8.9149818776033669</v>
      </c>
      <c r="BC224" s="66">
        <v>34.978211432203054</v>
      </c>
      <c r="BD224" s="66">
        <v>70.065378659749015</v>
      </c>
    </row>
    <row r="225" spans="1:56">
      <c r="A225">
        <v>201</v>
      </c>
      <c r="B225">
        <v>233.62288747285317</v>
      </c>
      <c r="C225">
        <v>-36.622887472853165</v>
      </c>
      <c r="D225">
        <v>-0.72329110414420206</v>
      </c>
      <c r="F225">
        <v>66.171617161716171</v>
      </c>
      <c r="G225">
        <v>263</v>
      </c>
      <c r="V225">
        <v>56</v>
      </c>
      <c r="W225">
        <v>200</v>
      </c>
      <c r="X225">
        <v>288</v>
      </c>
      <c r="Z225">
        <v>199</v>
      </c>
      <c r="AA225">
        <v>252.36951221721185</v>
      </c>
      <c r="AB225">
        <v>14.630487782788151</v>
      </c>
      <c r="AC225">
        <v>0.28961179253798991</v>
      </c>
      <c r="AE225">
        <v>65.511551155115512</v>
      </c>
      <c r="AF225">
        <v>261</v>
      </c>
      <c r="AR225" s="57" t="s">
        <v>383</v>
      </c>
      <c r="AS225" s="63">
        <v>1</v>
      </c>
      <c r="AT225" s="66">
        <v>245</v>
      </c>
      <c r="AU225" s="66">
        <v>70</v>
      </c>
      <c r="AV225" s="66">
        <v>54.319009010692582</v>
      </c>
      <c r="AW225" s="66">
        <v>15.680990989307418</v>
      </c>
      <c r="AX225" s="66">
        <v>1.7644729196088271</v>
      </c>
      <c r="AY225" s="66">
        <v>0.51070102769703807</v>
      </c>
      <c r="AZ225" s="66">
        <v>53.314012443784094</v>
      </c>
      <c r="BA225" s="66">
        <v>55.324005577601071</v>
      </c>
      <c r="BB225" s="66">
        <v>8.9017298810136491</v>
      </c>
      <c r="BC225" s="66">
        <v>36.801503690001184</v>
      </c>
      <c r="BD225" s="66">
        <v>71.836514331383981</v>
      </c>
    </row>
    <row r="226" spans="1:56">
      <c r="A226">
        <v>202</v>
      </c>
      <c r="B226">
        <v>253.13394813239086</v>
      </c>
      <c r="C226">
        <v>4.8660518676091442</v>
      </c>
      <c r="D226">
        <v>9.6103072996493483E-2</v>
      </c>
      <c r="F226">
        <v>66.501650165016514</v>
      </c>
      <c r="G226">
        <v>263</v>
      </c>
      <c r="V226">
        <v>54</v>
      </c>
      <c r="W226">
        <v>110</v>
      </c>
      <c r="X226">
        <v>239</v>
      </c>
      <c r="Z226">
        <v>200</v>
      </c>
      <c r="AA226">
        <v>253.66359231824191</v>
      </c>
      <c r="AB226">
        <v>-5.6635923182419106</v>
      </c>
      <c r="AC226">
        <v>-0.11211130810143408</v>
      </c>
      <c r="AE226">
        <v>65.841584158415841</v>
      </c>
      <c r="AF226">
        <v>262</v>
      </c>
      <c r="AR226" s="57" t="s">
        <v>384</v>
      </c>
      <c r="AS226" s="63">
        <v>1</v>
      </c>
      <c r="AT226" s="66">
        <v>242</v>
      </c>
      <c r="AU226" s="66">
        <v>44</v>
      </c>
      <c r="AV226" s="66">
        <v>54.206683137897798</v>
      </c>
      <c r="AW226" s="66">
        <v>-10.206683137897798</v>
      </c>
      <c r="AX226" s="66">
        <v>-1.1484871082528525</v>
      </c>
      <c r="AY226" s="66">
        <v>0.51227922485585353</v>
      </c>
      <c r="AZ226" s="66">
        <v>53.198580873838736</v>
      </c>
      <c r="BA226" s="66">
        <v>55.21478540195686</v>
      </c>
      <c r="BB226" s="66">
        <v>8.9018205631802854</v>
      </c>
      <c r="BC226" s="66">
        <v>36.688999365898866</v>
      </c>
      <c r="BD226" s="66">
        <v>71.72436690989673</v>
      </c>
    </row>
    <row r="227" spans="1:56">
      <c r="A227">
        <v>203</v>
      </c>
      <c r="B227">
        <v>250.69506554994865</v>
      </c>
      <c r="C227">
        <v>19.304934450051348</v>
      </c>
      <c r="D227">
        <v>0.38126669733945112</v>
      </c>
      <c r="F227">
        <v>66.831683168316843</v>
      </c>
      <c r="G227">
        <v>263</v>
      </c>
      <c r="V227">
        <v>70</v>
      </c>
      <c r="W227">
        <v>145</v>
      </c>
      <c r="X227">
        <v>174</v>
      </c>
      <c r="Z227">
        <v>201</v>
      </c>
      <c r="AA227">
        <v>230.36055905265744</v>
      </c>
      <c r="AB227">
        <v>-33.360559052657436</v>
      </c>
      <c r="AC227">
        <v>-0.66037520079650835</v>
      </c>
      <c r="AE227">
        <v>66.171617161716171</v>
      </c>
      <c r="AF227">
        <v>263</v>
      </c>
      <c r="AR227" s="57" t="s">
        <v>385</v>
      </c>
      <c r="AS227" s="63">
        <v>1</v>
      </c>
      <c r="AT227" s="66">
        <v>240</v>
      </c>
      <c r="AU227" s="66">
        <v>60</v>
      </c>
      <c r="AV227" s="66">
        <v>54.131799222701275</v>
      </c>
      <c r="AW227" s="66">
        <v>5.8682007772987248</v>
      </c>
      <c r="AX227" s="66">
        <v>0.66030784441056478</v>
      </c>
      <c r="AY227" s="66">
        <v>0.51427600752735603</v>
      </c>
      <c r="AZ227" s="66">
        <v>53.119767536884886</v>
      </c>
      <c r="BA227" s="66">
        <v>55.143830908517664</v>
      </c>
      <c r="BB227" s="66">
        <v>8.9019356966200753</v>
      </c>
      <c r="BC227" s="66">
        <v>36.613888882308217</v>
      </c>
      <c r="BD227" s="66">
        <v>71.649709563094333</v>
      </c>
    </row>
    <row r="228" spans="1:56">
      <c r="A228">
        <v>204</v>
      </c>
      <c r="B228">
        <v>262.88947846215973</v>
      </c>
      <c r="C228">
        <v>11.11052153784027</v>
      </c>
      <c r="D228">
        <v>0.2194294864565019</v>
      </c>
      <c r="F228">
        <v>67.161716171617172</v>
      </c>
      <c r="G228">
        <v>264</v>
      </c>
      <c r="V228">
        <v>62</v>
      </c>
      <c r="W228">
        <v>120</v>
      </c>
      <c r="X228">
        <v>281</v>
      </c>
      <c r="Z228">
        <v>202</v>
      </c>
      <c r="AA228">
        <v>251.16763804132574</v>
      </c>
      <c r="AB228">
        <v>6.8323619586742552</v>
      </c>
      <c r="AC228">
        <v>0.13524720593717166</v>
      </c>
      <c r="AE228">
        <v>66.501650165016514</v>
      </c>
      <c r="AF228">
        <v>263</v>
      </c>
      <c r="AR228" s="57" t="s">
        <v>386</v>
      </c>
      <c r="AS228" s="63">
        <v>1</v>
      </c>
      <c r="AT228" s="66">
        <v>226</v>
      </c>
      <c r="AU228" s="66">
        <v>44</v>
      </c>
      <c r="AV228" s="66">
        <v>53.607611816325615</v>
      </c>
      <c r="AW228" s="66">
        <v>-9.6076118163256155</v>
      </c>
      <c r="AX228" s="66">
        <v>-1.0810777764989368</v>
      </c>
      <c r="AY228" s="66">
        <v>0.54830176119226526</v>
      </c>
      <c r="AZ228" s="66">
        <v>52.528621648412738</v>
      </c>
      <c r="BA228" s="66">
        <v>54.686601984238493</v>
      </c>
      <c r="BB228" s="66">
        <v>8.9039662036738996</v>
      </c>
      <c r="BC228" s="66">
        <v>36.085705688754729</v>
      </c>
      <c r="BD228" s="66">
        <v>71.129517943896502</v>
      </c>
    </row>
    <row r="229" spans="1:56">
      <c r="A229">
        <v>205</v>
      </c>
      <c r="B229">
        <v>255.57283071483306</v>
      </c>
      <c r="C229">
        <v>-91.57283071483306</v>
      </c>
      <c r="D229">
        <v>-1.8085360933497592</v>
      </c>
      <c r="F229">
        <v>67.491749174917501</v>
      </c>
      <c r="G229">
        <v>264</v>
      </c>
      <c r="V229">
        <v>35</v>
      </c>
      <c r="W229">
        <v>120</v>
      </c>
      <c r="X229">
        <v>198</v>
      </c>
      <c r="Z229">
        <v>203</v>
      </c>
      <c r="AA229">
        <v>254.03561316783222</v>
      </c>
      <c r="AB229">
        <v>15.964386832167776</v>
      </c>
      <c r="AC229">
        <v>0.31601644154839592</v>
      </c>
      <c r="AE229">
        <v>66.831683168316843</v>
      </c>
      <c r="AF229">
        <v>263</v>
      </c>
      <c r="AR229" s="57" t="s">
        <v>387</v>
      </c>
      <c r="AS229" s="63">
        <v>1</v>
      </c>
      <c r="AT229" s="66">
        <v>180</v>
      </c>
      <c r="AU229" s="66">
        <v>42</v>
      </c>
      <c r="AV229" s="66">
        <v>51.885281766805583</v>
      </c>
      <c r="AW229" s="66">
        <v>-9.8852817668055835</v>
      </c>
      <c r="AX229" s="66">
        <v>-1.1123220459807004</v>
      </c>
      <c r="AY229" s="66">
        <v>0.82952715693494916</v>
      </c>
      <c r="AZ229" s="66">
        <v>50.252874742609151</v>
      </c>
      <c r="BA229" s="66">
        <v>53.517688791002016</v>
      </c>
      <c r="BB229" s="66">
        <v>8.9256985518744152</v>
      </c>
      <c r="BC229" s="66">
        <v>34.320609061241171</v>
      </c>
      <c r="BD229" s="66">
        <v>69.449954472369996</v>
      </c>
    </row>
    <row r="230" spans="1:56">
      <c r="A230">
        <v>206</v>
      </c>
      <c r="B230">
        <v>243.37841780262201</v>
      </c>
      <c r="C230">
        <v>11.62158219737799</v>
      </c>
      <c r="D230">
        <v>0.22952278204920201</v>
      </c>
      <c r="F230">
        <v>67.821782178217831</v>
      </c>
      <c r="G230">
        <v>265</v>
      </c>
      <c r="V230">
        <v>59</v>
      </c>
      <c r="W230">
        <v>170</v>
      </c>
      <c r="X230">
        <v>288</v>
      </c>
      <c r="Z230">
        <v>204</v>
      </c>
      <c r="AA230">
        <v>271.23706962884228</v>
      </c>
      <c r="AB230">
        <v>2.7629303711577222</v>
      </c>
      <c r="AC230">
        <v>5.4692449720644305E-2</v>
      </c>
      <c r="AE230">
        <v>67.161716171617172</v>
      </c>
      <c r="AF230">
        <v>264</v>
      </c>
      <c r="AR230" s="57" t="s">
        <v>388</v>
      </c>
      <c r="AS230" s="63">
        <v>1</v>
      </c>
      <c r="AT230" s="66">
        <v>228</v>
      </c>
      <c r="AU230" s="66">
        <v>66</v>
      </c>
      <c r="AV230" s="66">
        <v>53.682495731522138</v>
      </c>
      <c r="AW230" s="66">
        <v>12.317504268477862</v>
      </c>
      <c r="AX230" s="66">
        <v>1.3860031380488183</v>
      </c>
      <c r="AY230" s="66">
        <v>0.54141797601206076</v>
      </c>
      <c r="AZ230" s="66">
        <v>52.617052002911798</v>
      </c>
      <c r="BA230" s="66">
        <v>54.747939460132478</v>
      </c>
      <c r="BB230" s="66">
        <v>8.903544954656514</v>
      </c>
      <c r="BC230" s="66">
        <v>36.16141857000639</v>
      </c>
      <c r="BD230" s="66">
        <v>71.203572893037887</v>
      </c>
    </row>
    <row r="231" spans="1:56">
      <c r="A231">
        <v>207</v>
      </c>
      <c r="B231">
        <v>251.91450684116975</v>
      </c>
      <c r="C231">
        <v>-12.914506841169754</v>
      </c>
      <c r="D231">
        <v>-0.25505765812571524</v>
      </c>
      <c r="F231">
        <v>68.15181518151816</v>
      </c>
      <c r="G231">
        <v>265</v>
      </c>
      <c r="V231">
        <v>64</v>
      </c>
      <c r="W231">
        <v>125</v>
      </c>
      <c r="X231">
        <v>309</v>
      </c>
      <c r="Z231">
        <v>205</v>
      </c>
      <c r="AA231">
        <v>260.50921082199699</v>
      </c>
      <c r="AB231">
        <v>-96.509210821996987</v>
      </c>
      <c r="AC231">
        <v>-1.9104083170396398</v>
      </c>
      <c r="AE231">
        <v>67.491749174917501</v>
      </c>
      <c r="AF231">
        <v>264</v>
      </c>
      <c r="AR231" s="57" t="s">
        <v>389</v>
      </c>
      <c r="AS231" s="63">
        <v>1</v>
      </c>
      <c r="AT231" s="66">
        <v>149</v>
      </c>
      <c r="AU231" s="66">
        <v>71</v>
      </c>
      <c r="AV231" s="66">
        <v>50.72458108125948</v>
      </c>
      <c r="AW231" s="66">
        <v>20.27541891874052</v>
      </c>
      <c r="AX231" s="66">
        <v>2.2814519592694587</v>
      </c>
      <c r="AY231" s="66">
        <v>1.0870222773495983</v>
      </c>
      <c r="AZ231" s="66">
        <v>48.585455452678474</v>
      </c>
      <c r="BA231" s="66">
        <v>52.863706709840486</v>
      </c>
      <c r="BB231" s="66">
        <v>8.9533008866168888</v>
      </c>
      <c r="BC231" s="66">
        <v>33.105590388946659</v>
      </c>
      <c r="BD231" s="66">
        <v>68.343571773572307</v>
      </c>
    </row>
    <row r="232" spans="1:56">
      <c r="A232">
        <v>208</v>
      </c>
      <c r="B232">
        <v>253.13394813239086</v>
      </c>
      <c r="C232">
        <v>4.8660518676091442</v>
      </c>
      <c r="D232">
        <v>9.6103072996493483E-2</v>
      </c>
      <c r="F232">
        <v>68.481848184818489</v>
      </c>
      <c r="G232">
        <v>266</v>
      </c>
      <c r="V232">
        <v>47</v>
      </c>
      <c r="W232">
        <v>108</v>
      </c>
      <c r="X232">
        <v>243</v>
      </c>
      <c r="Z232">
        <v>206</v>
      </c>
      <c r="AA232">
        <v>242.90076943074769</v>
      </c>
      <c r="AB232">
        <v>12.099230569252313</v>
      </c>
      <c r="AC232">
        <v>0.23950533335012494</v>
      </c>
      <c r="AE232">
        <v>67.821782178217831</v>
      </c>
      <c r="AF232">
        <v>265</v>
      </c>
      <c r="AR232" s="57" t="s">
        <v>390</v>
      </c>
      <c r="AS232" s="63">
        <v>1</v>
      </c>
      <c r="AT232" s="66">
        <v>227</v>
      </c>
      <c r="AU232" s="66">
        <v>64</v>
      </c>
      <c r="AV232" s="66">
        <v>53.645053773923877</v>
      </c>
      <c r="AW232" s="66">
        <v>10.354946226076123</v>
      </c>
      <c r="AX232" s="66">
        <v>1.1651701230091658</v>
      </c>
      <c r="AY232" s="66">
        <v>0.54478139949558857</v>
      </c>
      <c r="AZ232" s="66">
        <v>52.57299124317553</v>
      </c>
      <c r="BA232" s="66">
        <v>54.717116304672224</v>
      </c>
      <c r="BB232" s="66">
        <v>8.9037501148716451</v>
      </c>
      <c r="BC232" s="66">
        <v>36.123572882435617</v>
      </c>
      <c r="BD232" s="66">
        <v>71.166534665412144</v>
      </c>
    </row>
    <row r="233" spans="1:56">
      <c r="A233">
        <v>209</v>
      </c>
      <c r="B233">
        <v>239.7200939289587</v>
      </c>
      <c r="C233">
        <v>-51.720093928958704</v>
      </c>
      <c r="D233">
        <v>-1.021456428634899</v>
      </c>
      <c r="F233">
        <v>68.811881188118818</v>
      </c>
      <c r="G233">
        <v>266</v>
      </c>
      <c r="V233">
        <v>57</v>
      </c>
      <c r="W233">
        <v>165</v>
      </c>
      <c r="X233">
        <v>289</v>
      </c>
      <c r="Z233">
        <v>207</v>
      </c>
      <c r="AA233">
        <v>247.0055828137892</v>
      </c>
      <c r="AB233">
        <v>-8.0055828137892036</v>
      </c>
      <c r="AC233">
        <v>-0.1584712159590741</v>
      </c>
      <c r="AE233">
        <v>68.15181518151816</v>
      </c>
      <c r="AF233">
        <v>265</v>
      </c>
      <c r="AR233" s="57" t="s">
        <v>391</v>
      </c>
      <c r="AS233" s="63">
        <v>1</v>
      </c>
      <c r="AT233" s="66">
        <v>278</v>
      </c>
      <c r="AU233" s="66">
        <v>66</v>
      </c>
      <c r="AV233" s="66">
        <v>55.554593611435216</v>
      </c>
      <c r="AW233" s="66">
        <v>10.445406388564784</v>
      </c>
      <c r="AX233" s="66">
        <v>1.1753489763178306</v>
      </c>
      <c r="AY233" s="66">
        <v>0.59892236052781955</v>
      </c>
      <c r="AZ233" s="66">
        <v>54.375988354090289</v>
      </c>
      <c r="BA233" s="66">
        <v>56.733198868780143</v>
      </c>
      <c r="BB233" s="66">
        <v>8.9072266912199272</v>
      </c>
      <c r="BC233" s="66">
        <v>38.026271246941945</v>
      </c>
      <c r="BD233" s="66">
        <v>73.082915975928486</v>
      </c>
    </row>
    <row r="234" spans="1:56">
      <c r="A234">
        <v>210</v>
      </c>
      <c r="B234">
        <v>251.91450684116975</v>
      </c>
      <c r="C234">
        <v>-74.914506841169754</v>
      </c>
      <c r="D234">
        <v>-1.4795391654940604</v>
      </c>
      <c r="F234">
        <v>69.141914191419147</v>
      </c>
      <c r="G234">
        <v>267</v>
      </c>
      <c r="V234">
        <v>55</v>
      </c>
      <c r="W234">
        <v>160</v>
      </c>
      <c r="X234">
        <v>289</v>
      </c>
      <c r="Z234">
        <v>208</v>
      </c>
      <c r="AA234">
        <v>256.25494966931643</v>
      </c>
      <c r="AB234">
        <v>1.7450503306835685</v>
      </c>
      <c r="AC234">
        <v>3.4543424788122001E-2</v>
      </c>
      <c r="AE234">
        <v>68.481848184818489</v>
      </c>
      <c r="AF234">
        <v>266</v>
      </c>
      <c r="AR234" s="57" t="s">
        <v>392</v>
      </c>
      <c r="AS234" s="63">
        <v>1</v>
      </c>
      <c r="AT234" s="66">
        <v>220</v>
      </c>
      <c r="AU234" s="66">
        <v>39</v>
      </c>
      <c r="AV234" s="66">
        <v>53.382960070736047</v>
      </c>
      <c r="AW234" s="66">
        <v>-14.382960070736047</v>
      </c>
      <c r="AX234" s="66">
        <v>-1.6184145227768989</v>
      </c>
      <c r="AY234" s="66">
        <v>0.57254851456115208</v>
      </c>
      <c r="AZ234" s="66">
        <v>52.256255285908665</v>
      </c>
      <c r="BA234" s="66">
        <v>54.509664855563429</v>
      </c>
      <c r="BB234" s="66">
        <v>8.9054921894506567</v>
      </c>
      <c r="BC234" s="66">
        <v>35.858050991568</v>
      </c>
      <c r="BD234" s="66">
        <v>70.907869149904087</v>
      </c>
    </row>
    <row r="235" spans="1:56">
      <c r="A235">
        <v>211</v>
      </c>
      <c r="B235">
        <v>249.47562425872755</v>
      </c>
      <c r="C235">
        <v>-20.475624258727549</v>
      </c>
      <c r="D235">
        <v>-0.40438747188120261</v>
      </c>
      <c r="F235">
        <v>69.471947194719476</v>
      </c>
      <c r="G235">
        <v>267</v>
      </c>
      <c r="V235">
        <v>64</v>
      </c>
      <c r="W235">
        <v>120</v>
      </c>
      <c r="X235">
        <v>246</v>
      </c>
      <c r="Z235">
        <v>209</v>
      </c>
      <c r="AA235">
        <v>237.94382495756432</v>
      </c>
      <c r="AB235">
        <v>-49.943824957564317</v>
      </c>
      <c r="AC235">
        <v>-0.98864240802553172</v>
      </c>
      <c r="AE235">
        <v>68.811881188118818</v>
      </c>
      <c r="AF235">
        <v>266</v>
      </c>
      <c r="AR235" s="57" t="s">
        <v>393</v>
      </c>
      <c r="AS235" s="63">
        <v>1</v>
      </c>
      <c r="AT235" s="66">
        <v>197</v>
      </c>
      <c r="AU235" s="66">
        <v>58</v>
      </c>
      <c r="AV235" s="66">
        <v>52.521795045976035</v>
      </c>
      <c r="AW235" s="66">
        <v>5.4782049540239655</v>
      </c>
      <c r="AX235" s="66">
        <v>0.61642432522494117</v>
      </c>
      <c r="AY235" s="66">
        <v>0.70492733182647549</v>
      </c>
      <c r="AZ235" s="66">
        <v>51.134585093412866</v>
      </c>
      <c r="BA235" s="66">
        <v>53.909004998539203</v>
      </c>
      <c r="BB235" s="66">
        <v>8.9149818776033669</v>
      </c>
      <c r="BC235" s="66">
        <v>34.978211432203054</v>
      </c>
      <c r="BD235" s="66">
        <v>70.065378659749015</v>
      </c>
    </row>
    <row r="236" spans="1:56">
      <c r="A236">
        <v>212</v>
      </c>
      <c r="B236">
        <v>254.35338942361199</v>
      </c>
      <c r="C236">
        <v>5.6466105763880137</v>
      </c>
      <c r="D236">
        <v>0.1115188746789941</v>
      </c>
      <c r="F236">
        <v>69.801980198019805</v>
      </c>
      <c r="G236">
        <v>268</v>
      </c>
      <c r="V236">
        <v>70</v>
      </c>
      <c r="W236">
        <v>130</v>
      </c>
      <c r="X236">
        <v>322</v>
      </c>
      <c r="Z236">
        <v>210</v>
      </c>
      <c r="AA236">
        <v>253.11035676737805</v>
      </c>
      <c r="AB236">
        <v>-76.11035676737805</v>
      </c>
      <c r="AC236">
        <v>-1.5066112067731503</v>
      </c>
      <c r="AE236">
        <v>69.141914191419147</v>
      </c>
      <c r="AF236">
        <v>267</v>
      </c>
      <c r="AR236" s="57" t="s">
        <v>394</v>
      </c>
      <c r="AS236" s="63">
        <v>1</v>
      </c>
      <c r="AT236" s="66">
        <v>253</v>
      </c>
      <c r="AU236" s="66">
        <v>47</v>
      </c>
      <c r="AV236" s="66">
        <v>54.618544671478674</v>
      </c>
      <c r="AW236" s="66">
        <v>-7.6185446714786735</v>
      </c>
      <c r="AX236" s="66">
        <v>-0.85726187642226126</v>
      </c>
      <c r="AY236" s="66">
        <v>0.51485637169220011</v>
      </c>
      <c r="AZ236" s="66">
        <v>53.605370900642683</v>
      </c>
      <c r="BA236" s="66">
        <v>55.631718442314664</v>
      </c>
      <c r="BB236" s="66">
        <v>8.9019692438422027</v>
      </c>
      <c r="BC236" s="66">
        <v>37.100568314294499</v>
      </c>
      <c r="BD236" s="66">
        <v>72.136521028662855</v>
      </c>
    </row>
    <row r="237" spans="1:56">
      <c r="A237">
        <v>213</v>
      </c>
      <c r="B237">
        <v>227.52568101674763</v>
      </c>
      <c r="C237">
        <v>-8.525681016747626</v>
      </c>
      <c r="D237">
        <v>-0.1683796571407874</v>
      </c>
      <c r="F237">
        <v>70.132013201320134</v>
      </c>
      <c r="G237">
        <v>268</v>
      </c>
      <c r="V237">
        <v>51</v>
      </c>
      <c r="W237">
        <v>140</v>
      </c>
      <c r="X237">
        <v>299</v>
      </c>
      <c r="Z237">
        <v>211</v>
      </c>
      <c r="AA237">
        <v>248.44911068445828</v>
      </c>
      <c r="AB237">
        <v>-19.449110684458276</v>
      </c>
      <c r="AC237">
        <v>-0.38499685671603112</v>
      </c>
      <c r="AE237">
        <v>69.471947194719476</v>
      </c>
      <c r="AF237">
        <v>267</v>
      </c>
      <c r="AR237" s="57" t="s">
        <v>395</v>
      </c>
      <c r="AS237" s="63">
        <v>1</v>
      </c>
      <c r="AT237" s="66">
        <v>192</v>
      </c>
      <c r="AU237" s="66">
        <v>35</v>
      </c>
      <c r="AV237" s="66">
        <v>52.33458525798472</v>
      </c>
      <c r="AW237" s="66">
        <v>-17.33458525798472</v>
      </c>
      <c r="AX237" s="66">
        <v>-1.9505403887560899</v>
      </c>
      <c r="AY237" s="66">
        <v>0.73980721816806971</v>
      </c>
      <c r="AZ237" s="66">
        <v>50.878735995676017</v>
      </c>
      <c r="BA237" s="66">
        <v>53.790434520293424</v>
      </c>
      <c r="BB237" s="66">
        <v>8.9178076933119641</v>
      </c>
      <c r="BC237" s="66">
        <v>34.785440787797043</v>
      </c>
      <c r="BD237" s="66">
        <v>69.883729728172398</v>
      </c>
    </row>
    <row r="238" spans="1:56">
      <c r="A238">
        <v>214</v>
      </c>
      <c r="B238">
        <v>254.35338942361199</v>
      </c>
      <c r="C238">
        <v>52.646610576388014</v>
      </c>
      <c r="D238">
        <v>1.0397548560711267</v>
      </c>
      <c r="F238">
        <v>70.462046204620464</v>
      </c>
      <c r="G238">
        <v>269</v>
      </c>
      <c r="V238">
        <v>58</v>
      </c>
      <c r="W238">
        <v>125</v>
      </c>
      <c r="X238">
        <v>300</v>
      </c>
      <c r="Z238">
        <v>212</v>
      </c>
      <c r="AA238">
        <v>251.25984396646973</v>
      </c>
      <c r="AB238">
        <v>8.740156033530269</v>
      </c>
      <c r="AC238">
        <v>0.1730121574559044</v>
      </c>
      <c r="AE238">
        <v>69.801980198019805</v>
      </c>
      <c r="AF238">
        <v>268</v>
      </c>
      <c r="AR238" s="57" t="s">
        <v>396</v>
      </c>
      <c r="AS238" s="63">
        <v>1</v>
      </c>
      <c r="AT238" s="66">
        <v>220</v>
      </c>
      <c r="AU238" s="66">
        <v>58</v>
      </c>
      <c r="AV238" s="66">
        <v>53.382960070736047</v>
      </c>
      <c r="AW238" s="66">
        <v>4.617039929263953</v>
      </c>
      <c r="AX238" s="66">
        <v>0.51952341082868725</v>
      </c>
      <c r="AY238" s="66">
        <v>0.57254851456115208</v>
      </c>
      <c r="AZ238" s="66">
        <v>52.256255285908665</v>
      </c>
      <c r="BA238" s="66">
        <v>54.509664855563429</v>
      </c>
      <c r="BB238" s="66">
        <v>8.9054921894506567</v>
      </c>
      <c r="BC238" s="66">
        <v>35.858050991568</v>
      </c>
      <c r="BD238" s="66">
        <v>70.907869149904087</v>
      </c>
    </row>
    <row r="239" spans="1:56">
      <c r="A239">
        <v>215</v>
      </c>
      <c r="B239">
        <v>248.25618296750645</v>
      </c>
      <c r="C239">
        <v>0.74381703249355269</v>
      </c>
      <c r="D239">
        <v>1.4690164534741205E-2</v>
      </c>
      <c r="F239">
        <v>70.792079207920793</v>
      </c>
      <c r="G239">
        <v>269</v>
      </c>
      <c r="V239">
        <v>60</v>
      </c>
      <c r="W239">
        <v>140</v>
      </c>
      <c r="X239">
        <v>293</v>
      </c>
      <c r="Z239">
        <v>213</v>
      </c>
      <c r="AA239">
        <v>226.44015751990386</v>
      </c>
      <c r="AB239">
        <v>-7.4401575199038632</v>
      </c>
      <c r="AC239">
        <v>-0.14727857253257814</v>
      </c>
      <c r="AE239">
        <v>70.132013201320134</v>
      </c>
      <c r="AF239">
        <v>268</v>
      </c>
      <c r="AR239" s="57" t="s">
        <v>397</v>
      </c>
      <c r="AS239" s="63">
        <v>1</v>
      </c>
      <c r="AT239" s="66">
        <v>221</v>
      </c>
      <c r="AU239" s="66">
        <v>56</v>
      </c>
      <c r="AV239" s="66">
        <v>53.420402028334308</v>
      </c>
      <c r="AW239" s="66">
        <v>2.5795979716656916</v>
      </c>
      <c r="AX239" s="66">
        <v>0.29026422931979529</v>
      </c>
      <c r="AY239" s="66">
        <v>0.56815099737592745</v>
      </c>
      <c r="AZ239" s="66">
        <v>52.302351014371659</v>
      </c>
      <c r="BA239" s="66">
        <v>54.538453042296958</v>
      </c>
      <c r="BB239" s="66">
        <v>8.9052105472391681</v>
      </c>
      <c r="BC239" s="66">
        <v>35.896047186264468</v>
      </c>
      <c r="BD239" s="66">
        <v>70.944756870404149</v>
      </c>
    </row>
    <row r="240" spans="1:56">
      <c r="A240">
        <v>216</v>
      </c>
      <c r="B240">
        <v>232.40344618163203</v>
      </c>
      <c r="C240">
        <v>108.59655381836797</v>
      </c>
      <c r="D240">
        <v>2.1447495470084323</v>
      </c>
      <c r="F240">
        <v>71.122112211221122</v>
      </c>
      <c r="G240">
        <v>269</v>
      </c>
      <c r="V240">
        <v>77</v>
      </c>
      <c r="W240">
        <v>125</v>
      </c>
      <c r="X240">
        <v>304</v>
      </c>
      <c r="Z240">
        <v>214</v>
      </c>
      <c r="AA240">
        <v>256.34715559446045</v>
      </c>
      <c r="AB240">
        <v>50.652844405539554</v>
      </c>
      <c r="AC240">
        <v>1.0026775103625827</v>
      </c>
      <c r="AE240">
        <v>70.462046204620464</v>
      </c>
      <c r="AF240">
        <v>269</v>
      </c>
      <c r="AR240" s="57" t="s">
        <v>398</v>
      </c>
      <c r="AS240" s="63">
        <v>1</v>
      </c>
      <c r="AT240" s="66">
        <v>240</v>
      </c>
      <c r="AU240" s="66">
        <v>56</v>
      </c>
      <c r="AV240" s="66">
        <v>54.131799222701275</v>
      </c>
      <c r="AW240" s="66">
        <v>1.8682007772987248</v>
      </c>
      <c r="AX240" s="66">
        <v>0.21021564786202029</v>
      </c>
      <c r="AY240" s="66">
        <v>0.51427600752735603</v>
      </c>
      <c r="AZ240" s="66">
        <v>53.119767536884886</v>
      </c>
      <c r="BA240" s="66">
        <v>55.143830908517664</v>
      </c>
      <c r="BB240" s="66">
        <v>8.9019356966200753</v>
      </c>
      <c r="BC240" s="66">
        <v>36.613888882308217</v>
      </c>
      <c r="BD240" s="66">
        <v>71.649709563094333</v>
      </c>
    </row>
    <row r="241" spans="1:56">
      <c r="A241">
        <v>217</v>
      </c>
      <c r="B241">
        <v>255.57283071483306</v>
      </c>
      <c r="C241">
        <v>7.42716928516694</v>
      </c>
      <c r="D241">
        <v>0.14668437809324336</v>
      </c>
      <c r="F241">
        <v>71.452145214521465</v>
      </c>
      <c r="G241">
        <v>269</v>
      </c>
      <c r="V241">
        <v>35</v>
      </c>
      <c r="W241">
        <v>126</v>
      </c>
      <c r="X241">
        <v>282</v>
      </c>
      <c r="Z241">
        <v>215</v>
      </c>
      <c r="AA241">
        <v>246.72896503835727</v>
      </c>
      <c r="AB241">
        <v>2.2710349616427266</v>
      </c>
      <c r="AC241">
        <v>4.49553368228474E-2</v>
      </c>
      <c r="AE241">
        <v>70.792079207920793</v>
      </c>
      <c r="AF241">
        <v>269</v>
      </c>
      <c r="AR241" s="57" t="s">
        <v>399</v>
      </c>
      <c r="AS241" s="63">
        <v>1</v>
      </c>
      <c r="AT241" s="66">
        <v>342</v>
      </c>
      <c r="AU241" s="66">
        <v>55</v>
      </c>
      <c r="AV241" s="66">
        <v>57.950878897723953</v>
      </c>
      <c r="AW241" s="66">
        <v>-2.9508788977239533</v>
      </c>
      <c r="AX241" s="66">
        <v>-0.33204189120633043</v>
      </c>
      <c r="AY241" s="66">
        <v>1.0737353461122368</v>
      </c>
      <c r="AZ241" s="66">
        <v>55.837900309297751</v>
      </c>
      <c r="BA241" s="66">
        <v>60.063857486150155</v>
      </c>
      <c r="BB241" s="66">
        <v>8.951697432796264</v>
      </c>
      <c r="BC241" s="66">
        <v>40.335043604553746</v>
      </c>
      <c r="BD241" s="66">
        <v>75.56671419089416</v>
      </c>
    </row>
    <row r="242" spans="1:56">
      <c r="A242">
        <v>218</v>
      </c>
      <c r="B242">
        <v>256.79227200605419</v>
      </c>
      <c r="C242">
        <v>73.207727993945809</v>
      </c>
      <c r="D242">
        <v>1.4458307923393316</v>
      </c>
      <c r="F242">
        <v>71.782178217821794</v>
      </c>
      <c r="G242">
        <v>269</v>
      </c>
      <c r="V242">
        <v>70</v>
      </c>
      <c r="W242">
        <v>160</v>
      </c>
      <c r="X242">
        <v>269</v>
      </c>
      <c r="Z242">
        <v>216</v>
      </c>
      <c r="AA242">
        <v>233.72772503454715</v>
      </c>
      <c r="AB242">
        <v>107.27227496545285</v>
      </c>
      <c r="AC242">
        <v>2.1234641184637524</v>
      </c>
      <c r="AE242">
        <v>71.122112211221122</v>
      </c>
      <c r="AF242">
        <v>269</v>
      </c>
      <c r="AR242" s="57" t="s">
        <v>400</v>
      </c>
      <c r="AS242" s="63">
        <v>1</v>
      </c>
      <c r="AT242" s="66">
        <v>157</v>
      </c>
      <c r="AU242" s="66">
        <v>41</v>
      </c>
      <c r="AV242" s="66">
        <v>51.024116742045571</v>
      </c>
      <c r="AW242" s="66">
        <v>-10.024116742045571</v>
      </c>
      <c r="AX242" s="66">
        <v>-1.1279441807215826</v>
      </c>
      <c r="AY242" s="66">
        <v>1.0180126130314773</v>
      </c>
      <c r="AZ242" s="66">
        <v>49.020793612308097</v>
      </c>
      <c r="BA242" s="66">
        <v>53.027439871783045</v>
      </c>
      <c r="BB242" s="66">
        <v>8.9451846831203916</v>
      </c>
      <c r="BC242" s="66">
        <v>33.42109773611665</v>
      </c>
      <c r="BD242" s="66">
        <v>68.627135747974492</v>
      </c>
    </row>
    <row r="243" spans="1:56">
      <c r="A243">
        <v>219</v>
      </c>
      <c r="B243">
        <v>259.23115458849639</v>
      </c>
      <c r="C243">
        <v>-5.2311545884963948</v>
      </c>
      <c r="D243">
        <v>-0.10331374283546614</v>
      </c>
      <c r="F243">
        <v>72.112211221122124</v>
      </c>
      <c r="G243">
        <v>270</v>
      </c>
      <c r="V243">
        <v>59</v>
      </c>
      <c r="W243">
        <v>174</v>
      </c>
      <c r="X243">
        <v>249</v>
      </c>
      <c r="Z243">
        <v>217</v>
      </c>
      <c r="AA243">
        <v>254.40443686840814</v>
      </c>
      <c r="AB243">
        <v>8.5955631315918595</v>
      </c>
      <c r="AC243">
        <v>0.17014992824383965</v>
      </c>
      <c r="AE243">
        <v>71.452145214521465</v>
      </c>
      <c r="AF243">
        <v>269</v>
      </c>
      <c r="AR243" s="57" t="s">
        <v>401</v>
      </c>
      <c r="AS243" s="63">
        <v>1</v>
      </c>
      <c r="AT243" s="66">
        <v>175</v>
      </c>
      <c r="AU243" s="66">
        <v>38</v>
      </c>
      <c r="AV243" s="66">
        <v>51.698071978814276</v>
      </c>
      <c r="AW243" s="66">
        <v>-13.698071978814276</v>
      </c>
      <c r="AX243" s="66">
        <v>-1.5413488263561461</v>
      </c>
      <c r="AY243" s="66">
        <v>0.86894012867832104</v>
      </c>
      <c r="AZ243" s="66">
        <v>49.988105092495836</v>
      </c>
      <c r="BA243" s="66">
        <v>53.408038865132717</v>
      </c>
      <c r="BB243" s="66">
        <v>8.9294477030815269</v>
      </c>
      <c r="BC243" s="66">
        <v>34.126021406577145</v>
      </c>
      <c r="BD243" s="66">
        <v>69.270122551051401</v>
      </c>
    </row>
    <row r="244" spans="1:56">
      <c r="A244">
        <v>220</v>
      </c>
      <c r="B244">
        <v>238.50065263773757</v>
      </c>
      <c r="C244">
        <v>17.499347362262426</v>
      </c>
      <c r="D244">
        <v>0.3456068909049253</v>
      </c>
      <c r="F244">
        <v>72.442244224422453</v>
      </c>
      <c r="G244">
        <v>270</v>
      </c>
      <c r="V244">
        <v>64</v>
      </c>
      <c r="W244">
        <v>145</v>
      </c>
      <c r="X244">
        <v>212</v>
      </c>
      <c r="Z244">
        <v>218</v>
      </c>
      <c r="AA244">
        <v>255.51410511915026</v>
      </c>
      <c r="AB244">
        <v>74.485894880849742</v>
      </c>
      <c r="AC244">
        <v>1.4744548408438765</v>
      </c>
      <c r="AE244">
        <v>71.782178217821794</v>
      </c>
      <c r="AF244">
        <v>269</v>
      </c>
      <c r="AR244" s="57" t="s">
        <v>402</v>
      </c>
      <c r="AS244" s="63">
        <v>1</v>
      </c>
      <c r="AT244" s="66">
        <v>175</v>
      </c>
      <c r="AU244" s="66">
        <v>38</v>
      </c>
      <c r="AV244" s="66">
        <v>51.698071978814276</v>
      </c>
      <c r="AW244" s="66">
        <v>-13.698071978814276</v>
      </c>
      <c r="AX244" s="66">
        <v>-1.5413488263561461</v>
      </c>
      <c r="AY244" s="66">
        <v>0.86894012867832104</v>
      </c>
      <c r="AZ244" s="66">
        <v>49.988105092495836</v>
      </c>
      <c r="BA244" s="66">
        <v>53.408038865132717</v>
      </c>
      <c r="BB244" s="66">
        <v>8.9294477030815269</v>
      </c>
      <c r="BC244" s="66">
        <v>34.126021406577145</v>
      </c>
      <c r="BD244" s="66">
        <v>69.270122551051401</v>
      </c>
    </row>
    <row r="245" spans="1:56">
      <c r="A245">
        <v>221</v>
      </c>
      <c r="B245">
        <v>256.79227200605419</v>
      </c>
      <c r="C245">
        <v>150.20772799394581</v>
      </c>
      <c r="D245">
        <v>2.9665578256838891</v>
      </c>
      <c r="F245">
        <v>72.772277227722782</v>
      </c>
      <c r="G245">
        <v>271</v>
      </c>
      <c r="V245">
        <v>57</v>
      </c>
      <c r="W245">
        <v>152</v>
      </c>
      <c r="X245">
        <v>274</v>
      </c>
      <c r="Z245">
        <v>219</v>
      </c>
      <c r="AA245">
        <v>258.7509039462326</v>
      </c>
      <c r="AB245">
        <v>-4.7509039462325973</v>
      </c>
      <c r="AC245">
        <v>-9.4044561498688603E-2</v>
      </c>
      <c r="AE245">
        <v>72.112211221122124</v>
      </c>
      <c r="AF245">
        <v>270</v>
      </c>
      <c r="AR245" s="57" t="s">
        <v>403</v>
      </c>
      <c r="AS245" s="63">
        <v>1</v>
      </c>
      <c r="AT245" s="66">
        <v>286</v>
      </c>
      <c r="AU245" s="66">
        <v>67</v>
      </c>
      <c r="AV245" s="66">
        <v>55.854129272221307</v>
      </c>
      <c r="AW245" s="66">
        <v>11.145870727778693</v>
      </c>
      <c r="AX245" s="66">
        <v>1.254167359578009</v>
      </c>
      <c r="AY245" s="66">
        <v>0.6437159566599161</v>
      </c>
      <c r="AZ245" s="66">
        <v>54.587375748296139</v>
      </c>
      <c r="BA245" s="66">
        <v>57.120882796146475</v>
      </c>
      <c r="BB245" s="66">
        <v>8.910350698356325</v>
      </c>
      <c r="BC245" s="66">
        <v>38.31965924740075</v>
      </c>
      <c r="BD245" s="66">
        <v>73.388599297041864</v>
      </c>
    </row>
    <row r="246" spans="1:56">
      <c r="A246">
        <v>222</v>
      </c>
      <c r="B246">
        <v>247.03674167628532</v>
      </c>
      <c r="C246">
        <v>-30.036741676285317</v>
      </c>
      <c r="D246">
        <v>-0.59321668910018444</v>
      </c>
      <c r="F246">
        <v>73.102310231023111</v>
      </c>
      <c r="G246">
        <v>271</v>
      </c>
      <c r="V246">
        <v>56</v>
      </c>
      <c r="W246">
        <v>132</v>
      </c>
      <c r="X246">
        <v>184</v>
      </c>
      <c r="Z246">
        <v>220</v>
      </c>
      <c r="AA246">
        <v>238.86908135801849</v>
      </c>
      <c r="AB246">
        <v>17.130918641981509</v>
      </c>
      <c r="AC246">
        <v>0.3391080413302015</v>
      </c>
      <c r="AE246">
        <v>72.442244224422453</v>
      </c>
      <c r="AF246">
        <v>270</v>
      </c>
      <c r="AR246" s="57" t="s">
        <v>404</v>
      </c>
      <c r="AS246" s="63">
        <v>1</v>
      </c>
      <c r="AT246" s="66">
        <v>229</v>
      </c>
      <c r="AU246" s="66">
        <v>67</v>
      </c>
      <c r="AV246" s="66">
        <v>53.7199376891204</v>
      </c>
      <c r="AW246" s="66">
        <v>13.2800623108796</v>
      </c>
      <c r="AX246" s="66">
        <v>1.4943131039513347</v>
      </c>
      <c r="AY246" s="66">
        <v>0.53821443297668359</v>
      </c>
      <c r="AZ246" s="66">
        <v>52.660798137666347</v>
      </c>
      <c r="BA246" s="66">
        <v>54.779077240574452</v>
      </c>
      <c r="BB246" s="66">
        <v>8.9033507237839888</v>
      </c>
      <c r="BC246" s="66">
        <v>36.199242749980343</v>
      </c>
      <c r="BD246" s="66">
        <v>71.240632628260457</v>
      </c>
    </row>
    <row r="247" spans="1:56">
      <c r="A247">
        <v>223</v>
      </c>
      <c r="B247">
        <v>259.23115458849639</v>
      </c>
      <c r="C247">
        <v>22.768845411503605</v>
      </c>
      <c r="D247">
        <v>0.44967790565346388</v>
      </c>
      <c r="F247">
        <v>73.43234323432344</v>
      </c>
      <c r="G247">
        <v>273</v>
      </c>
      <c r="V247">
        <v>48</v>
      </c>
      <c r="W247">
        <v>124</v>
      </c>
      <c r="X247">
        <v>274</v>
      </c>
      <c r="Z247">
        <v>221</v>
      </c>
      <c r="AA247">
        <v>259.58395442154278</v>
      </c>
      <c r="AB247">
        <v>147.41604557845722</v>
      </c>
      <c r="AC247">
        <v>2.9181135887393412</v>
      </c>
      <c r="AE247">
        <v>72.772277227722782</v>
      </c>
      <c r="AF247">
        <v>271</v>
      </c>
      <c r="AR247" s="57" t="s">
        <v>405</v>
      </c>
      <c r="AS247" s="63">
        <v>1</v>
      </c>
      <c r="AT247" s="66">
        <v>268</v>
      </c>
      <c r="AU247" s="66">
        <v>62</v>
      </c>
      <c r="AV247" s="66">
        <v>55.180174035452602</v>
      </c>
      <c r="AW247" s="66">
        <v>6.8198259645473982</v>
      </c>
      <c r="AX247" s="66">
        <v>0.76738761211548356</v>
      </c>
      <c r="AY247" s="66">
        <v>0.55376272856119546</v>
      </c>
      <c r="AZ247" s="66">
        <v>54.090437358016295</v>
      </c>
      <c r="BA247" s="66">
        <v>56.269910712888908</v>
      </c>
      <c r="BB247" s="66">
        <v>8.9043041555409594</v>
      </c>
      <c r="BC247" s="66">
        <v>37.657602860333824</v>
      </c>
      <c r="BD247" s="66">
        <v>72.702745210571379</v>
      </c>
    </row>
    <row r="248" spans="1:56">
      <c r="A248">
        <v>224</v>
      </c>
      <c r="B248">
        <v>248.25618296750645</v>
      </c>
      <c r="C248">
        <v>39.743817032493553</v>
      </c>
      <c r="D248">
        <v>0.7849285320728937</v>
      </c>
      <c r="F248">
        <v>73.762376237623769</v>
      </c>
      <c r="G248">
        <v>273</v>
      </c>
      <c r="V248">
        <v>56</v>
      </c>
      <c r="W248">
        <v>134</v>
      </c>
      <c r="X248">
        <v>409</v>
      </c>
      <c r="Z248">
        <v>222</v>
      </c>
      <c r="AA248">
        <v>248.67168376440958</v>
      </c>
      <c r="AB248">
        <v>-31.671683764409579</v>
      </c>
      <c r="AC248">
        <v>-0.62694376591448109</v>
      </c>
      <c r="AE248">
        <v>73.102310231023111</v>
      </c>
      <c r="AF248">
        <v>271</v>
      </c>
      <c r="AR248" s="57" t="s">
        <v>406</v>
      </c>
      <c r="AS248" s="63">
        <v>1</v>
      </c>
      <c r="AT248" s="66">
        <v>254</v>
      </c>
      <c r="AU248" s="66">
        <v>63</v>
      </c>
      <c r="AV248" s="66">
        <v>54.655986629076935</v>
      </c>
      <c r="AW248" s="66">
        <v>8.3440133709230651</v>
      </c>
      <c r="AX248" s="66">
        <v>0.93889382653729681</v>
      </c>
      <c r="AY248" s="66">
        <v>0.51622274713274441</v>
      </c>
      <c r="AZ248" s="66">
        <v>53.640124000078572</v>
      </c>
      <c r="BA248" s="66">
        <v>55.671849258075298</v>
      </c>
      <c r="BB248" s="66">
        <v>8.9020483743629324</v>
      </c>
      <c r="BC248" s="66">
        <v>37.137854552798103</v>
      </c>
      <c r="BD248" s="66">
        <v>72.174118705355767</v>
      </c>
    </row>
    <row r="249" spans="1:56">
      <c r="A249">
        <v>225</v>
      </c>
      <c r="B249">
        <v>245.81730038506424</v>
      </c>
      <c r="C249">
        <v>-6.8173003850642431</v>
      </c>
      <c r="D249">
        <v>-0.1346396492207462</v>
      </c>
      <c r="F249">
        <v>74.092409240924098</v>
      </c>
      <c r="G249">
        <v>274</v>
      </c>
      <c r="V249">
        <v>66</v>
      </c>
      <c r="W249">
        <v>160</v>
      </c>
      <c r="X249">
        <v>246</v>
      </c>
      <c r="Z249">
        <v>223</v>
      </c>
      <c r="AA249">
        <v>259.36138134159148</v>
      </c>
      <c r="AB249">
        <v>22.638618658408518</v>
      </c>
      <c r="AC249">
        <v>0.44813344760513596</v>
      </c>
      <c r="AE249">
        <v>73.43234323432344</v>
      </c>
      <c r="AF249">
        <v>273</v>
      </c>
      <c r="AR249" s="57" t="s">
        <v>407</v>
      </c>
      <c r="AS249" s="63">
        <v>1</v>
      </c>
      <c r="AT249" s="66">
        <v>203</v>
      </c>
      <c r="AU249" s="66">
        <v>53</v>
      </c>
      <c r="AV249" s="66">
        <v>52.746446791565603</v>
      </c>
      <c r="AW249" s="66">
        <v>0.25355320843439699</v>
      </c>
      <c r="AX249" s="66">
        <v>2.8530580131542166E-2</v>
      </c>
      <c r="AY249" s="66">
        <v>0.66549005835627195</v>
      </c>
      <c r="AZ249" s="66">
        <v>51.436844523922346</v>
      </c>
      <c r="BA249" s="66">
        <v>54.05604905920886</v>
      </c>
      <c r="BB249" s="66">
        <v>8.9119501991770296</v>
      </c>
      <c r="BC249" s="66">
        <v>35.208829146618214</v>
      </c>
      <c r="BD249" s="66">
        <v>70.284064436512992</v>
      </c>
    </row>
    <row r="250" spans="1:56">
      <c r="A250">
        <v>226</v>
      </c>
      <c r="B250">
        <v>265.32836104460193</v>
      </c>
      <c r="C250">
        <v>-91.328361044601934</v>
      </c>
      <c r="D250">
        <v>-1.8037078902802357</v>
      </c>
      <c r="F250">
        <v>74.422442244224428</v>
      </c>
      <c r="G250">
        <v>274</v>
      </c>
      <c r="V250">
        <v>54</v>
      </c>
      <c r="W250">
        <v>192</v>
      </c>
      <c r="X250">
        <v>283</v>
      </c>
      <c r="Z250">
        <v>224</v>
      </c>
      <c r="AA250">
        <v>261.99089992232939</v>
      </c>
      <c r="AB250">
        <v>26.00910007767061</v>
      </c>
      <c r="AC250">
        <v>0.51485242376236562</v>
      </c>
      <c r="AE250">
        <v>73.762376237623769</v>
      </c>
      <c r="AF250">
        <v>273</v>
      </c>
      <c r="AR250" s="57" t="s">
        <v>408</v>
      </c>
      <c r="AS250" s="63">
        <v>1</v>
      </c>
      <c r="AT250" s="66">
        <v>256</v>
      </c>
      <c r="AU250" s="66">
        <v>56</v>
      </c>
      <c r="AV250" s="66">
        <v>54.730870544273458</v>
      </c>
      <c r="AW250" s="66">
        <v>1.2691294557265422</v>
      </c>
      <c r="AX250" s="66">
        <v>0.14280631610810451</v>
      </c>
      <c r="AY250" s="66">
        <v>0.5195071759235812</v>
      </c>
      <c r="AZ250" s="66">
        <v>53.708544564938933</v>
      </c>
      <c r="BA250" s="66">
        <v>55.753196523607983</v>
      </c>
      <c r="BB250" s="66">
        <v>8.9022394396397004</v>
      </c>
      <c r="BC250" s="66">
        <v>37.212362475120536</v>
      </c>
      <c r="BD250" s="66">
        <v>72.249378613426387</v>
      </c>
    </row>
    <row r="251" spans="1:56">
      <c r="A251">
        <v>227</v>
      </c>
      <c r="B251">
        <v>255.57283071483306</v>
      </c>
      <c r="C251">
        <v>25.42716928516694</v>
      </c>
      <c r="D251">
        <v>0.50217900926469838</v>
      </c>
      <c r="F251">
        <v>74.752475247524757</v>
      </c>
      <c r="G251">
        <v>274</v>
      </c>
      <c r="V251">
        <v>69</v>
      </c>
      <c r="W251">
        <v>140</v>
      </c>
      <c r="X251">
        <v>254</v>
      </c>
      <c r="Z251">
        <v>225</v>
      </c>
      <c r="AA251">
        <v>241.45724156007861</v>
      </c>
      <c r="AB251">
        <v>-2.4572415600786144</v>
      </c>
      <c r="AC251">
        <v>-4.8641312817363565E-2</v>
      </c>
      <c r="AE251">
        <v>74.092409240924098</v>
      </c>
      <c r="AF251">
        <v>274</v>
      </c>
      <c r="AR251" s="57" t="s">
        <v>409</v>
      </c>
      <c r="AS251" s="63">
        <v>1</v>
      </c>
      <c r="AT251" s="66">
        <v>229</v>
      </c>
      <c r="AU251" s="66">
        <v>48</v>
      </c>
      <c r="AV251" s="66">
        <v>53.7199376891204</v>
      </c>
      <c r="AW251" s="66">
        <v>-5.7199376891203997</v>
      </c>
      <c r="AX251" s="66">
        <v>-0.6436248296542515</v>
      </c>
      <c r="AY251" s="66">
        <v>0.53821443297668359</v>
      </c>
      <c r="AZ251" s="66">
        <v>52.660798137666347</v>
      </c>
      <c r="BA251" s="66">
        <v>54.779077240574452</v>
      </c>
      <c r="BB251" s="66">
        <v>8.9033507237839888</v>
      </c>
      <c r="BC251" s="66">
        <v>36.199242749980343</v>
      </c>
      <c r="BD251" s="66">
        <v>71.240632628260457</v>
      </c>
    </row>
    <row r="252" spans="1:56">
      <c r="A252">
        <v>228</v>
      </c>
      <c r="B252">
        <v>222.64791585186319</v>
      </c>
      <c r="C252">
        <v>-24.647915851863189</v>
      </c>
      <c r="D252">
        <v>-0.48678898638350909</v>
      </c>
      <c r="F252">
        <v>75.082508250825086</v>
      </c>
      <c r="G252">
        <v>275</v>
      </c>
      <c r="V252">
        <v>51</v>
      </c>
      <c r="W252">
        <v>140</v>
      </c>
      <c r="X252">
        <v>298</v>
      </c>
      <c r="Z252">
        <v>226</v>
      </c>
      <c r="AA252">
        <v>266.33416985113951</v>
      </c>
      <c r="AB252">
        <v>-92.334169851139507</v>
      </c>
      <c r="AC252">
        <v>-1.8277630137906216</v>
      </c>
      <c r="AE252">
        <v>74.422442244224428</v>
      </c>
      <c r="AF252">
        <v>274</v>
      </c>
      <c r="AR252" s="57" t="s">
        <v>410</v>
      </c>
      <c r="AS252" s="63">
        <v>1</v>
      </c>
      <c r="AT252" s="66">
        <v>284</v>
      </c>
      <c r="AU252" s="66">
        <v>58</v>
      </c>
      <c r="AV252" s="66">
        <v>55.779245357024784</v>
      </c>
      <c r="AW252" s="66">
        <v>2.2207546429752156</v>
      </c>
      <c r="AX252" s="66">
        <v>0.24988608381302335</v>
      </c>
      <c r="AY252" s="66">
        <v>0.63189118961435453</v>
      </c>
      <c r="AZ252" s="66">
        <v>54.535761514656492</v>
      </c>
      <c r="BA252" s="66">
        <v>57.022729199393076</v>
      </c>
      <c r="BB252" s="66">
        <v>8.9095042404363163</v>
      </c>
      <c r="BC252" s="66">
        <v>38.246441056879732</v>
      </c>
      <c r="BD252" s="66">
        <v>73.312049657169837</v>
      </c>
    </row>
    <row r="253" spans="1:56">
      <c r="A253">
        <v>229</v>
      </c>
      <c r="B253">
        <v>251.91450684116975</v>
      </c>
      <c r="C253">
        <v>36.085493158830246</v>
      </c>
      <c r="D253">
        <v>0.71267772672991236</v>
      </c>
      <c r="F253">
        <v>75.412541254125415</v>
      </c>
      <c r="G253">
        <v>275</v>
      </c>
      <c r="V253">
        <v>43</v>
      </c>
      <c r="W253">
        <v>132</v>
      </c>
      <c r="X253">
        <v>247</v>
      </c>
      <c r="Z253">
        <v>227</v>
      </c>
      <c r="AA253">
        <v>252.36951221721185</v>
      </c>
      <c r="AB253">
        <v>28.630487782788151</v>
      </c>
      <c r="AC253">
        <v>0.56674302395884524</v>
      </c>
      <c r="AE253">
        <v>74.752475247524757</v>
      </c>
      <c r="AF253">
        <v>274</v>
      </c>
      <c r="AR253" s="57" t="s">
        <v>411</v>
      </c>
      <c r="AS253" s="63">
        <v>1</v>
      </c>
      <c r="AT253" s="66">
        <v>224</v>
      </c>
      <c r="AU253" s="66">
        <v>58</v>
      </c>
      <c r="AV253" s="66">
        <v>53.532727901129093</v>
      </c>
      <c r="AW253" s="66">
        <v>4.4672720988709074</v>
      </c>
      <c r="AX253" s="66">
        <v>0.50267107789020826</v>
      </c>
      <c r="AY253" s="66">
        <v>0.55580123813756643</v>
      </c>
      <c r="AZ253" s="66">
        <v>52.438979688538645</v>
      </c>
      <c r="BA253" s="66">
        <v>54.626476113719541</v>
      </c>
      <c r="BB253" s="66">
        <v>8.9044311638170193</v>
      </c>
      <c r="BC253" s="66">
        <v>36.009906789404575</v>
      </c>
      <c r="BD253" s="66">
        <v>71.055549012853618</v>
      </c>
    </row>
    <row r="254" spans="1:56">
      <c r="A254">
        <v>230</v>
      </c>
      <c r="B254">
        <v>258.01171329727526</v>
      </c>
      <c r="C254">
        <v>50.988286702724736</v>
      </c>
      <c r="D254">
        <v>1.0070034541916408</v>
      </c>
      <c r="F254">
        <v>75.742574257425744</v>
      </c>
      <c r="G254">
        <v>276</v>
      </c>
      <c r="V254">
        <v>62</v>
      </c>
      <c r="W254">
        <v>138</v>
      </c>
      <c r="X254">
        <v>294</v>
      </c>
      <c r="Z254">
        <v>228</v>
      </c>
      <c r="AA254">
        <v>222.40846944717464</v>
      </c>
      <c r="AB254">
        <v>-24.408469447174639</v>
      </c>
      <c r="AC254">
        <v>-0.48316779964241646</v>
      </c>
      <c r="AE254">
        <v>75.082508250825086</v>
      </c>
      <c r="AF254">
        <v>275</v>
      </c>
      <c r="AR254" s="57" t="s">
        <v>412</v>
      </c>
      <c r="AS254" s="63">
        <v>1</v>
      </c>
      <c r="AT254" s="66">
        <v>206</v>
      </c>
      <c r="AU254" s="66">
        <v>60</v>
      </c>
      <c r="AV254" s="66">
        <v>52.858772664360387</v>
      </c>
      <c r="AW254" s="66">
        <v>7.1412273356396128</v>
      </c>
      <c r="AX254" s="66">
        <v>0.80355267438763578</v>
      </c>
      <c r="AY254" s="66">
        <v>0.64690238808977085</v>
      </c>
      <c r="AZ254" s="66">
        <v>51.585748636805853</v>
      </c>
      <c r="BA254" s="66">
        <v>54.131796691914921</v>
      </c>
      <c r="BB254" s="66">
        <v>8.910581464447576</v>
      </c>
      <c r="BC254" s="66">
        <v>35.323848520364649</v>
      </c>
      <c r="BD254" s="66">
        <v>70.393696808356125</v>
      </c>
    </row>
    <row r="255" spans="1:56">
      <c r="A255">
        <v>231</v>
      </c>
      <c r="B255">
        <v>237.28121134651647</v>
      </c>
      <c r="C255">
        <v>5.7187886534835286</v>
      </c>
      <c r="D255">
        <v>0.11294437017320161</v>
      </c>
      <c r="F255">
        <v>76.072607260726073</v>
      </c>
      <c r="G255">
        <v>277</v>
      </c>
      <c r="V255">
        <v>67</v>
      </c>
      <c r="W255">
        <v>100</v>
      </c>
      <c r="X255">
        <v>299</v>
      </c>
      <c r="Z255">
        <v>229</v>
      </c>
      <c r="AA255">
        <v>259.2151307209669</v>
      </c>
      <c r="AB255">
        <v>28.784869279033103</v>
      </c>
      <c r="AC255">
        <v>0.56979901925619936</v>
      </c>
      <c r="AE255">
        <v>75.412541254125415</v>
      </c>
      <c r="AF255">
        <v>275</v>
      </c>
      <c r="AR255" s="57" t="s">
        <v>413</v>
      </c>
      <c r="AS255" s="63">
        <v>1</v>
      </c>
      <c r="AT255" s="66">
        <v>167</v>
      </c>
      <c r="AU255" s="66">
        <v>40</v>
      </c>
      <c r="AV255" s="66">
        <v>51.398536318028185</v>
      </c>
      <c r="AW255" s="66">
        <v>-11.398536318028185</v>
      </c>
      <c r="AX255" s="66">
        <v>-1.282598062204916</v>
      </c>
      <c r="AY255" s="66">
        <v>0.93396357294519639</v>
      </c>
      <c r="AZ255" s="66">
        <v>49.560611321753591</v>
      </c>
      <c r="BA255" s="66">
        <v>53.23646131430278</v>
      </c>
      <c r="BB255" s="66">
        <v>8.936009584284756</v>
      </c>
      <c r="BC255" s="66">
        <v>33.813572773770133</v>
      </c>
      <c r="BD255" s="66">
        <v>68.983499862286237</v>
      </c>
    </row>
    <row r="256" spans="1:56">
      <c r="A256">
        <v>232</v>
      </c>
      <c r="B256">
        <v>249.47562425872755</v>
      </c>
      <c r="C256">
        <v>39.524375741272451</v>
      </c>
      <c r="D256">
        <v>0.78059463202364743</v>
      </c>
      <c r="F256">
        <v>76.402640264026402</v>
      </c>
      <c r="G256">
        <v>277</v>
      </c>
      <c r="V256">
        <v>59</v>
      </c>
      <c r="W256">
        <v>160</v>
      </c>
      <c r="X256">
        <v>273</v>
      </c>
      <c r="Z256">
        <v>230</v>
      </c>
      <c r="AA256">
        <v>255.60631104429422</v>
      </c>
      <c r="AB256">
        <v>53.393688955705784</v>
      </c>
      <c r="AC256">
        <v>1.0569327693140618</v>
      </c>
      <c r="AE256">
        <v>75.742574257425744</v>
      </c>
      <c r="AF256">
        <v>276</v>
      </c>
      <c r="AR256" s="57" t="s">
        <v>414</v>
      </c>
      <c r="AS256" s="63">
        <v>1</v>
      </c>
      <c r="AT256" s="66">
        <v>230</v>
      </c>
      <c r="AU256" s="66">
        <v>60</v>
      </c>
      <c r="AV256" s="66">
        <v>53.757379646718661</v>
      </c>
      <c r="AW256" s="66">
        <v>6.2426203532813389</v>
      </c>
      <c r="AX256" s="66">
        <v>0.70243867675676208</v>
      </c>
      <c r="AY256" s="66">
        <v>0.53517364152452584</v>
      </c>
      <c r="AZ256" s="66">
        <v>52.704223997399843</v>
      </c>
      <c r="BA256" s="66">
        <v>54.810535296037479</v>
      </c>
      <c r="BB256" s="66">
        <v>8.9031674229693714</v>
      </c>
      <c r="BC256" s="66">
        <v>36.237045420949855</v>
      </c>
      <c r="BD256" s="66">
        <v>71.277713872487467</v>
      </c>
    </row>
    <row r="257" spans="1:56">
      <c r="A257">
        <v>233</v>
      </c>
      <c r="B257">
        <v>247.03674167628532</v>
      </c>
      <c r="C257">
        <v>41.963258323714683</v>
      </c>
      <c r="D257">
        <v>0.82876183558563565</v>
      </c>
      <c r="F257">
        <v>76.732673267326732</v>
      </c>
      <c r="G257">
        <v>278</v>
      </c>
      <c r="V257">
        <v>45</v>
      </c>
      <c r="W257">
        <v>142</v>
      </c>
      <c r="X257">
        <v>309</v>
      </c>
      <c r="Z257">
        <v>231</v>
      </c>
      <c r="AA257">
        <v>233.28257887464454</v>
      </c>
      <c r="AB257">
        <v>9.7174211253554574</v>
      </c>
      <c r="AC257">
        <v>0.19235720590748509</v>
      </c>
      <c r="AE257">
        <v>76.072607260726073</v>
      </c>
      <c r="AF257">
        <v>277</v>
      </c>
      <c r="AR257" s="57" t="s">
        <v>415</v>
      </c>
      <c r="AS257" s="63">
        <v>1</v>
      </c>
      <c r="AT257" s="66">
        <v>335</v>
      </c>
      <c r="AU257" s="66">
        <v>64</v>
      </c>
      <c r="AV257" s="66">
        <v>57.688785194536123</v>
      </c>
      <c r="AW257" s="66">
        <v>6.3112148054638766</v>
      </c>
      <c r="AX257" s="66">
        <v>0.7101571336702327</v>
      </c>
      <c r="AY257" s="66">
        <v>1.0135084812338218</v>
      </c>
      <c r="AZ257" s="66">
        <v>55.694325640057073</v>
      </c>
      <c r="BA257" s="66">
        <v>59.683244749015174</v>
      </c>
      <c r="BB257" s="66">
        <v>8.9446732067959509</v>
      </c>
      <c r="BC257" s="66">
        <v>40.086772710862377</v>
      </c>
      <c r="BD257" s="66">
        <v>75.29079767820987</v>
      </c>
    </row>
    <row r="258" spans="1:56">
      <c r="A258">
        <v>234</v>
      </c>
      <c r="B258">
        <v>258.01171329727526</v>
      </c>
      <c r="C258">
        <v>-12.011713297275264</v>
      </c>
      <c r="D258">
        <v>-0.23722775490845177</v>
      </c>
      <c r="F258">
        <v>77.062706270627075</v>
      </c>
      <c r="G258">
        <v>281</v>
      </c>
      <c r="V258">
        <v>58</v>
      </c>
      <c r="W258">
        <v>128</v>
      </c>
      <c r="X258">
        <v>259</v>
      </c>
      <c r="Z258">
        <v>232</v>
      </c>
      <c r="AA258">
        <v>255.97833189388453</v>
      </c>
      <c r="AB258">
        <v>33.02166810611547</v>
      </c>
      <c r="AC258">
        <v>0.65366682470132587</v>
      </c>
      <c r="AE258">
        <v>76.402640264026402</v>
      </c>
      <c r="AF258">
        <v>277</v>
      </c>
      <c r="AR258" s="57" t="s">
        <v>416</v>
      </c>
      <c r="AS258" s="63">
        <v>1</v>
      </c>
      <c r="AT258" s="66">
        <v>177</v>
      </c>
      <c r="AU258" s="66">
        <v>43</v>
      </c>
      <c r="AV258" s="66">
        <v>51.772955894010799</v>
      </c>
      <c r="AW258" s="66">
        <v>-8.7729558940107992</v>
      </c>
      <c r="AX258" s="66">
        <v>-0.987159747139705</v>
      </c>
      <c r="AY258" s="66">
        <v>0.85305110700658127</v>
      </c>
      <c r="AZ258" s="66">
        <v>50.094256640545261</v>
      </c>
      <c r="BA258" s="66">
        <v>53.451655147476338</v>
      </c>
      <c r="BB258" s="66">
        <v>8.927915519649904</v>
      </c>
      <c r="BC258" s="66">
        <v>34.203920469590386</v>
      </c>
      <c r="BD258" s="66">
        <v>69.341991318431212</v>
      </c>
    </row>
    <row r="259" spans="1:56">
      <c r="A259">
        <v>235</v>
      </c>
      <c r="B259">
        <v>265.32836104460193</v>
      </c>
      <c r="C259">
        <v>56.671638955398066</v>
      </c>
      <c r="D259">
        <v>1.1192479660183943</v>
      </c>
      <c r="F259">
        <v>77.392739273927404</v>
      </c>
      <c r="G259">
        <v>282</v>
      </c>
      <c r="V259">
        <v>50</v>
      </c>
      <c r="W259">
        <v>144</v>
      </c>
      <c r="X259">
        <v>200</v>
      </c>
      <c r="Z259">
        <v>233</v>
      </c>
      <c r="AA259">
        <v>252.74153306680216</v>
      </c>
      <c r="AB259">
        <v>36.258466933197838</v>
      </c>
      <c r="AC259">
        <v>0.71773954218781988</v>
      </c>
      <c r="AE259">
        <v>76.732673267326732</v>
      </c>
      <c r="AF259">
        <v>278</v>
      </c>
      <c r="AR259" s="57" t="s">
        <v>417</v>
      </c>
      <c r="AS259" s="63">
        <v>1</v>
      </c>
      <c r="AT259" s="66">
        <v>276</v>
      </c>
      <c r="AU259" s="66">
        <v>57</v>
      </c>
      <c r="AV259" s="66">
        <v>55.479709696238693</v>
      </c>
      <c r="AW259" s="66">
        <v>1.5202903037613069</v>
      </c>
      <c r="AX259" s="66">
        <v>0.17106770055284512</v>
      </c>
      <c r="AY259" s="66">
        <v>0.58884584590412381</v>
      </c>
      <c r="AZ259" s="66">
        <v>54.32093377553889</v>
      </c>
      <c r="BA259" s="66">
        <v>56.638485616938496</v>
      </c>
      <c r="BB259" s="66">
        <v>8.9065548201916442</v>
      </c>
      <c r="BC259" s="66">
        <v>37.95270949097403</v>
      </c>
      <c r="BD259" s="66">
        <v>73.006709901503356</v>
      </c>
    </row>
    <row r="260" spans="1:56">
      <c r="A260">
        <v>236</v>
      </c>
      <c r="B260">
        <v>242.15897651140091</v>
      </c>
      <c r="C260">
        <v>56.841023488599092</v>
      </c>
      <c r="D260">
        <v>1.1225932600270858</v>
      </c>
      <c r="F260">
        <v>77.722772277227733</v>
      </c>
      <c r="G260">
        <v>282</v>
      </c>
      <c r="V260">
        <v>62</v>
      </c>
      <c r="W260">
        <v>150</v>
      </c>
      <c r="X260">
        <v>244</v>
      </c>
      <c r="Z260">
        <v>234</v>
      </c>
      <c r="AA260">
        <v>254.58884871869608</v>
      </c>
      <c r="AB260">
        <v>-8.5888487186960845</v>
      </c>
      <c r="AC260">
        <v>-0.17001701584997722</v>
      </c>
      <c r="AE260">
        <v>77.062706270627075</v>
      </c>
      <c r="AF260">
        <v>281</v>
      </c>
      <c r="AR260" s="57" t="s">
        <v>418</v>
      </c>
      <c r="AS260" s="63">
        <v>1</v>
      </c>
      <c r="AT260" s="66">
        <v>353</v>
      </c>
      <c r="AU260" s="66">
        <v>55</v>
      </c>
      <c r="AV260" s="66">
        <v>58.362740431304829</v>
      </c>
      <c r="AW260" s="66">
        <v>-3.3627404313048288</v>
      </c>
      <c r="AX260" s="66">
        <v>-0.37838580678714756</v>
      </c>
      <c r="AY260" s="66">
        <v>1.1703521845219416</v>
      </c>
      <c r="AZ260" s="66">
        <v>56.059631834045149</v>
      </c>
      <c r="BA260" s="66">
        <v>60.665849028564509</v>
      </c>
      <c r="BB260" s="66">
        <v>8.9637996168285543</v>
      </c>
      <c r="BC260" s="66">
        <v>40.72308953420017</v>
      </c>
      <c r="BD260" s="66">
        <v>76.002391328409487</v>
      </c>
    </row>
    <row r="261" spans="1:56">
      <c r="A261">
        <v>237</v>
      </c>
      <c r="B261">
        <v>250.69506554994865</v>
      </c>
      <c r="C261">
        <v>49.304934450051348</v>
      </c>
      <c r="D261">
        <v>0.97375774929187608</v>
      </c>
      <c r="F261">
        <v>78.052805280528062</v>
      </c>
      <c r="G261">
        <v>282</v>
      </c>
      <c r="V261">
        <v>38</v>
      </c>
      <c r="W261">
        <v>120</v>
      </c>
      <c r="X261">
        <v>231</v>
      </c>
      <c r="Z261">
        <v>235</v>
      </c>
      <c r="AA261">
        <v>263.28178287434508</v>
      </c>
      <c r="AB261">
        <v>58.718217125654917</v>
      </c>
      <c r="AC261">
        <v>1.1623322727764214</v>
      </c>
      <c r="AE261">
        <v>77.392739273927404</v>
      </c>
      <c r="AF261">
        <v>282</v>
      </c>
      <c r="AR261" s="57" t="s">
        <v>419</v>
      </c>
      <c r="AS261" s="63">
        <v>1</v>
      </c>
      <c r="AT261" s="66">
        <v>225</v>
      </c>
      <c r="AU261" s="66">
        <v>65</v>
      </c>
      <c r="AV261" s="66">
        <v>53.570169858727354</v>
      </c>
      <c r="AW261" s="66">
        <v>11.429830141272646</v>
      </c>
      <c r="AX261" s="66">
        <v>1.2861193386155414</v>
      </c>
      <c r="AY261" s="66">
        <v>0.55197605837527031</v>
      </c>
      <c r="AZ261" s="66">
        <v>52.483949127619077</v>
      </c>
      <c r="BA261" s="66">
        <v>54.656390589835631</v>
      </c>
      <c r="BB261" s="66">
        <v>8.9041932202676275</v>
      </c>
      <c r="BC261" s="66">
        <v>36.047816990529455</v>
      </c>
      <c r="BD261" s="66">
        <v>71.092522726925253</v>
      </c>
    </row>
    <row r="262" spans="1:56">
      <c r="A262">
        <v>238</v>
      </c>
      <c r="B262">
        <v>253.13394813239086</v>
      </c>
      <c r="C262">
        <v>39.866051867609144</v>
      </c>
      <c r="D262">
        <v>0.787342633607656</v>
      </c>
      <c r="F262">
        <v>78.382838283828391</v>
      </c>
      <c r="G262">
        <v>282</v>
      </c>
      <c r="V262">
        <v>66</v>
      </c>
      <c r="W262">
        <v>178</v>
      </c>
      <c r="X262">
        <v>228</v>
      </c>
      <c r="Z262">
        <v>236</v>
      </c>
      <c r="AA262">
        <v>244.23301076144111</v>
      </c>
      <c r="AB262">
        <v>54.766989238558892</v>
      </c>
      <c r="AC262">
        <v>1.0841173692067538</v>
      </c>
      <c r="AE262">
        <v>77.722772277227733</v>
      </c>
      <c r="AF262">
        <v>282</v>
      </c>
      <c r="AR262" s="57" t="s">
        <v>420</v>
      </c>
      <c r="AS262" s="63">
        <v>1</v>
      </c>
      <c r="AT262" s="66">
        <v>330</v>
      </c>
      <c r="AU262" s="66">
        <v>61</v>
      </c>
      <c r="AV262" s="66">
        <v>57.501575406544816</v>
      </c>
      <c r="AW262" s="66">
        <v>3.4984245934551836</v>
      </c>
      <c r="AX262" s="66">
        <v>0.39365340243192304</v>
      </c>
      <c r="AY262" s="66">
        <v>0.97121001462293621</v>
      </c>
      <c r="AZ262" s="66">
        <v>55.590354011818697</v>
      </c>
      <c r="BA262" s="66">
        <v>59.412796801270936</v>
      </c>
      <c r="BB262" s="66">
        <v>8.9399792073217004</v>
      </c>
      <c r="BC262" s="66">
        <v>39.908800134274315</v>
      </c>
      <c r="BD262" s="66">
        <v>75.094350678815317</v>
      </c>
    </row>
    <row r="263" spans="1:56">
      <c r="A263">
        <v>239</v>
      </c>
      <c r="B263">
        <v>273.86445008314968</v>
      </c>
      <c r="C263">
        <v>30.135549916850323</v>
      </c>
      <c r="D263">
        <v>0.59516812237998207</v>
      </c>
      <c r="F263">
        <v>78.712871287128721</v>
      </c>
      <c r="G263">
        <v>283</v>
      </c>
      <c r="V263">
        <v>52</v>
      </c>
      <c r="W263">
        <v>112</v>
      </c>
      <c r="X263">
        <v>230</v>
      </c>
      <c r="Z263">
        <v>237</v>
      </c>
      <c r="AA263">
        <v>248.94830153984151</v>
      </c>
      <c r="AB263">
        <v>51.051698460158491</v>
      </c>
      <c r="AC263">
        <v>1.0105728614564218</v>
      </c>
      <c r="AE263">
        <v>78.052805280528062</v>
      </c>
      <c r="AF263">
        <v>282</v>
      </c>
      <c r="AR263" s="57" t="s">
        <v>421</v>
      </c>
      <c r="AS263" s="63">
        <v>1</v>
      </c>
      <c r="AT263" s="66">
        <v>230</v>
      </c>
      <c r="AU263" s="66">
        <v>58</v>
      </c>
      <c r="AV263" s="66">
        <v>53.757379646718661</v>
      </c>
      <c r="AW263" s="66">
        <v>4.2426203532813389</v>
      </c>
      <c r="AX263" s="66">
        <v>0.47739257848248989</v>
      </c>
      <c r="AY263" s="66">
        <v>0.53517364152452584</v>
      </c>
      <c r="AZ263" s="66">
        <v>52.704223997399843</v>
      </c>
      <c r="BA263" s="66">
        <v>54.810535296037479</v>
      </c>
      <c r="BB263" s="66">
        <v>8.9031674229693714</v>
      </c>
      <c r="BC263" s="66">
        <v>36.237045420949855</v>
      </c>
      <c r="BD263" s="66">
        <v>71.277713872487467</v>
      </c>
    </row>
    <row r="264" spans="1:56">
      <c r="A264">
        <v>240</v>
      </c>
      <c r="B264">
        <v>222.64791585186319</v>
      </c>
      <c r="C264">
        <v>59.352084148136811</v>
      </c>
      <c r="D264">
        <v>1.172185959083281</v>
      </c>
      <c r="F264">
        <v>79.04290429042905</v>
      </c>
      <c r="G264">
        <v>283</v>
      </c>
      <c r="V264">
        <v>53</v>
      </c>
      <c r="W264">
        <v>123</v>
      </c>
      <c r="X264">
        <v>282</v>
      </c>
      <c r="Z264">
        <v>238</v>
      </c>
      <c r="AA264">
        <v>254.22002501812017</v>
      </c>
      <c r="AB264">
        <v>38.779974981879832</v>
      </c>
      <c r="AC264">
        <v>0.76765301579987988</v>
      </c>
      <c r="AE264">
        <v>78.382838283828391</v>
      </c>
      <c r="AF264">
        <v>282</v>
      </c>
      <c r="AR264" s="57" t="s">
        <v>422</v>
      </c>
      <c r="AS264" s="63">
        <v>1</v>
      </c>
      <c r="AT264" s="66">
        <v>243</v>
      </c>
      <c r="AU264" s="66">
        <v>50</v>
      </c>
      <c r="AV264" s="66">
        <v>54.244125095496059</v>
      </c>
      <c r="AW264" s="66">
        <v>-4.2441250954960594</v>
      </c>
      <c r="AX264" s="66">
        <v>-0.47756189666465559</v>
      </c>
      <c r="AY264" s="66">
        <v>0.5115634367049906</v>
      </c>
      <c r="AZ264" s="66">
        <v>53.237431414140453</v>
      </c>
      <c r="BA264" s="66">
        <v>55.250818776851666</v>
      </c>
      <c r="BB264" s="66">
        <v>8.9017793999072961</v>
      </c>
      <c r="BC264" s="66">
        <v>36.726522327735992</v>
      </c>
      <c r="BD264" s="66">
        <v>71.761727863256127</v>
      </c>
    </row>
    <row r="265" spans="1:56">
      <c r="A265">
        <v>241</v>
      </c>
      <c r="B265">
        <v>265.32836104460193</v>
      </c>
      <c r="C265">
        <v>3.6716389553980662</v>
      </c>
      <c r="D265">
        <v>7.2513774235776776E-2</v>
      </c>
      <c r="F265">
        <v>79.372937293729379</v>
      </c>
      <c r="G265">
        <v>283</v>
      </c>
      <c r="V265">
        <v>63</v>
      </c>
      <c r="W265">
        <v>108</v>
      </c>
      <c r="X265">
        <v>269</v>
      </c>
      <c r="Z265">
        <v>239</v>
      </c>
      <c r="AA265">
        <v>270.03199830394175</v>
      </c>
      <c r="AB265">
        <v>33.968001696058252</v>
      </c>
      <c r="AC265">
        <v>0.6723995813524517</v>
      </c>
      <c r="AE265">
        <v>78.712871287128721</v>
      </c>
      <c r="AF265">
        <v>283</v>
      </c>
      <c r="AR265" s="57" t="s">
        <v>423</v>
      </c>
      <c r="AS265" s="63">
        <v>1</v>
      </c>
      <c r="AT265" s="66">
        <v>290</v>
      </c>
      <c r="AU265" s="66">
        <v>44</v>
      </c>
      <c r="AV265" s="66">
        <v>56.003897102614353</v>
      </c>
      <c r="AW265" s="66">
        <v>-12.003897102614353</v>
      </c>
      <c r="AX265" s="66">
        <v>-1.3507151035146006</v>
      </c>
      <c r="AY265" s="66">
        <v>0.66848645669511542</v>
      </c>
      <c r="AZ265" s="66">
        <v>54.688398293001704</v>
      </c>
      <c r="BA265" s="66">
        <v>57.319395912227002</v>
      </c>
      <c r="BB265" s="66">
        <v>8.9121744528271698</v>
      </c>
      <c r="BC265" s="66">
        <v>38.465838154171792</v>
      </c>
      <c r="BD265" s="66">
        <v>73.541956051056914</v>
      </c>
    </row>
    <row r="266" spans="1:56">
      <c r="A266">
        <v>242</v>
      </c>
      <c r="B266">
        <v>251.91450684116975</v>
      </c>
      <c r="C266">
        <v>-2.9145068411697537</v>
      </c>
      <c r="D266">
        <v>-5.7560640808240221E-2</v>
      </c>
      <c r="F266">
        <v>79.702970297029708</v>
      </c>
      <c r="G266">
        <v>284</v>
      </c>
      <c r="V266">
        <v>54</v>
      </c>
      <c r="W266">
        <v>110</v>
      </c>
      <c r="X266">
        <v>206</v>
      </c>
      <c r="Z266">
        <v>240</v>
      </c>
      <c r="AA266">
        <v>223.62942423789241</v>
      </c>
      <c r="AB266">
        <v>58.370575762107592</v>
      </c>
      <c r="AC266">
        <v>1.1554506814069432</v>
      </c>
      <c r="AE266">
        <v>79.04290429042905</v>
      </c>
      <c r="AF266">
        <v>283</v>
      </c>
      <c r="AR266" s="57" t="s">
        <v>424</v>
      </c>
      <c r="AS266" s="63">
        <v>1</v>
      </c>
      <c r="AT266" s="66">
        <v>253</v>
      </c>
      <c r="AU266" s="66">
        <v>60</v>
      </c>
      <c r="AV266" s="66">
        <v>54.618544671478674</v>
      </c>
      <c r="AW266" s="66">
        <v>5.3814553285213265</v>
      </c>
      <c r="AX266" s="66">
        <v>0.60553776236050816</v>
      </c>
      <c r="AY266" s="66">
        <v>0.51485637169220011</v>
      </c>
      <c r="AZ266" s="66">
        <v>53.605370900642683</v>
      </c>
      <c r="BA266" s="66">
        <v>55.631718442314664</v>
      </c>
      <c r="BB266" s="66">
        <v>8.9019692438422027</v>
      </c>
      <c r="BC266" s="66">
        <v>37.100568314294499</v>
      </c>
      <c r="BD266" s="66">
        <v>72.136521028662855</v>
      </c>
    </row>
    <row r="267" spans="1:56">
      <c r="A267">
        <v>243</v>
      </c>
      <c r="B267">
        <v>258.01171329727526</v>
      </c>
      <c r="C267">
        <v>-46.011713297275264</v>
      </c>
      <c r="D267">
        <v>-0.90871761378786675</v>
      </c>
      <c r="F267">
        <v>80.033003300330037</v>
      </c>
      <c r="G267">
        <v>286</v>
      </c>
      <c r="V267">
        <v>66</v>
      </c>
      <c r="W267">
        <v>112</v>
      </c>
      <c r="X267">
        <v>212</v>
      </c>
      <c r="Z267">
        <v>241</v>
      </c>
      <c r="AA267">
        <v>269.38655682793393</v>
      </c>
      <c r="AB267">
        <v>-0.38655682793392998</v>
      </c>
      <c r="AC267">
        <v>-7.6519264099621205E-3</v>
      </c>
      <c r="AE267">
        <v>79.372937293729379</v>
      </c>
      <c r="AF267">
        <v>283</v>
      </c>
      <c r="AR267" s="57" t="s">
        <v>425</v>
      </c>
      <c r="AS267" s="63">
        <v>1</v>
      </c>
      <c r="AT267" s="66">
        <v>266</v>
      </c>
      <c r="AU267" s="66">
        <v>54</v>
      </c>
      <c r="AV267" s="66">
        <v>55.105290120256079</v>
      </c>
      <c r="AW267" s="66">
        <v>-1.105290120256079</v>
      </c>
      <c r="AX267" s="66">
        <v>-0.12437061451236586</v>
      </c>
      <c r="AY267" s="66">
        <v>0.54642345108689383</v>
      </c>
      <c r="AZ267" s="66">
        <v>54.029996234718041</v>
      </c>
      <c r="BA267" s="66">
        <v>56.180584005794117</v>
      </c>
      <c r="BB267" s="66">
        <v>8.9038507356501757</v>
      </c>
      <c r="BC267" s="66">
        <v>37.58361121949919</v>
      </c>
      <c r="BD267" s="66">
        <v>72.626969021012968</v>
      </c>
    </row>
    <row r="268" spans="1:56">
      <c r="A268">
        <v>244</v>
      </c>
      <c r="B268">
        <v>249.47562425872755</v>
      </c>
      <c r="C268">
        <v>24.524375741272451</v>
      </c>
      <c r="D268">
        <v>0.48434910604743492</v>
      </c>
      <c r="F268">
        <v>80.363036303630366</v>
      </c>
      <c r="G268">
        <v>286</v>
      </c>
      <c r="V268">
        <v>55</v>
      </c>
      <c r="W268">
        <v>180</v>
      </c>
      <c r="X268">
        <v>327</v>
      </c>
      <c r="Z268">
        <v>242</v>
      </c>
      <c r="AA268">
        <v>260.02910058144539</v>
      </c>
      <c r="AB268">
        <v>-11.029100581445391</v>
      </c>
      <c r="AC268">
        <v>-0.21832201611431659</v>
      </c>
      <c r="AE268">
        <v>79.702970297029708</v>
      </c>
      <c r="AF268">
        <v>284</v>
      </c>
      <c r="AR268" s="57" t="s">
        <v>426</v>
      </c>
      <c r="AS268" s="63">
        <v>1</v>
      </c>
      <c r="AT268" s="66">
        <v>233</v>
      </c>
      <c r="AU268" s="66">
        <v>50</v>
      </c>
      <c r="AV268" s="66">
        <v>53.869705519513445</v>
      </c>
      <c r="AW268" s="66">
        <v>-3.8697055195134453</v>
      </c>
      <c r="AX268" s="66">
        <v>-0.43543106431845824</v>
      </c>
      <c r="AY268" s="66">
        <v>0.52705519289159908</v>
      </c>
      <c r="AZ268" s="66">
        <v>52.832525974729812</v>
      </c>
      <c r="BA268" s="66">
        <v>54.906885064297079</v>
      </c>
      <c r="BB268" s="66">
        <v>8.9026831074229786</v>
      </c>
      <c r="BC268" s="66">
        <v>36.350324366942118</v>
      </c>
      <c r="BD268" s="66">
        <v>71.389086672084773</v>
      </c>
    </row>
    <row r="269" spans="1:56">
      <c r="A269">
        <v>245</v>
      </c>
      <c r="B269">
        <v>248.25618296750645</v>
      </c>
      <c r="C269">
        <v>-64.256182967506447</v>
      </c>
      <c r="D269">
        <v>-1.2690404480288464</v>
      </c>
      <c r="F269">
        <v>80.693069306930695</v>
      </c>
      <c r="G269">
        <v>288</v>
      </c>
      <c r="V269">
        <v>49</v>
      </c>
      <c r="W269">
        <v>118</v>
      </c>
      <c r="X269">
        <v>149</v>
      </c>
      <c r="Z269">
        <v>243</v>
      </c>
      <c r="AA269">
        <v>259.6761603466868</v>
      </c>
      <c r="AB269">
        <v>-47.6761603466868</v>
      </c>
      <c r="AC269">
        <v>-0.94375378759253303</v>
      </c>
      <c r="AE269">
        <v>80.033003300330037</v>
      </c>
      <c r="AF269">
        <v>286</v>
      </c>
      <c r="AR269" s="57" t="s">
        <v>427</v>
      </c>
      <c r="AS269" s="63">
        <v>1</v>
      </c>
      <c r="AT269" s="66">
        <v>172</v>
      </c>
      <c r="AU269" s="66">
        <v>41</v>
      </c>
      <c r="AV269" s="66">
        <v>51.585746106019492</v>
      </c>
      <c r="AW269" s="66">
        <v>-10.585746106019492</v>
      </c>
      <c r="AX269" s="66">
        <v>-1.1911404292408785</v>
      </c>
      <c r="AY269" s="66">
        <v>0.89306121197930965</v>
      </c>
      <c r="AZ269" s="66">
        <v>49.828311905963844</v>
      </c>
      <c r="BA269" s="66">
        <v>53.343180306075141</v>
      </c>
      <c r="BB269" s="66">
        <v>8.9318272298103931</v>
      </c>
      <c r="BC269" s="66">
        <v>34.009012918977064</v>
      </c>
      <c r="BD269" s="66">
        <v>69.162479293061921</v>
      </c>
    </row>
    <row r="270" spans="1:56">
      <c r="A270">
        <v>246</v>
      </c>
      <c r="B270">
        <v>238.50065263773757</v>
      </c>
      <c r="C270">
        <v>35.499347362262426</v>
      </c>
      <c r="D270">
        <v>0.70110152207638032</v>
      </c>
      <c r="F270">
        <v>81.023102310231025</v>
      </c>
      <c r="G270">
        <v>288</v>
      </c>
      <c r="V270">
        <v>54</v>
      </c>
      <c r="W270">
        <v>122</v>
      </c>
      <c r="X270">
        <v>286</v>
      </c>
      <c r="Z270">
        <v>244</v>
      </c>
      <c r="AA270">
        <v>253.33292984732935</v>
      </c>
      <c r="AB270">
        <v>20.667070152670647</v>
      </c>
      <c r="AC270">
        <v>0.40910647151934426</v>
      </c>
      <c r="AE270">
        <v>80.363036303630366</v>
      </c>
      <c r="AF270">
        <v>286</v>
      </c>
      <c r="AR270" s="57" t="s">
        <v>428</v>
      </c>
      <c r="AS270" s="63">
        <v>1</v>
      </c>
      <c r="AT270" s="66">
        <v>305</v>
      </c>
      <c r="AU270" s="66">
        <v>51</v>
      </c>
      <c r="AV270" s="66">
        <v>56.565526466588274</v>
      </c>
      <c r="AW270" s="66">
        <v>-5.565526466588274</v>
      </c>
      <c r="AX270" s="66">
        <v>-0.62625000807394393</v>
      </c>
      <c r="AY270" s="66">
        <v>0.77233962633411546</v>
      </c>
      <c r="AZ270" s="66">
        <v>55.045657441743401</v>
      </c>
      <c r="BA270" s="66">
        <v>58.085395491433147</v>
      </c>
      <c r="BB270" s="66">
        <v>8.9205654435829569</v>
      </c>
      <c r="BC270" s="66">
        <v>39.010955084363168</v>
      </c>
      <c r="BD270" s="66">
        <v>74.120097848813373</v>
      </c>
    </row>
    <row r="271" spans="1:56">
      <c r="A271">
        <v>247</v>
      </c>
      <c r="B271">
        <v>248.25618296750645</v>
      </c>
      <c r="C271">
        <v>160.74381703249355</v>
      </c>
      <c r="D271">
        <v>3.1746424416143415</v>
      </c>
      <c r="F271">
        <v>81.353135313531354</v>
      </c>
      <c r="G271">
        <v>288</v>
      </c>
      <c r="V271">
        <v>56</v>
      </c>
      <c r="W271">
        <v>130</v>
      </c>
      <c r="X271">
        <v>283</v>
      </c>
      <c r="Z271">
        <v>245</v>
      </c>
      <c r="AA271">
        <v>248.15341229419468</v>
      </c>
      <c r="AB271">
        <v>-64.15341229419468</v>
      </c>
      <c r="AC271">
        <v>-1.2699224392100006</v>
      </c>
      <c r="AE271">
        <v>80.693069306930695</v>
      </c>
      <c r="AF271">
        <v>288</v>
      </c>
      <c r="AR271" s="57" t="s">
        <v>429</v>
      </c>
      <c r="AS271" s="63">
        <v>1</v>
      </c>
      <c r="AT271" s="66">
        <v>216</v>
      </c>
      <c r="AU271" s="66">
        <v>58</v>
      </c>
      <c r="AV271" s="66">
        <v>53.233192240343001</v>
      </c>
      <c r="AW271" s="66">
        <v>4.7668077596569987</v>
      </c>
      <c r="AX271" s="66">
        <v>0.53637574376716612</v>
      </c>
      <c r="AY271" s="66">
        <v>0.59145902679880236</v>
      </c>
      <c r="AZ271" s="66">
        <v>52.069273902288558</v>
      </c>
      <c r="BA271" s="66">
        <v>54.397110578397445</v>
      </c>
      <c r="BB271" s="66">
        <v>8.9067279690817021</v>
      </c>
      <c r="BC271" s="66">
        <v>35.705851299441179</v>
      </c>
      <c r="BD271" s="66">
        <v>70.760533181244824</v>
      </c>
    </row>
    <row r="272" spans="1:56">
      <c r="A272">
        <v>248</v>
      </c>
      <c r="B272">
        <v>260.45059587971753</v>
      </c>
      <c r="C272">
        <v>-14.450595879717525</v>
      </c>
      <c r="D272">
        <v>-0.2853949584704405</v>
      </c>
      <c r="F272">
        <v>81.683168316831683</v>
      </c>
      <c r="G272">
        <v>289</v>
      </c>
      <c r="V272">
        <v>46</v>
      </c>
      <c r="W272">
        <v>120</v>
      </c>
      <c r="X272">
        <v>249</v>
      </c>
      <c r="Z272">
        <v>246</v>
      </c>
      <c r="AA272">
        <v>237.64812656730072</v>
      </c>
      <c r="AB272">
        <v>36.351873432699279</v>
      </c>
      <c r="AC272">
        <v>0.71958853206135887</v>
      </c>
      <c r="AE272">
        <v>81.023102310231025</v>
      </c>
      <c r="AF272">
        <v>288</v>
      </c>
      <c r="AR272" s="57" t="s">
        <v>430</v>
      </c>
      <c r="AS272" s="63">
        <v>1</v>
      </c>
      <c r="AT272" s="66">
        <v>188</v>
      </c>
      <c r="AU272" s="66">
        <v>54</v>
      </c>
      <c r="AV272" s="66">
        <v>52.184817427591675</v>
      </c>
      <c r="AW272" s="66">
        <v>1.8151825724083253</v>
      </c>
      <c r="AX272" s="66">
        <v>0.20424987778797513</v>
      </c>
      <c r="AY272" s="66">
        <v>0.76885177662661608</v>
      </c>
      <c r="AZ272" s="66">
        <v>50.671812060330844</v>
      </c>
      <c r="BA272" s="66">
        <v>53.697822794852506</v>
      </c>
      <c r="BB272" s="66">
        <v>8.920264143469204</v>
      </c>
      <c r="BC272" s="66">
        <v>34.630838966789298</v>
      </c>
      <c r="BD272" s="66">
        <v>69.738795888394051</v>
      </c>
    </row>
    <row r="273" spans="1:56">
      <c r="A273">
        <v>249</v>
      </c>
      <c r="B273">
        <v>245.81730038506424</v>
      </c>
      <c r="C273">
        <v>37.182699614935757</v>
      </c>
      <c r="D273">
        <v>0.73434722697614385</v>
      </c>
      <c r="F273">
        <v>82.013201320132026</v>
      </c>
      <c r="G273">
        <v>289</v>
      </c>
      <c r="V273">
        <v>61</v>
      </c>
      <c r="W273">
        <v>134</v>
      </c>
      <c r="X273">
        <v>234</v>
      </c>
      <c r="Z273">
        <v>247</v>
      </c>
      <c r="AA273">
        <v>248.56039722443393</v>
      </c>
      <c r="AB273">
        <v>160.43960277556607</v>
      </c>
      <c r="AC273">
        <v>3.1759160489903926</v>
      </c>
      <c r="AE273">
        <v>81.353135313531354</v>
      </c>
      <c r="AF273">
        <v>288</v>
      </c>
      <c r="AR273" s="57" t="s">
        <v>431</v>
      </c>
      <c r="AS273" s="63">
        <v>1</v>
      </c>
      <c r="AT273" s="66">
        <v>282</v>
      </c>
      <c r="AU273" s="66">
        <v>60</v>
      </c>
      <c r="AV273" s="66">
        <v>55.704361441828262</v>
      </c>
      <c r="AW273" s="66">
        <v>4.2956385581717385</v>
      </c>
      <c r="AX273" s="66">
        <v>0.48335834855653503</v>
      </c>
      <c r="AY273" s="66">
        <v>0.62046878775411896</v>
      </c>
      <c r="AZ273" s="66">
        <v>54.483355476011646</v>
      </c>
      <c r="BA273" s="66">
        <v>56.925367407644877</v>
      </c>
      <c r="BB273" s="66">
        <v>8.9087014121822232</v>
      </c>
      <c r="BC273" s="66">
        <v>38.173137008563096</v>
      </c>
      <c r="BD273" s="66">
        <v>73.23558587509342</v>
      </c>
    </row>
    <row r="274" spans="1:56">
      <c r="A274">
        <v>250</v>
      </c>
      <c r="B274">
        <v>264.10891975338086</v>
      </c>
      <c r="C274">
        <v>-10.10891975338086</v>
      </c>
      <c r="D274">
        <v>-0.19964814995944249</v>
      </c>
      <c r="F274">
        <v>82.343234323432355</v>
      </c>
      <c r="G274">
        <v>290</v>
      </c>
      <c r="V274">
        <v>67</v>
      </c>
      <c r="W274">
        <v>120</v>
      </c>
      <c r="X274">
        <v>237</v>
      </c>
      <c r="Z274">
        <v>248</v>
      </c>
      <c r="AA274">
        <v>264.94788382496546</v>
      </c>
      <c r="AB274">
        <v>-18.947883824965459</v>
      </c>
      <c r="AC274">
        <v>-0.37507502694514167</v>
      </c>
      <c r="AE274">
        <v>81.683168316831683</v>
      </c>
      <c r="AF274">
        <v>289</v>
      </c>
      <c r="AR274" s="57" t="s">
        <v>432</v>
      </c>
      <c r="AS274" s="63">
        <v>1</v>
      </c>
      <c r="AT274" s="66">
        <v>185</v>
      </c>
      <c r="AU274" s="66">
        <v>60</v>
      </c>
      <c r="AV274" s="66">
        <v>52.072491554796891</v>
      </c>
      <c r="AW274" s="66">
        <v>7.9275084452031095</v>
      </c>
      <c r="AX274" s="66">
        <v>0.89202742231465104</v>
      </c>
      <c r="AY274" s="66">
        <v>0.79122762276570335</v>
      </c>
      <c r="AZ274" s="66">
        <v>50.515453285051287</v>
      </c>
      <c r="BA274" s="66">
        <v>53.629529824542495</v>
      </c>
      <c r="BB274" s="66">
        <v>8.922220602847025</v>
      </c>
      <c r="BC274" s="66">
        <v>34.514663023500489</v>
      </c>
      <c r="BD274" s="66">
        <v>69.630320086093292</v>
      </c>
    </row>
    <row r="275" spans="1:56">
      <c r="A275">
        <v>251</v>
      </c>
      <c r="B275">
        <v>242.15897651140091</v>
      </c>
      <c r="C275">
        <v>55.841023488599092</v>
      </c>
      <c r="D275">
        <v>1.1028435582953384</v>
      </c>
      <c r="F275">
        <v>82.673267326732685</v>
      </c>
      <c r="G275">
        <v>293</v>
      </c>
      <c r="V275">
        <v>58</v>
      </c>
      <c r="W275">
        <v>100</v>
      </c>
      <c r="X275">
        <v>234</v>
      </c>
      <c r="Z275">
        <v>249</v>
      </c>
      <c r="AA275">
        <v>258.14362369988817</v>
      </c>
      <c r="AB275">
        <v>24.856376300111833</v>
      </c>
      <c r="AC275">
        <v>0.49203415519358251</v>
      </c>
      <c r="AE275">
        <v>82.013201320132026</v>
      </c>
      <c r="AF275">
        <v>289</v>
      </c>
      <c r="AR275" s="57" t="s">
        <v>433</v>
      </c>
      <c r="AS275" s="63">
        <v>1</v>
      </c>
      <c r="AT275" s="66">
        <v>326</v>
      </c>
      <c r="AU275" s="66">
        <v>59</v>
      </c>
      <c r="AV275" s="66">
        <v>57.351807576151771</v>
      </c>
      <c r="AW275" s="66">
        <v>1.6481924238482293</v>
      </c>
      <c r="AX275" s="66">
        <v>0.18545963709612978</v>
      </c>
      <c r="AY275" s="66">
        <v>0.93786621974082174</v>
      </c>
      <c r="AZ275" s="66">
        <v>55.506202652838169</v>
      </c>
      <c r="BA275" s="66">
        <v>59.197412499465372</v>
      </c>
      <c r="BB275" s="66">
        <v>8.9364183194930735</v>
      </c>
      <c r="BC275" s="66">
        <v>39.766039691469757</v>
      </c>
      <c r="BD275" s="66">
        <v>74.937575460833784</v>
      </c>
    </row>
    <row r="276" spans="1:56">
      <c r="A276">
        <v>252</v>
      </c>
      <c r="B276">
        <v>232.40344618163203</v>
      </c>
      <c r="C276">
        <v>14.596553818367966</v>
      </c>
      <c r="D276">
        <v>0.28827758422416738</v>
      </c>
      <c r="F276">
        <v>83.003300330033014</v>
      </c>
      <c r="G276">
        <v>294</v>
      </c>
      <c r="V276">
        <v>47</v>
      </c>
      <c r="W276">
        <v>110</v>
      </c>
      <c r="X276">
        <v>275</v>
      </c>
      <c r="Z276">
        <v>250</v>
      </c>
      <c r="AA276">
        <v>264.20703927479923</v>
      </c>
      <c r="AB276">
        <v>-10.207039274799229</v>
      </c>
      <c r="AC276">
        <v>-0.20204924024186741</v>
      </c>
      <c r="AE276">
        <v>82.343234323432355</v>
      </c>
      <c r="AF276">
        <v>290</v>
      </c>
      <c r="AR276" s="57" t="s">
        <v>434</v>
      </c>
      <c r="AS276" s="63">
        <v>1</v>
      </c>
      <c r="AT276" s="66">
        <v>231</v>
      </c>
      <c r="AU276" s="66">
        <v>46</v>
      </c>
      <c r="AV276" s="66">
        <v>53.794821604316923</v>
      </c>
      <c r="AW276" s="66">
        <v>-7.7948216043169225</v>
      </c>
      <c r="AX276" s="66">
        <v>-0.87709709439776318</v>
      </c>
      <c r="AY276" s="66">
        <v>0.53229839085199426</v>
      </c>
      <c r="AZ276" s="66">
        <v>52.747324093318142</v>
      </c>
      <c r="BA276" s="66">
        <v>54.842319115315703</v>
      </c>
      <c r="BB276" s="66">
        <v>8.9029950528877695</v>
      </c>
      <c r="BC276" s="66">
        <v>36.274826581586396</v>
      </c>
      <c r="BD276" s="66">
        <v>71.314816627047449</v>
      </c>
    </row>
    <row r="277" spans="1:56">
      <c r="A277">
        <v>253</v>
      </c>
      <c r="B277">
        <v>255.57283071483306</v>
      </c>
      <c r="C277">
        <v>38.42716928516694</v>
      </c>
      <c r="D277">
        <v>0.75892513177741594</v>
      </c>
      <c r="F277">
        <v>83.333333333333343</v>
      </c>
      <c r="G277">
        <v>294</v>
      </c>
      <c r="V277">
        <v>52</v>
      </c>
      <c r="W277">
        <v>125</v>
      </c>
      <c r="X277">
        <v>212</v>
      </c>
      <c r="Z277">
        <v>251</v>
      </c>
      <c r="AA277">
        <v>244.23301076144111</v>
      </c>
      <c r="AB277">
        <v>53.766989238558892</v>
      </c>
      <c r="AC277">
        <v>1.0643222812481214</v>
      </c>
      <c r="AE277">
        <v>82.673267326732685</v>
      </c>
      <c r="AF277">
        <v>293</v>
      </c>
      <c r="AR277" s="57" t="s">
        <v>435</v>
      </c>
      <c r="AS277" s="63">
        <v>1</v>
      </c>
      <c r="AT277" s="66">
        <v>254</v>
      </c>
      <c r="AU277" s="66">
        <v>67</v>
      </c>
      <c r="AV277" s="66">
        <v>54.655986629076935</v>
      </c>
      <c r="AW277" s="66">
        <v>12.344013370923065</v>
      </c>
      <c r="AX277" s="66">
        <v>1.3889860230858413</v>
      </c>
      <c r="AY277" s="66">
        <v>0.51622274713274441</v>
      </c>
      <c r="AZ277" s="66">
        <v>53.640124000078572</v>
      </c>
      <c r="BA277" s="66">
        <v>55.671849258075298</v>
      </c>
      <c r="BB277" s="66">
        <v>8.9020483743629324</v>
      </c>
      <c r="BC277" s="66">
        <v>37.137854552798103</v>
      </c>
      <c r="BD277" s="66">
        <v>72.174118705355767</v>
      </c>
    </row>
    <row r="278" spans="1:56">
      <c r="A278">
        <v>254</v>
      </c>
      <c r="B278">
        <v>261.6700371709386</v>
      </c>
      <c r="C278">
        <v>37.329962829061401</v>
      </c>
      <c r="D278">
        <v>0.73725563153118379</v>
      </c>
      <c r="F278">
        <v>83.663366336633672</v>
      </c>
      <c r="G278">
        <v>295</v>
      </c>
      <c r="V278">
        <v>58</v>
      </c>
      <c r="W278">
        <v>146</v>
      </c>
      <c r="X278">
        <v>218</v>
      </c>
      <c r="Z278">
        <v>252</v>
      </c>
      <c r="AA278">
        <v>233.72772503454715</v>
      </c>
      <c r="AB278">
        <v>13.272274965452851</v>
      </c>
      <c r="AC278">
        <v>0.26272585035229556</v>
      </c>
      <c r="AE278">
        <v>83.003300330033014</v>
      </c>
      <c r="AF278">
        <v>294</v>
      </c>
      <c r="AR278" s="57" t="s">
        <v>436</v>
      </c>
      <c r="AS278" s="63">
        <v>1</v>
      </c>
      <c r="AT278" s="66">
        <v>267</v>
      </c>
      <c r="AU278" s="66">
        <v>62</v>
      </c>
      <c r="AV278" s="66">
        <v>55.14273207785434</v>
      </c>
      <c r="AW278" s="66">
        <v>6.8572679221456596</v>
      </c>
      <c r="AX278" s="66">
        <v>0.77160069535010334</v>
      </c>
      <c r="AY278" s="66">
        <v>0.55001683966877735</v>
      </c>
      <c r="AZ278" s="66">
        <v>54.060366847258223</v>
      </c>
      <c r="BA278" s="66">
        <v>56.225097308450458</v>
      </c>
      <c r="BB278" s="66">
        <v>8.9040719818945586</v>
      </c>
      <c r="BC278" s="66">
        <v>37.620617791805493</v>
      </c>
      <c r="BD278" s="66">
        <v>72.664846363903195</v>
      </c>
    </row>
    <row r="279" spans="1:56">
      <c r="A279">
        <v>255</v>
      </c>
      <c r="B279">
        <v>251.91450684116975</v>
      </c>
      <c r="C279">
        <v>21.085493158830246</v>
      </c>
      <c r="D279">
        <v>0.4164322007536998</v>
      </c>
      <c r="F279">
        <v>83.993399339934001</v>
      </c>
      <c r="G279">
        <v>295</v>
      </c>
      <c r="V279">
        <v>57</v>
      </c>
      <c r="W279">
        <v>124</v>
      </c>
      <c r="X279">
        <v>261</v>
      </c>
      <c r="Z279">
        <v>253</v>
      </c>
      <c r="AA279">
        <v>256.03237658936513</v>
      </c>
      <c r="AB279">
        <v>37.967623410634872</v>
      </c>
      <c r="AC279">
        <v>0.75157244499375253</v>
      </c>
      <c r="AE279">
        <v>83.333333333333343</v>
      </c>
      <c r="AF279">
        <v>294</v>
      </c>
      <c r="AR279" s="57" t="s">
        <v>437</v>
      </c>
      <c r="AS279" s="63">
        <v>1</v>
      </c>
      <c r="AT279" s="66">
        <v>248</v>
      </c>
      <c r="AU279" s="66">
        <v>65</v>
      </c>
      <c r="AV279" s="66">
        <v>54.431334883487366</v>
      </c>
      <c r="AW279" s="66">
        <v>10.568665116512634</v>
      </c>
      <c r="AX279" s="66">
        <v>1.1892184242192874</v>
      </c>
      <c r="AY279" s="66">
        <v>0.51083595369534918</v>
      </c>
      <c r="AZ279" s="66">
        <v>53.426072798873342</v>
      </c>
      <c r="BA279" s="66">
        <v>55.436596968101391</v>
      </c>
      <c r="BB279" s="66">
        <v>8.9017376228705096</v>
      </c>
      <c r="BC279" s="66">
        <v>36.913814327777544</v>
      </c>
      <c r="BD279" s="66">
        <v>71.948855439197189</v>
      </c>
    </row>
    <row r="280" spans="1:56">
      <c r="A280">
        <v>256</v>
      </c>
      <c r="B280">
        <v>234.84232876407427</v>
      </c>
      <c r="C280">
        <v>74.157671235925733</v>
      </c>
      <c r="D280">
        <v>1.4645918880305242</v>
      </c>
      <c r="F280">
        <v>84.32343234323433</v>
      </c>
      <c r="G280">
        <v>298</v>
      </c>
      <c r="V280">
        <v>58</v>
      </c>
      <c r="W280">
        <v>136</v>
      </c>
      <c r="X280">
        <v>319</v>
      </c>
      <c r="Z280">
        <v>254</v>
      </c>
      <c r="AA280">
        <v>253.84800416852988</v>
      </c>
      <c r="AB280">
        <v>45.151995831470117</v>
      </c>
      <c r="AC280">
        <v>0.89378772899175984</v>
      </c>
      <c r="AE280">
        <v>83.663366336633672</v>
      </c>
      <c r="AF280">
        <v>295</v>
      </c>
      <c r="AR280" s="57" t="s">
        <v>438</v>
      </c>
      <c r="AS280" s="63">
        <v>1</v>
      </c>
      <c r="AT280" s="66">
        <v>197</v>
      </c>
      <c r="AU280" s="66">
        <v>44</v>
      </c>
      <c r="AV280" s="66">
        <v>52.521795045976035</v>
      </c>
      <c r="AW280" s="66">
        <v>-8.5217950459760345</v>
      </c>
      <c r="AX280" s="66">
        <v>-0.95889836269496442</v>
      </c>
      <c r="AY280" s="66">
        <v>0.70492733182647549</v>
      </c>
      <c r="AZ280" s="66">
        <v>51.134585093412866</v>
      </c>
      <c r="BA280" s="66">
        <v>53.909004998539203</v>
      </c>
      <c r="BB280" s="66">
        <v>8.9149818776033669</v>
      </c>
      <c r="BC280" s="66">
        <v>34.978211432203054</v>
      </c>
      <c r="BD280" s="66">
        <v>70.065378659749015</v>
      </c>
    </row>
    <row r="281" spans="1:56">
      <c r="A281">
        <v>257</v>
      </c>
      <c r="B281">
        <v>250.69506554994865</v>
      </c>
      <c r="C281">
        <v>8.3049344500513484</v>
      </c>
      <c r="D281">
        <v>0.1640199782902286</v>
      </c>
      <c r="F281">
        <v>84.653465346534659</v>
      </c>
      <c r="G281">
        <v>298</v>
      </c>
      <c r="V281">
        <v>61</v>
      </c>
      <c r="W281">
        <v>138</v>
      </c>
      <c r="X281">
        <v>166</v>
      </c>
      <c r="Z281">
        <v>255</v>
      </c>
      <c r="AA281">
        <v>257.18020606977063</v>
      </c>
      <c r="AB281">
        <v>15.819793930229366</v>
      </c>
      <c r="AC281">
        <v>0.31315421233633117</v>
      </c>
      <c r="AE281">
        <v>83.993399339934001</v>
      </c>
      <c r="AF281">
        <v>295</v>
      </c>
      <c r="AR281" s="57" t="s">
        <v>439</v>
      </c>
      <c r="AS281" s="63">
        <v>1</v>
      </c>
      <c r="AT281" s="66">
        <v>258</v>
      </c>
      <c r="AU281" s="66">
        <v>60</v>
      </c>
      <c r="AV281" s="66">
        <v>54.805754459469981</v>
      </c>
      <c r="AW281" s="66">
        <v>5.1942455405300194</v>
      </c>
      <c r="AX281" s="66">
        <v>0.58447234618740951</v>
      </c>
      <c r="AY281" s="66">
        <v>0.52351531536916918</v>
      </c>
      <c r="AZ281" s="66">
        <v>53.775540956586362</v>
      </c>
      <c r="BA281" s="66">
        <v>55.8359679623536</v>
      </c>
      <c r="BB281" s="66">
        <v>8.902474241482901</v>
      </c>
      <c r="BC281" s="66">
        <v>37.286784329280323</v>
      </c>
      <c r="BD281" s="66">
        <v>72.324724589659638</v>
      </c>
    </row>
    <row r="282" spans="1:56">
      <c r="A282">
        <v>258</v>
      </c>
      <c r="B282">
        <v>240.93953522017978</v>
      </c>
      <c r="C282">
        <v>-40.939535220179778</v>
      </c>
      <c r="D282">
        <v>-0.80854360963492233</v>
      </c>
      <c r="F282">
        <v>84.983498349834989</v>
      </c>
      <c r="G282">
        <v>299</v>
      </c>
      <c r="V282">
        <v>42</v>
      </c>
      <c r="W282">
        <v>136</v>
      </c>
      <c r="X282">
        <v>315</v>
      </c>
      <c r="Z282">
        <v>256</v>
      </c>
      <c r="AA282">
        <v>237.98198618722768</v>
      </c>
      <c r="AB282">
        <v>71.018013812772324</v>
      </c>
      <c r="AC282">
        <v>1.4058078300712074</v>
      </c>
      <c r="AE282">
        <v>84.32343234323433</v>
      </c>
      <c r="AF282">
        <v>298</v>
      </c>
      <c r="AR282" s="57" t="s">
        <v>440</v>
      </c>
      <c r="AS282" s="63">
        <v>1</v>
      </c>
      <c r="AT282" s="66">
        <v>270</v>
      </c>
      <c r="AU282" s="66">
        <v>58</v>
      </c>
      <c r="AV282" s="66">
        <v>55.255057950649125</v>
      </c>
      <c r="AW282" s="66">
        <v>2.7449420493508754</v>
      </c>
      <c r="AX282" s="66">
        <v>0.30886924909769964</v>
      </c>
      <c r="AY282" s="66">
        <v>0.56169967918856611</v>
      </c>
      <c r="AZ282" s="66">
        <v>54.149702334343239</v>
      </c>
      <c r="BA282" s="66">
        <v>56.36041356695501</v>
      </c>
      <c r="BB282" s="66">
        <v>8.904801281580685</v>
      </c>
      <c r="BC282" s="66">
        <v>37.731508492863675</v>
      </c>
      <c r="BD282" s="66">
        <v>72.778607408434567</v>
      </c>
    </row>
    <row r="283" spans="1:56">
      <c r="A283">
        <v>259</v>
      </c>
      <c r="B283">
        <v>255.57283071483306</v>
      </c>
      <c r="C283">
        <v>-11.57283071483306</v>
      </c>
      <c r="D283">
        <v>-0.22855995480995916</v>
      </c>
      <c r="F283">
        <v>85.313531353135318</v>
      </c>
      <c r="G283">
        <v>299</v>
      </c>
      <c r="V283">
        <v>52</v>
      </c>
      <c r="W283">
        <v>128</v>
      </c>
      <c r="X283">
        <v>204</v>
      </c>
      <c r="Z283">
        <v>257</v>
      </c>
      <c r="AA283">
        <v>249.55877893520039</v>
      </c>
      <c r="AB283">
        <v>9.4412210647996062</v>
      </c>
      <c r="AC283">
        <v>0.18688980141460237</v>
      </c>
      <c r="AE283">
        <v>84.653465346534659</v>
      </c>
      <c r="AF283">
        <v>298</v>
      </c>
      <c r="AR283" s="57" t="s">
        <v>441</v>
      </c>
      <c r="AS283" s="63">
        <v>1</v>
      </c>
      <c r="AT283" s="66">
        <v>274</v>
      </c>
      <c r="AU283" s="66">
        <v>68</v>
      </c>
      <c r="AV283" s="66">
        <v>55.40482578104217</v>
      </c>
      <c r="AW283" s="66">
        <v>12.59517421895783</v>
      </c>
      <c r="AX283" s="66">
        <v>1.4172474075305819</v>
      </c>
      <c r="AY283" s="66">
        <v>0.57926648871485686</v>
      </c>
      <c r="AZ283" s="66">
        <v>54.264900852539931</v>
      </c>
      <c r="BA283" s="66">
        <v>56.54475070954441</v>
      </c>
      <c r="BB283" s="66">
        <v>8.9059266221875255</v>
      </c>
      <c r="BC283" s="66">
        <v>37.879061791886812</v>
      </c>
      <c r="BD283" s="66">
        <v>72.930589770197528</v>
      </c>
    </row>
    <row r="284" spans="1:56">
      <c r="A284">
        <v>260</v>
      </c>
      <c r="B284">
        <v>226.3062397255265</v>
      </c>
      <c r="C284">
        <v>4.6937602744735045</v>
      </c>
      <c r="D284">
        <v>9.2700365421177003E-2</v>
      </c>
      <c r="F284">
        <v>85.643564356435647</v>
      </c>
      <c r="G284">
        <v>300</v>
      </c>
      <c r="V284">
        <v>59</v>
      </c>
      <c r="W284">
        <v>126</v>
      </c>
      <c r="X284">
        <v>218</v>
      </c>
      <c r="Z284">
        <v>258</v>
      </c>
      <c r="AA284">
        <v>243.93731237117751</v>
      </c>
      <c r="AB284">
        <v>-43.937312371177512</v>
      </c>
      <c r="AC284">
        <v>-0.86974296305337162</v>
      </c>
      <c r="AE284">
        <v>84.983498349834989</v>
      </c>
      <c r="AF284">
        <v>299</v>
      </c>
      <c r="AR284" s="57" t="s">
        <v>442</v>
      </c>
      <c r="AS284" s="63">
        <v>1</v>
      </c>
      <c r="AT284" s="66">
        <v>164</v>
      </c>
      <c r="AU284" s="66">
        <v>62</v>
      </c>
      <c r="AV284" s="66">
        <v>51.286210445233401</v>
      </c>
      <c r="AW284" s="66">
        <v>10.713789554766599</v>
      </c>
      <c r="AX284" s="66">
        <v>1.2055482685159378</v>
      </c>
      <c r="AY284" s="66">
        <v>0.9588858780741456</v>
      </c>
      <c r="AZ284" s="66">
        <v>49.399241429590006</v>
      </c>
      <c r="BA284" s="66">
        <v>53.173179460876796</v>
      </c>
      <c r="BB284" s="66">
        <v>8.9386487492243756</v>
      </c>
      <c r="BC284" s="66">
        <v>33.696053350228482</v>
      </c>
      <c r="BD284" s="66">
        <v>68.87636754023832</v>
      </c>
    </row>
    <row r="285" spans="1:56">
      <c r="A285">
        <v>261</v>
      </c>
      <c r="B285">
        <v>260.45059587971753</v>
      </c>
      <c r="C285">
        <v>-32.450595879717525</v>
      </c>
      <c r="D285">
        <v>-0.64088958964189557</v>
      </c>
      <c r="F285">
        <v>85.973597359735976</v>
      </c>
      <c r="G285">
        <v>302</v>
      </c>
      <c r="V285">
        <v>40</v>
      </c>
      <c r="W285">
        <v>152</v>
      </c>
      <c r="X285">
        <v>223</v>
      </c>
      <c r="Z285">
        <v>259</v>
      </c>
      <c r="AA285">
        <v>258.47428617080067</v>
      </c>
      <c r="AB285">
        <v>-14.474286170800667</v>
      </c>
      <c r="AC285">
        <v>-0.28651976788941746</v>
      </c>
      <c r="AE285">
        <v>85.313531353135318</v>
      </c>
      <c r="AF285">
        <v>299</v>
      </c>
      <c r="AR285" s="57" t="s">
        <v>443</v>
      </c>
      <c r="AS285" s="63">
        <v>1</v>
      </c>
      <c r="AT285" s="66">
        <v>255</v>
      </c>
      <c r="AU285" s="66">
        <v>52</v>
      </c>
      <c r="AV285" s="66">
        <v>54.693428586675196</v>
      </c>
      <c r="AW285" s="66">
        <v>-2.6934285866751964</v>
      </c>
      <c r="AX285" s="66">
        <v>-0.3030727972058202</v>
      </c>
      <c r="AY285" s="66">
        <v>0.51777356580390421</v>
      </c>
      <c r="AZ285" s="66">
        <v>53.674514138009584</v>
      </c>
      <c r="BA285" s="66">
        <v>55.712343035340808</v>
      </c>
      <c r="BB285" s="66">
        <v>8.9021384397393959</v>
      </c>
      <c r="BC285" s="66">
        <v>37.175119272855746</v>
      </c>
      <c r="BD285" s="66">
        <v>72.211737900494654</v>
      </c>
    </row>
    <row r="286" spans="1:56">
      <c r="A286">
        <v>262</v>
      </c>
      <c r="B286">
        <v>243.37841780262201</v>
      </c>
      <c r="C286">
        <v>-13.37841780262201</v>
      </c>
      <c r="D286">
        <v>-0.26421976124448554</v>
      </c>
      <c r="F286">
        <v>86.303630363036305</v>
      </c>
      <c r="G286">
        <v>302</v>
      </c>
      <c r="V286">
        <v>61</v>
      </c>
      <c r="W286">
        <v>140</v>
      </c>
      <c r="X286">
        <v>207</v>
      </c>
      <c r="Z286">
        <v>260</v>
      </c>
      <c r="AA286">
        <v>225.73747419940099</v>
      </c>
      <c r="AB286">
        <v>5.2625258005990077</v>
      </c>
      <c r="AC286">
        <v>0.10417216110743038</v>
      </c>
      <c r="AE286">
        <v>85.643564356435647</v>
      </c>
      <c r="AF286">
        <v>300</v>
      </c>
      <c r="AR286" s="57" t="s">
        <v>444</v>
      </c>
      <c r="AS286" s="63">
        <v>1</v>
      </c>
      <c r="AT286" s="66">
        <v>239</v>
      </c>
      <c r="AU286" s="66">
        <v>59</v>
      </c>
      <c r="AV286" s="66">
        <v>54.094357265103014</v>
      </c>
      <c r="AW286" s="66">
        <v>4.9056427348969862</v>
      </c>
      <c r="AX286" s="66">
        <v>0.55199787850804838</v>
      </c>
      <c r="AY286" s="66">
        <v>0.51555481296574757</v>
      </c>
      <c r="AZ286" s="66">
        <v>53.079809048076328</v>
      </c>
      <c r="BA286" s="66">
        <v>55.1089054821297</v>
      </c>
      <c r="BB286" s="66">
        <v>8.9020096663625683</v>
      </c>
      <c r="BC286" s="66">
        <v>36.576301361389682</v>
      </c>
      <c r="BD286" s="66">
        <v>71.612413168816346</v>
      </c>
    </row>
    <row r="287" spans="1:56">
      <c r="A287">
        <v>263</v>
      </c>
      <c r="B287">
        <v>244.59785909384311</v>
      </c>
      <c r="C287">
        <v>37.402140906156887</v>
      </c>
      <c r="D287">
        <v>0.73868112702539068</v>
      </c>
      <c r="F287">
        <v>86.633663366336634</v>
      </c>
      <c r="G287">
        <v>303</v>
      </c>
      <c r="V287">
        <v>46</v>
      </c>
      <c r="W287">
        <v>140</v>
      </c>
      <c r="X287">
        <v>311</v>
      </c>
      <c r="Z287">
        <v>261</v>
      </c>
      <c r="AA287">
        <v>268.61074819711877</v>
      </c>
      <c r="AB287">
        <v>-40.610748197118767</v>
      </c>
      <c r="AC287">
        <v>-0.80389333262784302</v>
      </c>
      <c r="AE287">
        <v>85.973597359735976</v>
      </c>
      <c r="AF287">
        <v>302</v>
      </c>
      <c r="AR287" s="57" t="s">
        <v>445</v>
      </c>
      <c r="AS287" s="63">
        <v>1</v>
      </c>
      <c r="AT287" s="66">
        <v>258</v>
      </c>
      <c r="AU287" s="66">
        <v>60</v>
      </c>
      <c r="AV287" s="66">
        <v>54.805754459469981</v>
      </c>
      <c r="AW287" s="66">
        <v>5.1942455405300194</v>
      </c>
      <c r="AX287" s="66">
        <v>0.58447234618740951</v>
      </c>
      <c r="AY287" s="66">
        <v>0.52351531536916918</v>
      </c>
      <c r="AZ287" s="66">
        <v>53.775540956586362</v>
      </c>
      <c r="BA287" s="66">
        <v>55.8359679623536</v>
      </c>
      <c r="BB287" s="66">
        <v>8.902474241482901</v>
      </c>
      <c r="BC287" s="66">
        <v>37.286784329280323</v>
      </c>
      <c r="BD287" s="66">
        <v>72.324724589659638</v>
      </c>
    </row>
    <row r="288" spans="1:56">
      <c r="A288">
        <v>264</v>
      </c>
      <c r="B288">
        <v>256.79227200605419</v>
      </c>
      <c r="C288">
        <v>12.207727993945809</v>
      </c>
      <c r="D288">
        <v>0.241098986702734</v>
      </c>
      <c r="F288">
        <v>86.963696369636963</v>
      </c>
      <c r="G288">
        <v>303</v>
      </c>
      <c r="V288">
        <v>59</v>
      </c>
      <c r="W288">
        <v>134</v>
      </c>
      <c r="X288">
        <v>204</v>
      </c>
      <c r="Z288">
        <v>262</v>
      </c>
      <c r="AA288">
        <v>239.64488998883365</v>
      </c>
      <c r="AB288">
        <v>-9.6448899888336541</v>
      </c>
      <c r="AC288">
        <v>-0.1909214456802964</v>
      </c>
      <c r="AE288">
        <v>86.303630363036305</v>
      </c>
      <c r="AF288">
        <v>302</v>
      </c>
      <c r="AR288" s="57" t="s">
        <v>446</v>
      </c>
      <c r="AS288" s="63">
        <v>1</v>
      </c>
      <c r="AT288" s="66">
        <v>188</v>
      </c>
      <c r="AU288" s="66">
        <v>49</v>
      </c>
      <c r="AV288" s="66">
        <v>52.184817427591675</v>
      </c>
      <c r="AW288" s="66">
        <v>-3.1848174275916747</v>
      </c>
      <c r="AX288" s="66">
        <v>-0.35836536789770546</v>
      </c>
      <c r="AY288" s="66">
        <v>0.76885177662661608</v>
      </c>
      <c r="AZ288" s="66">
        <v>50.671812060330844</v>
      </c>
      <c r="BA288" s="66">
        <v>53.697822794852506</v>
      </c>
      <c r="BB288" s="66">
        <v>8.920264143469204</v>
      </c>
      <c r="BC288" s="66">
        <v>34.630838966789298</v>
      </c>
      <c r="BD288" s="66">
        <v>69.738795888394051</v>
      </c>
    </row>
    <row r="289" spans="1:56">
      <c r="A289">
        <v>265</v>
      </c>
      <c r="B289">
        <v>245.81730038506424</v>
      </c>
      <c r="C289">
        <v>-39.817300385064243</v>
      </c>
      <c r="D289">
        <v>-0.78637980636841376</v>
      </c>
      <c r="F289">
        <v>87.293729372937293</v>
      </c>
      <c r="G289">
        <v>303</v>
      </c>
      <c r="V289">
        <v>57</v>
      </c>
      <c r="W289">
        <v>154</v>
      </c>
      <c r="X289">
        <v>232</v>
      </c>
      <c r="Z289">
        <v>263</v>
      </c>
      <c r="AA289">
        <v>242.99297535589167</v>
      </c>
      <c r="AB289">
        <v>39.007024644108327</v>
      </c>
      <c r="AC289">
        <v>0.77214748383467069</v>
      </c>
      <c r="AE289">
        <v>86.633663366336634</v>
      </c>
      <c r="AF289">
        <v>303</v>
      </c>
      <c r="AR289" s="57" t="s">
        <v>447</v>
      </c>
      <c r="AS289" s="63">
        <v>1</v>
      </c>
      <c r="AT289" s="66">
        <v>177</v>
      </c>
      <c r="AU289" s="66">
        <v>59</v>
      </c>
      <c r="AV289" s="66">
        <v>51.772955894010799</v>
      </c>
      <c r="AW289" s="66">
        <v>7.2270441059892008</v>
      </c>
      <c r="AX289" s="66">
        <v>0.81320903905447273</v>
      </c>
      <c r="AY289" s="66">
        <v>0.85305110700658127</v>
      </c>
      <c r="AZ289" s="66">
        <v>50.094256640545261</v>
      </c>
      <c r="BA289" s="66">
        <v>53.451655147476338</v>
      </c>
      <c r="BB289" s="66">
        <v>8.927915519649904</v>
      </c>
      <c r="BC289" s="66">
        <v>34.203920469590386</v>
      </c>
      <c r="BD289" s="66">
        <v>69.341991318431212</v>
      </c>
    </row>
    <row r="290" spans="1:56">
      <c r="A290">
        <v>266</v>
      </c>
      <c r="B290">
        <v>260.45059587971753</v>
      </c>
      <c r="C290">
        <v>-48.450595879717525</v>
      </c>
      <c r="D290">
        <v>-0.95688481734985553</v>
      </c>
      <c r="F290">
        <v>87.623762376237636</v>
      </c>
      <c r="G290">
        <v>304</v>
      </c>
      <c r="V290">
        <v>57</v>
      </c>
      <c r="W290">
        <v>110</v>
      </c>
      <c r="X290">
        <v>335</v>
      </c>
      <c r="Z290">
        <v>264</v>
      </c>
      <c r="AA290">
        <v>251.03727088651843</v>
      </c>
      <c r="AB290">
        <v>17.962729113481572</v>
      </c>
      <c r="AC290">
        <v>0.35557380277845685</v>
      </c>
      <c r="AE290">
        <v>86.963696369636963</v>
      </c>
      <c r="AF290">
        <v>303</v>
      </c>
      <c r="AR290" s="57" t="s">
        <v>448</v>
      </c>
      <c r="AS290" s="63">
        <v>1</v>
      </c>
      <c r="AT290" s="66">
        <v>229</v>
      </c>
      <c r="AU290" s="66">
        <v>57</v>
      </c>
      <c r="AV290" s="66">
        <v>53.7199376891204</v>
      </c>
      <c r="AW290" s="66">
        <v>3.2800623108796003</v>
      </c>
      <c r="AX290" s="66">
        <v>0.36908261257997349</v>
      </c>
      <c r="AY290" s="66">
        <v>0.53821443297668359</v>
      </c>
      <c r="AZ290" s="66">
        <v>52.660798137666347</v>
      </c>
      <c r="BA290" s="66">
        <v>54.779077240574452</v>
      </c>
      <c r="BB290" s="66">
        <v>8.9033507237839888</v>
      </c>
      <c r="BC290" s="66">
        <v>36.199242749980343</v>
      </c>
      <c r="BD290" s="66">
        <v>71.240632628260457</v>
      </c>
    </row>
    <row r="291" spans="1:56">
      <c r="A291">
        <v>267</v>
      </c>
      <c r="B291">
        <v>247.03674167628532</v>
      </c>
      <c r="C291">
        <v>79.963258323714683</v>
      </c>
      <c r="D291">
        <v>1.5792505013920406</v>
      </c>
      <c r="F291">
        <v>87.953795379537965</v>
      </c>
      <c r="G291">
        <v>304</v>
      </c>
      <c r="V291">
        <v>55</v>
      </c>
      <c r="W291">
        <v>128</v>
      </c>
      <c r="X291">
        <v>205</v>
      </c>
      <c r="Z291">
        <v>265</v>
      </c>
      <c r="AA291">
        <v>241.45724156007861</v>
      </c>
      <c r="AB291">
        <v>-35.457241560078614</v>
      </c>
      <c r="AC291">
        <v>-0.70187921545223675</v>
      </c>
      <c r="AE291">
        <v>87.293729372937293</v>
      </c>
      <c r="AF291">
        <v>303</v>
      </c>
      <c r="AR291" s="57" t="s">
        <v>449</v>
      </c>
      <c r="AS291" s="63">
        <v>1</v>
      </c>
      <c r="AT291" s="66">
        <v>260</v>
      </c>
      <c r="AU291" s="66">
        <v>61</v>
      </c>
      <c r="AV291" s="66">
        <v>54.880638374666503</v>
      </c>
      <c r="AW291" s="66">
        <v>6.1193616253334966</v>
      </c>
      <c r="AX291" s="66">
        <v>0.68856922885530614</v>
      </c>
      <c r="AY291" s="66">
        <v>0.52823069148548663</v>
      </c>
      <c r="AZ291" s="66">
        <v>53.841145593787395</v>
      </c>
      <c r="BA291" s="66">
        <v>55.920131155545612</v>
      </c>
      <c r="BB291" s="66">
        <v>8.9027527764320009</v>
      </c>
      <c r="BC291" s="66">
        <v>37.361120122087371</v>
      </c>
      <c r="BD291" s="66">
        <v>72.400156627245636</v>
      </c>
    </row>
    <row r="292" spans="1:56">
      <c r="A292">
        <v>268</v>
      </c>
      <c r="B292">
        <v>239.7200939289587</v>
      </c>
      <c r="C292">
        <v>-90.720093928958704</v>
      </c>
      <c r="D292">
        <v>-1.7916947961730516</v>
      </c>
      <c r="F292">
        <v>88.283828382838294</v>
      </c>
      <c r="G292">
        <v>305</v>
      </c>
      <c r="V292">
        <v>61</v>
      </c>
      <c r="W292">
        <v>148</v>
      </c>
      <c r="X292">
        <v>203</v>
      </c>
      <c r="Z292">
        <v>266</v>
      </c>
      <c r="AA292">
        <v>255.1802454992233</v>
      </c>
      <c r="AB292">
        <v>-43.180245499223304</v>
      </c>
      <c r="AC292">
        <v>-0.85475675773247128</v>
      </c>
      <c r="AE292">
        <v>87.623762376237636</v>
      </c>
      <c r="AF292">
        <v>304</v>
      </c>
      <c r="AR292" s="57" t="s">
        <v>450</v>
      </c>
      <c r="AS292" s="63">
        <v>1</v>
      </c>
      <c r="AT292" s="66">
        <v>219</v>
      </c>
      <c r="AU292" s="66">
        <v>39</v>
      </c>
      <c r="AV292" s="66">
        <v>53.345518113137786</v>
      </c>
      <c r="AW292" s="66">
        <v>-14.345518113137786</v>
      </c>
      <c r="AX292" s="66">
        <v>-1.6142014395422792</v>
      </c>
      <c r="AY292" s="66">
        <v>0.57708123070837669</v>
      </c>
      <c r="AZ292" s="66">
        <v>52.209893502581302</v>
      </c>
      <c r="BA292" s="66">
        <v>54.481142723694269</v>
      </c>
      <c r="BB292" s="66">
        <v>8.9057847538370449</v>
      </c>
      <c r="BC292" s="66">
        <v>35.820033303379873</v>
      </c>
      <c r="BD292" s="66">
        <v>70.871002922895698</v>
      </c>
    </row>
    <row r="293" spans="1:56">
      <c r="A293">
        <v>269</v>
      </c>
      <c r="B293">
        <v>245.81730038506424</v>
      </c>
      <c r="C293">
        <v>40.182699614935757</v>
      </c>
      <c r="D293">
        <v>0.79359633217138636</v>
      </c>
      <c r="F293">
        <v>88.613861386138623</v>
      </c>
      <c r="G293">
        <v>306</v>
      </c>
      <c r="V293">
        <v>58</v>
      </c>
      <c r="W293">
        <v>114</v>
      </c>
      <c r="X293">
        <v>318</v>
      </c>
      <c r="Z293">
        <v>267</v>
      </c>
      <c r="AA293">
        <v>256.81138236919469</v>
      </c>
      <c r="AB293">
        <v>70.188617630805311</v>
      </c>
      <c r="AC293">
        <v>1.3893898596966163</v>
      </c>
      <c r="AE293">
        <v>87.953795379537965</v>
      </c>
      <c r="AF293">
        <v>304</v>
      </c>
      <c r="AR293" s="57" t="s">
        <v>451</v>
      </c>
      <c r="AS293" s="63">
        <v>1</v>
      </c>
      <c r="AT293" s="66">
        <v>307</v>
      </c>
      <c r="AU293" s="66">
        <v>61</v>
      </c>
      <c r="AV293" s="66">
        <v>56.640410381784804</v>
      </c>
      <c r="AW293" s="66">
        <v>4.3595896182151961</v>
      </c>
      <c r="AX293" s="66">
        <v>0.49055431682817696</v>
      </c>
      <c r="AY293" s="66">
        <v>0.78725449447401596</v>
      </c>
      <c r="AZ293" s="66">
        <v>55.091190737960204</v>
      </c>
      <c r="BA293" s="66">
        <v>58.189630025609404</v>
      </c>
      <c r="BB293" s="66">
        <v>8.9218691412679902</v>
      </c>
      <c r="BC293" s="66">
        <v>39.083273483481435</v>
      </c>
      <c r="BD293" s="66">
        <v>74.197547280088173</v>
      </c>
    </row>
    <row r="294" spans="1:56">
      <c r="A294">
        <v>270</v>
      </c>
      <c r="B294">
        <v>248.25618296750645</v>
      </c>
      <c r="C294">
        <v>34.743817032493553</v>
      </c>
      <c r="D294">
        <v>0.68618002341415618</v>
      </c>
      <c r="F294">
        <v>88.943894389438952</v>
      </c>
      <c r="G294">
        <v>307</v>
      </c>
      <c r="V294">
        <v>58</v>
      </c>
      <c r="W294">
        <v>170</v>
      </c>
      <c r="X294">
        <v>225</v>
      </c>
      <c r="Z294">
        <v>268</v>
      </c>
      <c r="AA294">
        <v>237.53684002732507</v>
      </c>
      <c r="AB294">
        <v>-88.53684002732507</v>
      </c>
      <c r="AC294">
        <v>-1.7525945359202761</v>
      </c>
      <c r="AE294">
        <v>88.283828382838294</v>
      </c>
      <c r="AF294">
        <v>305</v>
      </c>
      <c r="AR294" s="57" t="s">
        <v>452</v>
      </c>
      <c r="AS294" s="63">
        <v>1</v>
      </c>
      <c r="AT294" s="66">
        <v>249</v>
      </c>
      <c r="AU294" s="66">
        <v>56</v>
      </c>
      <c r="AV294" s="66">
        <v>54.468776841085628</v>
      </c>
      <c r="AW294" s="66">
        <v>1.5312231589143721</v>
      </c>
      <c r="AX294" s="66">
        <v>0.17229789875044266</v>
      </c>
      <c r="AY294" s="66">
        <v>0.51126188471183398</v>
      </c>
      <c r="AZ294" s="66">
        <v>53.462676576820314</v>
      </c>
      <c r="BA294" s="66">
        <v>55.474877105350942</v>
      </c>
      <c r="BB294" s="66">
        <v>8.9017620755443438</v>
      </c>
      <c r="BC294" s="66">
        <v>36.951208165532833</v>
      </c>
      <c r="BD294" s="66">
        <v>71.986345516638423</v>
      </c>
    </row>
    <row r="295" spans="1:56">
      <c r="A295">
        <v>271</v>
      </c>
      <c r="B295">
        <v>236.06177005529537</v>
      </c>
      <c r="C295">
        <v>12.938229944704631</v>
      </c>
      <c r="D295">
        <v>0.25552618234468044</v>
      </c>
      <c r="F295">
        <v>89.273927392739282</v>
      </c>
      <c r="G295">
        <v>308</v>
      </c>
      <c r="V295">
        <v>67</v>
      </c>
      <c r="W295">
        <v>152</v>
      </c>
      <c r="X295">
        <v>212</v>
      </c>
      <c r="Z295">
        <v>269</v>
      </c>
      <c r="AA295">
        <v>243.89915114151415</v>
      </c>
      <c r="AB295">
        <v>42.100848858485847</v>
      </c>
      <c r="AC295">
        <v>0.83339000628682081</v>
      </c>
      <c r="AE295">
        <v>88.613861386138623</v>
      </c>
      <c r="AF295">
        <v>306</v>
      </c>
      <c r="AR295" s="57" t="s">
        <v>453</v>
      </c>
      <c r="AS295" s="63">
        <v>1</v>
      </c>
      <c r="AT295" s="66">
        <v>341</v>
      </c>
      <c r="AU295" s="66">
        <v>43</v>
      </c>
      <c r="AV295" s="66">
        <v>57.913436940125692</v>
      </c>
      <c r="AW295" s="66">
        <v>-14.913436940125692</v>
      </c>
      <c r="AX295" s="66">
        <v>-1.6781053976173441</v>
      </c>
      <c r="AY295" s="66">
        <v>1.0650658135814119</v>
      </c>
      <c r="AZ295" s="66">
        <v>55.817518921304121</v>
      </c>
      <c r="BA295" s="66">
        <v>60.009354958947263</v>
      </c>
      <c r="BB295" s="66">
        <v>8.9506616806859753</v>
      </c>
      <c r="BC295" s="66">
        <v>40.299639879225545</v>
      </c>
      <c r="BD295" s="66">
        <v>75.527234001025846</v>
      </c>
    </row>
    <row r="296" spans="1:56">
      <c r="A296">
        <v>272</v>
      </c>
      <c r="B296">
        <v>254.35338942361199</v>
      </c>
      <c r="C296">
        <v>-20.353389423611986</v>
      </c>
      <c r="D296">
        <v>-0.40197337034644093</v>
      </c>
      <c r="F296">
        <v>89.603960396039611</v>
      </c>
      <c r="G296">
        <v>308</v>
      </c>
      <c r="V296">
        <v>44</v>
      </c>
      <c r="W296">
        <v>120</v>
      </c>
      <c r="X296">
        <v>169</v>
      </c>
      <c r="Z296">
        <v>270</v>
      </c>
      <c r="AA296">
        <v>247.74642736395543</v>
      </c>
      <c r="AB296">
        <v>35.253572636044566</v>
      </c>
      <c r="AC296">
        <v>0.69784757118654273</v>
      </c>
      <c r="AE296">
        <v>88.943894389438952</v>
      </c>
      <c r="AF296">
        <v>307</v>
      </c>
      <c r="AR296" s="57" t="s">
        <v>454</v>
      </c>
      <c r="AS296" s="63">
        <v>1</v>
      </c>
      <c r="AT296" s="66">
        <v>263</v>
      </c>
      <c r="AU296" s="66">
        <v>62</v>
      </c>
      <c r="AV296" s="66">
        <v>54.992964247461288</v>
      </c>
      <c r="AW296" s="66">
        <v>7.0070357525387124</v>
      </c>
      <c r="AX296" s="66">
        <v>0.7884530282885831</v>
      </c>
      <c r="AY296" s="66">
        <v>0.5365882755427186</v>
      </c>
      <c r="AZ296" s="66">
        <v>53.937024773057708</v>
      </c>
      <c r="BA296" s="66">
        <v>56.048903721864868</v>
      </c>
      <c r="BB296" s="66">
        <v>8.903252569274354</v>
      </c>
      <c r="BC296" s="66">
        <v>37.472462464277186</v>
      </c>
      <c r="BD296" s="66">
        <v>72.51346603064539</v>
      </c>
    </row>
    <row r="297" spans="1:56">
      <c r="A297">
        <v>273</v>
      </c>
      <c r="B297">
        <v>261.6700371709386</v>
      </c>
      <c r="C297">
        <v>-24.670037170938599</v>
      </c>
      <c r="D297">
        <v>-0.48722587583716126</v>
      </c>
      <c r="F297">
        <v>89.93399339933994</v>
      </c>
      <c r="G297">
        <v>309</v>
      </c>
      <c r="V297">
        <v>63</v>
      </c>
      <c r="W297">
        <v>140</v>
      </c>
      <c r="X297">
        <v>187</v>
      </c>
      <c r="Z297">
        <v>271</v>
      </c>
      <c r="AA297">
        <v>234.61482020533796</v>
      </c>
      <c r="AB297">
        <v>14.385179794662037</v>
      </c>
      <c r="AC297">
        <v>0.28475589933607831</v>
      </c>
      <c r="AE297">
        <v>89.273927392739282</v>
      </c>
      <c r="AF297">
        <v>308</v>
      </c>
      <c r="AR297" s="57" t="s">
        <v>455</v>
      </c>
      <c r="AS297" s="63">
        <v>1</v>
      </c>
      <c r="AT297" s="66">
        <v>330</v>
      </c>
      <c r="AU297" s="66">
        <v>63</v>
      </c>
      <c r="AV297" s="66">
        <v>57.501575406544816</v>
      </c>
      <c r="AW297" s="66">
        <v>5.4984245934551836</v>
      </c>
      <c r="AX297" s="66">
        <v>0.61869950070619528</v>
      </c>
      <c r="AY297" s="66">
        <v>0.97121001462293621</v>
      </c>
      <c r="AZ297" s="66">
        <v>55.590354011818697</v>
      </c>
      <c r="BA297" s="66">
        <v>59.412796801270936</v>
      </c>
      <c r="BB297" s="66">
        <v>8.9399792073217004</v>
      </c>
      <c r="BC297" s="66">
        <v>39.908800134274315</v>
      </c>
      <c r="BD297" s="66">
        <v>75.094350678815317</v>
      </c>
    </row>
    <row r="298" spans="1:56">
      <c r="A298">
        <v>274</v>
      </c>
      <c r="B298">
        <v>250.69506554994865</v>
      </c>
      <c r="C298">
        <v>-16.695065549948652</v>
      </c>
      <c r="D298">
        <v>-0.32972256500345892</v>
      </c>
      <c r="F298">
        <v>90.264026402640269</v>
      </c>
      <c r="G298">
        <v>309</v>
      </c>
      <c r="V298">
        <v>63</v>
      </c>
      <c r="W298">
        <v>124</v>
      </c>
      <c r="X298">
        <v>197</v>
      </c>
      <c r="Z298">
        <v>272</v>
      </c>
      <c r="AA298">
        <v>254.10873847814452</v>
      </c>
      <c r="AB298">
        <v>-20.108738478144517</v>
      </c>
      <c r="AC298">
        <v>-0.39805424691200897</v>
      </c>
      <c r="AE298">
        <v>89.603960396039611</v>
      </c>
      <c r="AF298">
        <v>308</v>
      </c>
      <c r="AR298" s="57" t="s">
        <v>456</v>
      </c>
      <c r="AS298" s="63">
        <v>1</v>
      </c>
      <c r="AT298" s="66">
        <v>254</v>
      </c>
      <c r="AU298" s="66">
        <v>65</v>
      </c>
      <c r="AV298" s="66">
        <v>54.655986629076935</v>
      </c>
      <c r="AW298" s="66">
        <v>10.344013370923065</v>
      </c>
      <c r="AX298" s="66">
        <v>1.1639399248115689</v>
      </c>
      <c r="AY298" s="66">
        <v>0.51622274713274441</v>
      </c>
      <c r="AZ298" s="66">
        <v>53.640124000078572</v>
      </c>
      <c r="BA298" s="66">
        <v>55.671849258075298</v>
      </c>
      <c r="BB298" s="66">
        <v>8.9020483743629324</v>
      </c>
      <c r="BC298" s="66">
        <v>37.137854552798103</v>
      </c>
      <c r="BD298" s="66">
        <v>72.174118705355767</v>
      </c>
    </row>
    <row r="299" spans="1:56">
      <c r="A299">
        <v>275</v>
      </c>
      <c r="B299">
        <v>237.28121134651647</v>
      </c>
      <c r="C299">
        <v>37.718788653483529</v>
      </c>
      <c r="D299">
        <v>0.74493482558912161</v>
      </c>
      <c r="F299">
        <v>90.594059405940598</v>
      </c>
      <c r="G299">
        <v>309</v>
      </c>
      <c r="V299">
        <v>59</v>
      </c>
      <c r="W299">
        <v>164</v>
      </c>
      <c r="X299">
        <v>176</v>
      </c>
      <c r="Z299">
        <v>273</v>
      </c>
      <c r="AA299">
        <v>257.91785347092241</v>
      </c>
      <c r="AB299">
        <v>-20.91785347092241</v>
      </c>
      <c r="AC299">
        <v>-0.41407074936269567</v>
      </c>
      <c r="AE299">
        <v>89.93399339933994</v>
      </c>
      <c r="AF299">
        <v>309</v>
      </c>
      <c r="AR299" s="57" t="s">
        <v>457</v>
      </c>
      <c r="AS299" s="63">
        <v>1</v>
      </c>
      <c r="AT299" s="66">
        <v>256</v>
      </c>
      <c r="AU299" s="66">
        <v>48</v>
      </c>
      <c r="AV299" s="66">
        <v>54.730870544273458</v>
      </c>
      <c r="AW299" s="66">
        <v>-6.7308705442734578</v>
      </c>
      <c r="AX299" s="66">
        <v>-0.75737807698898441</v>
      </c>
      <c r="AY299" s="66">
        <v>0.5195071759235812</v>
      </c>
      <c r="AZ299" s="66">
        <v>53.708544564938933</v>
      </c>
      <c r="BA299" s="66">
        <v>55.753196523607983</v>
      </c>
      <c r="BB299" s="66">
        <v>8.9022394396397004</v>
      </c>
      <c r="BC299" s="66">
        <v>37.212362475120536</v>
      </c>
      <c r="BD299" s="66">
        <v>72.249378613426387</v>
      </c>
    </row>
    <row r="300" spans="1:56">
      <c r="A300">
        <v>276</v>
      </c>
      <c r="B300">
        <v>243.37841780262201</v>
      </c>
      <c r="C300">
        <v>-31.37841780262201</v>
      </c>
      <c r="D300">
        <v>-0.61971439241594051</v>
      </c>
      <c r="F300">
        <v>90.924092409240927</v>
      </c>
      <c r="G300">
        <v>311</v>
      </c>
      <c r="V300">
        <v>57</v>
      </c>
      <c r="W300">
        <v>140</v>
      </c>
      <c r="X300">
        <v>241</v>
      </c>
      <c r="Z300">
        <v>274</v>
      </c>
      <c r="AA300">
        <v>243.86098991185082</v>
      </c>
      <c r="AB300">
        <v>-9.8609899118508224</v>
      </c>
      <c r="AC300">
        <v>-0.19519916266427498</v>
      </c>
      <c r="AE300">
        <v>90.264026402640269</v>
      </c>
      <c r="AF300">
        <v>309</v>
      </c>
      <c r="AR300" s="57" t="s">
        <v>458</v>
      </c>
      <c r="AS300" s="63">
        <v>1</v>
      </c>
      <c r="AT300" s="66">
        <v>407</v>
      </c>
      <c r="AU300" s="66">
        <v>63</v>
      </c>
      <c r="AV300" s="66">
        <v>60.384606141610952</v>
      </c>
      <c r="AW300" s="66">
        <v>2.6153938583890479</v>
      </c>
      <c r="AX300" s="66">
        <v>0.29429209164047487</v>
      </c>
      <c r="AY300" s="66">
        <v>1.6660716210566731</v>
      </c>
      <c r="AZ300" s="66">
        <v>57.105982899092403</v>
      </c>
      <c r="BA300" s="66">
        <v>63.663229384129501</v>
      </c>
      <c r="BB300" s="66">
        <v>9.0418899562719126</v>
      </c>
      <c r="BC300" s="66">
        <v>42.591283098195575</v>
      </c>
      <c r="BD300" s="66">
        <v>78.177929185026329</v>
      </c>
    </row>
    <row r="301" spans="1:56">
      <c r="A301">
        <v>277</v>
      </c>
      <c r="B301">
        <v>250.69506554994865</v>
      </c>
      <c r="C301">
        <v>-32.695065549948652</v>
      </c>
      <c r="D301">
        <v>-0.64571779271141894</v>
      </c>
      <c r="F301">
        <v>91.254125412541256</v>
      </c>
      <c r="G301">
        <v>313</v>
      </c>
      <c r="V301">
        <v>45</v>
      </c>
      <c r="W301">
        <v>110</v>
      </c>
      <c r="X301">
        <v>264</v>
      </c>
      <c r="Z301">
        <v>275</v>
      </c>
      <c r="AA301">
        <v>233.68956380488379</v>
      </c>
      <c r="AB301">
        <v>41.31043619511621</v>
      </c>
      <c r="AC301">
        <v>0.81774371809180191</v>
      </c>
      <c r="AE301">
        <v>90.594059405940598</v>
      </c>
      <c r="AF301">
        <v>309</v>
      </c>
      <c r="AR301" s="57" t="s">
        <v>459</v>
      </c>
      <c r="AS301" s="63">
        <v>1</v>
      </c>
      <c r="AT301" s="66">
        <v>217</v>
      </c>
      <c r="AU301" s="66">
        <v>55</v>
      </c>
      <c r="AV301" s="66">
        <v>53.270634197941263</v>
      </c>
      <c r="AW301" s="66">
        <v>1.7293658020587372</v>
      </c>
      <c r="AX301" s="66">
        <v>0.1945935131211381</v>
      </c>
      <c r="AY301" s="66">
        <v>0.58653962889449929</v>
      </c>
      <c r="AZ301" s="66">
        <v>52.116396627570751</v>
      </c>
      <c r="BA301" s="66">
        <v>54.424871768311775</v>
      </c>
      <c r="BB301" s="66">
        <v>8.9064026447889812</v>
      </c>
      <c r="BC301" s="66">
        <v>35.743933455080139</v>
      </c>
      <c r="BD301" s="66">
        <v>70.797334940802386</v>
      </c>
    </row>
    <row r="302" spans="1:56">
      <c r="A302">
        <v>278</v>
      </c>
      <c r="B302">
        <v>249.47562425872755</v>
      </c>
      <c r="C302">
        <v>11.524375741272451</v>
      </c>
      <c r="D302">
        <v>0.22760298353471742</v>
      </c>
      <c r="F302">
        <v>91.584158415841586</v>
      </c>
      <c r="G302">
        <v>315</v>
      </c>
      <c r="V302">
        <v>68</v>
      </c>
      <c r="W302">
        <v>144</v>
      </c>
      <c r="X302">
        <v>193</v>
      </c>
      <c r="Z302">
        <v>276</v>
      </c>
      <c r="AA302">
        <v>242.2902920353888</v>
      </c>
      <c r="AB302">
        <v>-30.290292035388802</v>
      </c>
      <c r="AC302">
        <v>-0.59959899513318737</v>
      </c>
      <c r="AE302">
        <v>90.924092409240927</v>
      </c>
      <c r="AF302">
        <v>311</v>
      </c>
      <c r="AR302" s="57" t="s">
        <v>460</v>
      </c>
      <c r="AS302" s="63">
        <v>1</v>
      </c>
      <c r="AT302" s="66">
        <v>282</v>
      </c>
      <c r="AU302" s="66">
        <v>65</v>
      </c>
      <c r="AV302" s="66">
        <v>55.704361441828262</v>
      </c>
      <c r="AW302" s="66">
        <v>9.2956385581717385</v>
      </c>
      <c r="AX302" s="66">
        <v>1.0459735942422157</v>
      </c>
      <c r="AY302" s="66">
        <v>0.62046878775411896</v>
      </c>
      <c r="AZ302" s="66">
        <v>54.483355476011646</v>
      </c>
      <c r="BA302" s="66">
        <v>56.925367407644877</v>
      </c>
      <c r="BB302" s="66">
        <v>8.9087014121822232</v>
      </c>
      <c r="BC302" s="66">
        <v>38.173137008563096</v>
      </c>
      <c r="BD302" s="66">
        <v>73.23558587509342</v>
      </c>
    </row>
    <row r="303" spans="1:56">
      <c r="A303">
        <v>279</v>
      </c>
      <c r="B303">
        <v>250.69506554994865</v>
      </c>
      <c r="C303">
        <v>68.304934450051348</v>
      </c>
      <c r="D303">
        <v>1.3490020821950786</v>
      </c>
      <c r="F303">
        <v>91.914191419141915</v>
      </c>
      <c r="G303">
        <v>315</v>
      </c>
      <c r="V303">
        <v>57</v>
      </c>
      <c r="W303">
        <v>130</v>
      </c>
      <c r="X303">
        <v>131</v>
      </c>
      <c r="Z303">
        <v>277</v>
      </c>
      <c r="AA303">
        <v>253.2216433073537</v>
      </c>
      <c r="AB303">
        <v>-35.221643307353702</v>
      </c>
      <c r="AC303">
        <v>-0.69721552731664693</v>
      </c>
      <c r="AE303">
        <v>91.254125412541256</v>
      </c>
      <c r="AF303">
        <v>313</v>
      </c>
      <c r="AR303" s="57" t="s">
        <v>461</v>
      </c>
      <c r="AS303" s="63">
        <v>1</v>
      </c>
      <c r="AT303" s="66">
        <v>288</v>
      </c>
      <c r="AU303" s="66">
        <v>56</v>
      </c>
      <c r="AV303" s="66">
        <v>55.92901318741783</v>
      </c>
      <c r="AW303" s="66">
        <v>7.0986812582169989E-2</v>
      </c>
      <c r="AX303" s="66">
        <v>7.9876526002721857E-3</v>
      </c>
      <c r="AY303" s="66">
        <v>0.65592132806923298</v>
      </c>
      <c r="AZ303" s="66">
        <v>54.638240999540642</v>
      </c>
      <c r="BA303" s="66">
        <v>57.219785375295018</v>
      </c>
      <c r="BB303" s="66">
        <v>8.9112407735094088</v>
      </c>
      <c r="BC303" s="66">
        <v>38.392791604592446</v>
      </c>
      <c r="BD303" s="66">
        <v>73.465234770243214</v>
      </c>
    </row>
    <row r="304" spans="1:56">
      <c r="A304">
        <v>280</v>
      </c>
      <c r="B304">
        <v>254.35338942361199</v>
      </c>
      <c r="C304">
        <v>-88.353389423611986</v>
      </c>
      <c r="D304">
        <v>-1.7449530881052711</v>
      </c>
      <c r="F304">
        <v>92.244224422442244</v>
      </c>
      <c r="G304">
        <v>318</v>
      </c>
      <c r="V304">
        <v>57</v>
      </c>
      <c r="W304">
        <v>130</v>
      </c>
      <c r="X304">
        <v>236</v>
      </c>
      <c r="Z304">
        <v>278</v>
      </c>
      <c r="AA304">
        <v>247.63514082397978</v>
      </c>
      <c r="AB304">
        <v>13.364859176020218</v>
      </c>
      <c r="AC304">
        <v>0.26455856294405716</v>
      </c>
      <c r="AE304">
        <v>91.584158415841586</v>
      </c>
      <c r="AF304">
        <v>315</v>
      </c>
      <c r="AR304" s="57" t="s">
        <v>462</v>
      </c>
      <c r="AS304" s="63">
        <v>1</v>
      </c>
      <c r="AT304" s="66">
        <v>239</v>
      </c>
      <c r="AU304" s="66">
        <v>54</v>
      </c>
      <c r="AV304" s="66">
        <v>54.094357265103014</v>
      </c>
      <c r="AW304" s="66">
        <v>-9.4357265103013788E-2</v>
      </c>
      <c r="AX304" s="66">
        <v>-1.06173671776322E-2</v>
      </c>
      <c r="AY304" s="66">
        <v>0.51555481296574757</v>
      </c>
      <c r="AZ304" s="66">
        <v>53.079809048076328</v>
      </c>
      <c r="BA304" s="66">
        <v>55.1089054821297</v>
      </c>
      <c r="BB304" s="66">
        <v>8.9020096663625683</v>
      </c>
      <c r="BC304" s="66">
        <v>36.576301361389682</v>
      </c>
      <c r="BD304" s="66">
        <v>71.612413168816346</v>
      </c>
    </row>
    <row r="305" spans="1:56">
      <c r="A305">
        <v>281</v>
      </c>
      <c r="B305">
        <v>231.18400489041093</v>
      </c>
      <c r="C305">
        <v>83.815995109589068</v>
      </c>
      <c r="D305">
        <v>1.6553409037639912</v>
      </c>
      <c r="F305">
        <v>92.574257425742587</v>
      </c>
      <c r="G305">
        <v>318</v>
      </c>
      <c r="Z305">
        <v>279</v>
      </c>
      <c r="AA305">
        <v>251.18671865615744</v>
      </c>
      <c r="AB305">
        <v>67.813281343842561</v>
      </c>
      <c r="AC305">
        <v>1.3423698689648571</v>
      </c>
      <c r="AE305">
        <v>91.914191419141915</v>
      </c>
      <c r="AF305">
        <v>315</v>
      </c>
      <c r="AR305" s="57" t="s">
        <v>463</v>
      </c>
      <c r="AS305" s="63">
        <v>1</v>
      </c>
      <c r="AT305" s="66">
        <v>174</v>
      </c>
      <c r="AU305" s="66">
        <v>70</v>
      </c>
      <c r="AV305" s="66">
        <v>51.660630021216015</v>
      </c>
      <c r="AW305" s="66">
        <v>18.339369978783985</v>
      </c>
      <c r="AX305" s="66">
        <v>2.0636018292668292</v>
      </c>
      <c r="AY305" s="66">
        <v>0.8769431992226504</v>
      </c>
      <c r="AZ305" s="66">
        <v>49.934914080195163</v>
      </c>
      <c r="BA305" s="66">
        <v>53.386345962236867</v>
      </c>
      <c r="BB305" s="66">
        <v>8.9302300479608778</v>
      </c>
      <c r="BC305" s="66">
        <v>34.087039890851436</v>
      </c>
      <c r="BD305" s="66">
        <v>69.234220151580587</v>
      </c>
    </row>
    <row r="306" spans="1:56">
      <c r="A306">
        <v>282</v>
      </c>
      <c r="B306">
        <v>243.37841780262201</v>
      </c>
      <c r="C306">
        <v>-39.37841780262201</v>
      </c>
      <c r="D306">
        <v>-0.77771200626992054</v>
      </c>
      <c r="F306">
        <v>92.904290429042916</v>
      </c>
      <c r="G306">
        <v>319</v>
      </c>
      <c r="Z306">
        <v>280</v>
      </c>
      <c r="AA306">
        <v>254.92270833862304</v>
      </c>
      <c r="AB306">
        <v>-88.922708338623039</v>
      </c>
      <c r="AC306">
        <v>-1.7602328330828685</v>
      </c>
      <c r="AE306">
        <v>92.244224422442244</v>
      </c>
      <c r="AF306">
        <v>318</v>
      </c>
      <c r="AR306" s="57" t="s">
        <v>464</v>
      </c>
      <c r="AS306" s="63">
        <v>1</v>
      </c>
      <c r="AT306" s="66">
        <v>281</v>
      </c>
      <c r="AU306" s="66">
        <v>62</v>
      </c>
      <c r="AV306" s="66">
        <v>55.66691948423</v>
      </c>
      <c r="AW306" s="66">
        <v>6.3330805157699999</v>
      </c>
      <c r="AX306" s="66">
        <v>0.71261753006542705</v>
      </c>
      <c r="AY306" s="66">
        <v>0.61491551168730907</v>
      </c>
      <c r="AZ306" s="66">
        <v>54.456841680057011</v>
      </c>
      <c r="BA306" s="66">
        <v>56.87699728840299</v>
      </c>
      <c r="BB306" s="66">
        <v>8.9083163628911457</v>
      </c>
      <c r="BC306" s="66">
        <v>38.136452780428129</v>
      </c>
      <c r="BD306" s="66">
        <v>73.197386188031871</v>
      </c>
    </row>
    <row r="307" spans="1:56">
      <c r="A307">
        <v>283</v>
      </c>
      <c r="B307">
        <v>251.91450684116975</v>
      </c>
      <c r="C307">
        <v>-33.914506841169754</v>
      </c>
      <c r="D307">
        <v>-0.66980139449241272</v>
      </c>
      <c r="F307">
        <v>93.234323432343245</v>
      </c>
      <c r="G307">
        <v>321</v>
      </c>
      <c r="Z307">
        <v>281</v>
      </c>
      <c r="AA307">
        <v>233.43202664428355</v>
      </c>
      <c r="AB307">
        <v>81.567973355716447</v>
      </c>
      <c r="AC307">
        <v>1.6146452071838009</v>
      </c>
      <c r="AE307">
        <v>92.574257425742587</v>
      </c>
      <c r="AF307">
        <v>318</v>
      </c>
      <c r="AR307" s="57" t="s">
        <v>465</v>
      </c>
      <c r="AS307" s="63">
        <v>1</v>
      </c>
      <c r="AT307" s="66">
        <v>198</v>
      </c>
      <c r="AU307" s="66">
        <v>35</v>
      </c>
      <c r="AV307" s="66">
        <v>52.559237003574296</v>
      </c>
      <c r="AW307" s="66">
        <v>-17.559237003574296</v>
      </c>
      <c r="AX307" s="66">
        <v>-1.9758188881638092</v>
      </c>
      <c r="AY307" s="66">
        <v>0.69816058796300839</v>
      </c>
      <c r="AZ307" s="66">
        <v>51.185343167453269</v>
      </c>
      <c r="BA307" s="66">
        <v>53.933130839695323</v>
      </c>
      <c r="BB307" s="66">
        <v>8.9144493683808257</v>
      </c>
      <c r="BC307" s="66">
        <v>35.016701302203046</v>
      </c>
      <c r="BD307" s="66">
        <v>70.101772704945546</v>
      </c>
    </row>
    <row r="308" spans="1:56">
      <c r="A308">
        <v>284</v>
      </c>
      <c r="B308">
        <v>228.74512230796873</v>
      </c>
      <c r="C308">
        <v>-5.7451223079687281</v>
      </c>
      <c r="D308">
        <v>-0.11346445199479119</v>
      </c>
      <c r="F308">
        <v>93.564356435643575</v>
      </c>
      <c r="G308">
        <v>322</v>
      </c>
      <c r="Z308">
        <v>282</v>
      </c>
      <c r="AA308">
        <v>242.90076943074769</v>
      </c>
      <c r="AB308">
        <v>-38.900769430747687</v>
      </c>
      <c r="AC308">
        <v>-0.77004415254013359</v>
      </c>
      <c r="AE308">
        <v>92.904290429042916</v>
      </c>
      <c r="AF308">
        <v>319</v>
      </c>
      <c r="AR308" s="57" t="s">
        <v>466</v>
      </c>
      <c r="AS308" s="63">
        <v>1</v>
      </c>
      <c r="AT308" s="66">
        <v>288</v>
      </c>
      <c r="AU308" s="66">
        <v>59</v>
      </c>
      <c r="AV308" s="66">
        <v>55.92901318741783</v>
      </c>
      <c r="AW308" s="66">
        <v>3.07098681258217</v>
      </c>
      <c r="AX308" s="66">
        <v>0.34555680001168054</v>
      </c>
      <c r="AY308" s="66">
        <v>0.65592132806923298</v>
      </c>
      <c r="AZ308" s="66">
        <v>54.638240999540642</v>
      </c>
      <c r="BA308" s="66">
        <v>57.219785375295018</v>
      </c>
      <c r="BB308" s="66">
        <v>8.9112407735094088</v>
      </c>
      <c r="BC308" s="66">
        <v>38.392791604592446</v>
      </c>
      <c r="BD308" s="66">
        <v>73.465234770243214</v>
      </c>
    </row>
    <row r="309" spans="1:56">
      <c r="A309">
        <v>285</v>
      </c>
      <c r="B309">
        <v>254.35338942361199</v>
      </c>
      <c r="C309">
        <v>-47.353389423611986</v>
      </c>
      <c r="D309">
        <v>-0.93521531710362349</v>
      </c>
      <c r="F309">
        <v>93.894389438943904</v>
      </c>
      <c r="G309">
        <v>325</v>
      </c>
      <c r="Z309">
        <v>283</v>
      </c>
      <c r="AA309">
        <v>250.26146225570326</v>
      </c>
      <c r="AB309">
        <v>-32.261462255703265</v>
      </c>
      <c r="AC309">
        <v>-0.6386184830257492</v>
      </c>
      <c r="AE309">
        <v>93.234323432343245</v>
      </c>
      <c r="AF309">
        <v>321</v>
      </c>
      <c r="AR309" s="57" t="s">
        <v>467</v>
      </c>
      <c r="AS309" s="63">
        <v>1</v>
      </c>
      <c r="AT309" s="66">
        <v>309</v>
      </c>
      <c r="AU309" s="66">
        <v>64</v>
      </c>
      <c r="AV309" s="66">
        <v>56.715294296981327</v>
      </c>
      <c r="AW309" s="66">
        <v>7.2847057030186733</v>
      </c>
      <c r="AX309" s="66">
        <v>0.81969729777034583</v>
      </c>
      <c r="AY309" s="66">
        <v>0.80237745366150748</v>
      </c>
      <c r="AZ309" s="66">
        <v>55.136314536688069</v>
      </c>
      <c r="BA309" s="66">
        <v>58.294274057274585</v>
      </c>
      <c r="BB309" s="66">
        <v>8.9232162874708347</v>
      </c>
      <c r="BC309" s="66">
        <v>39.155506381281164</v>
      </c>
      <c r="BD309" s="66">
        <v>74.275082212681497</v>
      </c>
    </row>
    <row r="310" spans="1:56">
      <c r="A310">
        <v>286</v>
      </c>
      <c r="B310">
        <v>236.06177005529537</v>
      </c>
      <c r="C310">
        <v>74.938229944704631</v>
      </c>
      <c r="D310">
        <v>1.4800076897130254</v>
      </c>
      <c r="F310">
        <v>94.224422442244233</v>
      </c>
      <c r="G310">
        <v>325</v>
      </c>
      <c r="Z310">
        <v>284</v>
      </c>
      <c r="AA310">
        <v>234.46856958471332</v>
      </c>
      <c r="AB310">
        <v>-11.468569584713322</v>
      </c>
      <c r="AC310">
        <v>-0.22702134368909782</v>
      </c>
      <c r="AE310">
        <v>93.564356435643575</v>
      </c>
      <c r="AF310">
        <v>322</v>
      </c>
      <c r="AR310" s="57" t="s">
        <v>468</v>
      </c>
      <c r="AS310" s="63">
        <v>1</v>
      </c>
      <c r="AT310" s="66">
        <v>243</v>
      </c>
      <c r="AU310" s="66">
        <v>47</v>
      </c>
      <c r="AV310" s="66">
        <v>54.244125095496059</v>
      </c>
      <c r="AW310" s="66">
        <v>-7.2441250954960594</v>
      </c>
      <c r="AX310" s="66">
        <v>-0.81513104407606396</v>
      </c>
      <c r="AY310" s="66">
        <v>0.5115634367049906</v>
      </c>
      <c r="AZ310" s="66">
        <v>53.237431414140453</v>
      </c>
      <c r="BA310" s="66">
        <v>55.250818776851666</v>
      </c>
      <c r="BB310" s="66">
        <v>8.9017793999072961</v>
      </c>
      <c r="BC310" s="66">
        <v>36.726522327735992</v>
      </c>
      <c r="BD310" s="66">
        <v>71.761727863256127</v>
      </c>
    </row>
    <row r="311" spans="1:56">
      <c r="A311">
        <v>287</v>
      </c>
      <c r="B311">
        <v>251.91450684116975</v>
      </c>
      <c r="C311">
        <v>-47.914506841169754</v>
      </c>
      <c r="D311">
        <v>-0.94629721873687778</v>
      </c>
      <c r="F311">
        <v>94.554455445544562</v>
      </c>
      <c r="G311">
        <v>326</v>
      </c>
      <c r="Z311">
        <v>285</v>
      </c>
      <c r="AA311">
        <v>255.32969326886229</v>
      </c>
      <c r="AB311">
        <v>-48.329693268862286</v>
      </c>
      <c r="AC311">
        <v>-0.95669052927085896</v>
      </c>
      <c r="AE311">
        <v>93.894389438943904</v>
      </c>
      <c r="AF311">
        <v>325</v>
      </c>
      <c r="AR311" s="57" t="s">
        <v>469</v>
      </c>
      <c r="AS311" s="63">
        <v>1</v>
      </c>
      <c r="AT311" s="66">
        <v>289</v>
      </c>
      <c r="AU311" s="66">
        <v>57</v>
      </c>
      <c r="AV311" s="66">
        <v>55.966455145016091</v>
      </c>
      <c r="AW311" s="66">
        <v>1.0335448549839086</v>
      </c>
      <c r="AX311" s="66">
        <v>0.11629761850278857</v>
      </c>
      <c r="AY311" s="66">
        <v>0.66216018900191542</v>
      </c>
      <c r="AZ311" s="66">
        <v>54.663405649127519</v>
      </c>
      <c r="BA311" s="66">
        <v>57.269504640904664</v>
      </c>
      <c r="BB311" s="66">
        <v>8.9117021634892808</v>
      </c>
      <c r="BC311" s="66">
        <v>38.42932560367754</v>
      </c>
      <c r="BD311" s="66">
        <v>73.503584686354642</v>
      </c>
    </row>
    <row r="312" spans="1:56">
      <c r="A312">
        <v>288</v>
      </c>
      <c r="B312">
        <v>249.47562425872755</v>
      </c>
      <c r="C312">
        <v>-17.475624258727549</v>
      </c>
      <c r="D312">
        <v>-0.3451383666859601</v>
      </c>
      <c r="F312">
        <v>94.884488448844891</v>
      </c>
      <c r="G312">
        <v>327</v>
      </c>
      <c r="Z312">
        <v>286</v>
      </c>
      <c r="AA312">
        <v>238.68466950773052</v>
      </c>
      <c r="AB312">
        <v>72.315330492269482</v>
      </c>
      <c r="AC312">
        <v>1.4314883278520547</v>
      </c>
      <c r="AE312">
        <v>94.224422442244233</v>
      </c>
      <c r="AF312">
        <v>325</v>
      </c>
      <c r="AR312" s="57" t="s">
        <v>470</v>
      </c>
      <c r="AS312" s="63">
        <v>1</v>
      </c>
      <c r="AT312" s="66">
        <v>289</v>
      </c>
      <c r="AU312" s="66">
        <v>55</v>
      </c>
      <c r="AV312" s="66">
        <v>55.966455145016091</v>
      </c>
      <c r="AW312" s="66">
        <v>-0.96645514501609142</v>
      </c>
      <c r="AX312" s="66">
        <v>-0.10874847977148366</v>
      </c>
      <c r="AY312" s="66">
        <v>0.66216018900191542</v>
      </c>
      <c r="AZ312" s="66">
        <v>54.663405649127519</v>
      </c>
      <c r="BA312" s="66">
        <v>57.269504640904664</v>
      </c>
      <c r="BB312" s="66">
        <v>8.9117021634892808</v>
      </c>
      <c r="BC312" s="66">
        <v>38.42932560367754</v>
      </c>
      <c r="BD312" s="66">
        <v>73.503584686354642</v>
      </c>
    </row>
    <row r="313" spans="1:56">
      <c r="A313">
        <v>289</v>
      </c>
      <c r="B313">
        <v>249.47562425872755</v>
      </c>
      <c r="C313">
        <v>85.524375741272451</v>
      </c>
      <c r="D313">
        <v>1.6890809116840324</v>
      </c>
      <c r="F313">
        <v>95.21452145214522</v>
      </c>
      <c r="G313">
        <v>330</v>
      </c>
      <c r="Z313">
        <v>287</v>
      </c>
      <c r="AA313">
        <v>251.88940197666028</v>
      </c>
      <c r="AB313">
        <v>-47.889401976660281</v>
      </c>
      <c r="AC313">
        <v>-0.94797492441430031</v>
      </c>
      <c r="AE313">
        <v>94.554455445544562</v>
      </c>
      <c r="AF313">
        <v>326</v>
      </c>
      <c r="AR313" s="57" t="s">
        <v>471</v>
      </c>
      <c r="AS313" s="63">
        <v>1</v>
      </c>
      <c r="AT313" s="66">
        <v>246</v>
      </c>
      <c r="AU313" s="66">
        <v>64</v>
      </c>
      <c r="AV313" s="66">
        <v>54.356450968290844</v>
      </c>
      <c r="AW313" s="66">
        <v>9.6435490317091563</v>
      </c>
      <c r="AX313" s="66">
        <v>1.0851215415513908</v>
      </c>
      <c r="AY313" s="66">
        <v>0.51055536825470171</v>
      </c>
      <c r="AZ313" s="66">
        <v>53.351741041180489</v>
      </c>
      <c r="BA313" s="66">
        <v>55.361160895401198</v>
      </c>
      <c r="BB313" s="66">
        <v>8.901721525575498</v>
      </c>
      <c r="BC313" s="66">
        <v>36.838962090070083</v>
      </c>
      <c r="BD313" s="66">
        <v>71.873939846511604</v>
      </c>
    </row>
    <row r="314" spans="1:56">
      <c r="A314">
        <v>290</v>
      </c>
      <c r="B314">
        <v>247.03674167628532</v>
      </c>
      <c r="C314">
        <v>-42.036741676285317</v>
      </c>
      <c r="D314">
        <v>-0.83021310988115449</v>
      </c>
      <c r="F314">
        <v>95.544554455445549</v>
      </c>
      <c r="G314">
        <v>330</v>
      </c>
      <c r="Z314">
        <v>288</v>
      </c>
      <c r="AA314">
        <v>253.73991477756863</v>
      </c>
      <c r="AB314">
        <v>-21.739914777568629</v>
      </c>
      <c r="AC314">
        <v>-0.43034352523514596</v>
      </c>
      <c r="AE314">
        <v>94.884488448844891</v>
      </c>
      <c r="AF314">
        <v>327</v>
      </c>
      <c r="AR314" s="57" t="s">
        <v>472</v>
      </c>
      <c r="AS314" s="63">
        <v>1</v>
      </c>
      <c r="AT314" s="66">
        <v>322</v>
      </c>
      <c r="AU314" s="66">
        <v>70</v>
      </c>
      <c r="AV314" s="66">
        <v>57.202039745758725</v>
      </c>
      <c r="AW314" s="66">
        <v>12.797960254241275</v>
      </c>
      <c r="AX314" s="66">
        <v>1.4400655105431059</v>
      </c>
      <c r="AY314" s="66">
        <v>0.90501513435006664</v>
      </c>
      <c r="AZ314" s="66">
        <v>55.421081702412856</v>
      </c>
      <c r="BA314" s="66">
        <v>58.982997789104594</v>
      </c>
      <c r="BB314" s="66">
        <v>8.9330303776626181</v>
      </c>
      <c r="BC314" s="66">
        <v>39.622938912294231</v>
      </c>
      <c r="BD314" s="66">
        <v>74.781140579223219</v>
      </c>
    </row>
    <row r="315" spans="1:56">
      <c r="A315">
        <v>291</v>
      </c>
      <c r="B315">
        <v>254.35338942361199</v>
      </c>
      <c r="C315">
        <v>-51.353389423611986</v>
      </c>
      <c r="D315">
        <v>-1.0142141240306135</v>
      </c>
      <c r="F315">
        <v>95.874587458745879</v>
      </c>
      <c r="G315">
        <v>335</v>
      </c>
      <c r="Z315">
        <v>289</v>
      </c>
      <c r="AA315">
        <v>244.78624631230497</v>
      </c>
      <c r="AB315">
        <v>90.213753687695032</v>
      </c>
      <c r="AC315">
        <v>1.785789189326332</v>
      </c>
      <c r="AE315">
        <v>95.21452145214522</v>
      </c>
      <c r="AF315">
        <v>330</v>
      </c>
      <c r="AR315" s="57" t="s">
        <v>473</v>
      </c>
      <c r="AS315" s="63">
        <v>1</v>
      </c>
      <c r="AT315" s="66">
        <v>299</v>
      </c>
      <c r="AU315" s="66">
        <v>51</v>
      </c>
      <c r="AV315" s="66">
        <v>56.340874720998706</v>
      </c>
      <c r="AW315" s="66">
        <v>-5.3408747209987055</v>
      </c>
      <c r="AX315" s="66">
        <v>-0.60097150866622551</v>
      </c>
      <c r="AY315" s="66">
        <v>0.72897041564255582</v>
      </c>
      <c r="AZ315" s="66">
        <v>54.90635094805414</v>
      </c>
      <c r="BA315" s="66">
        <v>57.775398493943271</v>
      </c>
      <c r="BB315" s="66">
        <v>8.9169152290308631</v>
      </c>
      <c r="BC315" s="66">
        <v>38.793486510324826</v>
      </c>
      <c r="BD315" s="66">
        <v>73.888262931672585</v>
      </c>
    </row>
    <row r="316" spans="1:56">
      <c r="A316">
        <v>292</v>
      </c>
      <c r="B316">
        <v>250.69506554994865</v>
      </c>
      <c r="C316">
        <v>67.304934450051348</v>
      </c>
      <c r="D316">
        <v>1.3292523804633312</v>
      </c>
      <c r="F316">
        <v>96.204620462046208</v>
      </c>
      <c r="G316">
        <v>335</v>
      </c>
      <c r="Z316">
        <v>290</v>
      </c>
      <c r="AA316">
        <v>246.22977418297404</v>
      </c>
      <c r="AB316">
        <v>-41.22977418297404</v>
      </c>
      <c r="AC316">
        <v>-0.81614700646652738</v>
      </c>
      <c r="AE316">
        <v>95.544554455445549</v>
      </c>
      <c r="AF316">
        <v>330</v>
      </c>
      <c r="AR316" s="57" t="s">
        <v>474</v>
      </c>
      <c r="AS316" s="63">
        <v>1</v>
      </c>
      <c r="AT316" s="66">
        <v>300</v>
      </c>
      <c r="AU316" s="66">
        <v>58</v>
      </c>
      <c r="AV316" s="66">
        <v>56.378316678596967</v>
      </c>
      <c r="AW316" s="66">
        <v>1.6216833214030331</v>
      </c>
      <c r="AX316" s="66">
        <v>0.18247675205910757</v>
      </c>
      <c r="AY316" s="66">
        <v>0.73604544003460837</v>
      </c>
      <c r="AZ316" s="66">
        <v>54.929870131193006</v>
      </c>
      <c r="BA316" s="66">
        <v>57.826763226000928</v>
      </c>
      <c r="BB316" s="66">
        <v>8.9174964101274643</v>
      </c>
      <c r="BC316" s="66">
        <v>38.829784775282654</v>
      </c>
      <c r="BD316" s="66">
        <v>73.926848581911287</v>
      </c>
    </row>
    <row r="317" spans="1:56">
      <c r="A317">
        <v>293</v>
      </c>
      <c r="B317">
        <v>250.69506554994865</v>
      </c>
      <c r="C317">
        <v>-25.695065549948652</v>
      </c>
      <c r="D317">
        <v>-0.50746988058918641</v>
      </c>
      <c r="F317">
        <v>96.534653465346537</v>
      </c>
      <c r="G317">
        <v>340</v>
      </c>
      <c r="Z317">
        <v>291</v>
      </c>
      <c r="AA317">
        <v>256.95763298981933</v>
      </c>
      <c r="AB317">
        <v>-53.957632989819331</v>
      </c>
      <c r="AC317">
        <v>-1.0680960910730855</v>
      </c>
      <c r="AE317">
        <v>95.874587458745879</v>
      </c>
      <c r="AF317">
        <v>335</v>
      </c>
      <c r="AR317" s="57" t="s">
        <v>475</v>
      </c>
      <c r="AS317" s="63">
        <v>1</v>
      </c>
      <c r="AT317" s="66">
        <v>293</v>
      </c>
      <c r="AU317" s="66">
        <v>60</v>
      </c>
      <c r="AV317" s="66">
        <v>56.116222975409137</v>
      </c>
      <c r="AW317" s="66">
        <v>3.8837770245908629</v>
      </c>
      <c r="AX317" s="66">
        <v>0.43701443297571796</v>
      </c>
      <c r="AY317" s="66">
        <v>0.68796542141212136</v>
      </c>
      <c r="AZ317" s="66">
        <v>54.762391968276148</v>
      </c>
      <c r="BA317" s="66">
        <v>57.470053982542126</v>
      </c>
      <c r="BB317" s="66">
        <v>8.9136566994639868</v>
      </c>
      <c r="BC317" s="66">
        <v>38.575247148596411</v>
      </c>
      <c r="BD317" s="66">
        <v>73.65719880222187</v>
      </c>
    </row>
    <row r="318" spans="1:56">
      <c r="A318">
        <v>294</v>
      </c>
      <c r="B318">
        <v>261.6700371709386</v>
      </c>
      <c r="C318">
        <v>-49.670037170938599</v>
      </c>
      <c r="D318">
        <v>-0.98096841913084876</v>
      </c>
      <c r="F318">
        <v>96.864686468646866</v>
      </c>
      <c r="G318">
        <v>341</v>
      </c>
      <c r="Z318">
        <v>292</v>
      </c>
      <c r="AA318">
        <v>246.70988442352561</v>
      </c>
      <c r="AB318">
        <v>71.290115576474392</v>
      </c>
      <c r="AC318">
        <v>1.4111941084173889</v>
      </c>
      <c r="AE318">
        <v>96.204620462046208</v>
      </c>
      <c r="AF318">
        <v>335</v>
      </c>
      <c r="AR318" s="57" t="s">
        <v>476</v>
      </c>
      <c r="AS318" s="63">
        <v>1</v>
      </c>
      <c r="AT318" s="66">
        <v>304</v>
      </c>
      <c r="AU318" s="66">
        <v>77</v>
      </c>
      <c r="AV318" s="66">
        <v>56.528084508990013</v>
      </c>
      <c r="AW318" s="66">
        <v>20.471915491009987</v>
      </c>
      <c r="AX318" s="66">
        <v>2.3035623527262148</v>
      </c>
      <c r="AY318" s="66">
        <v>0.76496403672218516</v>
      </c>
      <c r="AZ318" s="66">
        <v>55.022729733846852</v>
      </c>
      <c r="BA318" s="66">
        <v>58.033439284133173</v>
      </c>
      <c r="BB318" s="66">
        <v>8.9199298939127747</v>
      </c>
      <c r="BC318" s="66">
        <v>38.974763810045324</v>
      </c>
      <c r="BD318" s="66">
        <v>74.081405207934694</v>
      </c>
    </row>
    <row r="319" spans="1:56">
      <c r="A319">
        <v>295</v>
      </c>
      <c r="B319">
        <v>233.62288747285317</v>
      </c>
      <c r="C319">
        <v>-64.622887472853165</v>
      </c>
      <c r="D319">
        <v>-1.276282752633132</v>
      </c>
      <c r="F319">
        <v>97.194719471947195</v>
      </c>
      <c r="G319">
        <v>342</v>
      </c>
      <c r="Z319">
        <v>293</v>
      </c>
      <c r="AA319">
        <v>258.10546247022478</v>
      </c>
      <c r="AB319">
        <v>-33.105462470224779</v>
      </c>
      <c r="AC319">
        <v>-0.65532554150930733</v>
      </c>
      <c r="AE319">
        <v>96.534653465346537</v>
      </c>
      <c r="AF319">
        <v>340</v>
      </c>
      <c r="AR319" s="57" t="s">
        <v>477</v>
      </c>
      <c r="AS319" s="63">
        <v>1</v>
      </c>
      <c r="AT319" s="66">
        <v>282</v>
      </c>
      <c r="AU319" s="66">
        <v>35</v>
      </c>
      <c r="AV319" s="66">
        <v>55.704361441828262</v>
      </c>
      <c r="AW319" s="66">
        <v>-20.704361441828262</v>
      </c>
      <c r="AX319" s="66">
        <v>-2.3297178798718678</v>
      </c>
      <c r="AY319" s="66">
        <v>0.62046878775411896</v>
      </c>
      <c r="AZ319" s="66">
        <v>54.483355476011646</v>
      </c>
      <c r="BA319" s="66">
        <v>56.925367407644877</v>
      </c>
      <c r="BB319" s="66">
        <v>8.9087014121822232</v>
      </c>
      <c r="BC319" s="66">
        <v>38.173137008563096</v>
      </c>
      <c r="BD319" s="66">
        <v>73.23558587509342</v>
      </c>
    </row>
    <row r="320" spans="1:56">
      <c r="A320">
        <v>296</v>
      </c>
      <c r="B320">
        <v>256.79227200605419</v>
      </c>
      <c r="C320">
        <v>-69.792272006054191</v>
      </c>
      <c r="D320">
        <v>-1.3783765553005611</v>
      </c>
      <c r="F320">
        <v>97.524752475247524</v>
      </c>
      <c r="G320">
        <v>353</v>
      </c>
      <c r="Z320">
        <v>294</v>
      </c>
      <c r="AA320">
        <v>264.42961235475053</v>
      </c>
      <c r="AB320">
        <v>-52.429612354750532</v>
      </c>
      <c r="AC320">
        <v>-1.037848788199293</v>
      </c>
      <c r="AE320">
        <v>96.864686468646866</v>
      </c>
      <c r="AF320">
        <v>341</v>
      </c>
      <c r="AR320" s="57" t="s">
        <v>478</v>
      </c>
      <c r="AS320" s="63">
        <v>1</v>
      </c>
      <c r="AT320" s="66">
        <v>269</v>
      </c>
      <c r="AU320" s="66">
        <v>70</v>
      </c>
      <c r="AV320" s="66">
        <v>55.217615993050863</v>
      </c>
      <c r="AW320" s="66">
        <v>14.782384006949137</v>
      </c>
      <c r="AX320" s="66">
        <v>1.6633589219779528</v>
      </c>
      <c r="AY320" s="66">
        <v>0.5576580446569771</v>
      </c>
      <c r="AZ320" s="66">
        <v>54.120213814487727</v>
      </c>
      <c r="BA320" s="66">
        <v>56.315018171614</v>
      </c>
      <c r="BB320" s="66">
        <v>8.904547255734629</v>
      </c>
      <c r="BC320" s="66">
        <v>37.694566426766208</v>
      </c>
      <c r="BD320" s="66">
        <v>72.740665559335525</v>
      </c>
    </row>
    <row r="321" spans="1:56">
      <c r="A321">
        <v>297</v>
      </c>
      <c r="B321">
        <v>256.79227200605419</v>
      </c>
      <c r="C321">
        <v>-59.792272006054191</v>
      </c>
      <c r="D321">
        <v>-1.1808795379830861</v>
      </c>
      <c r="F321">
        <v>97.854785478547853</v>
      </c>
      <c r="G321">
        <v>354</v>
      </c>
      <c r="Z321">
        <v>295</v>
      </c>
      <c r="AA321">
        <v>232.39548370385373</v>
      </c>
      <c r="AB321">
        <v>-63.395483703853728</v>
      </c>
      <c r="AC321">
        <v>-1.2549191760978391</v>
      </c>
      <c r="AE321">
        <v>97.194719471947195</v>
      </c>
      <c r="AF321">
        <v>342</v>
      </c>
      <c r="AR321" s="57" t="s">
        <v>479</v>
      </c>
      <c r="AS321" s="63">
        <v>1</v>
      </c>
      <c r="AT321" s="66">
        <v>249</v>
      </c>
      <c r="AU321" s="66">
        <v>59</v>
      </c>
      <c r="AV321" s="66">
        <v>54.468776841085628</v>
      </c>
      <c r="AW321" s="66">
        <v>4.5312231589143721</v>
      </c>
      <c r="AX321" s="66">
        <v>0.50986704616185097</v>
      </c>
      <c r="AY321" s="66">
        <v>0.51126188471183398</v>
      </c>
      <c r="AZ321" s="66">
        <v>53.462676576820314</v>
      </c>
      <c r="BA321" s="66">
        <v>55.474877105350942</v>
      </c>
      <c r="BB321" s="66">
        <v>8.9017620755443438</v>
      </c>
      <c r="BC321" s="66">
        <v>36.951208165532833</v>
      </c>
      <c r="BD321" s="66">
        <v>71.986345516638423</v>
      </c>
    </row>
    <row r="322" spans="1:56">
      <c r="A322">
        <v>298</v>
      </c>
      <c r="B322">
        <v>251.91450684116975</v>
      </c>
      <c r="C322">
        <v>-75.914506841169754</v>
      </c>
      <c r="D322">
        <v>-1.4992888672258078</v>
      </c>
      <c r="F322">
        <v>98.184818481848197</v>
      </c>
      <c r="G322">
        <v>360</v>
      </c>
      <c r="Z322">
        <v>296</v>
      </c>
      <c r="AA322">
        <v>257.54902977034652</v>
      </c>
      <c r="AB322">
        <v>-70.549029770346522</v>
      </c>
      <c r="AC322">
        <v>-1.3965242497001935</v>
      </c>
      <c r="AE322">
        <v>97.524752475247524</v>
      </c>
      <c r="AF322">
        <v>353</v>
      </c>
      <c r="AR322" s="57" t="s">
        <v>480</v>
      </c>
      <c r="AS322" s="63">
        <v>1</v>
      </c>
      <c r="AT322" s="66">
        <v>212</v>
      </c>
      <c r="AU322" s="66">
        <v>64</v>
      </c>
      <c r="AV322" s="66">
        <v>53.083424409949956</v>
      </c>
      <c r="AW322" s="66">
        <v>10.916575590050044</v>
      </c>
      <c r="AX322" s="66">
        <v>1.2283663715284618</v>
      </c>
      <c r="AY322" s="66">
        <v>0.61233238758215736</v>
      </c>
      <c r="AZ322" s="66">
        <v>51.87842987508089</v>
      </c>
      <c r="BA322" s="66">
        <v>54.288418944819021</v>
      </c>
      <c r="BB322" s="66">
        <v>8.908138429982019</v>
      </c>
      <c r="BC322" s="66">
        <v>35.553307856144102</v>
      </c>
      <c r="BD322" s="66">
        <v>70.61354096375581</v>
      </c>
    </row>
    <row r="323" spans="1:56">
      <c r="A323">
        <v>299</v>
      </c>
      <c r="B323">
        <v>249.47562425872755</v>
      </c>
      <c r="C323">
        <v>-8.4756242587275494</v>
      </c>
      <c r="D323">
        <v>-0.16739105110023261</v>
      </c>
      <c r="F323">
        <v>98.514851485148526</v>
      </c>
      <c r="G323">
        <v>394</v>
      </c>
      <c r="Z323">
        <v>297</v>
      </c>
      <c r="AA323">
        <v>254.29315032843249</v>
      </c>
      <c r="AB323">
        <v>-57.293150328432489</v>
      </c>
      <c r="AC323">
        <v>-1.1341229501784769</v>
      </c>
      <c r="AE323">
        <v>97.854785478547853</v>
      </c>
      <c r="AF323">
        <v>354</v>
      </c>
      <c r="AR323" s="57" t="s">
        <v>481</v>
      </c>
      <c r="AS323" s="63">
        <v>1</v>
      </c>
      <c r="AT323" s="66">
        <v>274</v>
      </c>
      <c r="AU323" s="66">
        <v>57</v>
      </c>
      <c r="AV323" s="66">
        <v>55.40482578104217</v>
      </c>
      <c r="AW323" s="66">
        <v>1.5951742189578297</v>
      </c>
      <c r="AX323" s="66">
        <v>0.17949386702208459</v>
      </c>
      <c r="AY323" s="66">
        <v>0.57926648871485686</v>
      </c>
      <c r="AZ323" s="66">
        <v>54.264900852539931</v>
      </c>
      <c r="BA323" s="66">
        <v>56.54475070954441</v>
      </c>
      <c r="BB323" s="66">
        <v>8.9059266221875255</v>
      </c>
      <c r="BC323" s="66">
        <v>37.879061791886812</v>
      </c>
      <c r="BD323" s="66">
        <v>72.930589770197528</v>
      </c>
    </row>
    <row r="324" spans="1:56">
      <c r="A324">
        <v>300</v>
      </c>
      <c r="B324">
        <v>234.84232876407427</v>
      </c>
      <c r="C324">
        <v>29.157671235925733</v>
      </c>
      <c r="D324">
        <v>0.57585531010188673</v>
      </c>
      <c r="F324">
        <v>98.844884488448855</v>
      </c>
      <c r="G324">
        <v>407</v>
      </c>
      <c r="Z324">
        <v>298</v>
      </c>
      <c r="AA324">
        <v>257.99417593024913</v>
      </c>
      <c r="AB324">
        <v>-81.994175930249128</v>
      </c>
      <c r="AC324">
        <v>-1.6230819246348709</v>
      </c>
      <c r="AE324">
        <v>98.184818481848197</v>
      </c>
      <c r="AF324">
        <v>360</v>
      </c>
      <c r="AR324" s="57" t="s">
        <v>482</v>
      </c>
      <c r="AS324" s="63">
        <v>1</v>
      </c>
      <c r="AT324" s="66">
        <v>184</v>
      </c>
      <c r="AU324" s="66">
        <v>56</v>
      </c>
      <c r="AV324" s="66">
        <v>52.035049597198629</v>
      </c>
      <c r="AW324" s="66">
        <v>3.9649504028013709</v>
      </c>
      <c r="AX324" s="66">
        <v>0.44614830900072627</v>
      </c>
      <c r="AY324" s="66">
        <v>0.79879070001778607</v>
      </c>
      <c r="AZ324" s="66">
        <v>50.463128125224351</v>
      </c>
      <c r="BA324" s="66">
        <v>53.606971069172907</v>
      </c>
      <c r="BB324" s="66">
        <v>8.9228944808999824</v>
      </c>
      <c r="BC324" s="66">
        <v>34.475894957096855</v>
      </c>
      <c r="BD324" s="66">
        <v>69.594204237300403</v>
      </c>
    </row>
    <row r="325" spans="1:56">
      <c r="A325">
        <v>301</v>
      </c>
      <c r="B325">
        <v>262.88947846215973</v>
      </c>
      <c r="C325">
        <v>-69.88947846215973</v>
      </c>
      <c r="D325">
        <v>-1.3802963538150457</v>
      </c>
      <c r="F325">
        <v>99.174917491749184</v>
      </c>
      <c r="G325">
        <v>409</v>
      </c>
      <c r="Z325">
        <v>299</v>
      </c>
      <c r="AA325">
        <v>250.89102026589381</v>
      </c>
      <c r="AB325">
        <v>-9.8910202658938147</v>
      </c>
      <c r="AC325">
        <v>-0.19579361616398488</v>
      </c>
      <c r="AE325">
        <v>98.514851485148526</v>
      </c>
      <c r="AF325">
        <v>394</v>
      </c>
      <c r="AR325" s="57" t="s">
        <v>483</v>
      </c>
      <c r="AS325" s="63">
        <v>1</v>
      </c>
      <c r="AT325" s="66">
        <v>274</v>
      </c>
      <c r="AU325" s="66">
        <v>48</v>
      </c>
      <c r="AV325" s="66">
        <v>55.40482578104217</v>
      </c>
      <c r="AW325" s="66">
        <v>-7.4048257810421703</v>
      </c>
      <c r="AX325" s="66">
        <v>-0.83321357521214046</v>
      </c>
      <c r="AY325" s="66">
        <v>0.57926648871485686</v>
      </c>
      <c r="AZ325" s="66">
        <v>54.264900852539931</v>
      </c>
      <c r="BA325" s="66">
        <v>56.54475070954441</v>
      </c>
      <c r="BB325" s="66">
        <v>8.9059266221875255</v>
      </c>
      <c r="BC325" s="66">
        <v>37.879061791886812</v>
      </c>
      <c r="BD325" s="66">
        <v>72.930589770197528</v>
      </c>
    </row>
    <row r="326" spans="1:56">
      <c r="A326">
        <v>302</v>
      </c>
      <c r="B326">
        <v>249.47562425872755</v>
      </c>
      <c r="C326">
        <v>-118.47562425872755</v>
      </c>
      <c r="D326">
        <v>-2.3398582415924576</v>
      </c>
      <c r="F326">
        <v>99.504950495049513</v>
      </c>
      <c r="G326">
        <v>417</v>
      </c>
      <c r="Z326">
        <v>300</v>
      </c>
      <c r="AA326">
        <v>231.47022730339955</v>
      </c>
      <c r="AB326">
        <v>32.529772696600446</v>
      </c>
      <c r="AC326">
        <v>0.64392971180352843</v>
      </c>
      <c r="AE326">
        <v>98.844884488448855</v>
      </c>
      <c r="AF326">
        <v>407</v>
      </c>
      <c r="AR326" s="57" t="s">
        <v>484</v>
      </c>
      <c r="AS326" s="63">
        <v>1</v>
      </c>
      <c r="AT326" s="66">
        <v>409</v>
      </c>
      <c r="AU326" s="66">
        <v>56</v>
      </c>
      <c r="AV326" s="66">
        <v>60.459490056807475</v>
      </c>
      <c r="AW326" s="66">
        <v>-4.4594900568074749</v>
      </c>
      <c r="AX326" s="66">
        <v>-0.50179541878871736</v>
      </c>
      <c r="AY326" s="66">
        <v>1.6848663169888665</v>
      </c>
      <c r="AZ326" s="66">
        <v>57.143881173251316</v>
      </c>
      <c r="BA326" s="66">
        <v>63.775098940363634</v>
      </c>
      <c r="BB326" s="66">
        <v>9.0453719570266475</v>
      </c>
      <c r="BC326" s="66">
        <v>42.659314865824939</v>
      </c>
      <c r="BD326" s="66">
        <v>78.259665247790011</v>
      </c>
    </row>
    <row r="327" spans="1:56" ht="15.75" thickBot="1">
      <c r="A327" s="26">
        <v>303</v>
      </c>
      <c r="B327" s="26">
        <v>249.47562425872755</v>
      </c>
      <c r="C327" s="26">
        <v>-13.475624258727549</v>
      </c>
      <c r="D327" s="26">
        <v>-0.26613955975897013</v>
      </c>
      <c r="F327" s="26">
        <v>99.834983498349843</v>
      </c>
      <c r="G327" s="26">
        <v>564</v>
      </c>
      <c r="Z327">
        <v>301</v>
      </c>
      <c r="AA327">
        <v>263.9113408845356</v>
      </c>
      <c r="AB327">
        <v>-70.911340884535605</v>
      </c>
      <c r="AC327">
        <v>-1.4036962300739566</v>
      </c>
      <c r="AE327">
        <v>99.174917491749184</v>
      </c>
      <c r="AF327">
        <v>409</v>
      </c>
      <c r="AR327" s="57" t="s">
        <v>485</v>
      </c>
      <c r="AS327" s="63">
        <v>1</v>
      </c>
      <c r="AT327" s="66">
        <v>246</v>
      </c>
      <c r="AU327" s="66">
        <v>66</v>
      </c>
      <c r="AV327" s="66">
        <v>54.356450968290844</v>
      </c>
      <c r="AW327" s="66">
        <v>11.643549031709156</v>
      </c>
      <c r="AX327" s="66">
        <v>1.310167639825663</v>
      </c>
      <c r="AY327" s="66">
        <v>0.51055536825470171</v>
      </c>
      <c r="AZ327" s="66">
        <v>53.351741041180489</v>
      </c>
      <c r="BA327" s="66">
        <v>55.361160895401198</v>
      </c>
      <c r="BB327" s="66">
        <v>8.901721525575498</v>
      </c>
      <c r="BC327" s="66">
        <v>36.838962090070083</v>
      </c>
      <c r="BD327" s="66">
        <v>71.873939846511604</v>
      </c>
    </row>
    <row r="328" spans="1:56">
      <c r="Z328">
        <v>302</v>
      </c>
      <c r="AA328">
        <v>248.85609561469755</v>
      </c>
      <c r="AB328">
        <v>-117.85609561469755</v>
      </c>
      <c r="AC328">
        <v>-2.3329717791539424</v>
      </c>
      <c r="AE328">
        <v>99.504950495049513</v>
      </c>
      <c r="AF328">
        <v>417</v>
      </c>
      <c r="AR328" s="57" t="s">
        <v>486</v>
      </c>
      <c r="AS328" s="63">
        <v>1</v>
      </c>
      <c r="AT328" s="66">
        <v>283</v>
      </c>
      <c r="AU328" s="66">
        <v>54</v>
      </c>
      <c r="AV328" s="66">
        <v>55.741803399426523</v>
      </c>
      <c r="AW328" s="66">
        <v>-1.741803399426523</v>
      </c>
      <c r="AX328" s="66">
        <v>-0.19599302950090136</v>
      </c>
      <c r="AY328" s="66">
        <v>0.62612829854851548</v>
      </c>
      <c r="AZ328" s="66">
        <v>54.50966021513905</v>
      </c>
      <c r="BA328" s="66">
        <v>56.973946583713996</v>
      </c>
      <c r="BB328" s="66">
        <v>8.90909737184883</v>
      </c>
      <c r="BC328" s="66">
        <v>38.209799766426102</v>
      </c>
      <c r="BD328" s="66">
        <v>73.273807032426944</v>
      </c>
    </row>
    <row r="329" spans="1:56" ht="15.75" thickBot="1">
      <c r="Z329" s="26">
        <v>303</v>
      </c>
      <c r="AA329" s="26">
        <v>248.85609561469755</v>
      </c>
      <c r="AB329" s="26">
        <v>-12.856095614697551</v>
      </c>
      <c r="AC329" s="26">
        <v>-0.25448754349752783</v>
      </c>
      <c r="AE329" s="26">
        <v>99.834983498349843</v>
      </c>
      <c r="AF329" s="26">
        <v>564</v>
      </c>
      <c r="AR329" s="57" t="s">
        <v>487</v>
      </c>
      <c r="AS329" s="63">
        <v>1</v>
      </c>
      <c r="AT329" s="66">
        <v>254</v>
      </c>
      <c r="AU329" s="66">
        <v>69</v>
      </c>
      <c r="AV329" s="66">
        <v>54.655986629076935</v>
      </c>
      <c r="AW329" s="66">
        <v>14.344013370923065</v>
      </c>
      <c r="AX329" s="66">
        <v>1.6140321213601134</v>
      </c>
      <c r="AY329" s="66">
        <v>0.51622274713274441</v>
      </c>
      <c r="AZ329" s="66">
        <v>53.640124000078572</v>
      </c>
      <c r="BA329" s="66">
        <v>55.671849258075298</v>
      </c>
      <c r="BB329" s="66">
        <v>8.9020483743629324</v>
      </c>
      <c r="BC329" s="66">
        <v>37.137854552798103</v>
      </c>
      <c r="BD329" s="66">
        <v>72.174118705355767</v>
      </c>
    </row>
    <row r="330" spans="1:56">
      <c r="AR330" s="57" t="s">
        <v>488</v>
      </c>
      <c r="AS330" s="63">
        <v>1</v>
      </c>
      <c r="AT330" s="66">
        <v>298</v>
      </c>
      <c r="AU330" s="66">
        <v>51</v>
      </c>
      <c r="AV330" s="66">
        <v>56.303432763400444</v>
      </c>
      <c r="AW330" s="66">
        <v>-5.3034327634004441</v>
      </c>
      <c r="AX330" s="66">
        <v>-0.59675842543160573</v>
      </c>
      <c r="AY330" s="66">
        <v>0.7219609016915064</v>
      </c>
      <c r="AZ330" s="66">
        <v>54.882702848455864</v>
      </c>
      <c r="BA330" s="66">
        <v>57.724162678345024</v>
      </c>
      <c r="BB330" s="66">
        <v>8.9163449281873159</v>
      </c>
      <c r="BC330" s="66">
        <v>38.757166834372349</v>
      </c>
      <c r="BD330" s="66">
        <v>73.849698692428547</v>
      </c>
    </row>
    <row r="331" spans="1:56">
      <c r="A331" s="1" t="s">
        <v>0</v>
      </c>
      <c r="B331" s="1" t="s">
        <v>1</v>
      </c>
      <c r="C331" s="1" t="s">
        <v>2</v>
      </c>
      <c r="D331" s="1" t="s">
        <v>13</v>
      </c>
      <c r="AR331" s="57" t="s">
        <v>489</v>
      </c>
      <c r="AS331" s="63">
        <v>1</v>
      </c>
      <c r="AT331" s="66">
        <v>247</v>
      </c>
      <c r="AU331" s="66">
        <v>43</v>
      </c>
      <c r="AV331" s="66">
        <v>54.393892925889105</v>
      </c>
      <c r="AW331" s="66">
        <v>-11.393892925889105</v>
      </c>
      <c r="AX331" s="66">
        <v>-1.2820755735630873</v>
      </c>
      <c r="AY331" s="66">
        <v>0.51060036037920042</v>
      </c>
      <c r="AZ331" s="66">
        <v>53.389094459832855</v>
      </c>
      <c r="BA331" s="66">
        <v>55.398691391945356</v>
      </c>
      <c r="BB331" s="66">
        <v>8.9017241061976211</v>
      </c>
      <c r="BC331" s="66">
        <v>36.876398969322636</v>
      </c>
      <c r="BD331" s="66">
        <v>71.911386882455574</v>
      </c>
    </row>
    <row r="332" spans="1:56">
      <c r="A332">
        <v>63</v>
      </c>
      <c r="B332">
        <v>1</v>
      </c>
      <c r="C332">
        <v>3</v>
      </c>
      <c r="D332">
        <v>1</v>
      </c>
      <c r="F332" s="143" t="s">
        <v>168</v>
      </c>
      <c r="G332" s="144"/>
      <c r="H332" s="144"/>
      <c r="I332" s="144"/>
      <c r="J332" s="144"/>
      <c r="K332" s="144"/>
      <c r="L332" s="144"/>
      <c r="M332" s="144"/>
      <c r="N332" s="144"/>
      <c r="O332" s="144"/>
      <c r="P332" s="144"/>
      <c r="Q332" s="56"/>
      <c r="AR332" s="57" t="s">
        <v>490</v>
      </c>
      <c r="AS332" s="63">
        <v>1</v>
      </c>
      <c r="AT332" s="66">
        <v>294</v>
      </c>
      <c r="AU332" s="66">
        <v>62</v>
      </c>
      <c r="AV332" s="66">
        <v>56.153664933007398</v>
      </c>
      <c r="AW332" s="66">
        <v>5.8463350669926015</v>
      </c>
      <c r="AX332" s="66">
        <v>0.65784744801537043</v>
      </c>
      <c r="AY332" s="66">
        <v>0.69461733807591108</v>
      </c>
      <c r="AZ332" s="66">
        <v>54.786743775183666</v>
      </c>
      <c r="BA332" s="66">
        <v>57.520586090831131</v>
      </c>
      <c r="BB332" s="66">
        <v>8.9141725685111197</v>
      </c>
      <c r="BC332" s="66">
        <v>38.611673939603605</v>
      </c>
      <c r="BD332" s="66">
        <v>73.695655926411192</v>
      </c>
    </row>
    <row r="333" spans="1:56">
      <c r="A333">
        <v>37</v>
      </c>
      <c r="B333">
        <v>1</v>
      </c>
      <c r="C333">
        <v>2</v>
      </c>
      <c r="D333">
        <v>1</v>
      </c>
      <c r="F333" s="144"/>
      <c r="G333" s="144"/>
      <c r="H333" s="144"/>
      <c r="I333" s="144"/>
      <c r="J333" s="144"/>
      <c r="K333" s="144"/>
      <c r="L333" s="144"/>
      <c r="M333" s="144"/>
      <c r="N333" s="144"/>
      <c r="O333" s="144"/>
      <c r="P333" s="144"/>
      <c r="Q333" s="56"/>
      <c r="AR333" s="57" t="s">
        <v>491</v>
      </c>
      <c r="AS333" s="63">
        <v>1</v>
      </c>
      <c r="AT333" s="66">
        <v>299</v>
      </c>
      <c r="AU333" s="66">
        <v>67</v>
      </c>
      <c r="AV333" s="66">
        <v>56.340874720998706</v>
      </c>
      <c r="AW333" s="66">
        <v>10.659125279001294</v>
      </c>
      <c r="AX333" s="66">
        <v>1.1993972775279524</v>
      </c>
      <c r="AY333" s="66">
        <v>0.72897041564255582</v>
      </c>
      <c r="AZ333" s="66">
        <v>54.90635094805414</v>
      </c>
      <c r="BA333" s="66">
        <v>57.775398493943271</v>
      </c>
      <c r="BB333" s="66">
        <v>8.9169152290308631</v>
      </c>
      <c r="BC333" s="66">
        <v>38.793486510324826</v>
      </c>
      <c r="BD333" s="66">
        <v>73.888262931672585</v>
      </c>
    </row>
    <row r="334" spans="1:56">
      <c r="A334">
        <v>41</v>
      </c>
      <c r="B334">
        <v>0</v>
      </c>
      <c r="C334">
        <v>1</v>
      </c>
      <c r="D334">
        <v>1</v>
      </c>
      <c r="F334" t="s">
        <v>548</v>
      </c>
      <c r="AR334" s="57" t="s">
        <v>492</v>
      </c>
      <c r="AS334" s="63">
        <v>1</v>
      </c>
      <c r="AT334" s="66">
        <v>273</v>
      </c>
      <c r="AU334" s="66">
        <v>59</v>
      </c>
      <c r="AV334" s="66">
        <v>55.367383823443909</v>
      </c>
      <c r="AW334" s="66">
        <v>3.6326161765560911</v>
      </c>
      <c r="AX334" s="66">
        <v>0.40875304853097655</v>
      </c>
      <c r="AY334" s="66">
        <v>0.57467106392002709</v>
      </c>
      <c r="AZ334" s="66">
        <v>54.236502123546707</v>
      </c>
      <c r="BA334" s="66">
        <v>56.498265523341111</v>
      </c>
      <c r="BB334" s="66">
        <v>8.9056289034827536</v>
      </c>
      <c r="BC334" s="66">
        <v>37.8422057079406</v>
      </c>
      <c r="BD334" s="66">
        <v>72.89256193894721</v>
      </c>
    </row>
    <row r="335" spans="1:56">
      <c r="A335">
        <v>56</v>
      </c>
      <c r="B335">
        <v>1</v>
      </c>
      <c r="C335">
        <v>1</v>
      </c>
      <c r="D335">
        <v>1</v>
      </c>
      <c r="F335" t="s">
        <v>169</v>
      </c>
      <c r="AR335" s="57" t="s">
        <v>493</v>
      </c>
      <c r="AS335" s="63">
        <v>1</v>
      </c>
      <c r="AT335" s="66">
        <v>309</v>
      </c>
      <c r="AU335" s="66">
        <v>45</v>
      </c>
      <c r="AV335" s="66">
        <v>56.715294296981327</v>
      </c>
      <c r="AW335" s="66">
        <v>-11.715294296981327</v>
      </c>
      <c r="AX335" s="66">
        <v>-1.3182406358352403</v>
      </c>
      <c r="AY335" s="66">
        <v>0.80237745366150748</v>
      </c>
      <c r="AZ335" s="66">
        <v>55.136314536688069</v>
      </c>
      <c r="BA335" s="66">
        <v>58.294274057274585</v>
      </c>
      <c r="BB335" s="66">
        <v>8.9232162874708347</v>
      </c>
      <c r="BC335" s="66">
        <v>39.155506381281164</v>
      </c>
      <c r="BD335" s="66">
        <v>74.275082212681497</v>
      </c>
    </row>
    <row r="336" spans="1:56">
      <c r="A336">
        <v>57</v>
      </c>
      <c r="B336">
        <v>0</v>
      </c>
      <c r="C336">
        <v>0</v>
      </c>
      <c r="D336">
        <v>1</v>
      </c>
      <c r="F336" t="s">
        <v>170</v>
      </c>
      <c r="AR336" s="57" t="s">
        <v>494</v>
      </c>
      <c r="AS336" s="63">
        <v>1</v>
      </c>
      <c r="AT336" s="66">
        <v>259</v>
      </c>
      <c r="AU336" s="66">
        <v>58</v>
      </c>
      <c r="AV336" s="66">
        <v>54.843196417068242</v>
      </c>
      <c r="AW336" s="66">
        <v>3.156803582931758</v>
      </c>
      <c r="AX336" s="66">
        <v>0.35521316467851755</v>
      </c>
      <c r="AY336" s="66">
        <v>0.5257857212070921</v>
      </c>
      <c r="AZ336" s="66">
        <v>53.808515035819681</v>
      </c>
      <c r="BA336" s="66">
        <v>55.877877798316803</v>
      </c>
      <c r="BB336" s="66">
        <v>8.902608042560658</v>
      </c>
      <c r="BC336" s="66">
        <v>37.323962982877802</v>
      </c>
      <c r="BD336" s="66">
        <v>72.362429851258682</v>
      </c>
    </row>
    <row r="337" spans="1:56">
      <c r="A337">
        <v>57</v>
      </c>
      <c r="B337">
        <v>1</v>
      </c>
      <c r="C337">
        <v>0</v>
      </c>
      <c r="D337">
        <v>1</v>
      </c>
      <c r="F337" t="s">
        <v>171</v>
      </c>
      <c r="AR337" s="57" t="s">
        <v>495</v>
      </c>
      <c r="AS337" s="63">
        <v>1</v>
      </c>
      <c r="AT337" s="66">
        <v>200</v>
      </c>
      <c r="AU337" s="66">
        <v>50</v>
      </c>
      <c r="AV337" s="66">
        <v>52.634120918770819</v>
      </c>
      <c r="AW337" s="66">
        <v>-2.6341209187708188</v>
      </c>
      <c r="AX337" s="66">
        <v>-0.29639931757600696</v>
      </c>
      <c r="AY337" s="66">
        <v>0.68485300046867681</v>
      </c>
      <c r="AZ337" s="66">
        <v>51.286414771767916</v>
      </c>
      <c r="BA337" s="66">
        <v>53.981827065773722</v>
      </c>
      <c r="BB337" s="66">
        <v>8.9134170197007734</v>
      </c>
      <c r="BC337" s="66">
        <v>35.093616752139141</v>
      </c>
      <c r="BD337" s="66">
        <v>70.174625085402496</v>
      </c>
    </row>
    <row r="338" spans="1:56">
      <c r="A338">
        <v>56</v>
      </c>
      <c r="B338">
        <v>0</v>
      </c>
      <c r="C338">
        <v>1</v>
      </c>
      <c r="D338">
        <v>1</v>
      </c>
      <c r="F338" t="s">
        <v>172</v>
      </c>
      <c r="AR338" s="57" t="s">
        <v>496</v>
      </c>
      <c r="AS338" s="63">
        <v>1</v>
      </c>
      <c r="AT338" s="66">
        <v>244</v>
      </c>
      <c r="AU338" s="66">
        <v>62</v>
      </c>
      <c r="AV338" s="66">
        <v>54.281567053094321</v>
      </c>
      <c r="AW338" s="66">
        <v>7.7184329469056792</v>
      </c>
      <c r="AX338" s="66">
        <v>0.86850160974635804</v>
      </c>
      <c r="AY338" s="66">
        <v>0.51103717568364804</v>
      </c>
      <c r="AZ338" s="66">
        <v>53.275908988451945</v>
      </c>
      <c r="BA338" s="66">
        <v>55.287225117736696</v>
      </c>
      <c r="BB338" s="66">
        <v>8.9017491724812814</v>
      </c>
      <c r="BC338" s="66">
        <v>36.764023769176511</v>
      </c>
      <c r="BD338" s="66">
        <v>71.799110337012138</v>
      </c>
    </row>
    <row r="339" spans="1:56">
      <c r="A339">
        <v>44</v>
      </c>
      <c r="B339">
        <v>1</v>
      </c>
      <c r="C339">
        <v>1</v>
      </c>
      <c r="D339">
        <v>1</v>
      </c>
      <c r="F339" t="s">
        <v>173</v>
      </c>
      <c r="AR339" s="57" t="s">
        <v>497</v>
      </c>
      <c r="AS339" s="63">
        <v>1</v>
      </c>
      <c r="AT339" s="66">
        <v>231</v>
      </c>
      <c r="AU339" s="66">
        <v>38</v>
      </c>
      <c r="AV339" s="66">
        <v>53.794821604316923</v>
      </c>
      <c r="AW339" s="66">
        <v>-15.794821604316923</v>
      </c>
      <c r="AX339" s="66">
        <v>-1.7772814874948522</v>
      </c>
      <c r="AY339" s="66">
        <v>0.53229839085199426</v>
      </c>
      <c r="AZ339" s="66">
        <v>52.747324093318142</v>
      </c>
      <c r="BA339" s="66">
        <v>54.842319115315703</v>
      </c>
      <c r="BB339" s="66">
        <v>8.9029950528877695</v>
      </c>
      <c r="BC339" s="66">
        <v>36.274826581586396</v>
      </c>
      <c r="BD339" s="66">
        <v>71.314816627047449</v>
      </c>
    </row>
    <row r="340" spans="1:56">
      <c r="A340">
        <v>52</v>
      </c>
      <c r="B340">
        <v>1</v>
      </c>
      <c r="C340">
        <v>2</v>
      </c>
      <c r="D340">
        <v>1</v>
      </c>
      <c r="F340" t="s">
        <v>174</v>
      </c>
      <c r="AR340" s="57" t="s">
        <v>498</v>
      </c>
      <c r="AS340" s="63">
        <v>1</v>
      </c>
      <c r="AT340" s="66">
        <v>228</v>
      </c>
      <c r="AU340" s="66">
        <v>66</v>
      </c>
      <c r="AV340" s="66">
        <v>53.682495731522138</v>
      </c>
      <c r="AW340" s="66">
        <v>12.317504268477862</v>
      </c>
      <c r="AX340" s="66">
        <v>1.3860031380488183</v>
      </c>
      <c r="AY340" s="66">
        <v>0.54141797601206076</v>
      </c>
      <c r="AZ340" s="66">
        <v>52.617052002911798</v>
      </c>
      <c r="BA340" s="66">
        <v>54.747939460132478</v>
      </c>
      <c r="BB340" s="66">
        <v>8.903544954656514</v>
      </c>
      <c r="BC340" s="66">
        <v>36.16141857000639</v>
      </c>
      <c r="BD340" s="66">
        <v>71.203572893037887</v>
      </c>
    </row>
    <row r="341" spans="1:56">
      <c r="A341">
        <v>57</v>
      </c>
      <c r="B341">
        <v>1</v>
      </c>
      <c r="C341">
        <v>2</v>
      </c>
      <c r="D341">
        <v>1</v>
      </c>
      <c r="F341" t="s">
        <v>175</v>
      </c>
      <c r="AR341" s="57" t="s">
        <v>499</v>
      </c>
      <c r="AS341" s="63">
        <v>1</v>
      </c>
      <c r="AT341" s="66">
        <v>230</v>
      </c>
      <c r="AU341" s="66">
        <v>52</v>
      </c>
      <c r="AV341" s="66">
        <v>53.757379646718661</v>
      </c>
      <c r="AW341" s="66">
        <v>-1.7573796467186611</v>
      </c>
      <c r="AX341" s="66">
        <v>-0.19774571634032681</v>
      </c>
      <c r="AY341" s="66">
        <v>0.53517364152452584</v>
      </c>
      <c r="AZ341" s="66">
        <v>52.704223997399843</v>
      </c>
      <c r="BA341" s="66">
        <v>54.810535296037479</v>
      </c>
      <c r="BB341" s="66">
        <v>8.9031674229693714</v>
      </c>
      <c r="BC341" s="66">
        <v>36.237045420949855</v>
      </c>
      <c r="BD341" s="66">
        <v>71.277713872487467</v>
      </c>
    </row>
    <row r="342" spans="1:56">
      <c r="A342">
        <v>54</v>
      </c>
      <c r="B342">
        <v>1</v>
      </c>
      <c r="C342">
        <v>0</v>
      </c>
      <c r="D342">
        <v>1</v>
      </c>
      <c r="F342" t="s">
        <v>176</v>
      </c>
      <c r="AR342" s="57" t="s">
        <v>500</v>
      </c>
      <c r="AS342" s="63">
        <v>1</v>
      </c>
      <c r="AT342" s="66">
        <v>282</v>
      </c>
      <c r="AU342" s="66">
        <v>53</v>
      </c>
      <c r="AV342" s="66">
        <v>55.704361441828262</v>
      </c>
      <c r="AW342" s="66">
        <v>-2.7043614418282615</v>
      </c>
      <c r="AX342" s="66">
        <v>-0.30430299540341776</v>
      </c>
      <c r="AY342" s="66">
        <v>0.62046878775411896</v>
      </c>
      <c r="AZ342" s="66">
        <v>54.483355476011646</v>
      </c>
      <c r="BA342" s="66">
        <v>56.925367407644877</v>
      </c>
      <c r="BB342" s="66">
        <v>8.9087014121822232</v>
      </c>
      <c r="BC342" s="66">
        <v>38.173137008563096</v>
      </c>
      <c r="BD342" s="66">
        <v>73.23558587509342</v>
      </c>
    </row>
    <row r="343" spans="1:56">
      <c r="A343">
        <v>48</v>
      </c>
      <c r="B343">
        <v>0</v>
      </c>
      <c r="C343">
        <v>2</v>
      </c>
      <c r="D343">
        <v>1</v>
      </c>
      <c r="F343" t="s">
        <v>177</v>
      </c>
      <c r="AR343" s="57" t="s">
        <v>501</v>
      </c>
      <c r="AS343" s="63">
        <v>1</v>
      </c>
      <c r="AT343" s="66">
        <v>269</v>
      </c>
      <c r="AU343" s="66">
        <v>63</v>
      </c>
      <c r="AV343" s="66">
        <v>55.217615993050863</v>
      </c>
      <c r="AW343" s="66">
        <v>7.7823840069491368</v>
      </c>
      <c r="AX343" s="66">
        <v>0.87569757801799997</v>
      </c>
      <c r="AY343" s="66">
        <v>0.5576580446569771</v>
      </c>
      <c r="AZ343" s="66">
        <v>54.120213814487727</v>
      </c>
      <c r="BA343" s="66">
        <v>56.315018171614</v>
      </c>
      <c r="BB343" s="66">
        <v>8.904547255734629</v>
      </c>
      <c r="BC343" s="66">
        <v>37.694566426766208</v>
      </c>
      <c r="BD343" s="66">
        <v>72.740665559335525</v>
      </c>
    </row>
    <row r="344" spans="1:56">
      <c r="A344">
        <v>49</v>
      </c>
      <c r="B344">
        <v>1</v>
      </c>
      <c r="C344">
        <v>1</v>
      </c>
      <c r="D344">
        <v>1</v>
      </c>
      <c r="F344" t="s">
        <v>178</v>
      </c>
      <c r="AR344" s="57" t="s">
        <v>502</v>
      </c>
      <c r="AS344" s="63">
        <v>1</v>
      </c>
      <c r="AT344" s="66">
        <v>206</v>
      </c>
      <c r="AU344" s="66">
        <v>54</v>
      </c>
      <c r="AV344" s="66">
        <v>52.858772664360387</v>
      </c>
      <c r="AW344" s="66">
        <v>1.1412273356396128</v>
      </c>
      <c r="AX344" s="66">
        <v>0.12841437956481908</v>
      </c>
      <c r="AY344" s="66">
        <v>0.64690238808977085</v>
      </c>
      <c r="AZ344" s="66">
        <v>51.585748636805853</v>
      </c>
      <c r="BA344" s="66">
        <v>54.131796691914921</v>
      </c>
      <c r="BB344" s="66">
        <v>8.910581464447576</v>
      </c>
      <c r="BC344" s="66">
        <v>35.323848520364649</v>
      </c>
      <c r="BD344" s="66">
        <v>70.393696808356125</v>
      </c>
    </row>
    <row r="345" spans="1:56" ht="38.1" customHeight="1">
      <c r="A345">
        <v>64</v>
      </c>
      <c r="B345">
        <v>1</v>
      </c>
      <c r="C345">
        <v>3</v>
      </c>
      <c r="D345">
        <v>1</v>
      </c>
      <c r="AR345" s="57" t="s">
        <v>503</v>
      </c>
      <c r="AS345" s="63">
        <v>1</v>
      </c>
      <c r="AT345" s="66">
        <v>212</v>
      </c>
      <c r="AU345" s="66">
        <v>66</v>
      </c>
      <c r="AV345" s="66">
        <v>53.083424409949956</v>
      </c>
      <c r="AW345" s="66">
        <v>12.916575590050044</v>
      </c>
      <c r="AX345" s="66">
        <v>1.453412469802734</v>
      </c>
      <c r="AY345" s="66">
        <v>0.61233238758215736</v>
      </c>
      <c r="AZ345" s="66">
        <v>51.87842987508089</v>
      </c>
      <c r="BA345" s="66">
        <v>54.288418944819021</v>
      </c>
      <c r="BB345" s="66">
        <v>8.908138429982019</v>
      </c>
      <c r="BC345" s="66">
        <v>35.553307856144102</v>
      </c>
      <c r="BD345" s="66">
        <v>70.61354096375581</v>
      </c>
    </row>
    <row r="346" spans="1:56" ht="15.75" customHeight="1">
      <c r="A346">
        <v>58</v>
      </c>
      <c r="B346">
        <v>0</v>
      </c>
      <c r="C346">
        <v>3</v>
      </c>
      <c r="D346">
        <v>1</v>
      </c>
      <c r="F346" s="105"/>
      <c r="AR346" s="57" t="s">
        <v>504</v>
      </c>
      <c r="AS346" s="63">
        <v>1</v>
      </c>
      <c r="AT346" s="66">
        <v>327</v>
      </c>
      <c r="AU346" s="66">
        <v>55</v>
      </c>
      <c r="AV346" s="66">
        <v>57.389249533750032</v>
      </c>
      <c r="AW346" s="66">
        <v>-2.3892495337500321</v>
      </c>
      <c r="AX346" s="66">
        <v>-0.26884564268703443</v>
      </c>
      <c r="AY346" s="66">
        <v>0.94615799860276362</v>
      </c>
      <c r="AZ346" s="66">
        <v>55.527327413411406</v>
      </c>
      <c r="BA346" s="66">
        <v>59.251171654088658</v>
      </c>
      <c r="BB346" s="66">
        <v>8.9372923356663474</v>
      </c>
      <c r="BC346" s="66">
        <v>39.80176169315267</v>
      </c>
      <c r="BD346" s="66">
        <v>74.976737374347394</v>
      </c>
    </row>
    <row r="347" spans="1:56">
      <c r="A347">
        <v>50</v>
      </c>
      <c r="B347">
        <v>0</v>
      </c>
      <c r="C347">
        <v>2</v>
      </c>
      <c r="D347">
        <v>1</v>
      </c>
      <c r="AR347" s="57" t="s">
        <v>505</v>
      </c>
      <c r="AS347" s="63">
        <v>1</v>
      </c>
      <c r="AT347" s="66">
        <v>149</v>
      </c>
      <c r="AU347" s="66">
        <v>49</v>
      </c>
      <c r="AV347" s="66">
        <v>50.72458108125948</v>
      </c>
      <c r="AW347" s="66">
        <v>-1.7245810812594797</v>
      </c>
      <c r="AX347" s="66">
        <v>-0.19405512174753575</v>
      </c>
      <c r="AY347" s="66">
        <v>1.0870222773495983</v>
      </c>
      <c r="AZ347" s="66">
        <v>48.585455452678474</v>
      </c>
      <c r="BA347" s="66">
        <v>52.863706709840486</v>
      </c>
      <c r="BB347" s="66">
        <v>8.9533008866168888</v>
      </c>
      <c r="BC347" s="66">
        <v>33.105590388946659</v>
      </c>
      <c r="BD347" s="66">
        <v>68.343571773572307</v>
      </c>
    </row>
    <row r="348" spans="1:56">
      <c r="A348">
        <v>58</v>
      </c>
      <c r="B348">
        <v>0</v>
      </c>
      <c r="C348">
        <v>2</v>
      </c>
      <c r="D348">
        <v>1</v>
      </c>
      <c r="AR348" s="57" t="s">
        <v>506</v>
      </c>
      <c r="AS348" s="63">
        <v>1</v>
      </c>
      <c r="AT348" s="66">
        <v>286</v>
      </c>
      <c r="AU348" s="66">
        <v>54</v>
      </c>
      <c r="AV348" s="66">
        <v>55.854129272221307</v>
      </c>
      <c r="AW348" s="66">
        <v>-1.8541292722213072</v>
      </c>
      <c r="AX348" s="66">
        <v>-0.20863227920476057</v>
      </c>
      <c r="AY348" s="66">
        <v>0.6437159566599161</v>
      </c>
      <c r="AZ348" s="66">
        <v>54.587375748296139</v>
      </c>
      <c r="BA348" s="66">
        <v>57.120882796146475</v>
      </c>
      <c r="BB348" s="66">
        <v>8.910350698356325</v>
      </c>
      <c r="BC348" s="66">
        <v>38.31965924740075</v>
      </c>
      <c r="BD348" s="66">
        <v>73.388599297041864</v>
      </c>
    </row>
    <row r="349" spans="1:56">
      <c r="A349">
        <v>66</v>
      </c>
      <c r="B349">
        <v>0</v>
      </c>
      <c r="C349">
        <v>3</v>
      </c>
      <c r="D349">
        <v>1</v>
      </c>
      <c r="F349" t="s">
        <v>179</v>
      </c>
      <c r="AR349" s="57" t="s">
        <v>507</v>
      </c>
      <c r="AS349" s="63">
        <v>1</v>
      </c>
      <c r="AT349" s="66">
        <v>283</v>
      </c>
      <c r="AU349" s="66">
        <v>56</v>
      </c>
      <c r="AV349" s="66">
        <v>55.741803399426523</v>
      </c>
      <c r="AW349" s="66">
        <v>0.25819660057347704</v>
      </c>
      <c r="AX349" s="66">
        <v>2.9053068773370862E-2</v>
      </c>
      <c r="AY349" s="66">
        <v>0.62612829854851548</v>
      </c>
      <c r="AZ349" s="66">
        <v>54.50966021513905</v>
      </c>
      <c r="BA349" s="66">
        <v>56.973946583713996</v>
      </c>
      <c r="BB349" s="66">
        <v>8.90909737184883</v>
      </c>
      <c r="BC349" s="66">
        <v>38.209799766426102</v>
      </c>
      <c r="BD349" s="66">
        <v>73.273807032426944</v>
      </c>
    </row>
    <row r="350" spans="1:56" ht="15.75" thickBot="1">
      <c r="A350">
        <v>43</v>
      </c>
      <c r="B350">
        <v>1</v>
      </c>
      <c r="C350">
        <v>0</v>
      </c>
      <c r="D350">
        <v>1</v>
      </c>
      <c r="AR350" s="57" t="s">
        <v>508</v>
      </c>
      <c r="AS350" s="63">
        <v>1</v>
      </c>
      <c r="AT350" s="66">
        <v>249</v>
      </c>
      <c r="AU350" s="66">
        <v>46</v>
      </c>
      <c r="AV350" s="66">
        <v>54.468776841085628</v>
      </c>
      <c r="AW350" s="66">
        <v>-8.4687768410856279</v>
      </c>
      <c r="AX350" s="66">
        <v>-0.95293259262091845</v>
      </c>
      <c r="AY350" s="66">
        <v>0.51126188471183398</v>
      </c>
      <c r="AZ350" s="66">
        <v>53.462676576820314</v>
      </c>
      <c r="BA350" s="66">
        <v>55.474877105350942</v>
      </c>
      <c r="BB350" s="66">
        <v>8.9017620755443438</v>
      </c>
      <c r="BC350" s="66">
        <v>36.951208165532833</v>
      </c>
      <c r="BD350" s="66">
        <v>71.986345516638423</v>
      </c>
    </row>
    <row r="351" spans="1:56" ht="30" customHeight="1">
      <c r="A351">
        <v>69</v>
      </c>
      <c r="B351">
        <v>0</v>
      </c>
      <c r="C351">
        <v>3</v>
      </c>
      <c r="D351">
        <v>1</v>
      </c>
      <c r="F351" s="58" t="s">
        <v>180</v>
      </c>
      <c r="G351" s="59" t="s">
        <v>86</v>
      </c>
      <c r="H351" s="59" t="s">
        <v>181</v>
      </c>
      <c r="I351" s="59" t="s">
        <v>182</v>
      </c>
      <c r="J351" s="59" t="s">
        <v>70</v>
      </c>
      <c r="K351" s="59" t="s">
        <v>71</v>
      </c>
      <c r="L351" s="59" t="s">
        <v>61</v>
      </c>
      <c r="M351" s="59" t="s">
        <v>183</v>
      </c>
      <c r="AR351" s="57" t="s">
        <v>509</v>
      </c>
      <c r="AS351" s="63">
        <v>1</v>
      </c>
      <c r="AT351" s="66">
        <v>234</v>
      </c>
      <c r="AU351" s="66">
        <v>61</v>
      </c>
      <c r="AV351" s="66">
        <v>53.907147477111707</v>
      </c>
      <c r="AW351" s="66">
        <v>7.0928525228882933</v>
      </c>
      <c r="AX351" s="66">
        <v>0.79810939295541927</v>
      </c>
      <c r="AY351" s="66">
        <v>0.52469231506033898</v>
      </c>
      <c r="AZ351" s="66">
        <v>52.874617784158502</v>
      </c>
      <c r="BA351" s="66">
        <v>54.939677170064911</v>
      </c>
      <c r="BB351" s="66">
        <v>8.9025435331889202</v>
      </c>
      <c r="BC351" s="66">
        <v>36.388040989399961</v>
      </c>
      <c r="BD351" s="66">
        <v>71.426253964823445</v>
      </c>
    </row>
    <row r="352" spans="1:56">
      <c r="A352">
        <v>59</v>
      </c>
      <c r="B352">
        <v>1</v>
      </c>
      <c r="C352">
        <v>0</v>
      </c>
      <c r="D352">
        <v>1</v>
      </c>
      <c r="F352" s="60" t="s">
        <v>0</v>
      </c>
      <c r="G352" s="62">
        <v>303</v>
      </c>
      <c r="H352" s="62">
        <v>0</v>
      </c>
      <c r="I352" s="62">
        <v>303</v>
      </c>
      <c r="J352" s="65">
        <v>29</v>
      </c>
      <c r="K352" s="65">
        <v>77</v>
      </c>
      <c r="L352" s="65">
        <v>54.36633663366333</v>
      </c>
      <c r="M352" s="65">
        <v>9.0821009898378602</v>
      </c>
      <c r="AR352" s="57" t="s">
        <v>510</v>
      </c>
      <c r="AS352" s="63">
        <v>1</v>
      </c>
      <c r="AT352" s="66">
        <v>237</v>
      </c>
      <c r="AU352" s="66">
        <v>67</v>
      </c>
      <c r="AV352" s="66">
        <v>54.019473349906491</v>
      </c>
      <c r="AW352" s="66">
        <v>12.980526650093509</v>
      </c>
      <c r="AX352" s="66">
        <v>1.4606084380743767</v>
      </c>
      <c r="AY352" s="66">
        <v>0.51866633830263453</v>
      </c>
      <c r="AZ352" s="66">
        <v>52.998802035192845</v>
      </c>
      <c r="BA352" s="66">
        <v>55.040144664620136</v>
      </c>
      <c r="BB352" s="66">
        <v>8.9021904105297995</v>
      </c>
      <c r="BC352" s="66">
        <v>36.501061763988289</v>
      </c>
      <c r="BD352" s="66">
        <v>71.537884935824692</v>
      </c>
    </row>
    <row r="353" spans="1:56">
      <c r="A353">
        <v>44</v>
      </c>
      <c r="B353">
        <v>1</v>
      </c>
      <c r="C353">
        <v>2</v>
      </c>
      <c r="D353">
        <v>1</v>
      </c>
      <c r="F353" s="57" t="s">
        <v>1</v>
      </c>
      <c r="G353" s="63">
        <v>303</v>
      </c>
      <c r="H353" s="63">
        <v>0</v>
      </c>
      <c r="I353" s="63">
        <v>303</v>
      </c>
      <c r="J353" s="66">
        <v>0</v>
      </c>
      <c r="K353" s="66">
        <v>1</v>
      </c>
      <c r="L353" s="66">
        <v>0.68316831683168333</v>
      </c>
      <c r="M353" s="66">
        <v>0.46601082333962385</v>
      </c>
      <c r="AR353" s="57" t="s">
        <v>511</v>
      </c>
      <c r="AS353" s="63">
        <v>1</v>
      </c>
      <c r="AT353" s="66">
        <v>234</v>
      </c>
      <c r="AU353" s="66">
        <v>58</v>
      </c>
      <c r="AV353" s="66">
        <v>53.907147477111707</v>
      </c>
      <c r="AW353" s="66">
        <v>4.0928525228882933</v>
      </c>
      <c r="AX353" s="66">
        <v>0.46054024554401091</v>
      </c>
      <c r="AY353" s="66">
        <v>0.52469231506033898</v>
      </c>
      <c r="AZ353" s="66">
        <v>52.874617784158502</v>
      </c>
      <c r="BA353" s="66">
        <v>54.939677170064911</v>
      </c>
      <c r="BB353" s="66">
        <v>8.9025435331889202</v>
      </c>
      <c r="BC353" s="66">
        <v>36.388040989399961</v>
      </c>
      <c r="BD353" s="66">
        <v>71.426253964823445</v>
      </c>
    </row>
    <row r="354" spans="1:56" ht="15.75" thickBot="1">
      <c r="A354">
        <v>42</v>
      </c>
      <c r="B354">
        <v>1</v>
      </c>
      <c r="C354">
        <v>0</v>
      </c>
      <c r="D354">
        <v>1</v>
      </c>
      <c r="F354" s="61" t="s">
        <v>2</v>
      </c>
      <c r="G354" s="64">
        <v>303</v>
      </c>
      <c r="H354" s="64">
        <v>0</v>
      </c>
      <c r="I354" s="64">
        <v>303</v>
      </c>
      <c r="J354" s="67">
        <v>0</v>
      </c>
      <c r="K354" s="67">
        <v>3</v>
      </c>
      <c r="L354" s="67">
        <v>0.96699669966996749</v>
      </c>
      <c r="M354" s="67">
        <v>1.0320524894832983</v>
      </c>
      <c r="AR354" s="57" t="s">
        <v>512</v>
      </c>
      <c r="AS354" s="63">
        <v>1</v>
      </c>
      <c r="AT354" s="66">
        <v>275</v>
      </c>
      <c r="AU354" s="66">
        <v>47</v>
      </c>
      <c r="AV354" s="66">
        <v>55.442267738640432</v>
      </c>
      <c r="AW354" s="66">
        <v>-8.4422677386404317</v>
      </c>
      <c r="AX354" s="66">
        <v>-0.9499497075838963</v>
      </c>
      <c r="AY354" s="66">
        <v>0.58399246381429892</v>
      </c>
      <c r="AZ354" s="66">
        <v>54.293042674652561</v>
      </c>
      <c r="BA354" s="66">
        <v>56.591492802628302</v>
      </c>
      <c r="BB354" s="66">
        <v>8.90623526146892</v>
      </c>
      <c r="BC354" s="66">
        <v>37.91589638548659</v>
      </c>
      <c r="BD354" s="66">
        <v>72.968639091794273</v>
      </c>
    </row>
    <row r="355" spans="1:56">
      <c r="A355">
        <v>61</v>
      </c>
      <c r="B355">
        <v>1</v>
      </c>
      <c r="C355">
        <v>2</v>
      </c>
      <c r="D355">
        <v>1</v>
      </c>
      <c r="AR355" s="57" t="s">
        <v>513</v>
      </c>
      <c r="AS355" s="63">
        <v>1</v>
      </c>
      <c r="AT355" s="66">
        <v>212</v>
      </c>
      <c r="AU355" s="66">
        <v>52</v>
      </c>
      <c r="AV355" s="66">
        <v>53.083424409949956</v>
      </c>
      <c r="AW355" s="66">
        <v>-1.0834244099499557</v>
      </c>
      <c r="AX355" s="66">
        <v>-0.12191021811717156</v>
      </c>
      <c r="AY355" s="66">
        <v>0.61233238758215736</v>
      </c>
      <c r="AZ355" s="66">
        <v>51.87842987508089</v>
      </c>
      <c r="BA355" s="66">
        <v>54.288418944819021</v>
      </c>
      <c r="BB355" s="66">
        <v>8.908138429982019</v>
      </c>
      <c r="BC355" s="66">
        <v>35.553307856144102</v>
      </c>
      <c r="BD355" s="66">
        <v>70.61354096375581</v>
      </c>
    </row>
    <row r="356" spans="1:56">
      <c r="A356">
        <v>40</v>
      </c>
      <c r="B356">
        <v>1</v>
      </c>
      <c r="C356">
        <v>3</v>
      </c>
      <c r="D356">
        <v>1</v>
      </c>
      <c r="AR356" s="57" t="s">
        <v>514</v>
      </c>
      <c r="AS356" s="63">
        <v>1</v>
      </c>
      <c r="AT356" s="66">
        <v>218</v>
      </c>
      <c r="AU356" s="66">
        <v>58</v>
      </c>
      <c r="AV356" s="66">
        <v>53.308076155539524</v>
      </c>
      <c r="AW356" s="66">
        <v>4.6919238444604758</v>
      </c>
      <c r="AX356" s="66">
        <v>0.52794957729792669</v>
      </c>
      <c r="AY356" s="66">
        <v>0.5817459855885555</v>
      </c>
      <c r="AZ356" s="66">
        <v>52.16327188333014</v>
      </c>
      <c r="BA356" s="66">
        <v>54.452880427748909</v>
      </c>
      <c r="BB356" s="66">
        <v>8.9060882393219565</v>
      </c>
      <c r="BC356" s="66">
        <v>35.781994123818272</v>
      </c>
      <c r="BD356" s="66">
        <v>70.834158187260783</v>
      </c>
    </row>
    <row r="357" spans="1:56">
      <c r="A357">
        <v>71</v>
      </c>
      <c r="B357">
        <v>0</v>
      </c>
      <c r="C357">
        <v>1</v>
      </c>
      <c r="D357">
        <v>1</v>
      </c>
      <c r="F357" t="s">
        <v>184</v>
      </c>
      <c r="AR357" s="57" t="s">
        <v>515</v>
      </c>
      <c r="AS357" s="63">
        <v>1</v>
      </c>
      <c r="AT357" s="66">
        <v>261</v>
      </c>
      <c r="AU357" s="66">
        <v>57</v>
      </c>
      <c r="AV357" s="66">
        <v>54.918080332264765</v>
      </c>
      <c r="AW357" s="66">
        <v>2.0819196677352352</v>
      </c>
      <c r="AX357" s="66">
        <v>0.23426394907214196</v>
      </c>
      <c r="AY357" s="66">
        <v>0.53084781419160132</v>
      </c>
      <c r="AZ357" s="66">
        <v>53.873437377032801</v>
      </c>
      <c r="BA357" s="66">
        <v>55.962723287496729</v>
      </c>
      <c r="BB357" s="66">
        <v>8.9029084425637262</v>
      </c>
      <c r="BC357" s="66">
        <v>37.398255747958288</v>
      </c>
      <c r="BD357" s="66">
        <v>72.437904916571242</v>
      </c>
    </row>
    <row r="358" spans="1:56" ht="15.75" thickBot="1">
      <c r="A358">
        <v>59</v>
      </c>
      <c r="B358">
        <v>1</v>
      </c>
      <c r="C358">
        <v>2</v>
      </c>
      <c r="D358">
        <v>1</v>
      </c>
      <c r="AR358" s="57" t="s">
        <v>516</v>
      </c>
      <c r="AS358" s="63">
        <v>1</v>
      </c>
      <c r="AT358" s="66">
        <v>319</v>
      </c>
      <c r="AU358" s="66">
        <v>58</v>
      </c>
      <c r="AV358" s="66">
        <v>57.089713872963941</v>
      </c>
      <c r="AW358" s="66">
        <v>0.91028612703605916</v>
      </c>
      <c r="AX358" s="66">
        <v>0.10242817060133182</v>
      </c>
      <c r="AY358" s="66">
        <v>0.88073335901723637</v>
      </c>
      <c r="AZ358" s="66">
        <v>55.356539365433498</v>
      </c>
      <c r="BA358" s="66">
        <v>58.822888380494383</v>
      </c>
      <c r="BB358" s="66">
        <v>8.9306030358832</v>
      </c>
      <c r="BC358" s="66">
        <v>39.515389748420574</v>
      </c>
      <c r="BD358" s="66">
        <v>74.664037997507307</v>
      </c>
    </row>
    <row r="359" spans="1:56" ht="30">
      <c r="A359">
        <v>51</v>
      </c>
      <c r="B359">
        <v>1</v>
      </c>
      <c r="C359">
        <v>2</v>
      </c>
      <c r="D359">
        <v>1</v>
      </c>
      <c r="F359" s="59" t="s">
        <v>180</v>
      </c>
      <c r="G359" s="59" t="s">
        <v>188</v>
      </c>
      <c r="H359" s="59" t="s">
        <v>189</v>
      </c>
      <c r="I359" s="59" t="s">
        <v>190</v>
      </c>
      <c r="J359" s="59" t="s">
        <v>191</v>
      </c>
      <c r="AR359" s="57" t="s">
        <v>517</v>
      </c>
      <c r="AS359" s="63">
        <v>1</v>
      </c>
      <c r="AT359" s="66">
        <v>166</v>
      </c>
      <c r="AU359" s="66">
        <v>61</v>
      </c>
      <c r="AV359" s="66">
        <v>51.361094360429924</v>
      </c>
      <c r="AW359" s="66">
        <v>9.6389056395700763</v>
      </c>
      <c r="AX359" s="66">
        <v>1.0845990529095622</v>
      </c>
      <c r="AY359" s="66">
        <v>0.94224093513615426</v>
      </c>
      <c r="AZ359" s="66">
        <v>49.506880537358796</v>
      </c>
      <c r="BA359" s="66">
        <v>53.215308183501051</v>
      </c>
      <c r="BB359" s="66">
        <v>8.9368784994922432</v>
      </c>
      <c r="BC359" s="66">
        <v>33.774420898327378</v>
      </c>
      <c r="BD359" s="66">
        <v>68.947767822532469</v>
      </c>
    </row>
    <row r="360" spans="1:56">
      <c r="A360">
        <v>65</v>
      </c>
      <c r="B360">
        <v>0</v>
      </c>
      <c r="C360">
        <v>2</v>
      </c>
      <c r="D360">
        <v>1</v>
      </c>
      <c r="F360" s="70" t="s">
        <v>13</v>
      </c>
      <c r="G360" s="72" t="s">
        <v>186</v>
      </c>
      <c r="H360" s="68">
        <v>138</v>
      </c>
      <c r="I360" s="68">
        <v>138</v>
      </c>
      <c r="J360" s="74">
        <v>45.544554455445542</v>
      </c>
      <c r="AR360" s="57" t="s">
        <v>518</v>
      </c>
      <c r="AS360" s="63">
        <v>1</v>
      </c>
      <c r="AT360" s="66">
        <v>315</v>
      </c>
      <c r="AU360" s="66">
        <v>42</v>
      </c>
      <c r="AV360" s="66">
        <v>56.939946042570895</v>
      </c>
      <c r="AW360" s="66">
        <v>-14.939946042570895</v>
      </c>
      <c r="AX360" s="66">
        <v>-1.6810882826543672</v>
      </c>
      <c r="AY360" s="66">
        <v>0.84888290466688898</v>
      </c>
      <c r="AZ360" s="66">
        <v>55.26944929666729</v>
      </c>
      <c r="BA360" s="66">
        <v>58.610442788474501</v>
      </c>
      <c r="BB360" s="66">
        <v>8.9275182173253587</v>
      </c>
      <c r="BC360" s="66">
        <v>39.371692460070776</v>
      </c>
      <c r="BD360" s="66">
        <v>74.508199625071015</v>
      </c>
    </row>
    <row r="361" spans="1:56" ht="15.75" thickBot="1">
      <c r="A361">
        <v>53</v>
      </c>
      <c r="B361">
        <v>1</v>
      </c>
      <c r="C361">
        <v>2</v>
      </c>
      <c r="D361">
        <v>1</v>
      </c>
      <c r="F361" s="71" t="s">
        <v>185</v>
      </c>
      <c r="G361" s="73" t="s">
        <v>187</v>
      </c>
      <c r="H361" s="69">
        <v>165</v>
      </c>
      <c r="I361" s="69">
        <v>165</v>
      </c>
      <c r="J361" s="75">
        <v>54.455445544554458</v>
      </c>
      <c r="AR361" s="57" t="s">
        <v>519</v>
      </c>
      <c r="AS361" s="63">
        <v>1</v>
      </c>
      <c r="AT361" s="66">
        <v>204</v>
      </c>
      <c r="AU361" s="66">
        <v>52</v>
      </c>
      <c r="AV361" s="66">
        <v>52.783888749163864</v>
      </c>
      <c r="AW361" s="66">
        <v>-0.78388874916386442</v>
      </c>
      <c r="AX361" s="66">
        <v>-8.8205552240213675E-2</v>
      </c>
      <c r="AY361" s="66">
        <v>0.65920473209515629</v>
      </c>
      <c r="AZ361" s="66">
        <v>51.486655227561329</v>
      </c>
      <c r="BA361" s="66">
        <v>54.0811222707664</v>
      </c>
      <c r="BB361" s="66">
        <v>8.9114830535470979</v>
      </c>
      <c r="BC361" s="66">
        <v>35.247190389138311</v>
      </c>
      <c r="BD361" s="66">
        <v>70.320587109189418</v>
      </c>
    </row>
    <row r="362" spans="1:56">
      <c r="A362">
        <v>41</v>
      </c>
      <c r="B362">
        <v>0</v>
      </c>
      <c r="C362">
        <v>1</v>
      </c>
      <c r="D362">
        <v>1</v>
      </c>
      <c r="F362" s="29"/>
      <c r="G362" s="29"/>
      <c r="H362" s="29"/>
      <c r="I362" s="29"/>
      <c r="J362" s="29"/>
      <c r="AR362" s="57" t="s">
        <v>520</v>
      </c>
      <c r="AS362" s="63">
        <v>1</v>
      </c>
      <c r="AT362" s="66">
        <v>218</v>
      </c>
      <c r="AU362" s="66">
        <v>59</v>
      </c>
      <c r="AV362" s="66">
        <v>53.308076155539524</v>
      </c>
      <c r="AW362" s="66">
        <v>5.6919238444604758</v>
      </c>
      <c r="AX362" s="66">
        <v>0.64047262643506286</v>
      </c>
      <c r="AY362" s="66">
        <v>0.5817459855885555</v>
      </c>
      <c r="AZ362" s="66">
        <v>52.16327188333014</v>
      </c>
      <c r="BA362" s="66">
        <v>54.452880427748909</v>
      </c>
      <c r="BB362" s="66">
        <v>8.9060882393219565</v>
      </c>
      <c r="BC362" s="66">
        <v>35.781994123818272</v>
      </c>
      <c r="BD362" s="66">
        <v>70.834158187260783</v>
      </c>
    </row>
    <row r="363" spans="1:56">
      <c r="A363">
        <v>65</v>
      </c>
      <c r="B363">
        <v>1</v>
      </c>
      <c r="C363">
        <v>0</v>
      </c>
      <c r="D363">
        <v>1</v>
      </c>
      <c r="AR363" s="57" t="s">
        <v>521</v>
      </c>
      <c r="AS363" s="63">
        <v>1</v>
      </c>
      <c r="AT363" s="66">
        <v>223</v>
      </c>
      <c r="AU363" s="66">
        <v>40</v>
      </c>
      <c r="AV363" s="66">
        <v>53.495285943530831</v>
      </c>
      <c r="AW363" s="66">
        <v>-13.495285943530831</v>
      </c>
      <c r="AX363" s="66">
        <v>-1.518530723343622</v>
      </c>
      <c r="AY363" s="66">
        <v>0.55977420734953132</v>
      </c>
      <c r="AZ363" s="66">
        <v>52.393719418068635</v>
      </c>
      <c r="BA363" s="66">
        <v>54.596852468993028</v>
      </c>
      <c r="BB363" s="66">
        <v>8.9046800334461356</v>
      </c>
      <c r="BC363" s="66">
        <v>35.971975087103829</v>
      </c>
      <c r="BD363" s="66">
        <v>71.018596799957834</v>
      </c>
    </row>
    <row r="364" spans="1:56">
      <c r="A364">
        <v>44</v>
      </c>
      <c r="B364">
        <v>1</v>
      </c>
      <c r="C364">
        <v>1</v>
      </c>
      <c r="D364">
        <v>1</v>
      </c>
      <c r="F364" t="s">
        <v>192</v>
      </c>
      <c r="AR364" s="57" t="s">
        <v>522</v>
      </c>
      <c r="AS364" s="63">
        <v>1</v>
      </c>
      <c r="AT364" s="66">
        <v>207</v>
      </c>
      <c r="AU364" s="66">
        <v>61</v>
      </c>
      <c r="AV364" s="66">
        <v>52.896214621958649</v>
      </c>
      <c r="AW364" s="66">
        <v>8.1037853780413514</v>
      </c>
      <c r="AX364" s="66">
        <v>0.91186264029015207</v>
      </c>
      <c r="AY364" s="66">
        <v>0.64089052073676167</v>
      </c>
      <c r="AZ364" s="66">
        <v>51.635021207077301</v>
      </c>
      <c r="BA364" s="66">
        <v>54.157408036839996</v>
      </c>
      <c r="BB364" s="66">
        <v>8.9101470242870118</v>
      </c>
      <c r="BC364" s="66">
        <v>35.362145402559129</v>
      </c>
      <c r="BD364" s="66">
        <v>70.430283841358175</v>
      </c>
    </row>
    <row r="365" spans="1:56" ht="15.75" thickBot="1">
      <c r="A365">
        <v>54</v>
      </c>
      <c r="B365">
        <v>1</v>
      </c>
      <c r="C365">
        <v>2</v>
      </c>
      <c r="D365">
        <v>1</v>
      </c>
      <c r="AR365" s="57" t="s">
        <v>523</v>
      </c>
      <c r="AS365" s="63">
        <v>1</v>
      </c>
      <c r="AT365" s="66">
        <v>311</v>
      </c>
      <c r="AU365" s="66">
        <v>46</v>
      </c>
      <c r="AV365" s="66">
        <v>56.79017821217785</v>
      </c>
      <c r="AW365" s="66">
        <v>-10.79017821217785</v>
      </c>
      <c r="AX365" s="66">
        <v>-1.2141437531673436</v>
      </c>
      <c r="AY365" s="66">
        <v>0.81769695831052169</v>
      </c>
      <c r="AZ365" s="66">
        <v>55.181051558214875</v>
      </c>
      <c r="BA365" s="66">
        <v>58.399304866140824</v>
      </c>
      <c r="BB365" s="66">
        <v>8.9246068625161712</v>
      </c>
      <c r="BC365" s="66">
        <v>39.227653816480981</v>
      </c>
      <c r="BD365" s="66">
        <v>74.352702607874718</v>
      </c>
    </row>
    <row r="366" spans="1:56">
      <c r="A366">
        <v>51</v>
      </c>
      <c r="B366">
        <v>1</v>
      </c>
      <c r="C366">
        <v>3</v>
      </c>
      <c r="D366">
        <v>1</v>
      </c>
      <c r="F366" s="58"/>
      <c r="G366" s="59" t="s">
        <v>0</v>
      </c>
      <c r="H366" s="59" t="s">
        <v>1</v>
      </c>
      <c r="I366" s="59" t="s">
        <v>2</v>
      </c>
      <c r="J366" s="76" t="s">
        <v>13</v>
      </c>
      <c r="AR366" s="57" t="s">
        <v>524</v>
      </c>
      <c r="AS366" s="63">
        <v>1</v>
      </c>
      <c r="AT366" s="66">
        <v>204</v>
      </c>
      <c r="AU366" s="66">
        <v>59</v>
      </c>
      <c r="AV366" s="66">
        <v>52.783888749163864</v>
      </c>
      <c r="AW366" s="66">
        <v>6.2161112508361356</v>
      </c>
      <c r="AX366" s="66">
        <v>0.69945579171973915</v>
      </c>
      <c r="AY366" s="66">
        <v>0.65920473209515629</v>
      </c>
      <c r="AZ366" s="66">
        <v>51.486655227561329</v>
      </c>
      <c r="BA366" s="66">
        <v>54.0811222707664</v>
      </c>
      <c r="BB366" s="66">
        <v>8.9114830535470979</v>
      </c>
      <c r="BC366" s="66">
        <v>35.247190389138311</v>
      </c>
      <c r="BD366" s="66">
        <v>70.320587109189418</v>
      </c>
    </row>
    <row r="367" spans="1:56">
      <c r="A367">
        <v>46</v>
      </c>
      <c r="B367">
        <v>0</v>
      </c>
      <c r="C367">
        <v>2</v>
      </c>
      <c r="D367">
        <v>1</v>
      </c>
      <c r="F367" s="60" t="s">
        <v>0</v>
      </c>
      <c r="G367" s="81">
        <v>1</v>
      </c>
      <c r="H367" s="65">
        <v>-9.8446602474793782E-2</v>
      </c>
      <c r="I367" s="65">
        <v>-6.8653015840145368E-2</v>
      </c>
      <c r="J367" s="78">
        <v>-0.2254387158748376</v>
      </c>
      <c r="AR367" s="57" t="s">
        <v>525</v>
      </c>
      <c r="AS367" s="63">
        <v>1</v>
      </c>
      <c r="AT367" s="66">
        <v>232</v>
      </c>
      <c r="AU367" s="66">
        <v>57</v>
      </c>
      <c r="AV367" s="66">
        <v>53.832263561915184</v>
      </c>
      <c r="AW367" s="66">
        <v>3.1677364380848161</v>
      </c>
      <c r="AX367" s="66">
        <v>0.35644336287611428</v>
      </c>
      <c r="AY367" s="66">
        <v>0.52959137722154759</v>
      </c>
      <c r="AZ367" s="66">
        <v>52.790093119509628</v>
      </c>
      <c r="BA367" s="66">
        <v>54.87443400432074</v>
      </c>
      <c r="BB367" s="66">
        <v>8.902833614174078</v>
      </c>
      <c r="BC367" s="66">
        <v>36.312586230640576</v>
      </c>
      <c r="BD367" s="66">
        <v>71.351940893189791</v>
      </c>
    </row>
    <row r="368" spans="1:56">
      <c r="A368">
        <v>54</v>
      </c>
      <c r="B368">
        <v>0</v>
      </c>
      <c r="C368">
        <v>2</v>
      </c>
      <c r="D368">
        <v>1</v>
      </c>
      <c r="F368" s="57" t="s">
        <v>1</v>
      </c>
      <c r="G368" s="66">
        <v>-9.8446602474793782E-2</v>
      </c>
      <c r="H368" s="55">
        <v>1</v>
      </c>
      <c r="I368" s="66">
        <v>-4.9352875346989275E-2</v>
      </c>
      <c r="J368" s="79">
        <v>-0.28093657550176721</v>
      </c>
      <c r="AR368" s="57" t="s">
        <v>526</v>
      </c>
      <c r="AS368" s="63">
        <v>1</v>
      </c>
      <c r="AT368" s="66">
        <v>335</v>
      </c>
      <c r="AU368" s="66">
        <v>57</v>
      </c>
      <c r="AV368" s="66">
        <v>57.688785194536123</v>
      </c>
      <c r="AW368" s="66">
        <v>-0.68878519453612341</v>
      </c>
      <c r="AX368" s="66">
        <v>-7.7504210289720071E-2</v>
      </c>
      <c r="AY368" s="66">
        <v>1.0135084812338218</v>
      </c>
      <c r="AZ368" s="66">
        <v>55.694325640057073</v>
      </c>
      <c r="BA368" s="66">
        <v>59.683244749015174</v>
      </c>
      <c r="BB368" s="66">
        <v>8.9446732067959509</v>
      </c>
      <c r="BC368" s="66">
        <v>40.086772710862377</v>
      </c>
      <c r="BD368" s="66">
        <v>75.29079767820987</v>
      </c>
    </row>
    <row r="369" spans="1:56">
      <c r="A369">
        <v>54</v>
      </c>
      <c r="B369">
        <v>1</v>
      </c>
      <c r="C369">
        <v>2</v>
      </c>
      <c r="D369">
        <v>1</v>
      </c>
      <c r="F369" s="57" t="s">
        <v>2</v>
      </c>
      <c r="G369" s="66">
        <v>-6.8653015840145368E-2</v>
      </c>
      <c r="H369" s="66">
        <v>-4.9352875346989275E-2</v>
      </c>
      <c r="I369" s="55">
        <v>1</v>
      </c>
      <c r="J369" s="79">
        <v>0.43379826150689466</v>
      </c>
      <c r="AR369" s="57" t="s">
        <v>527</v>
      </c>
      <c r="AS369" s="63">
        <v>1</v>
      </c>
      <c r="AT369" s="66">
        <v>205</v>
      </c>
      <c r="AU369" s="66">
        <v>55</v>
      </c>
      <c r="AV369" s="66">
        <v>52.821330706762126</v>
      </c>
      <c r="AW369" s="66">
        <v>2.1786692932378742</v>
      </c>
      <c r="AX369" s="66">
        <v>0.24515051193657492</v>
      </c>
      <c r="AY369" s="66">
        <v>0.65300799341589344</v>
      </c>
      <c r="AZ369" s="66">
        <v>51.536291601777023</v>
      </c>
      <c r="BA369" s="66">
        <v>54.106369811747228</v>
      </c>
      <c r="BB369" s="66">
        <v>8.9110268080791624</v>
      </c>
      <c r="BC369" s="66">
        <v>35.285530181485427</v>
      </c>
      <c r="BD369" s="66">
        <v>70.357131232038824</v>
      </c>
    </row>
    <row r="370" spans="1:56" ht="15.75" thickBot="1">
      <c r="A370">
        <v>65</v>
      </c>
      <c r="B370">
        <v>0</v>
      </c>
      <c r="C370">
        <v>2</v>
      </c>
      <c r="D370">
        <v>1</v>
      </c>
      <c r="F370" s="77" t="s">
        <v>13</v>
      </c>
      <c r="G370" s="80">
        <v>-0.2254387158748376</v>
      </c>
      <c r="H370" s="80">
        <v>-0.28093657550176721</v>
      </c>
      <c r="I370" s="80">
        <v>0.43379826150689466</v>
      </c>
      <c r="J370" s="82">
        <v>1</v>
      </c>
      <c r="AR370" s="57" t="s">
        <v>528</v>
      </c>
      <c r="AS370" s="63">
        <v>1</v>
      </c>
      <c r="AT370" s="66">
        <v>203</v>
      </c>
      <c r="AU370" s="66">
        <v>61</v>
      </c>
      <c r="AV370" s="66">
        <v>52.746446791565603</v>
      </c>
      <c r="AW370" s="66">
        <v>8.253553208434397</v>
      </c>
      <c r="AX370" s="66">
        <v>0.92871497322863106</v>
      </c>
      <c r="AY370" s="66">
        <v>0.66549005835627195</v>
      </c>
      <c r="AZ370" s="66">
        <v>51.436844523922346</v>
      </c>
      <c r="BA370" s="66">
        <v>54.05604905920886</v>
      </c>
      <c r="BB370" s="66">
        <v>8.9119501991770296</v>
      </c>
      <c r="BC370" s="66">
        <v>35.208829146618214</v>
      </c>
      <c r="BD370" s="66">
        <v>70.284064436512992</v>
      </c>
    </row>
    <row r="371" spans="1:56">
      <c r="A371">
        <v>65</v>
      </c>
      <c r="B371">
        <v>0</v>
      </c>
      <c r="C371">
        <v>2</v>
      </c>
      <c r="D371">
        <v>1</v>
      </c>
      <c r="AR371" s="57" t="s">
        <v>529</v>
      </c>
      <c r="AS371" s="63">
        <v>1</v>
      </c>
      <c r="AT371" s="66">
        <v>318</v>
      </c>
      <c r="AU371" s="66">
        <v>58</v>
      </c>
      <c r="AV371" s="66">
        <v>57.052271915365679</v>
      </c>
      <c r="AW371" s="66">
        <v>0.94772808463432057</v>
      </c>
      <c r="AX371" s="66">
        <v>0.10664125383595155</v>
      </c>
      <c r="AY371" s="66">
        <v>0.87271240069055589</v>
      </c>
      <c r="AZ371" s="66">
        <v>55.33488166348473</v>
      </c>
      <c r="BA371" s="66">
        <v>58.769662167246629</v>
      </c>
      <c r="BB371" s="66">
        <v>8.9298155786757167</v>
      </c>
      <c r="BC371" s="66">
        <v>39.479497409380315</v>
      </c>
      <c r="BD371" s="66">
        <v>74.625046421351044</v>
      </c>
    </row>
    <row r="372" spans="1:56">
      <c r="A372">
        <v>51</v>
      </c>
      <c r="B372">
        <v>0</v>
      </c>
      <c r="C372">
        <v>2</v>
      </c>
      <c r="D372">
        <v>1</v>
      </c>
      <c r="AR372" s="57" t="s">
        <v>530</v>
      </c>
      <c r="AS372" s="63">
        <v>1</v>
      </c>
      <c r="AT372" s="66">
        <v>225</v>
      </c>
      <c r="AU372" s="66">
        <v>58</v>
      </c>
      <c r="AV372" s="66">
        <v>53.570169858727354</v>
      </c>
      <c r="AW372" s="66">
        <v>4.429830141272646</v>
      </c>
      <c r="AX372" s="66">
        <v>0.49845799465558854</v>
      </c>
      <c r="AY372" s="66">
        <v>0.55197605837527031</v>
      </c>
      <c r="AZ372" s="66">
        <v>52.483949127619077</v>
      </c>
      <c r="BA372" s="66">
        <v>54.656390589835631</v>
      </c>
      <c r="BB372" s="66">
        <v>8.9041932202676275</v>
      </c>
      <c r="BC372" s="66">
        <v>36.047816990529455</v>
      </c>
      <c r="BD372" s="66">
        <v>71.092522726925253</v>
      </c>
    </row>
    <row r="373" spans="1:56">
      <c r="A373">
        <v>48</v>
      </c>
      <c r="B373">
        <v>1</v>
      </c>
      <c r="C373">
        <v>1</v>
      </c>
      <c r="D373">
        <v>1</v>
      </c>
      <c r="F373" t="s">
        <v>193</v>
      </c>
      <c r="AR373" s="57" t="s">
        <v>531</v>
      </c>
      <c r="AS373" s="63">
        <v>1</v>
      </c>
      <c r="AT373" s="66">
        <v>212</v>
      </c>
      <c r="AU373" s="66">
        <v>67</v>
      </c>
      <c r="AV373" s="66">
        <v>53.083424409949956</v>
      </c>
      <c r="AW373" s="66">
        <v>13.916575590050044</v>
      </c>
      <c r="AX373" s="66">
        <v>1.56593551893987</v>
      </c>
      <c r="AY373" s="66">
        <v>0.61233238758215736</v>
      </c>
      <c r="AZ373" s="66">
        <v>51.87842987508089</v>
      </c>
      <c r="BA373" s="66">
        <v>54.288418944819021</v>
      </c>
      <c r="BB373" s="66">
        <v>8.908138429982019</v>
      </c>
      <c r="BC373" s="66">
        <v>35.553307856144102</v>
      </c>
      <c r="BD373" s="66">
        <v>70.61354096375581</v>
      </c>
    </row>
    <row r="374" spans="1:56" ht="15.75" thickBot="1">
      <c r="A374">
        <v>45</v>
      </c>
      <c r="B374">
        <v>1</v>
      </c>
      <c r="C374">
        <v>0</v>
      </c>
      <c r="D374">
        <v>1</v>
      </c>
      <c r="AR374" s="57" t="s">
        <v>532</v>
      </c>
      <c r="AS374" s="63">
        <v>1</v>
      </c>
      <c r="AT374" s="66">
        <v>169</v>
      </c>
      <c r="AU374" s="66">
        <v>44</v>
      </c>
      <c r="AV374" s="66">
        <v>51.473420233224708</v>
      </c>
      <c r="AW374" s="66">
        <v>-7.4734202332247079</v>
      </c>
      <c r="AX374" s="66">
        <v>-0.84093203212561107</v>
      </c>
      <c r="AY374" s="66">
        <v>0.91750313671482298</v>
      </c>
      <c r="AZ374" s="66">
        <v>49.667887343102592</v>
      </c>
      <c r="BA374" s="66">
        <v>53.278953123346824</v>
      </c>
      <c r="BB374" s="66">
        <v>8.9343041889518187</v>
      </c>
      <c r="BC374" s="66">
        <v>33.89181269641891</v>
      </c>
      <c r="BD374" s="66">
        <v>69.055027770030506</v>
      </c>
    </row>
    <row r="375" spans="1:56">
      <c r="A375">
        <v>53</v>
      </c>
      <c r="B375">
        <v>0</v>
      </c>
      <c r="C375">
        <v>0</v>
      </c>
      <c r="D375">
        <v>1</v>
      </c>
      <c r="F375" s="58"/>
      <c r="G375" s="59" t="s">
        <v>0</v>
      </c>
      <c r="H375" s="59" t="s">
        <v>1</v>
      </c>
      <c r="I375" s="59" t="s">
        <v>2</v>
      </c>
      <c r="AR375" s="57" t="s">
        <v>533</v>
      </c>
      <c r="AS375" s="63">
        <v>1</v>
      </c>
      <c r="AT375" s="66">
        <v>187</v>
      </c>
      <c r="AU375" s="66">
        <v>63</v>
      </c>
      <c r="AV375" s="66">
        <v>52.147375469993413</v>
      </c>
      <c r="AW375" s="66">
        <v>10.852624530006587</v>
      </c>
      <c r="AX375" s="66">
        <v>1.2211704032568198</v>
      </c>
      <c r="AY375" s="66">
        <v>0.77625665022656387</v>
      </c>
      <c r="AZ375" s="66">
        <v>50.619798225758103</v>
      </c>
      <c r="BA375" s="66">
        <v>53.674952714228723</v>
      </c>
      <c r="BB375" s="66">
        <v>8.9209054317295298</v>
      </c>
      <c r="BC375" s="66">
        <v>34.592135033073752</v>
      </c>
      <c r="BD375" s="66">
        <v>69.702615906913081</v>
      </c>
    </row>
    <row r="376" spans="1:56">
      <c r="A376">
        <v>39</v>
      </c>
      <c r="B376">
        <v>1</v>
      </c>
      <c r="C376">
        <v>2</v>
      </c>
      <c r="D376">
        <v>1</v>
      </c>
      <c r="F376" s="60" t="s">
        <v>194</v>
      </c>
      <c r="G376" s="65">
        <v>0.98489111083074377</v>
      </c>
      <c r="H376" s="65">
        <v>0.98714485257515205</v>
      </c>
      <c r="I376" s="65">
        <v>0.99210744635429471</v>
      </c>
      <c r="AR376" s="57" t="s">
        <v>534</v>
      </c>
      <c r="AS376" s="63">
        <v>1</v>
      </c>
      <c r="AT376" s="66">
        <v>197</v>
      </c>
      <c r="AU376" s="66">
        <v>63</v>
      </c>
      <c r="AV376" s="66">
        <v>52.521795045976035</v>
      </c>
      <c r="AW376" s="66">
        <v>10.478204954023965</v>
      </c>
      <c r="AX376" s="66">
        <v>1.1790395709106216</v>
      </c>
      <c r="AY376" s="66">
        <v>0.70492733182647549</v>
      </c>
      <c r="AZ376" s="66">
        <v>51.134585093412866</v>
      </c>
      <c r="BA376" s="66">
        <v>53.909004998539203</v>
      </c>
      <c r="BB376" s="66">
        <v>8.9149818776033669</v>
      </c>
      <c r="BC376" s="66">
        <v>34.978211432203054</v>
      </c>
      <c r="BD376" s="66">
        <v>70.065378659749015</v>
      </c>
    </row>
    <row r="377" spans="1:56" ht="15.75" thickBot="1">
      <c r="A377">
        <v>52</v>
      </c>
      <c r="B377">
        <v>1</v>
      </c>
      <c r="C377">
        <v>1</v>
      </c>
      <c r="D377">
        <v>1</v>
      </c>
      <c r="F377" s="61" t="s">
        <v>195</v>
      </c>
      <c r="G377" s="67">
        <v>1.0153406696467309</v>
      </c>
      <c r="H377" s="67">
        <v>1.0130225542799649</v>
      </c>
      <c r="I377" s="67">
        <v>1.0079553416061013</v>
      </c>
      <c r="AR377" s="57" t="s">
        <v>535</v>
      </c>
      <c r="AS377" s="63">
        <v>1</v>
      </c>
      <c r="AT377" s="66">
        <v>176</v>
      </c>
      <c r="AU377" s="66">
        <v>59</v>
      </c>
      <c r="AV377" s="66">
        <v>51.735513936412538</v>
      </c>
      <c r="AW377" s="66">
        <v>7.2644860635874622</v>
      </c>
      <c r="AX377" s="66">
        <v>0.8174221222890925</v>
      </c>
      <c r="AY377" s="66">
        <v>0.86097573682127027</v>
      </c>
      <c r="AZ377" s="66">
        <v>50.041219989915547</v>
      </c>
      <c r="BA377" s="66">
        <v>53.429807882909529</v>
      </c>
      <c r="BB377" s="66">
        <v>8.9286761927082665</v>
      </c>
      <c r="BC377" s="66">
        <v>34.164981601332585</v>
      </c>
      <c r="BD377" s="66">
        <v>69.306046271492491</v>
      </c>
    </row>
    <row r="378" spans="1:56">
      <c r="A378">
        <v>44</v>
      </c>
      <c r="B378">
        <v>1</v>
      </c>
      <c r="C378">
        <v>2</v>
      </c>
      <c r="D378">
        <v>1</v>
      </c>
      <c r="AR378" s="57" t="s">
        <v>536</v>
      </c>
      <c r="AS378" s="63">
        <v>1</v>
      </c>
      <c r="AT378" s="66">
        <v>241</v>
      </c>
      <c r="AU378" s="66">
        <v>57</v>
      </c>
      <c r="AV378" s="66">
        <v>54.169241180299537</v>
      </c>
      <c r="AW378" s="66">
        <v>2.8307588197004634</v>
      </c>
      <c r="AX378" s="66">
        <v>0.31852561376453664</v>
      </c>
      <c r="AY378" s="66">
        <v>0.51318374708012682</v>
      </c>
      <c r="AZ378" s="66">
        <v>53.159358928183302</v>
      </c>
      <c r="BA378" s="66">
        <v>55.179123432415771</v>
      </c>
      <c r="BB378" s="66">
        <v>8.9018726621485467</v>
      </c>
      <c r="BC378" s="66">
        <v>36.651454883963659</v>
      </c>
      <c r="BD378" s="66">
        <v>71.687027476635421</v>
      </c>
    </row>
    <row r="379" spans="1:56">
      <c r="A379">
        <v>47</v>
      </c>
      <c r="B379">
        <v>1</v>
      </c>
      <c r="C379">
        <v>2</v>
      </c>
      <c r="D379">
        <v>1</v>
      </c>
      <c r="AR379" s="57" t="s">
        <v>537</v>
      </c>
      <c r="AS379" s="63">
        <v>1</v>
      </c>
      <c r="AT379" s="66">
        <v>264</v>
      </c>
      <c r="AU379" s="66">
        <v>45</v>
      </c>
      <c r="AV379" s="66">
        <v>55.030406205059556</v>
      </c>
      <c r="AW379" s="66">
        <v>-10.030406205059556</v>
      </c>
      <c r="AX379" s="66">
        <v>-1.1286518902773515</v>
      </c>
      <c r="AY379" s="66">
        <v>0.53970622996501583</v>
      </c>
      <c r="AZ379" s="66">
        <v>53.968330981322715</v>
      </c>
      <c r="BA379" s="66">
        <v>56.092481428796397</v>
      </c>
      <c r="BB379" s="66">
        <v>8.9034410285857177</v>
      </c>
      <c r="BC379" s="66">
        <v>37.509533557219513</v>
      </c>
      <c r="BD379" s="66">
        <v>72.5512788528996</v>
      </c>
    </row>
    <row r="380" spans="1:56">
      <c r="A380">
        <v>53</v>
      </c>
      <c r="B380">
        <v>0</v>
      </c>
      <c r="C380">
        <v>2</v>
      </c>
      <c r="D380">
        <v>1</v>
      </c>
      <c r="F380" s="1" t="s">
        <v>196</v>
      </c>
      <c r="AR380" s="57" t="s">
        <v>538</v>
      </c>
      <c r="AS380" s="63">
        <v>1</v>
      </c>
      <c r="AT380" s="66">
        <v>193</v>
      </c>
      <c r="AU380" s="66">
        <v>68</v>
      </c>
      <c r="AV380" s="66">
        <v>52.372027215582982</v>
      </c>
      <c r="AW380" s="66">
        <v>15.627972784417018</v>
      </c>
      <c r="AX380" s="66">
        <v>1.7585071495347819</v>
      </c>
      <c r="AY380" s="66">
        <v>0.73269835912773595</v>
      </c>
      <c r="AZ380" s="66">
        <v>50.930167310143972</v>
      </c>
      <c r="BA380" s="66">
        <v>53.813887121021992</v>
      </c>
      <c r="BB380" s="66">
        <v>8.9172207677229203</v>
      </c>
      <c r="BC380" s="66">
        <v>34.824037742487604</v>
      </c>
      <c r="BD380" s="66">
        <v>69.920016688678359</v>
      </c>
    </row>
    <row r="381" spans="1:56">
      <c r="A381">
        <v>53</v>
      </c>
      <c r="B381">
        <v>0</v>
      </c>
      <c r="C381">
        <v>0</v>
      </c>
      <c r="D381">
        <v>1</v>
      </c>
      <c r="AR381" s="57" t="s">
        <v>539</v>
      </c>
      <c r="AS381" s="63">
        <v>1</v>
      </c>
      <c r="AT381" s="66">
        <v>131</v>
      </c>
      <c r="AU381" s="66">
        <v>57</v>
      </c>
      <c r="AV381" s="66">
        <v>50.050625844490767</v>
      </c>
      <c r="AW381" s="66">
        <v>6.9493741555092328</v>
      </c>
      <c r="AX381" s="66">
        <v>0.78196476957270922</v>
      </c>
      <c r="AY381" s="66">
        <v>1.2466072270866697</v>
      </c>
      <c r="AZ381" s="66">
        <v>47.597456738575765</v>
      </c>
      <c r="BA381" s="66">
        <v>52.503794950405769</v>
      </c>
      <c r="BB381" s="66">
        <v>8.9740742649849512</v>
      </c>
      <c r="BC381" s="66">
        <v>32.390755708411916</v>
      </c>
      <c r="BD381" s="66">
        <v>67.710495980569618</v>
      </c>
    </row>
    <row r="382" spans="1:56" ht="15.75" thickBot="1">
      <c r="A382">
        <v>51</v>
      </c>
      <c r="B382">
        <v>0</v>
      </c>
      <c r="C382">
        <v>2</v>
      </c>
      <c r="D382">
        <v>1</v>
      </c>
      <c r="F382" t="s">
        <v>197</v>
      </c>
      <c r="AR382" s="61" t="s">
        <v>540</v>
      </c>
      <c r="AS382" s="64">
        <v>1</v>
      </c>
      <c r="AT382" s="67">
        <v>236</v>
      </c>
      <c r="AU382" s="67">
        <v>57</v>
      </c>
      <c r="AV382" s="67">
        <v>53.98203139230823</v>
      </c>
      <c r="AW382" s="67">
        <v>3.0179686076917704</v>
      </c>
      <c r="AX382" s="67">
        <v>0.33959102993763535</v>
      </c>
      <c r="AY382" s="67">
        <v>0.52049574690914535</v>
      </c>
      <c r="AZ382" s="67">
        <v>52.957760027331702</v>
      </c>
      <c r="BA382" s="67">
        <v>55.006302757284757</v>
      </c>
      <c r="BB382" s="67">
        <v>8.9022971842885017</v>
      </c>
      <c r="BC382" s="67">
        <v>36.463409688816128</v>
      </c>
      <c r="BD382" s="67">
        <v>71.500653095800331</v>
      </c>
    </row>
    <row r="383" spans="1:56" ht="15.75" thickBot="1">
      <c r="A383">
        <v>66</v>
      </c>
      <c r="B383">
        <v>1</v>
      </c>
      <c r="C383">
        <v>0</v>
      </c>
      <c r="D383">
        <v>1</v>
      </c>
    </row>
    <row r="384" spans="1:56" ht="30">
      <c r="A384">
        <v>62</v>
      </c>
      <c r="B384">
        <v>1</v>
      </c>
      <c r="C384">
        <v>2</v>
      </c>
      <c r="D384">
        <v>1</v>
      </c>
      <c r="F384" s="58" t="s">
        <v>198</v>
      </c>
      <c r="G384" s="59" t="s">
        <v>199</v>
      </c>
      <c r="H384" s="59" t="s">
        <v>200</v>
      </c>
    </row>
    <row r="385" spans="1:9">
      <c r="A385">
        <v>44</v>
      </c>
      <c r="B385">
        <v>0</v>
      </c>
      <c r="C385">
        <v>2</v>
      </c>
      <c r="D385">
        <v>1</v>
      </c>
      <c r="F385" s="60" t="s">
        <v>86</v>
      </c>
      <c r="G385" s="62">
        <v>303</v>
      </c>
      <c r="H385" s="62">
        <v>303</v>
      </c>
    </row>
    <row r="386" spans="1:9">
      <c r="A386">
        <v>63</v>
      </c>
      <c r="B386">
        <v>0</v>
      </c>
      <c r="C386">
        <v>2</v>
      </c>
      <c r="D386">
        <v>1</v>
      </c>
      <c r="F386" s="57" t="s">
        <v>201</v>
      </c>
      <c r="G386" s="66">
        <v>303</v>
      </c>
      <c r="H386" s="66">
        <v>303</v>
      </c>
    </row>
    <row r="387" spans="1:9">
      <c r="A387">
        <v>52</v>
      </c>
      <c r="B387">
        <v>1</v>
      </c>
      <c r="C387">
        <v>1</v>
      </c>
      <c r="D387">
        <v>1</v>
      </c>
      <c r="F387" s="57" t="s">
        <v>202</v>
      </c>
      <c r="G387" s="63">
        <v>302</v>
      </c>
      <c r="H387" s="63">
        <v>299</v>
      </c>
    </row>
    <row r="388" spans="1:9">
      <c r="A388">
        <v>48</v>
      </c>
      <c r="B388">
        <v>1</v>
      </c>
      <c r="C388">
        <v>0</v>
      </c>
      <c r="D388">
        <v>1</v>
      </c>
      <c r="F388" s="57" t="s">
        <v>203</v>
      </c>
      <c r="G388" s="66">
        <v>417.63805664809757</v>
      </c>
      <c r="H388" s="66">
        <v>310.80592139768697</v>
      </c>
    </row>
    <row r="389" spans="1:9">
      <c r="A389">
        <v>45</v>
      </c>
      <c r="B389">
        <v>1</v>
      </c>
      <c r="C389">
        <v>0</v>
      </c>
      <c r="D389">
        <v>1</v>
      </c>
      <c r="F389" s="57" t="s">
        <v>204</v>
      </c>
      <c r="G389" s="66">
        <v>0</v>
      </c>
      <c r="H389" s="66">
        <v>0.25580076707527521</v>
      </c>
    </row>
    <row r="390" spans="1:9">
      <c r="A390">
        <v>34</v>
      </c>
      <c r="B390">
        <v>1</v>
      </c>
      <c r="C390">
        <v>3</v>
      </c>
      <c r="D390">
        <v>1</v>
      </c>
      <c r="F390" s="57" t="s">
        <v>205</v>
      </c>
      <c r="G390" s="66">
        <v>0</v>
      </c>
      <c r="H390" s="66">
        <v>0.29712857909155832</v>
      </c>
    </row>
    <row r="391" spans="1:9">
      <c r="A391">
        <v>57</v>
      </c>
      <c r="B391">
        <v>0</v>
      </c>
      <c r="C391">
        <v>0</v>
      </c>
      <c r="D391">
        <v>1</v>
      </c>
      <c r="F391" s="57" t="s">
        <v>206</v>
      </c>
      <c r="G391" s="66">
        <v>0</v>
      </c>
      <c r="H391" s="66">
        <v>0.39479837935196965</v>
      </c>
    </row>
    <row r="392" spans="1:9">
      <c r="A392">
        <v>71</v>
      </c>
      <c r="B392">
        <v>0</v>
      </c>
      <c r="C392">
        <v>2</v>
      </c>
      <c r="D392">
        <v>1</v>
      </c>
      <c r="F392" s="57" t="s">
        <v>207</v>
      </c>
      <c r="G392" s="66">
        <v>419.63805664809757</v>
      </c>
      <c r="H392" s="66">
        <v>318.80592139768697</v>
      </c>
    </row>
    <row r="393" spans="1:9">
      <c r="A393">
        <v>54</v>
      </c>
      <c r="B393">
        <v>1</v>
      </c>
      <c r="C393">
        <v>1</v>
      </c>
      <c r="D393">
        <v>1</v>
      </c>
      <c r="F393" s="57" t="s">
        <v>208</v>
      </c>
      <c r="G393" s="66">
        <v>423.35178945360695</v>
      </c>
      <c r="H393" s="66">
        <v>333.66085261972444</v>
      </c>
    </row>
    <row r="394" spans="1:9" ht="15.75" thickBot="1">
      <c r="A394">
        <v>52</v>
      </c>
      <c r="B394">
        <v>1</v>
      </c>
      <c r="C394">
        <v>3</v>
      </c>
      <c r="D394">
        <v>1</v>
      </c>
      <c r="F394" s="61" t="s">
        <v>209</v>
      </c>
      <c r="G394" s="64">
        <v>0</v>
      </c>
      <c r="H394" s="64">
        <v>4</v>
      </c>
    </row>
    <row r="395" spans="1:9">
      <c r="A395">
        <v>41</v>
      </c>
      <c r="B395">
        <v>1</v>
      </c>
      <c r="C395">
        <v>1</v>
      </c>
      <c r="D395">
        <v>1</v>
      </c>
    </row>
    <row r="396" spans="1:9">
      <c r="A396">
        <v>58</v>
      </c>
      <c r="B396">
        <v>1</v>
      </c>
      <c r="C396">
        <v>2</v>
      </c>
      <c r="D396">
        <v>1</v>
      </c>
    </row>
    <row r="397" spans="1:9">
      <c r="A397">
        <v>35</v>
      </c>
      <c r="B397">
        <v>0</v>
      </c>
      <c r="C397">
        <v>0</v>
      </c>
      <c r="D397">
        <v>1</v>
      </c>
      <c r="F397" t="s">
        <v>210</v>
      </c>
    </row>
    <row r="398" spans="1:9" ht="15.75" thickBot="1">
      <c r="A398">
        <v>51</v>
      </c>
      <c r="B398">
        <v>1</v>
      </c>
      <c r="C398">
        <v>2</v>
      </c>
      <c r="D398">
        <v>1</v>
      </c>
    </row>
    <row r="399" spans="1:9" ht="30">
      <c r="A399">
        <v>45</v>
      </c>
      <c r="B399">
        <v>0</v>
      </c>
      <c r="C399">
        <v>1</v>
      </c>
      <c r="D399">
        <v>1</v>
      </c>
      <c r="F399" s="58" t="s">
        <v>198</v>
      </c>
      <c r="G399" s="59" t="s">
        <v>202</v>
      </c>
      <c r="H399" s="59" t="s">
        <v>211</v>
      </c>
      <c r="I399" s="59" t="s">
        <v>212</v>
      </c>
    </row>
    <row r="400" spans="1:9">
      <c r="A400">
        <v>44</v>
      </c>
      <c r="B400">
        <v>1</v>
      </c>
      <c r="C400">
        <v>1</v>
      </c>
      <c r="D400">
        <v>1</v>
      </c>
      <c r="F400" s="60" t="s">
        <v>203</v>
      </c>
      <c r="G400" s="62">
        <v>3</v>
      </c>
      <c r="H400" s="65">
        <v>106.8321352504106</v>
      </c>
      <c r="I400" s="83">
        <v>0</v>
      </c>
    </row>
    <row r="401" spans="1:11">
      <c r="A401">
        <v>62</v>
      </c>
      <c r="B401">
        <v>0</v>
      </c>
      <c r="C401">
        <v>0</v>
      </c>
      <c r="D401">
        <v>1</v>
      </c>
      <c r="F401" s="57" t="s">
        <v>213</v>
      </c>
      <c r="G401" s="63">
        <v>3</v>
      </c>
      <c r="H401" s="66">
        <v>92.659769985308117</v>
      </c>
      <c r="I401" s="84">
        <v>0</v>
      </c>
    </row>
    <row r="402" spans="1:11" ht="15.75" thickBot="1">
      <c r="A402">
        <v>54</v>
      </c>
      <c r="B402">
        <v>1</v>
      </c>
      <c r="C402">
        <v>2</v>
      </c>
      <c r="D402">
        <v>1</v>
      </c>
      <c r="F402" s="61" t="s">
        <v>214</v>
      </c>
      <c r="G402" s="64">
        <v>3</v>
      </c>
      <c r="H402" s="67">
        <v>69.754155632739995</v>
      </c>
      <c r="I402" s="85">
        <v>4.7739590058881731E-15</v>
      </c>
    </row>
    <row r="403" spans="1:11">
      <c r="A403">
        <v>51</v>
      </c>
      <c r="B403">
        <v>1</v>
      </c>
      <c r="C403">
        <v>2</v>
      </c>
      <c r="D403">
        <v>1</v>
      </c>
    </row>
    <row r="404" spans="1:11">
      <c r="A404">
        <v>29</v>
      </c>
      <c r="B404">
        <v>1</v>
      </c>
      <c r="C404">
        <v>1</v>
      </c>
      <c r="D404">
        <v>1</v>
      </c>
    </row>
    <row r="405" spans="1:11">
      <c r="A405">
        <v>51</v>
      </c>
      <c r="B405">
        <v>1</v>
      </c>
      <c r="C405">
        <v>0</v>
      </c>
      <c r="D405">
        <v>1</v>
      </c>
      <c r="F405" t="s">
        <v>215</v>
      </c>
    </row>
    <row r="406" spans="1:11" ht="15.75" thickBot="1">
      <c r="A406">
        <v>43</v>
      </c>
      <c r="B406">
        <v>0</v>
      </c>
      <c r="C406">
        <v>2</v>
      </c>
      <c r="D406">
        <v>1</v>
      </c>
    </row>
    <row r="407" spans="1:11" ht="45">
      <c r="A407">
        <v>55</v>
      </c>
      <c r="B407">
        <v>0</v>
      </c>
      <c r="C407">
        <v>1</v>
      </c>
      <c r="D407">
        <v>1</v>
      </c>
      <c r="F407" s="58" t="s">
        <v>216</v>
      </c>
      <c r="G407" s="59" t="s">
        <v>202</v>
      </c>
      <c r="H407" s="59" t="s">
        <v>217</v>
      </c>
      <c r="I407" s="59" t="s">
        <v>218</v>
      </c>
      <c r="J407" s="59" t="s">
        <v>219</v>
      </c>
      <c r="K407" s="59" t="s">
        <v>220</v>
      </c>
    </row>
    <row r="408" spans="1:11">
      <c r="A408">
        <v>51</v>
      </c>
      <c r="B408">
        <v>1</v>
      </c>
      <c r="C408">
        <v>2</v>
      </c>
      <c r="D408">
        <v>1</v>
      </c>
      <c r="F408" s="60" t="s">
        <v>0</v>
      </c>
      <c r="G408" s="62">
        <v>1</v>
      </c>
      <c r="H408" s="65">
        <v>18.527155373494502</v>
      </c>
      <c r="I408" s="83">
        <v>1.6750075545579612E-5</v>
      </c>
      <c r="J408" s="65">
        <v>20.592943031958953</v>
      </c>
      <c r="K408" s="83">
        <v>5.680512332517651E-6</v>
      </c>
    </row>
    <row r="409" spans="1:11">
      <c r="A409">
        <v>59</v>
      </c>
      <c r="B409">
        <v>1</v>
      </c>
      <c r="C409">
        <v>1</v>
      </c>
      <c r="D409">
        <v>1</v>
      </c>
      <c r="F409" s="57" t="s">
        <v>1</v>
      </c>
      <c r="G409" s="63">
        <v>1</v>
      </c>
      <c r="H409" s="66">
        <v>27.340424694422907</v>
      </c>
      <c r="I409" s="84">
        <v>1.7060716839267798E-7</v>
      </c>
      <c r="J409" s="66">
        <v>31.322194992580933</v>
      </c>
      <c r="K409" s="84">
        <v>2.1856659926378086E-8</v>
      </c>
    </row>
    <row r="410" spans="1:11" ht="15.75" thickBot="1">
      <c r="A410">
        <v>52</v>
      </c>
      <c r="B410">
        <v>1</v>
      </c>
      <c r="C410">
        <v>1</v>
      </c>
      <c r="D410">
        <v>1</v>
      </c>
      <c r="F410" s="61" t="s">
        <v>2</v>
      </c>
      <c r="G410" s="64">
        <v>1</v>
      </c>
      <c r="H410" s="67">
        <v>48.486327701661359</v>
      </c>
      <c r="I410" s="85">
        <v>3.326006137172044E-12</v>
      </c>
      <c r="J410" s="67">
        <v>59.768230609881073</v>
      </c>
      <c r="K410" s="85">
        <v>1.0658141036401503E-14</v>
      </c>
    </row>
    <row r="411" spans="1:11">
      <c r="A411">
        <v>58</v>
      </c>
      <c r="B411">
        <v>1</v>
      </c>
      <c r="C411">
        <v>2</v>
      </c>
      <c r="D411">
        <v>1</v>
      </c>
    </row>
    <row r="412" spans="1:11">
      <c r="A412">
        <v>41</v>
      </c>
      <c r="B412">
        <v>1</v>
      </c>
      <c r="C412">
        <v>2</v>
      </c>
      <c r="D412">
        <v>1</v>
      </c>
    </row>
    <row r="413" spans="1:11">
      <c r="A413">
        <v>45</v>
      </c>
      <c r="B413">
        <v>1</v>
      </c>
      <c r="C413">
        <v>1</v>
      </c>
      <c r="D413">
        <v>1</v>
      </c>
      <c r="F413" t="s">
        <v>221</v>
      </c>
    </row>
    <row r="414" spans="1:11" ht="15.75" thickBot="1">
      <c r="A414">
        <v>60</v>
      </c>
      <c r="B414">
        <v>0</v>
      </c>
      <c r="C414">
        <v>2</v>
      </c>
      <c r="D414">
        <v>1</v>
      </c>
    </row>
    <row r="415" spans="1:11" ht="30">
      <c r="A415">
        <v>52</v>
      </c>
      <c r="B415">
        <v>1</v>
      </c>
      <c r="C415">
        <v>3</v>
      </c>
      <c r="D415">
        <v>1</v>
      </c>
      <c r="F415" s="86" t="s">
        <v>198</v>
      </c>
      <c r="G415" s="59" t="s">
        <v>211</v>
      </c>
      <c r="H415" s="59" t="s">
        <v>202</v>
      </c>
      <c r="I415" s="59" t="s">
        <v>212</v>
      </c>
    </row>
    <row r="416" spans="1:11" ht="15.75" thickBot="1">
      <c r="A416">
        <v>42</v>
      </c>
      <c r="B416">
        <v>0</v>
      </c>
      <c r="C416">
        <v>0</v>
      </c>
      <c r="D416">
        <v>1</v>
      </c>
      <c r="F416" s="87" t="s">
        <v>222</v>
      </c>
      <c r="G416" s="88">
        <v>1.6790580734275624</v>
      </c>
      <c r="H416" s="89">
        <v>8</v>
      </c>
      <c r="I416" s="90">
        <v>0.98932100070545426</v>
      </c>
    </row>
    <row r="417" spans="1:15">
      <c r="A417">
        <v>67</v>
      </c>
      <c r="B417">
        <v>0</v>
      </c>
      <c r="C417">
        <v>2</v>
      </c>
      <c r="D417">
        <v>1</v>
      </c>
    </row>
    <row r="418" spans="1:15">
      <c r="A418">
        <v>68</v>
      </c>
      <c r="B418">
        <v>1</v>
      </c>
      <c r="C418">
        <v>2</v>
      </c>
      <c r="D418">
        <v>1</v>
      </c>
    </row>
    <row r="419" spans="1:15">
      <c r="A419">
        <v>46</v>
      </c>
      <c r="B419">
        <v>1</v>
      </c>
      <c r="C419">
        <v>1</v>
      </c>
      <c r="D419">
        <v>1</v>
      </c>
      <c r="F419" t="s">
        <v>223</v>
      </c>
    </row>
    <row r="420" spans="1:15" ht="15.75" thickBot="1">
      <c r="A420">
        <v>54</v>
      </c>
      <c r="B420">
        <v>0</v>
      </c>
      <c r="C420">
        <v>2</v>
      </c>
      <c r="D420">
        <v>1</v>
      </c>
    </row>
    <row r="421" spans="1:15" ht="30" customHeight="1">
      <c r="A421">
        <v>58</v>
      </c>
      <c r="B421">
        <v>0</v>
      </c>
      <c r="C421">
        <v>0</v>
      </c>
      <c r="D421">
        <v>1</v>
      </c>
      <c r="F421" s="58" t="s">
        <v>216</v>
      </c>
      <c r="G421" s="59" t="s">
        <v>224</v>
      </c>
      <c r="H421" s="59" t="s">
        <v>225</v>
      </c>
      <c r="I421" s="59" t="s">
        <v>226</v>
      </c>
      <c r="J421" s="59" t="s">
        <v>212</v>
      </c>
      <c r="K421" s="59" t="s">
        <v>227</v>
      </c>
      <c r="L421" s="59" t="s">
        <v>228</v>
      </c>
      <c r="M421" s="59" t="s">
        <v>229</v>
      </c>
      <c r="N421" s="59" t="s">
        <v>230</v>
      </c>
      <c r="O421" s="59" t="s">
        <v>231</v>
      </c>
    </row>
    <row r="422" spans="1:15">
      <c r="A422">
        <v>48</v>
      </c>
      <c r="B422">
        <v>1</v>
      </c>
      <c r="C422">
        <v>2</v>
      </c>
      <c r="D422">
        <v>1</v>
      </c>
      <c r="F422" s="60" t="s">
        <v>140</v>
      </c>
      <c r="G422" s="65">
        <v>4.4332403938025431</v>
      </c>
      <c r="H422" s="65">
        <v>1.0131501406988976</v>
      </c>
      <c r="I422" s="65">
        <v>19.146744643466391</v>
      </c>
      <c r="J422" s="83">
        <v>1.2104376862609456E-5</v>
      </c>
      <c r="K422" s="65">
        <v>2.4475026071010157</v>
      </c>
      <c r="L422" s="65">
        <v>6.4189781805040704</v>
      </c>
      <c r="M422" s="65"/>
      <c r="N422" s="65"/>
      <c r="O422" s="65"/>
    </row>
    <row r="423" spans="1:15">
      <c r="A423">
        <v>57</v>
      </c>
      <c r="B423">
        <v>1</v>
      </c>
      <c r="C423">
        <v>0</v>
      </c>
      <c r="D423">
        <v>1</v>
      </c>
      <c r="F423" s="57" t="s">
        <v>0</v>
      </c>
      <c r="G423" s="66">
        <v>-7.2856814101486186E-2</v>
      </c>
      <c r="H423" s="66">
        <v>1.692644695626376E-2</v>
      </c>
      <c r="I423" s="66">
        <v>18.527155373494498</v>
      </c>
      <c r="J423" s="84">
        <v>1.6750075545579612E-5</v>
      </c>
      <c r="K423" s="66">
        <v>-0.10603204052199078</v>
      </c>
      <c r="L423" s="66">
        <v>-3.9681587680981602E-2</v>
      </c>
      <c r="M423" s="66">
        <v>0.92973394528578579</v>
      </c>
      <c r="N423" s="66">
        <v>0.89939583050237581</v>
      </c>
      <c r="O423" s="66">
        <v>0.96109541505639551</v>
      </c>
    </row>
    <row r="424" spans="1:15">
      <c r="A424">
        <v>52</v>
      </c>
      <c r="B424">
        <v>1</v>
      </c>
      <c r="C424">
        <v>2</v>
      </c>
      <c r="D424">
        <v>1</v>
      </c>
      <c r="F424" s="57" t="s">
        <v>1</v>
      </c>
      <c r="G424" s="66">
        <v>-1.7107894030311845</v>
      </c>
      <c r="H424" s="66">
        <v>0.3271854055535981</v>
      </c>
      <c r="I424" s="66">
        <v>27.340424694422918</v>
      </c>
      <c r="J424" s="84">
        <v>1.7060716839267798E-7</v>
      </c>
      <c r="K424" s="66">
        <v>-2.3520610141833682</v>
      </c>
      <c r="L424" s="66">
        <v>-1.0695177918790009</v>
      </c>
      <c r="M424" s="66">
        <v>0.18072307295127235</v>
      </c>
      <c r="N424" s="66">
        <v>9.517280743406821E-2</v>
      </c>
      <c r="O424" s="66">
        <v>0.3431739587967601</v>
      </c>
    </row>
    <row r="425" spans="1:15" ht="15.75" thickBot="1">
      <c r="A425">
        <v>54</v>
      </c>
      <c r="B425">
        <v>0</v>
      </c>
      <c r="C425">
        <v>1</v>
      </c>
      <c r="D425">
        <v>1</v>
      </c>
      <c r="F425" s="61" t="s">
        <v>2</v>
      </c>
      <c r="G425" s="67">
        <v>1.0256331536799754</v>
      </c>
      <c r="H425" s="67">
        <v>0.14729310073784171</v>
      </c>
      <c r="I425" s="67">
        <v>48.486327701661338</v>
      </c>
      <c r="J425" s="85">
        <v>3.326006137172044E-12</v>
      </c>
      <c r="K425" s="67">
        <v>0.73694398106257575</v>
      </c>
      <c r="L425" s="67">
        <v>1.3143223262973751</v>
      </c>
      <c r="M425" s="67">
        <v>2.7888606790814796</v>
      </c>
      <c r="N425" s="67">
        <v>2.0895400731427771</v>
      </c>
      <c r="O425" s="67">
        <v>3.7222276745469065</v>
      </c>
    </row>
    <row r="426" spans="1:15">
      <c r="A426">
        <v>45</v>
      </c>
      <c r="B426">
        <v>0</v>
      </c>
      <c r="C426">
        <v>1</v>
      </c>
      <c r="D426">
        <v>1</v>
      </c>
    </row>
    <row r="427" spans="1:15">
      <c r="A427">
        <v>53</v>
      </c>
      <c r="B427">
        <v>1</v>
      </c>
      <c r="C427">
        <v>0</v>
      </c>
      <c r="D427">
        <v>1</v>
      </c>
    </row>
    <row r="428" spans="1:15">
      <c r="A428">
        <v>62</v>
      </c>
      <c r="B428">
        <v>0</v>
      </c>
      <c r="C428">
        <v>0</v>
      </c>
      <c r="D428">
        <v>1</v>
      </c>
      <c r="F428" t="s">
        <v>232</v>
      </c>
    </row>
    <row r="429" spans="1:15">
      <c r="A429">
        <v>52</v>
      </c>
      <c r="B429">
        <v>1</v>
      </c>
      <c r="C429">
        <v>0</v>
      </c>
      <c r="D429">
        <v>1</v>
      </c>
    </row>
    <row r="430" spans="1:15">
      <c r="A430">
        <v>43</v>
      </c>
      <c r="B430">
        <v>1</v>
      </c>
      <c r="C430">
        <v>2</v>
      </c>
      <c r="D430">
        <v>1</v>
      </c>
      <c r="F430" t="s">
        <v>233</v>
      </c>
    </row>
    <row r="431" spans="1:15">
      <c r="A431">
        <v>53</v>
      </c>
      <c r="B431">
        <v>1</v>
      </c>
      <c r="C431">
        <v>2</v>
      </c>
      <c r="D431">
        <v>1</v>
      </c>
    </row>
    <row r="432" spans="1:15">
      <c r="A432">
        <v>42</v>
      </c>
      <c r="B432">
        <v>1</v>
      </c>
      <c r="C432">
        <v>3</v>
      </c>
      <c r="D432">
        <v>1</v>
      </c>
    </row>
    <row r="433" spans="1:12">
      <c r="A433">
        <v>59</v>
      </c>
      <c r="B433">
        <v>1</v>
      </c>
      <c r="C433">
        <v>3</v>
      </c>
      <c r="D433">
        <v>1</v>
      </c>
      <c r="F433" t="s">
        <v>234</v>
      </c>
    </row>
    <row r="434" spans="1:12" ht="15.75" thickBot="1">
      <c r="A434">
        <v>63</v>
      </c>
      <c r="B434">
        <v>0</v>
      </c>
      <c r="C434">
        <v>1</v>
      </c>
      <c r="D434">
        <v>1</v>
      </c>
    </row>
    <row r="435" spans="1:12" ht="30" customHeight="1">
      <c r="A435">
        <v>42</v>
      </c>
      <c r="B435">
        <v>1</v>
      </c>
      <c r="C435">
        <v>2</v>
      </c>
      <c r="D435">
        <v>1</v>
      </c>
      <c r="F435" s="58" t="s">
        <v>216</v>
      </c>
      <c r="G435" s="59" t="s">
        <v>224</v>
      </c>
      <c r="H435" s="59" t="s">
        <v>225</v>
      </c>
      <c r="I435" s="59" t="s">
        <v>226</v>
      </c>
      <c r="J435" s="59" t="s">
        <v>212</v>
      </c>
      <c r="K435" s="59" t="s">
        <v>227</v>
      </c>
      <c r="L435" s="59" t="s">
        <v>228</v>
      </c>
    </row>
    <row r="436" spans="1:12">
      <c r="A436">
        <v>50</v>
      </c>
      <c r="B436">
        <v>1</v>
      </c>
      <c r="C436">
        <v>2</v>
      </c>
      <c r="D436">
        <v>1</v>
      </c>
      <c r="F436" s="60" t="s">
        <v>0</v>
      </c>
      <c r="G436" s="65">
        <v>-0.36420794468634793</v>
      </c>
      <c r="H436" s="65">
        <v>8.4614548862871022E-2</v>
      </c>
      <c r="I436" s="65">
        <v>18.527155373494498</v>
      </c>
      <c r="J436" s="83">
        <v>1.6750075545579612E-5</v>
      </c>
      <c r="K436" s="65">
        <v>-0.53004941302567965</v>
      </c>
      <c r="L436" s="65">
        <v>-0.19836647634701618</v>
      </c>
    </row>
    <row r="437" spans="1:12">
      <c r="A437">
        <v>68</v>
      </c>
      <c r="B437">
        <v>0</v>
      </c>
      <c r="C437">
        <v>2</v>
      </c>
      <c r="D437">
        <v>1</v>
      </c>
      <c r="F437" s="57" t="s">
        <v>1</v>
      </c>
      <c r="G437" s="66">
        <v>-0.43881904394466215</v>
      </c>
      <c r="H437" s="66">
        <v>8.392335526704181E-2</v>
      </c>
      <c r="I437" s="66">
        <v>27.340424694422911</v>
      </c>
      <c r="J437" s="84">
        <v>1.7060716839267798E-7</v>
      </c>
      <c r="K437" s="66">
        <v>-0.60330579772982396</v>
      </c>
      <c r="L437" s="66">
        <v>-0.27433229015950039</v>
      </c>
    </row>
    <row r="438" spans="1:12" ht="15.75" thickBot="1">
      <c r="A438">
        <v>69</v>
      </c>
      <c r="B438">
        <v>1</v>
      </c>
      <c r="C438">
        <v>3</v>
      </c>
      <c r="D438">
        <v>1</v>
      </c>
      <c r="F438" s="61" t="s">
        <v>2</v>
      </c>
      <c r="G438" s="67">
        <v>0.58262182421755515</v>
      </c>
      <c r="H438" s="67">
        <v>8.3671412862028408E-2</v>
      </c>
      <c r="I438" s="67">
        <v>48.486327701661352</v>
      </c>
      <c r="J438" s="85">
        <v>3.326006137172044E-12</v>
      </c>
      <c r="K438" s="67">
        <v>0.41862886847239805</v>
      </c>
      <c r="L438" s="67">
        <v>0.7466147799627123</v>
      </c>
    </row>
    <row r="439" spans="1:12">
      <c r="A439">
        <v>45</v>
      </c>
      <c r="B439">
        <v>0</v>
      </c>
      <c r="C439">
        <v>0</v>
      </c>
      <c r="D439">
        <v>1</v>
      </c>
    </row>
    <row r="440" spans="1:12">
      <c r="A440">
        <v>50</v>
      </c>
      <c r="B440">
        <v>0</v>
      </c>
      <c r="C440">
        <v>1</v>
      </c>
      <c r="D440">
        <v>1</v>
      </c>
    </row>
    <row r="441" spans="1:12">
      <c r="A441">
        <v>50</v>
      </c>
      <c r="B441">
        <v>0</v>
      </c>
      <c r="C441">
        <v>0</v>
      </c>
      <c r="D441">
        <v>1</v>
      </c>
    </row>
    <row r="442" spans="1:12">
      <c r="A442">
        <v>64</v>
      </c>
      <c r="B442">
        <v>0</v>
      </c>
      <c r="C442">
        <v>0</v>
      </c>
      <c r="D442">
        <v>1</v>
      </c>
    </row>
    <row r="443" spans="1:12">
      <c r="A443">
        <v>57</v>
      </c>
      <c r="B443">
        <v>1</v>
      </c>
      <c r="C443">
        <v>2</v>
      </c>
      <c r="D443">
        <v>1</v>
      </c>
    </row>
    <row r="444" spans="1:12">
      <c r="A444">
        <v>64</v>
      </c>
      <c r="B444">
        <v>0</v>
      </c>
      <c r="C444">
        <v>2</v>
      </c>
      <c r="D444">
        <v>1</v>
      </c>
    </row>
    <row r="445" spans="1:12">
      <c r="A445">
        <v>43</v>
      </c>
      <c r="B445">
        <v>1</v>
      </c>
      <c r="C445">
        <v>0</v>
      </c>
      <c r="D445">
        <v>1</v>
      </c>
    </row>
    <row r="446" spans="1:12">
      <c r="A446">
        <v>55</v>
      </c>
      <c r="B446">
        <v>1</v>
      </c>
      <c r="C446">
        <v>1</v>
      </c>
      <c r="D446">
        <v>1</v>
      </c>
    </row>
    <row r="447" spans="1:12">
      <c r="A447">
        <v>37</v>
      </c>
      <c r="B447">
        <v>0</v>
      </c>
      <c r="C447">
        <v>2</v>
      </c>
      <c r="D447">
        <v>1</v>
      </c>
    </row>
    <row r="448" spans="1:12">
      <c r="A448">
        <v>41</v>
      </c>
      <c r="B448">
        <v>1</v>
      </c>
      <c r="C448">
        <v>2</v>
      </c>
      <c r="D448">
        <v>1</v>
      </c>
    </row>
    <row r="449" spans="1:10">
      <c r="A449">
        <v>56</v>
      </c>
      <c r="B449">
        <v>1</v>
      </c>
      <c r="C449">
        <v>3</v>
      </c>
      <c r="D449">
        <v>1</v>
      </c>
    </row>
    <row r="450" spans="1:10">
      <c r="A450">
        <v>46</v>
      </c>
      <c r="B450">
        <v>0</v>
      </c>
      <c r="C450">
        <v>1</v>
      </c>
      <c r="D450">
        <v>1</v>
      </c>
    </row>
    <row r="451" spans="1:10">
      <c r="A451">
        <v>46</v>
      </c>
      <c r="B451">
        <v>0</v>
      </c>
      <c r="C451">
        <v>0</v>
      </c>
      <c r="D451">
        <v>1</v>
      </c>
    </row>
    <row r="452" spans="1:10">
      <c r="A452">
        <v>64</v>
      </c>
      <c r="B452">
        <v>0</v>
      </c>
      <c r="C452">
        <v>0</v>
      </c>
      <c r="D452">
        <v>1</v>
      </c>
    </row>
    <row r="453" spans="1:10">
      <c r="A453">
        <v>59</v>
      </c>
      <c r="B453">
        <v>1</v>
      </c>
      <c r="C453">
        <v>0</v>
      </c>
      <c r="D453">
        <v>1</v>
      </c>
    </row>
    <row r="454" spans="1:10">
      <c r="A454">
        <v>41</v>
      </c>
      <c r="B454">
        <v>0</v>
      </c>
      <c r="C454">
        <v>2</v>
      </c>
      <c r="D454">
        <v>1</v>
      </c>
    </row>
    <row r="455" spans="1:10">
      <c r="A455">
        <v>54</v>
      </c>
      <c r="B455">
        <v>0</v>
      </c>
      <c r="C455">
        <v>2</v>
      </c>
      <c r="D455">
        <v>1</v>
      </c>
    </row>
    <row r="456" spans="1:10">
      <c r="A456">
        <v>39</v>
      </c>
      <c r="B456">
        <v>0</v>
      </c>
      <c r="C456">
        <v>2</v>
      </c>
      <c r="D456">
        <v>1</v>
      </c>
    </row>
    <row r="457" spans="1:10">
      <c r="A457">
        <v>34</v>
      </c>
      <c r="B457">
        <v>0</v>
      </c>
      <c r="C457">
        <v>1</v>
      </c>
      <c r="D457">
        <v>1</v>
      </c>
      <c r="J457" t="s">
        <v>235</v>
      </c>
    </row>
    <row r="458" spans="1:10">
      <c r="A458">
        <v>47</v>
      </c>
      <c r="B458">
        <v>1</v>
      </c>
      <c r="C458">
        <v>0</v>
      </c>
      <c r="D458">
        <v>1</v>
      </c>
    </row>
    <row r="459" spans="1:10">
      <c r="A459">
        <v>67</v>
      </c>
      <c r="B459">
        <v>0</v>
      </c>
      <c r="C459">
        <v>2</v>
      </c>
      <c r="D459">
        <v>1</v>
      </c>
    </row>
    <row r="460" spans="1:10">
      <c r="A460">
        <v>52</v>
      </c>
      <c r="B460">
        <v>0</v>
      </c>
      <c r="C460">
        <v>2</v>
      </c>
      <c r="D460">
        <v>1</v>
      </c>
      <c r="F460" t="s">
        <v>236</v>
      </c>
    </row>
    <row r="461" spans="1:10" ht="15.75" thickBot="1">
      <c r="A461">
        <v>74</v>
      </c>
      <c r="B461">
        <v>0</v>
      </c>
      <c r="C461">
        <v>1</v>
      </c>
      <c r="D461">
        <v>1</v>
      </c>
    </row>
    <row r="462" spans="1:10" ht="30">
      <c r="A462">
        <v>54</v>
      </c>
      <c r="B462">
        <v>0</v>
      </c>
      <c r="C462">
        <v>2</v>
      </c>
      <c r="D462">
        <v>1</v>
      </c>
      <c r="F462" s="58" t="s">
        <v>148</v>
      </c>
      <c r="G462" s="59" t="s">
        <v>13</v>
      </c>
      <c r="H462" s="59" t="s">
        <v>237</v>
      </c>
      <c r="I462" s="59" t="s">
        <v>541</v>
      </c>
      <c r="J462" s="59" t="s">
        <v>542</v>
      </c>
    </row>
    <row r="463" spans="1:10">
      <c r="A463">
        <v>49</v>
      </c>
      <c r="B463">
        <v>0</v>
      </c>
      <c r="C463">
        <v>1</v>
      </c>
      <c r="D463">
        <v>1</v>
      </c>
      <c r="F463" s="60" t="s">
        <v>238</v>
      </c>
      <c r="G463" s="91" t="s">
        <v>187</v>
      </c>
      <c r="H463" s="91" t="s">
        <v>187</v>
      </c>
      <c r="I463" s="65">
        <v>0.22981233525303532</v>
      </c>
      <c r="J463" s="65">
        <v>0.77018766474696465</v>
      </c>
    </row>
    <row r="464" spans="1:10">
      <c r="A464">
        <v>42</v>
      </c>
      <c r="B464">
        <v>1</v>
      </c>
      <c r="C464">
        <v>1</v>
      </c>
      <c r="D464">
        <v>1</v>
      </c>
      <c r="F464" s="57" t="s">
        <v>239</v>
      </c>
      <c r="G464" s="92" t="s">
        <v>187</v>
      </c>
      <c r="H464" s="92" t="s">
        <v>187</v>
      </c>
      <c r="I464" s="66">
        <v>0.11125206485945424</v>
      </c>
      <c r="J464" s="66">
        <v>0.88874793514054573</v>
      </c>
    </row>
    <row r="465" spans="1:10">
      <c r="A465">
        <v>41</v>
      </c>
      <c r="B465">
        <v>1</v>
      </c>
      <c r="C465">
        <v>1</v>
      </c>
      <c r="D465">
        <v>1</v>
      </c>
      <c r="F465" s="57" t="s">
        <v>240</v>
      </c>
      <c r="G465" s="92" t="s">
        <v>187</v>
      </c>
      <c r="H465" s="92" t="s">
        <v>187</v>
      </c>
      <c r="I465" s="66">
        <v>7.7862911045307584E-2</v>
      </c>
      <c r="J465" s="66">
        <v>0.92213708895469237</v>
      </c>
    </row>
    <row r="466" spans="1:10">
      <c r="A466">
        <v>41</v>
      </c>
      <c r="B466">
        <v>0</v>
      </c>
      <c r="C466">
        <v>1</v>
      </c>
      <c r="D466">
        <v>1</v>
      </c>
      <c r="F466" s="57" t="s">
        <v>241</v>
      </c>
      <c r="G466" s="94" t="s">
        <v>187</v>
      </c>
      <c r="H466" s="94" t="s">
        <v>186</v>
      </c>
      <c r="I466" s="66">
        <v>0.58222098274633249</v>
      </c>
      <c r="J466" s="66">
        <v>0.41777901725366751</v>
      </c>
    </row>
    <row r="467" spans="1:10">
      <c r="A467">
        <v>49</v>
      </c>
      <c r="B467">
        <v>0</v>
      </c>
      <c r="C467">
        <v>0</v>
      </c>
      <c r="D467">
        <v>1</v>
      </c>
      <c r="F467" s="57" t="s">
        <v>242</v>
      </c>
      <c r="G467" s="92" t="s">
        <v>187</v>
      </c>
      <c r="H467" s="92" t="s">
        <v>187</v>
      </c>
      <c r="I467" s="66">
        <v>0.43035522560878409</v>
      </c>
      <c r="J467" s="66">
        <v>0.56964477439121586</v>
      </c>
    </row>
    <row r="468" spans="1:10">
      <c r="A468">
        <v>60</v>
      </c>
      <c r="B468">
        <v>0</v>
      </c>
      <c r="C468">
        <v>2</v>
      </c>
      <c r="D468">
        <v>1</v>
      </c>
      <c r="F468" s="57" t="s">
        <v>243</v>
      </c>
      <c r="G468" s="94" t="s">
        <v>187</v>
      </c>
      <c r="H468" s="94" t="s">
        <v>186</v>
      </c>
      <c r="I468" s="66">
        <v>0.80696167202446223</v>
      </c>
      <c r="J468" s="66">
        <v>0.19303832797553774</v>
      </c>
    </row>
    <row r="469" spans="1:10">
      <c r="A469">
        <v>62</v>
      </c>
      <c r="B469">
        <v>1</v>
      </c>
      <c r="C469">
        <v>1</v>
      </c>
      <c r="D469">
        <v>1</v>
      </c>
      <c r="F469" s="57" t="s">
        <v>244</v>
      </c>
      <c r="G469" s="92" t="s">
        <v>187</v>
      </c>
      <c r="H469" s="92" t="s">
        <v>187</v>
      </c>
      <c r="I469" s="66">
        <v>0.20118701514048126</v>
      </c>
      <c r="J469" s="66">
        <v>0.79881298485951879</v>
      </c>
    </row>
    <row r="470" spans="1:10">
      <c r="A470">
        <v>57</v>
      </c>
      <c r="B470">
        <v>1</v>
      </c>
      <c r="C470">
        <v>0</v>
      </c>
      <c r="D470">
        <v>1</v>
      </c>
      <c r="F470" s="57" t="s">
        <v>245</v>
      </c>
      <c r="G470" s="92" t="s">
        <v>187</v>
      </c>
      <c r="H470" s="92" t="s">
        <v>187</v>
      </c>
      <c r="I470" s="66">
        <v>0.36763310226322754</v>
      </c>
      <c r="J470" s="66">
        <v>0.63236689773677257</v>
      </c>
    </row>
    <row r="471" spans="1:10">
      <c r="A471">
        <v>64</v>
      </c>
      <c r="B471">
        <v>1</v>
      </c>
      <c r="C471">
        <v>0</v>
      </c>
      <c r="D471">
        <v>1</v>
      </c>
      <c r="F471" s="57" t="s">
        <v>246</v>
      </c>
      <c r="G471" s="92" t="s">
        <v>187</v>
      </c>
      <c r="H471" s="92" t="s">
        <v>187</v>
      </c>
      <c r="I471" s="66">
        <v>0.27186854065772315</v>
      </c>
      <c r="J471" s="66">
        <v>0.72813145934227685</v>
      </c>
    </row>
    <row r="472" spans="1:10">
      <c r="A472">
        <v>51</v>
      </c>
      <c r="B472">
        <v>0</v>
      </c>
      <c r="C472">
        <v>2</v>
      </c>
      <c r="D472">
        <v>1</v>
      </c>
      <c r="F472" s="57" t="s">
        <v>247</v>
      </c>
      <c r="G472" s="92" t="s">
        <v>187</v>
      </c>
      <c r="H472" s="92" t="s">
        <v>187</v>
      </c>
      <c r="I472" s="66">
        <v>0.34958158702884212</v>
      </c>
      <c r="J472" s="66">
        <v>0.65041841297115799</v>
      </c>
    </row>
    <row r="473" spans="1:10">
      <c r="A473">
        <v>43</v>
      </c>
      <c r="B473">
        <v>1</v>
      </c>
      <c r="C473">
        <v>0</v>
      </c>
      <c r="D473">
        <v>1</v>
      </c>
      <c r="F473" s="57" t="s">
        <v>248</v>
      </c>
      <c r="G473" s="94" t="s">
        <v>187</v>
      </c>
      <c r="H473" s="94" t="s">
        <v>186</v>
      </c>
      <c r="I473" s="66">
        <v>0.77062028317495124</v>
      </c>
      <c r="J473" s="66">
        <v>0.22937971682504882</v>
      </c>
    </row>
    <row r="474" spans="1:10">
      <c r="A474">
        <v>42</v>
      </c>
      <c r="B474">
        <v>0</v>
      </c>
      <c r="C474">
        <v>2</v>
      </c>
      <c r="D474">
        <v>1</v>
      </c>
      <c r="F474" s="57" t="s">
        <v>249</v>
      </c>
      <c r="G474" s="92" t="s">
        <v>187</v>
      </c>
      <c r="H474" s="92" t="s">
        <v>187</v>
      </c>
      <c r="I474" s="66">
        <v>4.7999287128797294E-2</v>
      </c>
      <c r="J474" s="66">
        <v>0.95200071287120269</v>
      </c>
    </row>
    <row r="475" spans="1:10">
      <c r="A475">
        <v>67</v>
      </c>
      <c r="B475">
        <v>0</v>
      </c>
      <c r="C475">
        <v>0</v>
      </c>
      <c r="D475">
        <v>1</v>
      </c>
      <c r="F475" s="57" t="s">
        <v>250</v>
      </c>
      <c r="G475" s="92" t="s">
        <v>187</v>
      </c>
      <c r="H475" s="92" t="s">
        <v>187</v>
      </c>
      <c r="I475" s="66">
        <v>0.4555922579767453</v>
      </c>
      <c r="J475" s="66">
        <v>0.5444077420232547</v>
      </c>
    </row>
    <row r="476" spans="1:10">
      <c r="A476">
        <v>76</v>
      </c>
      <c r="B476">
        <v>0</v>
      </c>
      <c r="C476">
        <v>2</v>
      </c>
      <c r="D476">
        <v>1</v>
      </c>
      <c r="F476" s="57" t="s">
        <v>251</v>
      </c>
      <c r="G476" s="92" t="s">
        <v>187</v>
      </c>
      <c r="H476" s="92" t="s">
        <v>187</v>
      </c>
      <c r="I476" s="66">
        <v>0.24296090533367498</v>
      </c>
      <c r="J476" s="66">
        <v>0.75703909466632502</v>
      </c>
    </row>
    <row r="477" spans="1:10">
      <c r="A477">
        <v>70</v>
      </c>
      <c r="B477">
        <v>1</v>
      </c>
      <c r="C477">
        <v>1</v>
      </c>
      <c r="D477">
        <v>1</v>
      </c>
      <c r="F477" s="57" t="s">
        <v>252</v>
      </c>
      <c r="G477" s="92" t="s">
        <v>187</v>
      </c>
      <c r="H477" s="92" t="s">
        <v>187</v>
      </c>
      <c r="I477" s="66">
        <v>3.6108702033536028E-2</v>
      </c>
      <c r="J477" s="66">
        <v>0.963891297966464</v>
      </c>
    </row>
    <row r="478" spans="1:10">
      <c r="A478">
        <v>44</v>
      </c>
      <c r="B478">
        <v>0</v>
      </c>
      <c r="C478">
        <v>2</v>
      </c>
      <c r="D478">
        <v>1</v>
      </c>
      <c r="F478" s="57" t="s">
        <v>253</v>
      </c>
      <c r="G478" s="92" t="s">
        <v>187</v>
      </c>
      <c r="H478" s="92" t="s">
        <v>187</v>
      </c>
      <c r="I478" s="66">
        <v>5.5113714717495002E-2</v>
      </c>
      <c r="J478" s="66">
        <v>0.94488628528250485</v>
      </c>
    </row>
    <row r="479" spans="1:10">
      <c r="A479">
        <v>60</v>
      </c>
      <c r="B479">
        <v>0</v>
      </c>
      <c r="C479">
        <v>3</v>
      </c>
      <c r="D479">
        <v>1</v>
      </c>
      <c r="F479" s="57" t="s">
        <v>254</v>
      </c>
      <c r="G479" s="92" t="s">
        <v>187</v>
      </c>
      <c r="H479" s="92" t="s">
        <v>187</v>
      </c>
      <c r="I479" s="66">
        <v>9.4592109768240368E-2</v>
      </c>
      <c r="J479" s="66">
        <v>0.90540789023175972</v>
      </c>
    </row>
    <row r="480" spans="1:10">
      <c r="A480">
        <v>44</v>
      </c>
      <c r="B480">
        <v>1</v>
      </c>
      <c r="C480">
        <v>2</v>
      </c>
      <c r="D480">
        <v>1</v>
      </c>
      <c r="F480" s="57" t="s">
        <v>255</v>
      </c>
      <c r="G480" s="92" t="s">
        <v>187</v>
      </c>
      <c r="H480" s="92" t="s">
        <v>187</v>
      </c>
      <c r="I480" s="66">
        <v>6.2879591647811789E-2</v>
      </c>
      <c r="J480" s="66">
        <v>0.93712040835218813</v>
      </c>
    </row>
    <row r="481" spans="1:10">
      <c r="A481">
        <v>42</v>
      </c>
      <c r="B481">
        <v>1</v>
      </c>
      <c r="C481">
        <v>2</v>
      </c>
      <c r="D481">
        <v>1</v>
      </c>
      <c r="F481" s="57" t="s">
        <v>256</v>
      </c>
      <c r="G481" s="94" t="s">
        <v>187</v>
      </c>
      <c r="H481" s="94" t="s">
        <v>186</v>
      </c>
      <c r="I481" s="66">
        <v>0.60118187310753357</v>
      </c>
      <c r="J481" s="66">
        <v>0.39881812689246637</v>
      </c>
    </row>
    <row r="482" spans="1:10">
      <c r="A482">
        <v>66</v>
      </c>
      <c r="B482">
        <v>1</v>
      </c>
      <c r="C482">
        <v>0</v>
      </c>
      <c r="D482">
        <v>1</v>
      </c>
      <c r="F482" s="57" t="s">
        <v>257</v>
      </c>
      <c r="G482" s="92" t="s">
        <v>187</v>
      </c>
      <c r="H482" s="92" t="s">
        <v>187</v>
      </c>
      <c r="I482" s="66">
        <v>7.7057169823826321E-2</v>
      </c>
      <c r="J482" s="66">
        <v>0.92294283017617362</v>
      </c>
    </row>
    <row r="483" spans="1:10">
      <c r="A483">
        <v>71</v>
      </c>
      <c r="B483">
        <v>0</v>
      </c>
      <c r="C483">
        <v>0</v>
      </c>
      <c r="D483">
        <v>1</v>
      </c>
      <c r="F483" s="57" t="s">
        <v>258</v>
      </c>
      <c r="G483" s="94" t="s">
        <v>187</v>
      </c>
      <c r="H483" s="94" t="s">
        <v>186</v>
      </c>
      <c r="I483" s="66">
        <v>0.82865162136370307</v>
      </c>
      <c r="J483" s="66">
        <v>0.17134837863629696</v>
      </c>
    </row>
    <row r="484" spans="1:10">
      <c r="A484">
        <v>64</v>
      </c>
      <c r="B484">
        <v>1</v>
      </c>
      <c r="C484">
        <v>3</v>
      </c>
      <c r="D484">
        <v>1</v>
      </c>
      <c r="F484" s="57" t="s">
        <v>259</v>
      </c>
      <c r="G484" s="92" t="s">
        <v>187</v>
      </c>
      <c r="H484" s="92" t="s">
        <v>187</v>
      </c>
      <c r="I484" s="66">
        <v>0.17249919965351992</v>
      </c>
      <c r="J484" s="66">
        <v>0.8275008003464801</v>
      </c>
    </row>
    <row r="485" spans="1:10">
      <c r="A485">
        <v>66</v>
      </c>
      <c r="B485">
        <v>0</v>
      </c>
      <c r="C485">
        <v>2</v>
      </c>
      <c r="D485">
        <v>1</v>
      </c>
      <c r="F485" s="57" t="s">
        <v>260</v>
      </c>
      <c r="G485" s="94" t="s">
        <v>187</v>
      </c>
      <c r="H485" s="94" t="s">
        <v>186</v>
      </c>
      <c r="I485" s="66">
        <v>0.58359166994242428</v>
      </c>
      <c r="J485" s="66">
        <v>0.41640833005757572</v>
      </c>
    </row>
    <row r="486" spans="1:10">
      <c r="A486">
        <v>39</v>
      </c>
      <c r="B486">
        <v>0</v>
      </c>
      <c r="C486">
        <v>2</v>
      </c>
      <c r="D486">
        <v>1</v>
      </c>
      <c r="F486" s="57" t="s">
        <v>261</v>
      </c>
      <c r="G486" s="92" t="s">
        <v>187</v>
      </c>
      <c r="H486" s="92" t="s">
        <v>187</v>
      </c>
      <c r="I486" s="66">
        <v>0.41837405407319933</v>
      </c>
      <c r="J486" s="66">
        <v>0.58162594592680061</v>
      </c>
    </row>
    <row r="487" spans="1:10">
      <c r="A487">
        <v>58</v>
      </c>
      <c r="B487">
        <v>0</v>
      </c>
      <c r="C487">
        <v>0</v>
      </c>
      <c r="D487">
        <v>1</v>
      </c>
      <c r="F487" s="57" t="s">
        <v>262</v>
      </c>
      <c r="G487" s="92" t="s">
        <v>187</v>
      </c>
      <c r="H487" s="92" t="s">
        <v>187</v>
      </c>
      <c r="I487" s="66">
        <v>5.289616523609296E-2</v>
      </c>
      <c r="J487" s="66">
        <v>0.94710383476390703</v>
      </c>
    </row>
    <row r="488" spans="1:10">
      <c r="A488">
        <v>47</v>
      </c>
      <c r="B488">
        <v>1</v>
      </c>
      <c r="C488">
        <v>2</v>
      </c>
      <c r="D488">
        <v>1</v>
      </c>
      <c r="F488" s="57" t="s">
        <v>263</v>
      </c>
      <c r="G488" s="92" t="s">
        <v>187</v>
      </c>
      <c r="H488" s="92" t="s">
        <v>187</v>
      </c>
      <c r="I488" s="66">
        <v>0.42897367799701602</v>
      </c>
      <c r="J488" s="66">
        <v>0.57102632200298398</v>
      </c>
    </row>
    <row r="489" spans="1:10">
      <c r="A489">
        <v>35</v>
      </c>
      <c r="B489">
        <v>1</v>
      </c>
      <c r="C489">
        <v>1</v>
      </c>
      <c r="D489">
        <v>1</v>
      </c>
      <c r="F489" s="57" t="s">
        <v>264</v>
      </c>
      <c r="G489" s="92" t="s">
        <v>187</v>
      </c>
      <c r="H489" s="92" t="s">
        <v>187</v>
      </c>
      <c r="I489" s="66">
        <v>0.38339442529057016</v>
      </c>
      <c r="J489" s="66">
        <v>0.61660557470942989</v>
      </c>
    </row>
    <row r="490" spans="1:10">
      <c r="A490">
        <v>58</v>
      </c>
      <c r="B490">
        <v>1</v>
      </c>
      <c r="C490">
        <v>1</v>
      </c>
      <c r="D490">
        <v>1</v>
      </c>
      <c r="F490" s="57" t="s">
        <v>265</v>
      </c>
      <c r="G490" s="92" t="s">
        <v>187</v>
      </c>
      <c r="H490" s="92" t="s">
        <v>187</v>
      </c>
      <c r="I490" s="66">
        <v>0.25768805933811045</v>
      </c>
      <c r="J490" s="66">
        <v>0.74231194066188955</v>
      </c>
    </row>
    <row r="491" spans="1:10">
      <c r="A491">
        <v>56</v>
      </c>
      <c r="B491">
        <v>1</v>
      </c>
      <c r="C491">
        <v>1</v>
      </c>
      <c r="D491">
        <v>1</v>
      </c>
      <c r="F491" s="57" t="s">
        <v>266</v>
      </c>
      <c r="G491" s="92" t="s">
        <v>187</v>
      </c>
      <c r="H491" s="92" t="s">
        <v>187</v>
      </c>
      <c r="I491" s="66">
        <v>0.1481968769374695</v>
      </c>
      <c r="J491" s="66">
        <v>0.85180312306253048</v>
      </c>
    </row>
    <row r="492" spans="1:10">
      <c r="A492">
        <v>56</v>
      </c>
      <c r="B492">
        <v>1</v>
      </c>
      <c r="C492">
        <v>1</v>
      </c>
      <c r="D492">
        <v>1</v>
      </c>
      <c r="F492" s="57" t="s">
        <v>267</v>
      </c>
      <c r="G492" s="92" t="s">
        <v>187</v>
      </c>
      <c r="H492" s="92" t="s">
        <v>187</v>
      </c>
      <c r="I492" s="66">
        <v>0.28652815937512799</v>
      </c>
      <c r="J492" s="66">
        <v>0.71347184062487201</v>
      </c>
    </row>
    <row r="493" spans="1:10">
      <c r="A493">
        <v>55</v>
      </c>
      <c r="B493">
        <v>0</v>
      </c>
      <c r="C493">
        <v>1</v>
      </c>
      <c r="D493">
        <v>1</v>
      </c>
      <c r="F493" s="57" t="s">
        <v>268</v>
      </c>
      <c r="G493" s="92" t="s">
        <v>187</v>
      </c>
      <c r="H493" s="92" t="s">
        <v>187</v>
      </c>
      <c r="I493" s="66">
        <v>7.7862911045307584E-2</v>
      </c>
      <c r="J493" s="66">
        <v>0.92213708895469237</v>
      </c>
    </row>
    <row r="494" spans="1:10">
      <c r="A494">
        <v>41</v>
      </c>
      <c r="B494">
        <v>1</v>
      </c>
      <c r="C494">
        <v>1</v>
      </c>
      <c r="D494">
        <v>1</v>
      </c>
      <c r="F494" s="57" t="s">
        <v>269</v>
      </c>
      <c r="G494" s="94" t="s">
        <v>187</v>
      </c>
      <c r="H494" s="94" t="s">
        <v>186</v>
      </c>
      <c r="I494" s="66">
        <v>0.88218039965325856</v>
      </c>
      <c r="J494" s="66">
        <v>0.11781960034674145</v>
      </c>
    </row>
    <row r="495" spans="1:10">
      <c r="A495">
        <v>38</v>
      </c>
      <c r="B495">
        <v>1</v>
      </c>
      <c r="C495">
        <v>2</v>
      </c>
      <c r="D495">
        <v>1</v>
      </c>
      <c r="F495" s="57" t="s">
        <v>270</v>
      </c>
      <c r="G495" s="92" t="s">
        <v>187</v>
      </c>
      <c r="H495" s="92" t="s">
        <v>187</v>
      </c>
      <c r="I495" s="66">
        <v>0.36763310226322754</v>
      </c>
      <c r="J495" s="66">
        <v>0.63236689773677257</v>
      </c>
    </row>
    <row r="496" spans="1:10">
      <c r="A496">
        <v>38</v>
      </c>
      <c r="B496">
        <v>1</v>
      </c>
      <c r="C496">
        <v>2</v>
      </c>
      <c r="D496">
        <v>1</v>
      </c>
      <c r="F496" s="57" t="s">
        <v>271</v>
      </c>
      <c r="G496" s="92" t="s">
        <v>187</v>
      </c>
      <c r="H496" s="92" t="s">
        <v>187</v>
      </c>
      <c r="I496" s="66">
        <v>0.30165077273652718</v>
      </c>
      <c r="J496" s="66">
        <v>0.69834922726347282</v>
      </c>
    </row>
    <row r="497" spans="1:10">
      <c r="A497">
        <v>67</v>
      </c>
      <c r="B497">
        <v>1</v>
      </c>
      <c r="C497">
        <v>0</v>
      </c>
      <c r="D497">
        <v>0</v>
      </c>
      <c r="F497" s="57" t="s">
        <v>272</v>
      </c>
      <c r="G497" s="92" t="s">
        <v>187</v>
      </c>
      <c r="H497" s="92" t="s">
        <v>187</v>
      </c>
      <c r="I497" s="66">
        <v>0.11069585197349856</v>
      </c>
      <c r="J497" s="66">
        <v>0.88930414802650137</v>
      </c>
    </row>
    <row r="498" spans="1:10">
      <c r="A498">
        <v>67</v>
      </c>
      <c r="B498">
        <v>1</v>
      </c>
      <c r="C498">
        <v>0</v>
      </c>
      <c r="D498">
        <v>0</v>
      </c>
      <c r="F498" s="57" t="s">
        <v>273</v>
      </c>
      <c r="G498" s="92" t="s">
        <v>187</v>
      </c>
      <c r="H498" s="92" t="s">
        <v>187</v>
      </c>
      <c r="I498" s="66">
        <v>4.176264404188338E-2</v>
      </c>
      <c r="J498" s="66">
        <v>0.95823735595811654</v>
      </c>
    </row>
    <row r="499" spans="1:10">
      <c r="A499">
        <v>62</v>
      </c>
      <c r="B499">
        <v>0</v>
      </c>
      <c r="C499">
        <v>0</v>
      </c>
      <c r="D499">
        <v>0</v>
      </c>
      <c r="F499" s="57" t="s">
        <v>274</v>
      </c>
      <c r="G499" s="92" t="s">
        <v>187</v>
      </c>
      <c r="H499" s="92" t="s">
        <v>187</v>
      </c>
      <c r="I499" s="66">
        <v>7.2410448254411133E-2</v>
      </c>
      <c r="J499" s="66">
        <v>0.92758955174558888</v>
      </c>
    </row>
    <row r="500" spans="1:10">
      <c r="A500">
        <v>63</v>
      </c>
      <c r="B500">
        <v>1</v>
      </c>
      <c r="C500">
        <v>0</v>
      </c>
      <c r="D500">
        <v>0</v>
      </c>
      <c r="F500" s="57" t="s">
        <v>275</v>
      </c>
      <c r="G500" s="92" t="s">
        <v>187</v>
      </c>
      <c r="H500" s="92" t="s">
        <v>187</v>
      </c>
      <c r="I500" s="66">
        <v>0.30165077273652718</v>
      </c>
      <c r="J500" s="66">
        <v>0.69834922726347282</v>
      </c>
    </row>
    <row r="501" spans="1:10">
      <c r="A501">
        <v>53</v>
      </c>
      <c r="B501">
        <v>1</v>
      </c>
      <c r="C501">
        <v>0</v>
      </c>
      <c r="D501">
        <v>0</v>
      </c>
      <c r="F501" s="57" t="s">
        <v>276</v>
      </c>
      <c r="G501" s="92" t="s">
        <v>187</v>
      </c>
      <c r="H501" s="92" t="s">
        <v>187</v>
      </c>
      <c r="I501" s="66">
        <v>0.1481968769374695</v>
      </c>
      <c r="J501" s="66">
        <v>0.85180312306253048</v>
      </c>
    </row>
    <row r="502" spans="1:10">
      <c r="A502">
        <v>56</v>
      </c>
      <c r="B502">
        <v>1</v>
      </c>
      <c r="C502">
        <v>2</v>
      </c>
      <c r="D502">
        <v>0</v>
      </c>
      <c r="F502" s="57" t="s">
        <v>277</v>
      </c>
      <c r="G502" s="92" t="s">
        <v>187</v>
      </c>
      <c r="H502" s="92" t="s">
        <v>187</v>
      </c>
      <c r="I502" s="66">
        <v>0.1481968769374695</v>
      </c>
      <c r="J502" s="66">
        <v>0.85180312306253048</v>
      </c>
    </row>
    <row r="503" spans="1:10">
      <c r="A503">
        <v>48</v>
      </c>
      <c r="B503">
        <v>1</v>
      </c>
      <c r="C503">
        <v>1</v>
      </c>
      <c r="D503">
        <v>0</v>
      </c>
      <c r="F503" s="57" t="s">
        <v>278</v>
      </c>
      <c r="G503" s="92" t="s">
        <v>187</v>
      </c>
      <c r="H503" s="92" t="s">
        <v>187</v>
      </c>
      <c r="I503" s="66">
        <v>5.9033126557093481E-2</v>
      </c>
      <c r="J503" s="66">
        <v>0.94096687344290653</v>
      </c>
    </row>
    <row r="504" spans="1:10">
      <c r="A504">
        <v>58</v>
      </c>
      <c r="B504">
        <v>1</v>
      </c>
      <c r="C504">
        <v>1</v>
      </c>
      <c r="D504">
        <v>0</v>
      </c>
      <c r="F504" s="57" t="s">
        <v>279</v>
      </c>
      <c r="G504" s="92" t="s">
        <v>187</v>
      </c>
      <c r="H504" s="92" t="s">
        <v>187</v>
      </c>
      <c r="I504" s="66">
        <v>0.43758794619833563</v>
      </c>
      <c r="J504" s="66">
        <v>0.56241205380166437</v>
      </c>
    </row>
    <row r="505" spans="1:10">
      <c r="A505">
        <v>58</v>
      </c>
      <c r="B505">
        <v>1</v>
      </c>
      <c r="C505">
        <v>2</v>
      </c>
      <c r="D505">
        <v>0</v>
      </c>
      <c r="F505" s="57" t="s">
        <v>280</v>
      </c>
      <c r="G505" s="94" t="s">
        <v>187</v>
      </c>
      <c r="H505" s="94" t="s">
        <v>186</v>
      </c>
      <c r="I505" s="66">
        <v>0.63555098345718308</v>
      </c>
      <c r="J505" s="66">
        <v>0.36444901654281697</v>
      </c>
    </row>
    <row r="506" spans="1:10">
      <c r="A506">
        <v>60</v>
      </c>
      <c r="B506">
        <v>1</v>
      </c>
      <c r="C506">
        <v>0</v>
      </c>
      <c r="D506">
        <v>0</v>
      </c>
      <c r="F506" s="57" t="s">
        <v>281</v>
      </c>
      <c r="G506" s="92" t="s">
        <v>187</v>
      </c>
      <c r="H506" s="92" t="s">
        <v>187</v>
      </c>
      <c r="I506" s="66">
        <v>0.3608148430154805</v>
      </c>
      <c r="J506" s="66">
        <v>0.6391851569845195</v>
      </c>
    </row>
    <row r="507" spans="1:10">
      <c r="A507">
        <v>40</v>
      </c>
      <c r="B507">
        <v>1</v>
      </c>
      <c r="C507">
        <v>0</v>
      </c>
      <c r="D507">
        <v>0</v>
      </c>
      <c r="F507" s="57" t="s">
        <v>282</v>
      </c>
      <c r="G507" s="92" t="s">
        <v>187</v>
      </c>
      <c r="H507" s="92" t="s">
        <v>187</v>
      </c>
      <c r="I507" s="66">
        <v>0.12649605232533048</v>
      </c>
      <c r="J507" s="66">
        <v>0.87350394767466955</v>
      </c>
    </row>
    <row r="508" spans="1:10">
      <c r="A508">
        <v>60</v>
      </c>
      <c r="B508">
        <v>1</v>
      </c>
      <c r="C508">
        <v>0</v>
      </c>
      <c r="D508">
        <v>0</v>
      </c>
      <c r="F508" s="57" t="s">
        <v>283</v>
      </c>
      <c r="G508" s="94" t="s">
        <v>187</v>
      </c>
      <c r="H508" s="94" t="s">
        <v>186</v>
      </c>
      <c r="I508" s="66">
        <v>0.51011616652554415</v>
      </c>
      <c r="J508" s="66">
        <v>0.48988383347445597</v>
      </c>
    </row>
    <row r="509" spans="1:10">
      <c r="A509">
        <v>64</v>
      </c>
      <c r="B509">
        <v>1</v>
      </c>
      <c r="C509">
        <v>2</v>
      </c>
      <c r="D509">
        <v>0</v>
      </c>
      <c r="F509" s="57" t="s">
        <v>284</v>
      </c>
      <c r="G509" s="92" t="s">
        <v>187</v>
      </c>
      <c r="H509" s="92" t="s">
        <v>187</v>
      </c>
      <c r="I509" s="66">
        <v>0.17249919965351992</v>
      </c>
      <c r="J509" s="66">
        <v>0.8275008003464801</v>
      </c>
    </row>
    <row r="510" spans="1:10">
      <c r="A510">
        <v>43</v>
      </c>
      <c r="B510">
        <v>1</v>
      </c>
      <c r="C510">
        <v>0</v>
      </c>
      <c r="D510">
        <v>0</v>
      </c>
      <c r="F510" s="57" t="s">
        <v>285</v>
      </c>
      <c r="G510" s="92" t="s">
        <v>187</v>
      </c>
      <c r="H510" s="92" t="s">
        <v>187</v>
      </c>
      <c r="I510" s="66">
        <v>0.20596078945558585</v>
      </c>
      <c r="J510" s="66">
        <v>0.79403921054441406</v>
      </c>
    </row>
    <row r="511" spans="1:10">
      <c r="A511">
        <v>57</v>
      </c>
      <c r="B511">
        <v>1</v>
      </c>
      <c r="C511">
        <v>0</v>
      </c>
      <c r="D511">
        <v>0</v>
      </c>
      <c r="F511" s="57" t="s">
        <v>286</v>
      </c>
      <c r="G511" s="92" t="s">
        <v>187</v>
      </c>
      <c r="H511" s="92" t="s">
        <v>187</v>
      </c>
      <c r="I511" s="66">
        <v>6.7666739872403736E-2</v>
      </c>
      <c r="J511" s="66">
        <v>0.93233326012759621</v>
      </c>
    </row>
    <row r="512" spans="1:10">
      <c r="A512">
        <v>55</v>
      </c>
      <c r="B512">
        <v>1</v>
      </c>
      <c r="C512">
        <v>0</v>
      </c>
      <c r="D512">
        <v>0</v>
      </c>
      <c r="F512" s="57" t="s">
        <v>287</v>
      </c>
      <c r="G512" s="92" t="s">
        <v>187</v>
      </c>
      <c r="H512" s="92" t="s">
        <v>187</v>
      </c>
      <c r="I512" s="66">
        <v>0.3608148430154805</v>
      </c>
      <c r="J512" s="66">
        <v>0.6391851569845195</v>
      </c>
    </row>
    <row r="513" spans="1:10">
      <c r="A513">
        <v>65</v>
      </c>
      <c r="B513">
        <v>0</v>
      </c>
      <c r="C513">
        <v>0</v>
      </c>
      <c r="D513">
        <v>0</v>
      </c>
      <c r="F513" s="57" t="s">
        <v>288</v>
      </c>
      <c r="G513" s="92" t="s">
        <v>187</v>
      </c>
      <c r="H513" s="92" t="s">
        <v>187</v>
      </c>
      <c r="I513" s="66">
        <v>5.9033126557093481E-2</v>
      </c>
      <c r="J513" s="66">
        <v>0.94096687344290653</v>
      </c>
    </row>
    <row r="514" spans="1:10">
      <c r="A514">
        <v>61</v>
      </c>
      <c r="B514">
        <v>0</v>
      </c>
      <c r="C514">
        <v>0</v>
      </c>
      <c r="D514">
        <v>0</v>
      </c>
      <c r="F514" s="57" t="s">
        <v>289</v>
      </c>
      <c r="G514" s="94" t="s">
        <v>187</v>
      </c>
      <c r="H514" s="94" t="s">
        <v>186</v>
      </c>
      <c r="I514" s="66">
        <v>0.88954468971870693</v>
      </c>
      <c r="J514" s="66">
        <v>0.11045531028129311</v>
      </c>
    </row>
    <row r="515" spans="1:10">
      <c r="A515">
        <v>58</v>
      </c>
      <c r="B515">
        <v>1</v>
      </c>
      <c r="C515">
        <v>2</v>
      </c>
      <c r="D515">
        <v>0</v>
      </c>
      <c r="F515" s="57" t="s">
        <v>290</v>
      </c>
      <c r="G515" s="92" t="s">
        <v>187</v>
      </c>
      <c r="H515" s="92" t="s">
        <v>187</v>
      </c>
      <c r="I515" s="66">
        <v>0.43620095938948333</v>
      </c>
      <c r="J515" s="66">
        <v>0.56379904061051667</v>
      </c>
    </row>
    <row r="516" spans="1:10">
      <c r="A516">
        <v>50</v>
      </c>
      <c r="B516">
        <v>1</v>
      </c>
      <c r="C516">
        <v>0</v>
      </c>
      <c r="D516">
        <v>0</v>
      </c>
      <c r="F516" s="57" t="s">
        <v>291</v>
      </c>
      <c r="G516" s="92" t="s">
        <v>187</v>
      </c>
      <c r="H516" s="92" t="s">
        <v>187</v>
      </c>
      <c r="I516" s="66">
        <v>3.6305437373584507E-2</v>
      </c>
      <c r="J516" s="66">
        <v>0.9636945626264154</v>
      </c>
    </row>
    <row r="517" spans="1:10">
      <c r="A517">
        <v>44</v>
      </c>
      <c r="B517">
        <v>1</v>
      </c>
      <c r="C517">
        <v>0</v>
      </c>
      <c r="D517">
        <v>0</v>
      </c>
      <c r="F517" s="57" t="s">
        <v>292</v>
      </c>
      <c r="G517" s="92" t="s">
        <v>187</v>
      </c>
      <c r="H517" s="92" t="s">
        <v>187</v>
      </c>
      <c r="I517" s="66">
        <v>0.13072911800202183</v>
      </c>
      <c r="J517" s="66">
        <v>0.8692708819979782</v>
      </c>
    </row>
    <row r="518" spans="1:10">
      <c r="A518">
        <v>60</v>
      </c>
      <c r="B518">
        <v>1</v>
      </c>
      <c r="C518">
        <v>0</v>
      </c>
      <c r="D518">
        <v>0</v>
      </c>
      <c r="F518" s="57" t="s">
        <v>293</v>
      </c>
      <c r="G518" s="94" t="s">
        <v>187</v>
      </c>
      <c r="H518" s="94" t="s">
        <v>186</v>
      </c>
      <c r="I518" s="66">
        <v>0.51011616652554415</v>
      </c>
      <c r="J518" s="66">
        <v>0.48988383347445597</v>
      </c>
    </row>
    <row r="519" spans="1:10">
      <c r="A519">
        <v>54</v>
      </c>
      <c r="B519">
        <v>1</v>
      </c>
      <c r="C519">
        <v>0</v>
      </c>
      <c r="D519">
        <v>0</v>
      </c>
      <c r="F519" s="57" t="s">
        <v>294</v>
      </c>
      <c r="G519" s="94" t="s">
        <v>187</v>
      </c>
      <c r="H519" s="94" t="s">
        <v>186</v>
      </c>
      <c r="I519" s="66">
        <v>0.6845315559119316</v>
      </c>
      <c r="J519" s="66">
        <v>0.31546844408806846</v>
      </c>
    </row>
    <row r="520" spans="1:10">
      <c r="A520">
        <v>50</v>
      </c>
      <c r="B520">
        <v>1</v>
      </c>
      <c r="C520">
        <v>2</v>
      </c>
      <c r="D520">
        <v>0</v>
      </c>
      <c r="F520" s="57" t="s">
        <v>295</v>
      </c>
      <c r="G520" s="94" t="s">
        <v>187</v>
      </c>
      <c r="H520" s="94" t="s">
        <v>186</v>
      </c>
      <c r="I520" s="66">
        <v>0.63555098345718308</v>
      </c>
      <c r="J520" s="66">
        <v>0.36444901654281697</v>
      </c>
    </row>
    <row r="521" spans="1:10">
      <c r="A521">
        <v>41</v>
      </c>
      <c r="B521">
        <v>1</v>
      </c>
      <c r="C521">
        <v>0</v>
      </c>
      <c r="D521">
        <v>0</v>
      </c>
      <c r="F521" s="57" t="s">
        <v>296</v>
      </c>
      <c r="G521" s="92" t="s">
        <v>187</v>
      </c>
      <c r="H521" s="92" t="s">
        <v>187</v>
      </c>
      <c r="I521" s="66">
        <v>3.4816770650063521E-2</v>
      </c>
      <c r="J521" s="66">
        <v>0.96518322934993639</v>
      </c>
    </row>
    <row r="522" spans="1:10">
      <c r="A522">
        <v>51</v>
      </c>
      <c r="B522">
        <v>0</v>
      </c>
      <c r="C522">
        <v>0</v>
      </c>
      <c r="D522">
        <v>0</v>
      </c>
      <c r="F522" s="57" t="s">
        <v>297</v>
      </c>
      <c r="G522" s="92" t="s">
        <v>187</v>
      </c>
      <c r="H522" s="92" t="s">
        <v>187</v>
      </c>
      <c r="I522" s="66">
        <v>0.43035522560878409</v>
      </c>
      <c r="J522" s="66">
        <v>0.56964477439121586</v>
      </c>
    </row>
    <row r="523" spans="1:10">
      <c r="A523">
        <v>58</v>
      </c>
      <c r="B523">
        <v>1</v>
      </c>
      <c r="C523">
        <v>0</v>
      </c>
      <c r="D523">
        <v>0</v>
      </c>
      <c r="F523" s="57" t="s">
        <v>298</v>
      </c>
      <c r="G523" s="92" t="s">
        <v>187</v>
      </c>
      <c r="H523" s="92" t="s">
        <v>187</v>
      </c>
      <c r="I523" s="66">
        <v>0.21220704207017649</v>
      </c>
      <c r="J523" s="66">
        <v>0.78779295792982351</v>
      </c>
    </row>
    <row r="524" spans="1:10">
      <c r="A524">
        <v>54</v>
      </c>
      <c r="B524">
        <v>1</v>
      </c>
      <c r="C524">
        <v>0</v>
      </c>
      <c r="D524">
        <v>0</v>
      </c>
      <c r="F524" s="57" t="s">
        <v>299</v>
      </c>
      <c r="G524" s="94" t="s">
        <v>187</v>
      </c>
      <c r="H524" s="94" t="s">
        <v>186</v>
      </c>
      <c r="I524" s="66">
        <v>0.54641196136528014</v>
      </c>
      <c r="J524" s="66">
        <v>0.45358803863471986</v>
      </c>
    </row>
    <row r="525" spans="1:10">
      <c r="A525">
        <v>60</v>
      </c>
      <c r="B525">
        <v>1</v>
      </c>
      <c r="C525">
        <v>0</v>
      </c>
      <c r="D525">
        <v>0</v>
      </c>
      <c r="F525" s="57" t="s">
        <v>300</v>
      </c>
      <c r="G525" s="92" t="s">
        <v>187</v>
      </c>
      <c r="H525" s="92" t="s">
        <v>187</v>
      </c>
      <c r="I525" s="66">
        <v>0.11807405073058774</v>
      </c>
      <c r="J525" s="66">
        <v>0.88192594926941226</v>
      </c>
    </row>
    <row r="526" spans="1:10">
      <c r="A526">
        <v>60</v>
      </c>
      <c r="B526">
        <v>1</v>
      </c>
      <c r="C526">
        <v>2</v>
      </c>
      <c r="D526">
        <v>0</v>
      </c>
      <c r="F526" s="57" t="s">
        <v>301</v>
      </c>
      <c r="G526" s="92" t="s">
        <v>187</v>
      </c>
      <c r="H526" s="92" t="s">
        <v>187</v>
      </c>
      <c r="I526" s="66">
        <v>0.31843901201756014</v>
      </c>
      <c r="J526" s="66">
        <v>0.68156098798243991</v>
      </c>
    </row>
    <row r="527" spans="1:10">
      <c r="A527">
        <v>59</v>
      </c>
      <c r="B527">
        <v>1</v>
      </c>
      <c r="C527">
        <v>0</v>
      </c>
      <c r="D527">
        <v>0</v>
      </c>
      <c r="F527" s="57" t="s">
        <v>302</v>
      </c>
      <c r="G527" s="92" t="s">
        <v>187</v>
      </c>
      <c r="H527" s="92" t="s">
        <v>187</v>
      </c>
      <c r="I527" s="66">
        <v>0.36632342312115296</v>
      </c>
      <c r="J527" s="66">
        <v>0.63367657687884704</v>
      </c>
    </row>
    <row r="528" spans="1:10">
      <c r="A528">
        <v>46</v>
      </c>
      <c r="B528">
        <v>1</v>
      </c>
      <c r="C528">
        <v>2</v>
      </c>
      <c r="D528">
        <v>0</v>
      </c>
      <c r="F528" s="57" t="s">
        <v>303</v>
      </c>
      <c r="G528" s="92" t="s">
        <v>187</v>
      </c>
      <c r="H528" s="92" t="s">
        <v>187</v>
      </c>
      <c r="I528" s="66">
        <v>0.13201579989529177</v>
      </c>
      <c r="J528" s="66">
        <v>0.86798420010470823</v>
      </c>
    </row>
    <row r="529" spans="1:10">
      <c r="A529">
        <v>67</v>
      </c>
      <c r="B529">
        <v>1</v>
      </c>
      <c r="C529">
        <v>0</v>
      </c>
      <c r="D529">
        <v>0</v>
      </c>
      <c r="F529" s="57" t="s">
        <v>304</v>
      </c>
      <c r="G529" s="92" t="s">
        <v>187</v>
      </c>
      <c r="H529" s="92" t="s">
        <v>187</v>
      </c>
      <c r="I529" s="66">
        <v>0.25768805933811045</v>
      </c>
      <c r="J529" s="66">
        <v>0.74231194066188955</v>
      </c>
    </row>
    <row r="530" spans="1:10">
      <c r="A530">
        <v>62</v>
      </c>
      <c r="B530">
        <v>1</v>
      </c>
      <c r="C530">
        <v>0</v>
      </c>
      <c r="D530">
        <v>0</v>
      </c>
      <c r="F530" s="57" t="s">
        <v>305</v>
      </c>
      <c r="G530" s="92" t="s">
        <v>187</v>
      </c>
      <c r="H530" s="92" t="s">
        <v>187</v>
      </c>
      <c r="I530" s="66">
        <v>0.10153201441597859</v>
      </c>
      <c r="J530" s="66">
        <v>0.89846798558402141</v>
      </c>
    </row>
    <row r="531" spans="1:10">
      <c r="A531">
        <v>65</v>
      </c>
      <c r="B531">
        <v>1</v>
      </c>
      <c r="C531">
        <v>0</v>
      </c>
      <c r="D531">
        <v>0</v>
      </c>
      <c r="F531" s="57" t="s">
        <v>306</v>
      </c>
      <c r="G531" s="92" t="s">
        <v>187</v>
      </c>
      <c r="H531" s="92" t="s">
        <v>187</v>
      </c>
      <c r="I531" s="66">
        <v>0.36763310226322754</v>
      </c>
      <c r="J531" s="66">
        <v>0.63236689773677257</v>
      </c>
    </row>
    <row r="532" spans="1:10">
      <c r="A532">
        <v>44</v>
      </c>
      <c r="B532">
        <v>1</v>
      </c>
      <c r="C532">
        <v>0</v>
      </c>
      <c r="D532">
        <v>0</v>
      </c>
      <c r="F532" s="57" t="s">
        <v>307</v>
      </c>
      <c r="G532" s="94" t="s">
        <v>187</v>
      </c>
      <c r="H532" s="94" t="s">
        <v>186</v>
      </c>
      <c r="I532" s="66">
        <v>0.52095823269754682</v>
      </c>
      <c r="J532" s="66">
        <v>0.47904176730245318</v>
      </c>
    </row>
    <row r="533" spans="1:10">
      <c r="A533">
        <v>60</v>
      </c>
      <c r="B533">
        <v>1</v>
      </c>
      <c r="C533">
        <v>0</v>
      </c>
      <c r="D533">
        <v>0</v>
      </c>
      <c r="F533" s="57" t="s">
        <v>308</v>
      </c>
      <c r="G533" s="92" t="s">
        <v>187</v>
      </c>
      <c r="H533" s="92" t="s">
        <v>187</v>
      </c>
      <c r="I533" s="66">
        <v>0.30165077273652718</v>
      </c>
      <c r="J533" s="66">
        <v>0.69834922726347282</v>
      </c>
    </row>
    <row r="534" spans="1:10">
      <c r="A534">
        <v>58</v>
      </c>
      <c r="B534">
        <v>1</v>
      </c>
      <c r="C534">
        <v>0</v>
      </c>
      <c r="D534">
        <v>0</v>
      </c>
      <c r="F534" s="57" t="s">
        <v>309</v>
      </c>
      <c r="G534" s="92" t="s">
        <v>187</v>
      </c>
      <c r="H534" s="92" t="s">
        <v>187</v>
      </c>
      <c r="I534" s="66">
        <v>0.25768805933811045</v>
      </c>
      <c r="J534" s="66">
        <v>0.74231194066188955</v>
      </c>
    </row>
    <row r="535" spans="1:10">
      <c r="A535">
        <v>68</v>
      </c>
      <c r="B535">
        <v>1</v>
      </c>
      <c r="C535">
        <v>2</v>
      </c>
      <c r="D535">
        <v>0</v>
      </c>
      <c r="F535" s="57" t="s">
        <v>310</v>
      </c>
      <c r="G535" s="92" t="s">
        <v>187</v>
      </c>
      <c r="H535" s="92" t="s">
        <v>187</v>
      </c>
      <c r="I535" s="66">
        <v>0.16311427057713795</v>
      </c>
      <c r="J535" s="66">
        <v>0.8368857294228621</v>
      </c>
    </row>
    <row r="536" spans="1:10">
      <c r="A536">
        <v>62</v>
      </c>
      <c r="B536">
        <v>0</v>
      </c>
      <c r="C536">
        <v>0</v>
      </c>
      <c r="D536">
        <v>0</v>
      </c>
      <c r="F536" s="57" t="s">
        <v>311</v>
      </c>
      <c r="G536" s="94" t="s">
        <v>187</v>
      </c>
      <c r="H536" s="94" t="s">
        <v>186</v>
      </c>
      <c r="I536" s="66">
        <v>0.72972869536502227</v>
      </c>
      <c r="J536" s="66">
        <v>0.27027130463497784</v>
      </c>
    </row>
    <row r="537" spans="1:10">
      <c r="A537">
        <v>52</v>
      </c>
      <c r="B537">
        <v>1</v>
      </c>
      <c r="C537">
        <v>0</v>
      </c>
      <c r="D537">
        <v>0</v>
      </c>
      <c r="F537" s="57" t="s">
        <v>312</v>
      </c>
      <c r="G537" s="92" t="s">
        <v>187</v>
      </c>
      <c r="H537" s="92" t="s">
        <v>187</v>
      </c>
      <c r="I537" s="66">
        <v>3.3840726566656557E-2</v>
      </c>
      <c r="J537" s="66">
        <v>0.96615927343334351</v>
      </c>
    </row>
    <row r="538" spans="1:10">
      <c r="A538">
        <v>59</v>
      </c>
      <c r="B538">
        <v>1</v>
      </c>
      <c r="C538">
        <v>0</v>
      </c>
      <c r="D538">
        <v>0</v>
      </c>
      <c r="F538" s="57" t="s">
        <v>313</v>
      </c>
      <c r="G538" s="92" t="s">
        <v>187</v>
      </c>
      <c r="H538" s="92" t="s">
        <v>187</v>
      </c>
      <c r="I538" s="66">
        <v>0.18973257421531273</v>
      </c>
      <c r="J538" s="66">
        <v>0.81026742578468736</v>
      </c>
    </row>
    <row r="539" spans="1:10">
      <c r="A539">
        <v>60</v>
      </c>
      <c r="B539">
        <v>0</v>
      </c>
      <c r="C539">
        <v>0</v>
      </c>
      <c r="D539">
        <v>0</v>
      </c>
      <c r="F539" s="57" t="s">
        <v>314</v>
      </c>
      <c r="G539" s="92" t="s">
        <v>187</v>
      </c>
      <c r="H539" s="92" t="s">
        <v>187</v>
      </c>
      <c r="I539" s="66">
        <v>0.25768805933811045</v>
      </c>
      <c r="J539" s="66">
        <v>0.74231194066188955</v>
      </c>
    </row>
    <row r="540" spans="1:10">
      <c r="A540">
        <v>49</v>
      </c>
      <c r="B540">
        <v>1</v>
      </c>
      <c r="C540">
        <v>2</v>
      </c>
      <c r="D540">
        <v>0</v>
      </c>
      <c r="F540" s="57" t="s">
        <v>315</v>
      </c>
      <c r="G540" s="94" t="s">
        <v>187</v>
      </c>
      <c r="H540" s="94" t="s">
        <v>186</v>
      </c>
      <c r="I540" s="66">
        <v>0.63424413768099397</v>
      </c>
      <c r="J540" s="66">
        <v>0.36575586231900614</v>
      </c>
    </row>
    <row r="541" spans="1:10">
      <c r="A541">
        <v>59</v>
      </c>
      <c r="B541">
        <v>1</v>
      </c>
      <c r="C541">
        <v>0</v>
      </c>
      <c r="D541">
        <v>0</v>
      </c>
      <c r="F541" s="57" t="s">
        <v>316</v>
      </c>
      <c r="G541" s="94" t="s">
        <v>187</v>
      </c>
      <c r="H541" s="94" t="s">
        <v>186</v>
      </c>
      <c r="I541" s="66">
        <v>0.51011616652554415</v>
      </c>
      <c r="J541" s="66">
        <v>0.48988383347445597</v>
      </c>
    </row>
    <row r="542" spans="1:10">
      <c r="A542">
        <v>57</v>
      </c>
      <c r="B542">
        <v>1</v>
      </c>
      <c r="C542">
        <v>2</v>
      </c>
      <c r="D542">
        <v>0</v>
      </c>
      <c r="F542" s="57" t="s">
        <v>317</v>
      </c>
      <c r="G542" s="92" t="s">
        <v>187</v>
      </c>
      <c r="H542" s="92" t="s">
        <v>187</v>
      </c>
      <c r="I542" s="66">
        <v>0.36632342312115296</v>
      </c>
      <c r="J542" s="66">
        <v>0.63367657687884704</v>
      </c>
    </row>
    <row r="543" spans="1:10">
      <c r="A543">
        <v>61</v>
      </c>
      <c r="B543">
        <v>1</v>
      </c>
      <c r="C543">
        <v>0</v>
      </c>
      <c r="D543">
        <v>0</v>
      </c>
      <c r="F543" s="57" t="s">
        <v>318</v>
      </c>
      <c r="G543" s="92" t="s">
        <v>187</v>
      </c>
      <c r="H543" s="92" t="s">
        <v>187</v>
      </c>
      <c r="I543" s="66">
        <v>0.14349156413730024</v>
      </c>
      <c r="J543" s="66">
        <v>0.85650843586269965</v>
      </c>
    </row>
    <row r="544" spans="1:10">
      <c r="A544">
        <v>39</v>
      </c>
      <c r="B544">
        <v>1</v>
      </c>
      <c r="C544">
        <v>0</v>
      </c>
      <c r="D544">
        <v>0</v>
      </c>
      <c r="F544" s="57" t="s">
        <v>319</v>
      </c>
      <c r="G544" s="92" t="s">
        <v>187</v>
      </c>
      <c r="H544" s="92" t="s">
        <v>187</v>
      </c>
      <c r="I544" s="66">
        <v>0.38472808177756662</v>
      </c>
      <c r="J544" s="66">
        <v>0.61527191822243332</v>
      </c>
    </row>
    <row r="545" spans="1:10">
      <c r="A545">
        <v>61</v>
      </c>
      <c r="B545">
        <v>0</v>
      </c>
      <c r="C545">
        <v>0</v>
      </c>
      <c r="D545">
        <v>0</v>
      </c>
      <c r="F545" s="57" t="s">
        <v>320</v>
      </c>
      <c r="G545" s="92" t="s">
        <v>187</v>
      </c>
      <c r="H545" s="92" t="s">
        <v>187</v>
      </c>
      <c r="I545" s="66">
        <v>0.10783028181780716</v>
      </c>
      <c r="J545" s="66">
        <v>0.89216971818219293</v>
      </c>
    </row>
    <row r="546" spans="1:10">
      <c r="A546">
        <v>56</v>
      </c>
      <c r="B546">
        <v>1</v>
      </c>
      <c r="C546">
        <v>0</v>
      </c>
      <c r="D546">
        <v>0</v>
      </c>
      <c r="F546" s="57" t="s">
        <v>321</v>
      </c>
      <c r="G546" s="92" t="s">
        <v>187</v>
      </c>
      <c r="H546" s="92" t="s">
        <v>187</v>
      </c>
      <c r="I546" s="66">
        <v>0.11807405073058774</v>
      </c>
      <c r="J546" s="66">
        <v>0.88192594926941226</v>
      </c>
    </row>
    <row r="547" spans="1:10">
      <c r="A547">
        <v>43</v>
      </c>
      <c r="B547">
        <v>0</v>
      </c>
      <c r="C547">
        <v>0</v>
      </c>
      <c r="D547">
        <v>0</v>
      </c>
      <c r="F547" s="57" t="s">
        <v>322</v>
      </c>
      <c r="G547" s="92" t="s">
        <v>187</v>
      </c>
      <c r="H547" s="92" t="s">
        <v>187</v>
      </c>
      <c r="I547" s="66">
        <v>0.20209458998780969</v>
      </c>
      <c r="J547" s="66">
        <v>0.79790541001219029</v>
      </c>
    </row>
    <row r="548" spans="1:10">
      <c r="A548">
        <v>62</v>
      </c>
      <c r="B548">
        <v>0</v>
      </c>
      <c r="C548">
        <v>2</v>
      </c>
      <c r="D548">
        <v>0</v>
      </c>
      <c r="F548" s="57" t="s">
        <v>323</v>
      </c>
      <c r="G548" s="92" t="s">
        <v>187</v>
      </c>
      <c r="H548" s="92" t="s">
        <v>187</v>
      </c>
      <c r="I548" s="66">
        <v>0.16754877113378908</v>
      </c>
      <c r="J548" s="66">
        <v>0.83245122886621092</v>
      </c>
    </row>
    <row r="549" spans="1:10">
      <c r="A549">
        <v>63</v>
      </c>
      <c r="B549">
        <v>1</v>
      </c>
      <c r="C549">
        <v>0</v>
      </c>
      <c r="D549">
        <v>0</v>
      </c>
      <c r="F549" s="57" t="s">
        <v>324</v>
      </c>
      <c r="G549" s="94" t="s">
        <v>187</v>
      </c>
      <c r="H549" s="94" t="s">
        <v>186</v>
      </c>
      <c r="I549" s="66">
        <v>0.54501430441498733</v>
      </c>
      <c r="J549" s="66">
        <v>0.45498569558501262</v>
      </c>
    </row>
    <row r="550" spans="1:10">
      <c r="A550">
        <v>65</v>
      </c>
      <c r="B550">
        <v>1</v>
      </c>
      <c r="C550">
        <v>0</v>
      </c>
      <c r="D550">
        <v>0</v>
      </c>
      <c r="F550" s="57" t="s">
        <v>325</v>
      </c>
      <c r="G550" s="92" t="s">
        <v>187</v>
      </c>
      <c r="H550" s="92" t="s">
        <v>187</v>
      </c>
      <c r="I550" s="66">
        <v>0.40211250316507147</v>
      </c>
      <c r="J550" s="66">
        <v>0.59788749683492848</v>
      </c>
    </row>
    <row r="551" spans="1:10">
      <c r="A551">
        <v>48</v>
      </c>
      <c r="B551">
        <v>1</v>
      </c>
      <c r="C551">
        <v>0</v>
      </c>
      <c r="D551">
        <v>0</v>
      </c>
      <c r="F551" s="57" t="s">
        <v>326</v>
      </c>
      <c r="G551" s="92" t="s">
        <v>187</v>
      </c>
      <c r="H551" s="92" t="s">
        <v>187</v>
      </c>
      <c r="I551" s="66">
        <v>7.2410448254411133E-2</v>
      </c>
      <c r="J551" s="66">
        <v>0.92758955174558888</v>
      </c>
    </row>
    <row r="552" spans="1:10">
      <c r="A552">
        <v>63</v>
      </c>
      <c r="B552">
        <v>0</v>
      </c>
      <c r="C552">
        <v>0</v>
      </c>
      <c r="D552">
        <v>0</v>
      </c>
      <c r="F552" s="57" t="s">
        <v>327</v>
      </c>
      <c r="G552" s="92" t="s">
        <v>187</v>
      </c>
      <c r="H552" s="92" t="s">
        <v>187</v>
      </c>
      <c r="I552" s="66">
        <v>0.44829915740631016</v>
      </c>
      <c r="J552" s="66">
        <v>0.5517008425936899</v>
      </c>
    </row>
    <row r="553" spans="1:10">
      <c r="A553">
        <v>55</v>
      </c>
      <c r="B553">
        <v>1</v>
      </c>
      <c r="C553">
        <v>0</v>
      </c>
      <c r="D553">
        <v>0</v>
      </c>
      <c r="F553" s="57" t="s">
        <v>328</v>
      </c>
      <c r="G553" s="92" t="s">
        <v>187</v>
      </c>
      <c r="H553" s="92" t="s">
        <v>187</v>
      </c>
      <c r="I553" s="66">
        <v>0.21813120232834582</v>
      </c>
      <c r="J553" s="66">
        <v>0.78186879767165418</v>
      </c>
    </row>
    <row r="554" spans="1:10">
      <c r="A554">
        <v>65</v>
      </c>
      <c r="B554">
        <v>1</v>
      </c>
      <c r="C554">
        <v>3</v>
      </c>
      <c r="D554">
        <v>0</v>
      </c>
      <c r="F554" s="57" t="s">
        <v>329</v>
      </c>
      <c r="G554" s="94" t="s">
        <v>187</v>
      </c>
      <c r="H554" s="94" t="s">
        <v>186</v>
      </c>
      <c r="I554" s="66">
        <v>0.80696167202446223</v>
      </c>
      <c r="J554" s="66">
        <v>0.19303832797553774</v>
      </c>
    </row>
    <row r="555" spans="1:10">
      <c r="A555">
        <v>56</v>
      </c>
      <c r="B555">
        <v>0</v>
      </c>
      <c r="C555">
        <v>0</v>
      </c>
      <c r="D555">
        <v>0</v>
      </c>
      <c r="F555" s="57" t="s">
        <v>330</v>
      </c>
      <c r="G555" s="92" t="s">
        <v>187</v>
      </c>
      <c r="H555" s="92" t="s">
        <v>187</v>
      </c>
      <c r="I555" s="66">
        <v>0.27186854065772315</v>
      </c>
      <c r="J555" s="66">
        <v>0.72813145934227685</v>
      </c>
    </row>
    <row r="556" spans="1:10">
      <c r="A556">
        <v>54</v>
      </c>
      <c r="B556">
        <v>1</v>
      </c>
      <c r="C556">
        <v>0</v>
      </c>
      <c r="D556">
        <v>0</v>
      </c>
      <c r="F556" s="57" t="s">
        <v>331</v>
      </c>
      <c r="G556" s="92" t="s">
        <v>187</v>
      </c>
      <c r="H556" s="92" t="s">
        <v>187</v>
      </c>
      <c r="I556" s="66">
        <v>0.17878432437885025</v>
      </c>
      <c r="J556" s="66">
        <v>0.82121567562114983</v>
      </c>
    </row>
    <row r="557" spans="1:10">
      <c r="A557">
        <v>70</v>
      </c>
      <c r="B557">
        <v>1</v>
      </c>
      <c r="C557">
        <v>0</v>
      </c>
      <c r="D557">
        <v>0</v>
      </c>
      <c r="F557" s="57" t="s">
        <v>332</v>
      </c>
      <c r="G557" s="92" t="s">
        <v>187</v>
      </c>
      <c r="H557" s="92" t="s">
        <v>187</v>
      </c>
      <c r="I557" s="66">
        <v>0.10153201441597859</v>
      </c>
      <c r="J557" s="66">
        <v>0.89846798558402141</v>
      </c>
    </row>
    <row r="558" spans="1:10">
      <c r="A558">
        <v>62</v>
      </c>
      <c r="B558">
        <v>1</v>
      </c>
      <c r="C558">
        <v>1</v>
      </c>
      <c r="D558">
        <v>0</v>
      </c>
      <c r="F558" s="57" t="s">
        <v>333</v>
      </c>
      <c r="G558" s="94" t="s">
        <v>187</v>
      </c>
      <c r="H558" s="94" t="s">
        <v>186</v>
      </c>
      <c r="I558" s="66">
        <v>0.75748867135332465</v>
      </c>
      <c r="J558" s="66">
        <v>0.24251132864667538</v>
      </c>
    </row>
    <row r="559" spans="1:10">
      <c r="A559">
        <v>35</v>
      </c>
      <c r="B559">
        <v>1</v>
      </c>
      <c r="C559">
        <v>0</v>
      </c>
      <c r="D559">
        <v>0</v>
      </c>
      <c r="F559" s="57" t="s">
        <v>334</v>
      </c>
      <c r="G559" s="94" t="s">
        <v>187</v>
      </c>
      <c r="H559" s="94" t="s">
        <v>186</v>
      </c>
      <c r="I559" s="66">
        <v>0.52095823269754682</v>
      </c>
      <c r="J559" s="66">
        <v>0.47904176730245318</v>
      </c>
    </row>
    <row r="560" spans="1:10">
      <c r="A560">
        <v>59</v>
      </c>
      <c r="B560">
        <v>1</v>
      </c>
      <c r="C560">
        <v>3</v>
      </c>
      <c r="D560">
        <v>0</v>
      </c>
      <c r="F560" s="57" t="s">
        <v>335</v>
      </c>
      <c r="G560" s="94" t="s">
        <v>187</v>
      </c>
      <c r="H560" s="94" t="s">
        <v>186</v>
      </c>
      <c r="I560" s="66">
        <v>0.74385517329550654</v>
      </c>
      <c r="J560" s="66">
        <v>0.2561448267044934</v>
      </c>
    </row>
    <row r="561" spans="1:10">
      <c r="A561">
        <v>64</v>
      </c>
      <c r="B561">
        <v>1</v>
      </c>
      <c r="C561">
        <v>2</v>
      </c>
      <c r="D561">
        <v>0</v>
      </c>
      <c r="F561" s="57" t="s">
        <v>336</v>
      </c>
      <c r="G561" s="92" t="s">
        <v>187</v>
      </c>
      <c r="H561" s="92" t="s">
        <v>187</v>
      </c>
      <c r="I561" s="66">
        <v>0.16234613265902773</v>
      </c>
      <c r="J561" s="66">
        <v>0.83765386734097236</v>
      </c>
    </row>
    <row r="562" spans="1:10">
      <c r="A562">
        <v>47</v>
      </c>
      <c r="B562">
        <v>1</v>
      </c>
      <c r="C562">
        <v>2</v>
      </c>
      <c r="D562">
        <v>0</v>
      </c>
      <c r="F562" s="57" t="s">
        <v>337</v>
      </c>
      <c r="G562" s="92" t="s">
        <v>187</v>
      </c>
      <c r="H562" s="92" t="s">
        <v>187</v>
      </c>
      <c r="I562" s="66">
        <v>0.28652815937512799</v>
      </c>
      <c r="J562" s="66">
        <v>0.71347184062487201</v>
      </c>
    </row>
    <row r="563" spans="1:10">
      <c r="A563">
        <v>57</v>
      </c>
      <c r="B563">
        <v>1</v>
      </c>
      <c r="C563">
        <v>0</v>
      </c>
      <c r="D563">
        <v>0</v>
      </c>
      <c r="F563" s="57" t="s">
        <v>338</v>
      </c>
      <c r="G563" s="92" t="s">
        <v>187</v>
      </c>
      <c r="H563" s="92" t="s">
        <v>187</v>
      </c>
      <c r="I563" s="66">
        <v>6.0690134751099432E-2</v>
      </c>
      <c r="J563" s="66">
        <v>0.93930986524890059</v>
      </c>
    </row>
    <row r="564" spans="1:10">
      <c r="A564">
        <v>55</v>
      </c>
      <c r="B564">
        <v>1</v>
      </c>
      <c r="C564">
        <v>0</v>
      </c>
      <c r="D564">
        <v>0</v>
      </c>
      <c r="F564" s="57" t="s">
        <v>339</v>
      </c>
      <c r="G564" s="92" t="s">
        <v>187</v>
      </c>
      <c r="H564" s="92" t="s">
        <v>187</v>
      </c>
      <c r="I564" s="66">
        <v>0.18230647251510651</v>
      </c>
      <c r="J564" s="66">
        <v>0.81769352748489343</v>
      </c>
    </row>
    <row r="565" spans="1:10">
      <c r="A565">
        <v>64</v>
      </c>
      <c r="B565">
        <v>1</v>
      </c>
      <c r="C565">
        <v>0</v>
      </c>
      <c r="D565">
        <v>0</v>
      </c>
      <c r="F565" s="57" t="s">
        <v>340</v>
      </c>
      <c r="G565" s="92" t="s">
        <v>187</v>
      </c>
      <c r="H565" s="92" t="s">
        <v>187</v>
      </c>
      <c r="I565" s="66">
        <v>0.29548443576300654</v>
      </c>
      <c r="J565" s="66">
        <v>0.70451556423699346</v>
      </c>
    </row>
    <row r="566" spans="1:10">
      <c r="A566">
        <v>70</v>
      </c>
      <c r="B566">
        <v>1</v>
      </c>
      <c r="C566">
        <v>0</v>
      </c>
      <c r="D566">
        <v>0</v>
      </c>
      <c r="F566" s="57" t="s">
        <v>341</v>
      </c>
      <c r="G566" s="92" t="s">
        <v>187</v>
      </c>
      <c r="H566" s="92" t="s">
        <v>187</v>
      </c>
      <c r="I566" s="66">
        <v>0.15268040021196674</v>
      </c>
      <c r="J566" s="66">
        <v>0.84731959978803328</v>
      </c>
    </row>
    <row r="567" spans="1:10">
      <c r="A567">
        <v>51</v>
      </c>
      <c r="B567">
        <v>1</v>
      </c>
      <c r="C567">
        <v>0</v>
      </c>
      <c r="D567">
        <v>0</v>
      </c>
      <c r="F567" s="57" t="s">
        <v>342</v>
      </c>
      <c r="G567" s="92" t="s">
        <v>187</v>
      </c>
      <c r="H567" s="92" t="s">
        <v>187</v>
      </c>
      <c r="I567" s="66">
        <v>0.24399936504398925</v>
      </c>
      <c r="J567" s="66">
        <v>0.75600063495601078</v>
      </c>
    </row>
    <row r="568" spans="1:10">
      <c r="A568">
        <v>58</v>
      </c>
      <c r="B568">
        <v>1</v>
      </c>
      <c r="C568">
        <v>0</v>
      </c>
      <c r="D568">
        <v>0</v>
      </c>
      <c r="F568" s="57" t="s">
        <v>343</v>
      </c>
      <c r="G568" s="92" t="s">
        <v>187</v>
      </c>
      <c r="H568" s="92" t="s">
        <v>187</v>
      </c>
      <c r="I568" s="66">
        <v>0.17795808469924462</v>
      </c>
      <c r="J568" s="66">
        <v>0.82204191530075543</v>
      </c>
    </row>
    <row r="569" spans="1:10">
      <c r="A569">
        <v>60</v>
      </c>
      <c r="B569">
        <v>1</v>
      </c>
      <c r="C569">
        <v>0</v>
      </c>
      <c r="D569">
        <v>0</v>
      </c>
      <c r="F569" s="57" t="s">
        <v>344</v>
      </c>
      <c r="G569" s="92" t="s">
        <v>187</v>
      </c>
      <c r="H569" s="92" t="s">
        <v>187</v>
      </c>
      <c r="I569" s="66">
        <v>0.31599684975869136</v>
      </c>
      <c r="J569" s="66">
        <v>0.68400315024130864</v>
      </c>
    </row>
    <row r="570" spans="1:10">
      <c r="A570">
        <v>77</v>
      </c>
      <c r="B570">
        <v>1</v>
      </c>
      <c r="C570">
        <v>0</v>
      </c>
      <c r="D570">
        <v>0</v>
      </c>
      <c r="F570" s="57" t="s">
        <v>345</v>
      </c>
      <c r="G570" s="92" t="s">
        <v>187</v>
      </c>
      <c r="H570" s="92" t="s">
        <v>187</v>
      </c>
      <c r="I570" s="66">
        <v>0.23963461545413622</v>
      </c>
      <c r="J570" s="66">
        <v>0.76036538454586378</v>
      </c>
    </row>
    <row r="571" spans="1:10">
      <c r="A571">
        <v>35</v>
      </c>
      <c r="B571">
        <v>1</v>
      </c>
      <c r="C571">
        <v>0</v>
      </c>
      <c r="D571">
        <v>0</v>
      </c>
      <c r="F571" s="57" t="s">
        <v>346</v>
      </c>
      <c r="G571" s="92" t="s">
        <v>187</v>
      </c>
      <c r="H571" s="92" t="s">
        <v>187</v>
      </c>
      <c r="I571" s="66">
        <v>0.13991058167502357</v>
      </c>
      <c r="J571" s="66">
        <v>0.86008941832497643</v>
      </c>
    </row>
    <row r="572" spans="1:10">
      <c r="A572">
        <v>70</v>
      </c>
      <c r="B572">
        <v>1</v>
      </c>
      <c r="C572">
        <v>2</v>
      </c>
      <c r="D572">
        <v>0</v>
      </c>
      <c r="F572" s="57" t="s">
        <v>347</v>
      </c>
      <c r="G572" s="92" t="s">
        <v>187</v>
      </c>
      <c r="H572" s="92" t="s">
        <v>187</v>
      </c>
      <c r="I572" s="66">
        <v>0.31208285494032723</v>
      </c>
      <c r="J572" s="66">
        <v>0.68791714505967272</v>
      </c>
    </row>
    <row r="573" spans="1:10">
      <c r="A573">
        <v>59</v>
      </c>
      <c r="B573">
        <v>0</v>
      </c>
      <c r="C573">
        <v>0</v>
      </c>
      <c r="D573">
        <v>0</v>
      </c>
      <c r="F573" s="57" t="s">
        <v>348</v>
      </c>
      <c r="G573" s="94" t="s">
        <v>187</v>
      </c>
      <c r="H573" s="94" t="s">
        <v>186</v>
      </c>
      <c r="I573" s="66">
        <v>0.55714810445507601</v>
      </c>
      <c r="J573" s="66">
        <v>0.44285189554492399</v>
      </c>
    </row>
    <row r="574" spans="1:10">
      <c r="A574">
        <v>64</v>
      </c>
      <c r="B574">
        <v>1</v>
      </c>
      <c r="C574">
        <v>0</v>
      </c>
      <c r="D574">
        <v>0</v>
      </c>
      <c r="F574" s="57" t="s">
        <v>349</v>
      </c>
      <c r="G574" s="92" t="s">
        <v>187</v>
      </c>
      <c r="H574" s="92" t="s">
        <v>187</v>
      </c>
      <c r="I574" s="66">
        <v>0.34958158702884212</v>
      </c>
      <c r="J574" s="66">
        <v>0.65041841297115799</v>
      </c>
    </row>
    <row r="575" spans="1:10">
      <c r="A575">
        <v>57</v>
      </c>
      <c r="B575">
        <v>1</v>
      </c>
      <c r="C575">
        <v>0</v>
      </c>
      <c r="D575">
        <v>0</v>
      </c>
      <c r="F575" s="57" t="s">
        <v>350</v>
      </c>
      <c r="G575" s="92" t="s">
        <v>187</v>
      </c>
      <c r="H575" s="92" t="s">
        <v>187</v>
      </c>
      <c r="I575" s="66">
        <v>0.13923353509506856</v>
      </c>
      <c r="J575" s="66">
        <v>0.86076646490493147</v>
      </c>
    </row>
    <row r="576" spans="1:10">
      <c r="A576">
        <v>56</v>
      </c>
      <c r="B576">
        <v>1</v>
      </c>
      <c r="C576">
        <v>0</v>
      </c>
      <c r="D576">
        <v>0</v>
      </c>
      <c r="F576" s="57" t="s">
        <v>351</v>
      </c>
      <c r="G576" s="94" t="s">
        <v>187</v>
      </c>
      <c r="H576" s="94" t="s">
        <v>186</v>
      </c>
      <c r="I576" s="66">
        <v>0.60118187310753357</v>
      </c>
      <c r="J576" s="66">
        <v>0.39881812689246637</v>
      </c>
    </row>
    <row r="577" spans="1:10">
      <c r="A577">
        <v>48</v>
      </c>
      <c r="B577">
        <v>1</v>
      </c>
      <c r="C577">
        <v>0</v>
      </c>
      <c r="D577">
        <v>0</v>
      </c>
      <c r="F577" s="57" t="s">
        <v>352</v>
      </c>
      <c r="G577" s="94" t="s">
        <v>187</v>
      </c>
      <c r="H577" s="94" t="s">
        <v>186</v>
      </c>
      <c r="I577" s="66">
        <v>0.56440044307817083</v>
      </c>
      <c r="J577" s="66">
        <v>0.43559955692182922</v>
      </c>
    </row>
    <row r="578" spans="1:10">
      <c r="A578">
        <v>56</v>
      </c>
      <c r="B578">
        <v>0</v>
      </c>
      <c r="C578">
        <v>0</v>
      </c>
      <c r="D578">
        <v>0</v>
      </c>
      <c r="F578" s="57" t="s">
        <v>353</v>
      </c>
      <c r="G578" s="92" t="s">
        <v>187</v>
      </c>
      <c r="H578" s="92" t="s">
        <v>187</v>
      </c>
      <c r="I578" s="66">
        <v>2.2122167653181719E-2</v>
      </c>
      <c r="J578" s="66">
        <v>0.97787783234681824</v>
      </c>
    </row>
    <row r="579" spans="1:10">
      <c r="A579">
        <v>66</v>
      </c>
      <c r="B579">
        <v>1</v>
      </c>
      <c r="C579">
        <v>1</v>
      </c>
      <c r="D579">
        <v>0</v>
      </c>
      <c r="F579" s="57" t="s">
        <v>354</v>
      </c>
      <c r="G579" s="92" t="s">
        <v>187</v>
      </c>
      <c r="H579" s="92" t="s">
        <v>187</v>
      </c>
      <c r="I579" s="66">
        <v>0.14349156413730024</v>
      </c>
      <c r="J579" s="66">
        <v>0.85650843586269965</v>
      </c>
    </row>
    <row r="580" spans="1:10">
      <c r="A580">
        <v>54</v>
      </c>
      <c r="B580">
        <v>1</v>
      </c>
      <c r="C580">
        <v>1</v>
      </c>
      <c r="D580">
        <v>0</v>
      </c>
      <c r="F580" s="57" t="s">
        <v>355</v>
      </c>
      <c r="G580" s="92" t="s">
        <v>187</v>
      </c>
      <c r="H580" s="92" t="s">
        <v>187</v>
      </c>
      <c r="I580" s="66">
        <v>0.15195247606217446</v>
      </c>
      <c r="J580" s="66">
        <v>0.84804752393782545</v>
      </c>
    </row>
    <row r="581" spans="1:10">
      <c r="A581">
        <v>69</v>
      </c>
      <c r="B581">
        <v>1</v>
      </c>
      <c r="C581">
        <v>2</v>
      </c>
      <c r="D581">
        <v>0</v>
      </c>
      <c r="F581" s="57" t="s">
        <v>356</v>
      </c>
      <c r="G581" s="92" t="s">
        <v>187</v>
      </c>
      <c r="H581" s="92" t="s">
        <v>187</v>
      </c>
      <c r="I581" s="66">
        <v>0.10837385075583678</v>
      </c>
      <c r="J581" s="66">
        <v>0.89162614924416317</v>
      </c>
    </row>
    <row r="582" spans="1:10">
      <c r="A582">
        <v>51</v>
      </c>
      <c r="B582">
        <v>1</v>
      </c>
      <c r="C582">
        <v>0</v>
      </c>
      <c r="D582">
        <v>0</v>
      </c>
      <c r="F582" s="57" t="s">
        <v>357</v>
      </c>
      <c r="G582" s="92" t="s">
        <v>187</v>
      </c>
      <c r="H582" s="92" t="s">
        <v>187</v>
      </c>
      <c r="I582" s="66">
        <v>0.25316043997673626</v>
      </c>
      <c r="J582" s="66">
        <v>0.74683956002326379</v>
      </c>
    </row>
    <row r="583" spans="1:10">
      <c r="A583">
        <v>43</v>
      </c>
      <c r="B583">
        <v>1</v>
      </c>
      <c r="C583">
        <v>0</v>
      </c>
      <c r="D583">
        <v>0</v>
      </c>
      <c r="F583" s="57" t="s">
        <v>358</v>
      </c>
      <c r="G583" s="94" t="s">
        <v>187</v>
      </c>
      <c r="H583" s="94" t="s">
        <v>186</v>
      </c>
      <c r="I583" s="66">
        <v>0.55714810445507601</v>
      </c>
      <c r="J583" s="66">
        <v>0.44285189554492399</v>
      </c>
    </row>
    <row r="584" spans="1:10">
      <c r="A584">
        <v>62</v>
      </c>
      <c r="B584">
        <v>0</v>
      </c>
      <c r="C584">
        <v>0</v>
      </c>
      <c r="D584">
        <v>0</v>
      </c>
      <c r="F584" s="57" t="s">
        <v>359</v>
      </c>
      <c r="G584" s="94" t="s">
        <v>187</v>
      </c>
      <c r="H584" s="94" t="s">
        <v>186</v>
      </c>
      <c r="I584" s="66">
        <v>0.82865162136370307</v>
      </c>
      <c r="J584" s="66">
        <v>0.17134837863629696</v>
      </c>
    </row>
    <row r="585" spans="1:10">
      <c r="A585">
        <v>67</v>
      </c>
      <c r="B585">
        <v>1</v>
      </c>
      <c r="C585">
        <v>0</v>
      </c>
      <c r="D585">
        <v>0</v>
      </c>
      <c r="F585" s="57" t="s">
        <v>360</v>
      </c>
      <c r="G585" s="92" t="s">
        <v>187</v>
      </c>
      <c r="H585" s="92" t="s">
        <v>187</v>
      </c>
      <c r="I585" s="66">
        <v>2.9386946032969659E-2</v>
      </c>
      <c r="J585" s="66">
        <v>0.97061305396703024</v>
      </c>
    </row>
    <row r="586" spans="1:10">
      <c r="A586">
        <v>59</v>
      </c>
      <c r="B586">
        <v>1</v>
      </c>
      <c r="C586">
        <v>3</v>
      </c>
      <c r="D586">
        <v>0</v>
      </c>
      <c r="F586" s="57" t="s">
        <v>361</v>
      </c>
      <c r="G586" s="92" t="s">
        <v>187</v>
      </c>
      <c r="H586" s="92" t="s">
        <v>187</v>
      </c>
      <c r="I586" s="66">
        <v>7.2410448254411133E-2</v>
      </c>
      <c r="J586" s="66">
        <v>0.92758955174558888</v>
      </c>
    </row>
    <row r="587" spans="1:10">
      <c r="A587">
        <v>45</v>
      </c>
      <c r="B587">
        <v>1</v>
      </c>
      <c r="C587">
        <v>0</v>
      </c>
      <c r="D587">
        <v>0</v>
      </c>
      <c r="F587" s="57" t="s">
        <v>362</v>
      </c>
      <c r="G587" s="92" t="s">
        <v>187</v>
      </c>
      <c r="H587" s="92" t="s">
        <v>187</v>
      </c>
      <c r="I587" s="66">
        <v>2.5503854867071383E-2</v>
      </c>
      <c r="J587" s="66">
        <v>0.9744961451329287</v>
      </c>
    </row>
    <row r="588" spans="1:10">
      <c r="A588">
        <v>58</v>
      </c>
      <c r="B588">
        <v>1</v>
      </c>
      <c r="C588">
        <v>0</v>
      </c>
      <c r="D588">
        <v>0</v>
      </c>
      <c r="F588" s="57" t="s">
        <v>363</v>
      </c>
      <c r="G588" s="92" t="s">
        <v>187</v>
      </c>
      <c r="H588" s="92" t="s">
        <v>187</v>
      </c>
      <c r="I588" s="66">
        <v>4.8257563880406321E-2</v>
      </c>
      <c r="J588" s="66">
        <v>0.95174243611959364</v>
      </c>
    </row>
    <row r="589" spans="1:10">
      <c r="A589">
        <v>50</v>
      </c>
      <c r="B589">
        <v>1</v>
      </c>
      <c r="C589">
        <v>0</v>
      </c>
      <c r="D589">
        <v>0</v>
      </c>
      <c r="F589" s="57" t="s">
        <v>364</v>
      </c>
      <c r="G589" s="94" t="s">
        <v>187</v>
      </c>
      <c r="H589" s="94" t="s">
        <v>186</v>
      </c>
      <c r="I589" s="66">
        <v>0.66859100469822785</v>
      </c>
      <c r="J589" s="66">
        <v>0.33140899530177215</v>
      </c>
    </row>
    <row r="590" spans="1:10">
      <c r="A590">
        <v>62</v>
      </c>
      <c r="B590">
        <v>0</v>
      </c>
      <c r="C590">
        <v>0</v>
      </c>
      <c r="D590">
        <v>0</v>
      </c>
      <c r="F590" s="57" t="s">
        <v>365</v>
      </c>
      <c r="G590" s="92" t="s">
        <v>187</v>
      </c>
      <c r="H590" s="92" t="s">
        <v>187</v>
      </c>
      <c r="I590" s="66">
        <v>0.16754877113378908</v>
      </c>
      <c r="J590" s="66">
        <v>0.83245122886621092</v>
      </c>
    </row>
    <row r="591" spans="1:10">
      <c r="A591">
        <v>38</v>
      </c>
      <c r="B591">
        <v>1</v>
      </c>
      <c r="C591">
        <v>3</v>
      </c>
      <c r="D591">
        <v>0</v>
      </c>
      <c r="F591" s="57" t="s">
        <v>366</v>
      </c>
      <c r="G591" s="92" t="s">
        <v>187</v>
      </c>
      <c r="H591" s="92" t="s">
        <v>187</v>
      </c>
      <c r="I591" s="66">
        <v>6.3212620482769127E-2</v>
      </c>
      <c r="J591" s="66">
        <v>0.9367873795172309</v>
      </c>
    </row>
    <row r="592" spans="1:10">
      <c r="A592">
        <v>66</v>
      </c>
      <c r="B592">
        <v>0</v>
      </c>
      <c r="C592">
        <v>0</v>
      </c>
      <c r="D592">
        <v>0</v>
      </c>
      <c r="F592" s="57" t="s">
        <v>367</v>
      </c>
      <c r="G592" s="92" t="s">
        <v>187</v>
      </c>
      <c r="H592" s="92" t="s">
        <v>187</v>
      </c>
      <c r="I592" s="66">
        <v>0.4831390695849086</v>
      </c>
      <c r="J592" s="66">
        <v>0.51686093041509129</v>
      </c>
    </row>
    <row r="593" spans="1:10">
      <c r="A593">
        <v>52</v>
      </c>
      <c r="B593">
        <v>1</v>
      </c>
      <c r="C593">
        <v>0</v>
      </c>
      <c r="D593">
        <v>0</v>
      </c>
      <c r="F593" s="57" t="s">
        <v>368</v>
      </c>
      <c r="G593" s="92" t="s">
        <v>187</v>
      </c>
      <c r="H593" s="92" t="s">
        <v>187</v>
      </c>
      <c r="I593" s="66">
        <v>7.2410448254411133E-2</v>
      </c>
      <c r="J593" s="66">
        <v>0.92758955174558888</v>
      </c>
    </row>
    <row r="594" spans="1:10">
      <c r="A594">
        <v>53</v>
      </c>
      <c r="B594">
        <v>1</v>
      </c>
      <c r="C594">
        <v>0</v>
      </c>
      <c r="D594">
        <v>0</v>
      </c>
      <c r="F594" s="57" t="s">
        <v>369</v>
      </c>
      <c r="G594" s="92" t="s">
        <v>187</v>
      </c>
      <c r="H594" s="92" t="s">
        <v>187</v>
      </c>
      <c r="I594" s="66">
        <v>0.13137112193546063</v>
      </c>
      <c r="J594" s="66">
        <v>0.86862887806453948</v>
      </c>
    </row>
    <row r="595" spans="1:10">
      <c r="A595">
        <v>63</v>
      </c>
      <c r="B595">
        <v>0</v>
      </c>
      <c r="C595">
        <v>0</v>
      </c>
      <c r="D595">
        <v>0</v>
      </c>
      <c r="F595" s="57" t="s">
        <v>370</v>
      </c>
      <c r="G595" s="92" t="s">
        <v>187</v>
      </c>
      <c r="H595" s="92" t="s">
        <v>187</v>
      </c>
      <c r="I595" s="66">
        <v>0.33445632673828019</v>
      </c>
      <c r="J595" s="66">
        <v>0.66554367326171981</v>
      </c>
    </row>
    <row r="596" spans="1:10">
      <c r="A596">
        <v>54</v>
      </c>
      <c r="B596">
        <v>1</v>
      </c>
      <c r="C596">
        <v>0</v>
      </c>
      <c r="D596">
        <v>0</v>
      </c>
      <c r="F596" s="57" t="s">
        <v>371</v>
      </c>
      <c r="G596" s="92" t="s">
        <v>187</v>
      </c>
      <c r="H596" s="92" t="s">
        <v>187</v>
      </c>
      <c r="I596" s="66">
        <v>0.31843901201756014</v>
      </c>
      <c r="J596" s="66">
        <v>0.68156098798243991</v>
      </c>
    </row>
    <row r="597" spans="1:10">
      <c r="A597">
        <v>66</v>
      </c>
      <c r="B597">
        <v>1</v>
      </c>
      <c r="C597">
        <v>0</v>
      </c>
      <c r="D597">
        <v>0</v>
      </c>
      <c r="F597" s="57" t="s">
        <v>372</v>
      </c>
      <c r="G597" s="92" t="s">
        <v>187</v>
      </c>
      <c r="H597" s="92" t="s">
        <v>187</v>
      </c>
      <c r="I597" s="66">
        <v>7.7862911045307584E-2</v>
      </c>
      <c r="J597" s="66">
        <v>0.92213708895469237</v>
      </c>
    </row>
    <row r="598" spans="1:10">
      <c r="A598">
        <v>55</v>
      </c>
      <c r="B598">
        <v>0</v>
      </c>
      <c r="C598">
        <v>0</v>
      </c>
      <c r="D598">
        <v>0</v>
      </c>
      <c r="F598" s="57" t="s">
        <v>373</v>
      </c>
      <c r="G598" s="92" t="s">
        <v>187</v>
      </c>
      <c r="H598" s="92" t="s">
        <v>187</v>
      </c>
      <c r="I598" s="66">
        <v>0.29665941821462199</v>
      </c>
      <c r="J598" s="66">
        <v>0.70334058178537806</v>
      </c>
    </row>
    <row r="599" spans="1:10">
      <c r="A599">
        <v>49</v>
      </c>
      <c r="B599">
        <v>1</v>
      </c>
      <c r="C599">
        <v>2</v>
      </c>
      <c r="D599">
        <v>0</v>
      </c>
      <c r="F599" s="57" t="s">
        <v>374</v>
      </c>
      <c r="G599" s="92" t="s">
        <v>187</v>
      </c>
      <c r="H599" s="92" t="s">
        <v>187</v>
      </c>
      <c r="I599" s="66">
        <v>0.10783028181780716</v>
      </c>
      <c r="J599" s="66">
        <v>0.89216971818219293</v>
      </c>
    </row>
    <row r="600" spans="1:10">
      <c r="A600">
        <v>54</v>
      </c>
      <c r="B600">
        <v>1</v>
      </c>
      <c r="C600">
        <v>0</v>
      </c>
      <c r="D600">
        <v>0</v>
      </c>
      <c r="F600" s="57" t="s">
        <v>375</v>
      </c>
      <c r="G600" s="94" t="s">
        <v>187</v>
      </c>
      <c r="H600" s="94" t="s">
        <v>186</v>
      </c>
      <c r="I600" s="66">
        <v>0.68331282846435315</v>
      </c>
      <c r="J600" s="66">
        <v>0.31668717153564691</v>
      </c>
    </row>
    <row r="601" spans="1:10">
      <c r="A601">
        <v>56</v>
      </c>
      <c r="B601">
        <v>1</v>
      </c>
      <c r="C601">
        <v>0</v>
      </c>
      <c r="D601">
        <v>0</v>
      </c>
      <c r="F601" s="57" t="s">
        <v>376</v>
      </c>
      <c r="G601" s="94" t="s">
        <v>187</v>
      </c>
      <c r="H601" s="94" t="s">
        <v>186</v>
      </c>
      <c r="I601" s="66">
        <v>0.80696167202446223</v>
      </c>
      <c r="J601" s="66">
        <v>0.19303832797553774</v>
      </c>
    </row>
    <row r="602" spans="1:10">
      <c r="A602">
        <v>46</v>
      </c>
      <c r="B602">
        <v>1</v>
      </c>
      <c r="C602">
        <v>0</v>
      </c>
      <c r="D602">
        <v>0</v>
      </c>
      <c r="F602" s="57" t="s">
        <v>377</v>
      </c>
      <c r="G602" s="94" t="s">
        <v>187</v>
      </c>
      <c r="H602" s="94" t="s">
        <v>186</v>
      </c>
      <c r="I602" s="66">
        <v>0.87439444594149851</v>
      </c>
      <c r="J602" s="66">
        <v>0.12560555405850152</v>
      </c>
    </row>
    <row r="603" spans="1:10">
      <c r="A603">
        <v>61</v>
      </c>
      <c r="B603">
        <v>1</v>
      </c>
      <c r="C603">
        <v>3</v>
      </c>
      <c r="D603">
        <v>0</v>
      </c>
      <c r="F603" s="57" t="s">
        <v>378</v>
      </c>
      <c r="G603" s="92" t="s">
        <v>187</v>
      </c>
      <c r="H603" s="92" t="s">
        <v>187</v>
      </c>
      <c r="I603" s="66">
        <v>5.9033126557093481E-2</v>
      </c>
      <c r="J603" s="66">
        <v>0.94096687344290653</v>
      </c>
    </row>
    <row r="604" spans="1:10">
      <c r="A604">
        <v>67</v>
      </c>
      <c r="B604">
        <v>1</v>
      </c>
      <c r="C604">
        <v>0</v>
      </c>
      <c r="D604">
        <v>0</v>
      </c>
      <c r="F604" s="57" t="s">
        <v>379</v>
      </c>
      <c r="G604" s="94" t="s">
        <v>187</v>
      </c>
      <c r="H604" s="94" t="s">
        <v>186</v>
      </c>
      <c r="I604" s="66">
        <v>0.60118187310753357</v>
      </c>
      <c r="J604" s="66">
        <v>0.39881812689246637</v>
      </c>
    </row>
    <row r="605" spans="1:10">
      <c r="A605">
        <v>58</v>
      </c>
      <c r="B605">
        <v>1</v>
      </c>
      <c r="C605">
        <v>0</v>
      </c>
      <c r="D605">
        <v>0</v>
      </c>
      <c r="F605" s="57" t="s">
        <v>380</v>
      </c>
      <c r="G605" s="92" t="s">
        <v>187</v>
      </c>
      <c r="H605" s="92" t="s">
        <v>187</v>
      </c>
      <c r="I605" s="66">
        <v>3.1537864670678567E-2</v>
      </c>
      <c r="J605" s="66">
        <v>0.96846213532932135</v>
      </c>
    </row>
    <row r="606" spans="1:10">
      <c r="A606">
        <v>47</v>
      </c>
      <c r="B606">
        <v>1</v>
      </c>
      <c r="C606">
        <v>0</v>
      </c>
      <c r="D606">
        <v>0</v>
      </c>
      <c r="F606" s="57" t="s">
        <v>381</v>
      </c>
      <c r="G606" s="94" t="s">
        <v>187</v>
      </c>
      <c r="H606" s="94" t="s">
        <v>186</v>
      </c>
      <c r="I606" s="66">
        <v>0.61020313155658201</v>
      </c>
      <c r="J606" s="66">
        <v>0.38979686844341799</v>
      </c>
    </row>
    <row r="607" spans="1:10">
      <c r="A607">
        <v>52</v>
      </c>
      <c r="B607">
        <v>1</v>
      </c>
      <c r="C607">
        <v>0</v>
      </c>
      <c r="D607">
        <v>0</v>
      </c>
      <c r="F607" s="57" t="s">
        <v>382</v>
      </c>
      <c r="G607" s="92" t="s">
        <v>187</v>
      </c>
      <c r="H607" s="92" t="s">
        <v>187</v>
      </c>
      <c r="I607" s="66">
        <v>0.2794102525370018</v>
      </c>
      <c r="J607" s="66">
        <v>0.7205897474629982</v>
      </c>
    </row>
    <row r="608" spans="1:10">
      <c r="A608">
        <v>58</v>
      </c>
      <c r="B608">
        <v>1</v>
      </c>
      <c r="C608">
        <v>0</v>
      </c>
      <c r="D608">
        <v>0</v>
      </c>
      <c r="F608" s="57" t="s">
        <v>383</v>
      </c>
      <c r="G608" s="94" t="s">
        <v>187</v>
      </c>
      <c r="H608" s="94" t="s">
        <v>186</v>
      </c>
      <c r="I608" s="66">
        <v>0.79443891252417087</v>
      </c>
      <c r="J608" s="66">
        <v>0.20556108747582916</v>
      </c>
    </row>
    <row r="609" spans="1:10">
      <c r="A609">
        <v>57</v>
      </c>
      <c r="B609">
        <v>1</v>
      </c>
      <c r="C609">
        <v>1</v>
      </c>
      <c r="D609">
        <v>0</v>
      </c>
      <c r="F609" s="57" t="s">
        <v>384</v>
      </c>
      <c r="G609" s="92" t="s">
        <v>187</v>
      </c>
      <c r="H609" s="92" t="s">
        <v>187</v>
      </c>
      <c r="I609" s="66">
        <v>3.6305437373584507E-2</v>
      </c>
      <c r="J609" s="66">
        <v>0.9636945626264154</v>
      </c>
    </row>
    <row r="610" spans="1:10">
      <c r="A610">
        <v>58</v>
      </c>
      <c r="B610">
        <v>0</v>
      </c>
      <c r="C610">
        <v>1</v>
      </c>
      <c r="D610">
        <v>0</v>
      </c>
      <c r="F610" s="57" t="s">
        <v>385</v>
      </c>
      <c r="G610" s="92" t="s">
        <v>187</v>
      </c>
      <c r="H610" s="92" t="s">
        <v>187</v>
      </c>
      <c r="I610" s="66">
        <v>4.1537611301166497E-2</v>
      </c>
      <c r="J610" s="66">
        <v>0.95846238869883349</v>
      </c>
    </row>
    <row r="611" spans="1:10">
      <c r="A611">
        <v>61</v>
      </c>
      <c r="B611">
        <v>1</v>
      </c>
      <c r="C611">
        <v>0</v>
      </c>
      <c r="D611">
        <v>0</v>
      </c>
      <c r="F611" s="57" t="s">
        <v>386</v>
      </c>
      <c r="G611" s="92" t="s">
        <v>187</v>
      </c>
      <c r="H611" s="92" t="s">
        <v>187</v>
      </c>
      <c r="I611" s="66">
        <v>0.17249919965351992</v>
      </c>
      <c r="J611" s="66">
        <v>0.8275008003464801</v>
      </c>
    </row>
    <row r="612" spans="1:10">
      <c r="A612">
        <v>42</v>
      </c>
      <c r="B612">
        <v>1</v>
      </c>
      <c r="C612">
        <v>0</v>
      </c>
      <c r="D612">
        <v>0</v>
      </c>
      <c r="F612" s="57" t="s">
        <v>387</v>
      </c>
      <c r="G612" s="92" t="s">
        <v>187</v>
      </c>
      <c r="H612" s="92" t="s">
        <v>187</v>
      </c>
      <c r="I612" s="66">
        <v>0.15268040021196674</v>
      </c>
      <c r="J612" s="66">
        <v>0.84731959978803328</v>
      </c>
    </row>
    <row r="613" spans="1:10">
      <c r="A613">
        <v>52</v>
      </c>
      <c r="B613">
        <v>1</v>
      </c>
      <c r="C613">
        <v>0</v>
      </c>
      <c r="D613">
        <v>0</v>
      </c>
      <c r="F613" s="57" t="s">
        <v>388</v>
      </c>
      <c r="G613" s="94" t="s">
        <v>187</v>
      </c>
      <c r="H613" s="94" t="s">
        <v>186</v>
      </c>
      <c r="I613" s="66">
        <v>0.88954468971870693</v>
      </c>
      <c r="J613" s="66">
        <v>0.11045531028129311</v>
      </c>
    </row>
    <row r="614" spans="1:10">
      <c r="A614">
        <v>59</v>
      </c>
      <c r="B614">
        <v>1</v>
      </c>
      <c r="C614">
        <v>2</v>
      </c>
      <c r="D614">
        <v>0</v>
      </c>
      <c r="F614" s="57" t="s">
        <v>389</v>
      </c>
      <c r="G614" s="94" t="s">
        <v>187</v>
      </c>
      <c r="H614" s="94" t="s">
        <v>186</v>
      </c>
      <c r="I614" s="66">
        <v>0.67690693923461354</v>
      </c>
      <c r="J614" s="66">
        <v>0.32309306076538646</v>
      </c>
    </row>
    <row r="615" spans="1:10">
      <c r="A615">
        <v>40</v>
      </c>
      <c r="B615">
        <v>1</v>
      </c>
      <c r="C615">
        <v>0</v>
      </c>
      <c r="D615">
        <v>0</v>
      </c>
      <c r="F615" s="57" t="s">
        <v>390</v>
      </c>
      <c r="G615" s="92" t="s">
        <v>187</v>
      </c>
      <c r="H615" s="92" t="s">
        <v>187</v>
      </c>
      <c r="I615" s="66">
        <v>0.24296090533367498</v>
      </c>
      <c r="J615" s="66">
        <v>0.75703909466632502</v>
      </c>
    </row>
    <row r="616" spans="1:10">
      <c r="A616">
        <v>61</v>
      </c>
      <c r="B616">
        <v>1</v>
      </c>
      <c r="C616">
        <v>0</v>
      </c>
      <c r="D616">
        <v>0</v>
      </c>
      <c r="F616" s="57" t="s">
        <v>391</v>
      </c>
      <c r="G616" s="92" t="s">
        <v>187</v>
      </c>
      <c r="H616" s="92" t="s">
        <v>187</v>
      </c>
      <c r="I616" s="66">
        <v>0.15763157514842321</v>
      </c>
      <c r="J616" s="66">
        <v>0.8423684248515767</v>
      </c>
    </row>
    <row r="617" spans="1:10">
      <c r="A617">
        <v>46</v>
      </c>
      <c r="B617">
        <v>1</v>
      </c>
      <c r="C617">
        <v>0</v>
      </c>
      <c r="D617">
        <v>0</v>
      </c>
      <c r="F617" s="57" t="s">
        <v>392</v>
      </c>
      <c r="G617" s="92" t="s">
        <v>187</v>
      </c>
      <c r="H617" s="92" t="s">
        <v>187</v>
      </c>
      <c r="I617" s="66">
        <v>2.5503854867071383E-2</v>
      </c>
      <c r="J617" s="66">
        <v>0.9744961451329287</v>
      </c>
    </row>
    <row r="618" spans="1:10">
      <c r="A618">
        <v>59</v>
      </c>
      <c r="B618">
        <v>1</v>
      </c>
      <c r="C618">
        <v>3</v>
      </c>
      <c r="D618">
        <v>0</v>
      </c>
      <c r="F618" s="57" t="s">
        <v>393</v>
      </c>
      <c r="G618" s="92" t="s">
        <v>187</v>
      </c>
      <c r="H618" s="92" t="s">
        <v>187</v>
      </c>
      <c r="I618" s="66">
        <v>0.44829915740631016</v>
      </c>
      <c r="J618" s="66">
        <v>0.5517008425936899</v>
      </c>
    </row>
    <row r="619" spans="1:10">
      <c r="A619">
        <v>57</v>
      </c>
      <c r="B619">
        <v>1</v>
      </c>
      <c r="C619">
        <v>1</v>
      </c>
      <c r="D619">
        <v>0</v>
      </c>
      <c r="F619" s="57" t="s">
        <v>394</v>
      </c>
      <c r="G619" s="92" t="s">
        <v>187</v>
      </c>
      <c r="H619" s="92" t="s">
        <v>187</v>
      </c>
      <c r="I619" s="66">
        <v>0.20596078945558585</v>
      </c>
      <c r="J619" s="66">
        <v>0.79403921054441406</v>
      </c>
    </row>
    <row r="620" spans="1:10">
      <c r="A620">
        <v>57</v>
      </c>
      <c r="B620">
        <v>1</v>
      </c>
      <c r="C620">
        <v>0</v>
      </c>
      <c r="D620">
        <v>0</v>
      </c>
      <c r="F620" s="57" t="s">
        <v>395</v>
      </c>
      <c r="G620" s="92" t="s">
        <v>187</v>
      </c>
      <c r="H620" s="92" t="s">
        <v>187</v>
      </c>
      <c r="I620" s="66">
        <v>0.23181416284188269</v>
      </c>
      <c r="J620" s="66">
        <v>0.76818583715811728</v>
      </c>
    </row>
    <row r="621" spans="1:10">
      <c r="A621">
        <v>55</v>
      </c>
      <c r="B621">
        <v>0</v>
      </c>
      <c r="C621">
        <v>0</v>
      </c>
      <c r="D621">
        <v>0</v>
      </c>
      <c r="F621" s="57" t="s">
        <v>396</v>
      </c>
      <c r="G621" s="94" t="s">
        <v>187</v>
      </c>
      <c r="H621" s="94" t="s">
        <v>186</v>
      </c>
      <c r="I621" s="66">
        <v>0.61718360609311174</v>
      </c>
      <c r="J621" s="66">
        <v>0.38281639390688826</v>
      </c>
    </row>
    <row r="622" spans="1:10">
      <c r="A622">
        <v>61</v>
      </c>
      <c r="B622">
        <v>1</v>
      </c>
      <c r="C622">
        <v>0</v>
      </c>
      <c r="D622">
        <v>0</v>
      </c>
      <c r="F622" s="57" t="s">
        <v>397</v>
      </c>
      <c r="G622" s="94" t="s">
        <v>187</v>
      </c>
      <c r="H622" s="94" t="s">
        <v>186</v>
      </c>
      <c r="I622" s="66">
        <v>0.58222098274633249</v>
      </c>
      <c r="J622" s="66">
        <v>0.41777901725366751</v>
      </c>
    </row>
    <row r="623" spans="1:10">
      <c r="A623">
        <v>58</v>
      </c>
      <c r="B623">
        <v>1</v>
      </c>
      <c r="C623">
        <v>0</v>
      </c>
      <c r="D623">
        <v>0</v>
      </c>
      <c r="F623" s="57" t="s">
        <v>398</v>
      </c>
      <c r="G623" s="94" t="s">
        <v>187</v>
      </c>
      <c r="H623" s="94" t="s">
        <v>186</v>
      </c>
      <c r="I623" s="66">
        <v>0.58222098274633249</v>
      </c>
      <c r="J623" s="66">
        <v>0.41777901725366751</v>
      </c>
    </row>
    <row r="624" spans="1:10">
      <c r="A624">
        <v>58</v>
      </c>
      <c r="B624">
        <v>0</v>
      </c>
      <c r="C624">
        <v>0</v>
      </c>
      <c r="D624">
        <v>0</v>
      </c>
      <c r="F624" s="57" t="s">
        <v>399</v>
      </c>
      <c r="G624" s="92" t="s">
        <v>187</v>
      </c>
      <c r="H624" s="92" t="s">
        <v>187</v>
      </c>
      <c r="I624" s="66">
        <v>0.18973257421531273</v>
      </c>
      <c r="J624" s="66">
        <v>0.81026742578468736</v>
      </c>
    </row>
    <row r="625" spans="1:10">
      <c r="A625">
        <v>67</v>
      </c>
      <c r="B625">
        <v>1</v>
      </c>
      <c r="C625">
        <v>2</v>
      </c>
      <c r="D625">
        <v>0</v>
      </c>
      <c r="F625" s="57" t="s">
        <v>400</v>
      </c>
      <c r="G625" s="92" t="s">
        <v>187</v>
      </c>
      <c r="H625" s="92" t="s">
        <v>187</v>
      </c>
      <c r="I625" s="66">
        <v>0.31843901201756014</v>
      </c>
      <c r="J625" s="66">
        <v>0.68156098798243991</v>
      </c>
    </row>
    <row r="626" spans="1:10">
      <c r="A626">
        <v>44</v>
      </c>
      <c r="B626">
        <v>1</v>
      </c>
      <c r="C626">
        <v>0</v>
      </c>
      <c r="D626">
        <v>0</v>
      </c>
      <c r="F626" s="57" t="s">
        <v>401</v>
      </c>
      <c r="G626" s="92" t="s">
        <v>187</v>
      </c>
      <c r="H626" s="92" t="s">
        <v>187</v>
      </c>
      <c r="I626" s="66">
        <v>0.11866239003183793</v>
      </c>
      <c r="J626" s="66">
        <v>0.88133760996816202</v>
      </c>
    </row>
    <row r="627" spans="1:10">
      <c r="A627">
        <v>63</v>
      </c>
      <c r="B627">
        <v>1</v>
      </c>
      <c r="C627">
        <v>0</v>
      </c>
      <c r="D627">
        <v>0</v>
      </c>
      <c r="F627" s="57" t="s">
        <v>402</v>
      </c>
      <c r="G627" s="92" t="s">
        <v>187</v>
      </c>
      <c r="H627" s="92" t="s">
        <v>187</v>
      </c>
      <c r="I627" s="66">
        <v>0.11866239003183793</v>
      </c>
      <c r="J627" s="66">
        <v>0.88133760996816202</v>
      </c>
    </row>
    <row r="628" spans="1:10">
      <c r="A628">
        <v>63</v>
      </c>
      <c r="B628">
        <v>0</v>
      </c>
      <c r="C628">
        <v>0</v>
      </c>
      <c r="D628">
        <v>0</v>
      </c>
      <c r="F628" s="57" t="s">
        <v>403</v>
      </c>
      <c r="G628" s="92" t="s">
        <v>186</v>
      </c>
      <c r="H628" s="92" t="s">
        <v>186</v>
      </c>
      <c r="I628" s="66">
        <v>0.89650267909391401</v>
      </c>
      <c r="J628" s="66">
        <v>0.1034973209060859</v>
      </c>
    </row>
    <row r="629" spans="1:10">
      <c r="A629">
        <v>59</v>
      </c>
      <c r="B629">
        <v>1</v>
      </c>
      <c r="C629">
        <v>0</v>
      </c>
      <c r="D629">
        <v>0</v>
      </c>
      <c r="F629" s="57" t="s">
        <v>404</v>
      </c>
      <c r="G629" s="92" t="s">
        <v>186</v>
      </c>
      <c r="H629" s="92" t="s">
        <v>186</v>
      </c>
      <c r="I629" s="66">
        <v>0.89650267909391401</v>
      </c>
      <c r="J629" s="66">
        <v>0.1034973209060859</v>
      </c>
    </row>
    <row r="630" spans="1:10">
      <c r="A630">
        <v>57</v>
      </c>
      <c r="B630">
        <v>0</v>
      </c>
      <c r="C630">
        <v>0</v>
      </c>
      <c r="D630">
        <v>0</v>
      </c>
      <c r="F630" s="57" t="s">
        <v>405</v>
      </c>
      <c r="G630" s="92" t="s">
        <v>186</v>
      </c>
      <c r="H630" s="92" t="s">
        <v>186</v>
      </c>
      <c r="I630" s="66">
        <v>0.52095823269754682</v>
      </c>
      <c r="J630" s="66">
        <v>0.47904176730245318</v>
      </c>
    </row>
    <row r="631" spans="1:10">
      <c r="A631">
        <v>45</v>
      </c>
      <c r="B631">
        <v>1</v>
      </c>
      <c r="C631">
        <v>3</v>
      </c>
      <c r="D631">
        <v>0</v>
      </c>
      <c r="F631" s="57" t="s">
        <v>406</v>
      </c>
      <c r="G631" s="92" t="s">
        <v>186</v>
      </c>
      <c r="H631" s="92" t="s">
        <v>186</v>
      </c>
      <c r="I631" s="66">
        <v>0.8661720217724943</v>
      </c>
      <c r="J631" s="66">
        <v>0.13382797822750572</v>
      </c>
    </row>
    <row r="632" spans="1:10">
      <c r="A632">
        <v>68</v>
      </c>
      <c r="B632">
        <v>1</v>
      </c>
      <c r="C632">
        <v>0</v>
      </c>
      <c r="D632">
        <v>0</v>
      </c>
      <c r="F632" s="57" t="s">
        <v>407</v>
      </c>
      <c r="G632" s="92" t="s">
        <v>186</v>
      </c>
      <c r="H632" s="92" t="s">
        <v>186</v>
      </c>
      <c r="I632" s="66">
        <v>0.75748867135332465</v>
      </c>
      <c r="J632" s="66">
        <v>0.24251132864667538</v>
      </c>
    </row>
    <row r="633" spans="1:10">
      <c r="A633">
        <v>57</v>
      </c>
      <c r="B633">
        <v>1</v>
      </c>
      <c r="C633">
        <v>0</v>
      </c>
      <c r="D633">
        <v>0</v>
      </c>
      <c r="F633" s="57" t="s">
        <v>408</v>
      </c>
      <c r="G633" s="94" t="s">
        <v>186</v>
      </c>
      <c r="H633" s="94" t="s">
        <v>187</v>
      </c>
      <c r="I633" s="66">
        <v>0.33320256218904376</v>
      </c>
      <c r="J633" s="66">
        <v>0.66679743781095624</v>
      </c>
    </row>
    <row r="634" spans="1:10">
      <c r="A634">
        <v>57</v>
      </c>
      <c r="B634">
        <v>0</v>
      </c>
      <c r="C634">
        <v>1</v>
      </c>
      <c r="D634">
        <v>0</v>
      </c>
      <c r="F634" s="57" t="s">
        <v>409</v>
      </c>
      <c r="G634" s="94" t="s">
        <v>186</v>
      </c>
      <c r="H634" s="94" t="s">
        <v>187</v>
      </c>
      <c r="I634" s="66">
        <v>0.43758794619833563</v>
      </c>
      <c r="J634" s="66">
        <v>0.56241205380166437</v>
      </c>
    </row>
    <row r="635" spans="1:10">
      <c r="F635" s="57" t="s">
        <v>410</v>
      </c>
      <c r="G635" s="92" t="s">
        <v>186</v>
      </c>
      <c r="H635" s="92" t="s">
        <v>186</v>
      </c>
      <c r="I635" s="66">
        <v>0.61718360609311174</v>
      </c>
      <c r="J635" s="66">
        <v>0.38281639390688826</v>
      </c>
    </row>
    <row r="636" spans="1:10">
      <c r="F636" s="57" t="s">
        <v>411</v>
      </c>
      <c r="G636" s="94" t="s">
        <v>186</v>
      </c>
      <c r="H636" s="94" t="s">
        <v>187</v>
      </c>
      <c r="I636" s="66">
        <v>0.36632342312115296</v>
      </c>
      <c r="J636" s="66">
        <v>0.63367657687884704</v>
      </c>
    </row>
    <row r="637" spans="1:10">
      <c r="F637" s="57" t="s">
        <v>412</v>
      </c>
      <c r="G637" s="92" t="s">
        <v>186</v>
      </c>
      <c r="H637" s="92" t="s">
        <v>186</v>
      </c>
      <c r="I637" s="66">
        <v>0.83875015184441837</v>
      </c>
      <c r="J637" s="66">
        <v>0.1612498481555816</v>
      </c>
    </row>
    <row r="638" spans="1:10">
      <c r="F638" s="57" t="s">
        <v>413</v>
      </c>
      <c r="G638" s="92" t="s">
        <v>186</v>
      </c>
      <c r="H638" s="92" t="s">
        <v>186</v>
      </c>
      <c r="I638" s="66">
        <v>0.54780888708889164</v>
      </c>
      <c r="J638" s="66">
        <v>0.45219111291110831</v>
      </c>
    </row>
    <row r="639" spans="1:10">
      <c r="F639" s="57" t="s">
        <v>414</v>
      </c>
      <c r="G639" s="92" t="s">
        <v>186</v>
      </c>
      <c r="H639" s="92" t="s">
        <v>186</v>
      </c>
      <c r="I639" s="66">
        <v>0.83875015184441837</v>
      </c>
      <c r="J639" s="66">
        <v>0.1612498481555816</v>
      </c>
    </row>
    <row r="640" spans="1:10">
      <c r="F640" s="57" t="s">
        <v>415</v>
      </c>
      <c r="G640" s="94" t="s">
        <v>186</v>
      </c>
      <c r="H640" s="94" t="s">
        <v>187</v>
      </c>
      <c r="I640" s="66">
        <v>0.47230806714002599</v>
      </c>
      <c r="J640" s="66">
        <v>0.52769193285997396</v>
      </c>
    </row>
    <row r="641" spans="6:10">
      <c r="F641" s="57" t="s">
        <v>416</v>
      </c>
      <c r="G641" s="92" t="s">
        <v>186</v>
      </c>
      <c r="H641" s="92" t="s">
        <v>186</v>
      </c>
      <c r="I641" s="66">
        <v>0.60118187310753357</v>
      </c>
      <c r="J641" s="66">
        <v>0.39881812689246637</v>
      </c>
    </row>
    <row r="642" spans="6:10">
      <c r="F642" s="57" t="s">
        <v>417</v>
      </c>
      <c r="G642" s="92" t="s">
        <v>186</v>
      </c>
      <c r="H642" s="92" t="s">
        <v>186</v>
      </c>
      <c r="I642" s="66">
        <v>0.80696167202446223</v>
      </c>
      <c r="J642" s="66">
        <v>0.19303832797553774</v>
      </c>
    </row>
    <row r="643" spans="6:10">
      <c r="F643" s="57" t="s">
        <v>418</v>
      </c>
      <c r="G643" s="92" t="s">
        <v>186</v>
      </c>
      <c r="H643" s="92" t="s">
        <v>186</v>
      </c>
      <c r="I643" s="66">
        <v>0.78324430768513731</v>
      </c>
      <c r="J643" s="66">
        <v>0.21675569231486269</v>
      </c>
    </row>
    <row r="644" spans="6:10">
      <c r="F644" s="57" t="s">
        <v>419</v>
      </c>
      <c r="G644" s="92" t="s">
        <v>186</v>
      </c>
      <c r="H644" s="92" t="s">
        <v>186</v>
      </c>
      <c r="I644" s="66">
        <v>0.57504194665373354</v>
      </c>
      <c r="J644" s="66">
        <v>0.42495805334626657</v>
      </c>
    </row>
    <row r="645" spans="6:10">
      <c r="F645" s="57" t="s">
        <v>420</v>
      </c>
      <c r="G645" s="92" t="s">
        <v>186</v>
      </c>
      <c r="H645" s="92" t="s">
        <v>186</v>
      </c>
      <c r="I645" s="66">
        <v>0.50275628867668509</v>
      </c>
      <c r="J645" s="66">
        <v>0.49724371132331496</v>
      </c>
    </row>
    <row r="646" spans="6:10">
      <c r="F646" s="57" t="s">
        <v>421</v>
      </c>
      <c r="G646" s="94" t="s">
        <v>186</v>
      </c>
      <c r="H646" s="94" t="s">
        <v>187</v>
      </c>
      <c r="I646" s="66">
        <v>0.36632342312115296</v>
      </c>
      <c r="J646" s="66">
        <v>0.63367657687884704</v>
      </c>
    </row>
    <row r="647" spans="6:10">
      <c r="F647" s="57" t="s">
        <v>422</v>
      </c>
      <c r="G647" s="92" t="s">
        <v>186</v>
      </c>
      <c r="H647" s="92" t="s">
        <v>186</v>
      </c>
      <c r="I647" s="66">
        <v>0.71512150602128177</v>
      </c>
      <c r="J647" s="66">
        <v>0.28487849397871828</v>
      </c>
    </row>
    <row r="648" spans="6:10">
      <c r="F648" s="57" t="s">
        <v>423</v>
      </c>
      <c r="G648" s="92" t="s">
        <v>186</v>
      </c>
      <c r="H648" s="92" t="s">
        <v>186</v>
      </c>
      <c r="I648" s="66">
        <v>0.6185147445569672</v>
      </c>
      <c r="J648" s="66">
        <v>0.38148525544303286</v>
      </c>
    </row>
    <row r="649" spans="6:10">
      <c r="F649" s="57" t="s">
        <v>424</v>
      </c>
      <c r="G649" s="92" t="s">
        <v>186</v>
      </c>
      <c r="H649" s="92" t="s">
        <v>186</v>
      </c>
      <c r="I649" s="66">
        <v>0.83875015184441837</v>
      </c>
      <c r="J649" s="66">
        <v>0.1612498481555816</v>
      </c>
    </row>
    <row r="650" spans="6:10">
      <c r="F650" s="57" t="s">
        <v>425</v>
      </c>
      <c r="G650" s="92" t="s">
        <v>186</v>
      </c>
      <c r="H650" s="92" t="s">
        <v>186</v>
      </c>
      <c r="I650" s="66">
        <v>0.77062028317495124</v>
      </c>
      <c r="J650" s="66">
        <v>0.22937971682504882</v>
      </c>
    </row>
    <row r="651" spans="6:10">
      <c r="F651" s="57" t="s">
        <v>426</v>
      </c>
      <c r="G651" s="94" t="s">
        <v>186</v>
      </c>
      <c r="H651" s="94" t="s">
        <v>187</v>
      </c>
      <c r="I651" s="66">
        <v>0.24399936504398925</v>
      </c>
      <c r="J651" s="66">
        <v>0.75600063495601078</v>
      </c>
    </row>
    <row r="652" spans="6:10">
      <c r="F652" s="57" t="s">
        <v>427</v>
      </c>
      <c r="G652" s="92" t="s">
        <v>186</v>
      </c>
      <c r="H652" s="92" t="s">
        <v>186</v>
      </c>
      <c r="I652" s="66">
        <v>0.56578599328927304</v>
      </c>
      <c r="J652" s="66">
        <v>0.43421400671072691</v>
      </c>
    </row>
    <row r="653" spans="6:10">
      <c r="F653" s="57" t="s">
        <v>428</v>
      </c>
      <c r="G653" s="94" t="s">
        <v>186</v>
      </c>
      <c r="H653" s="94" t="s">
        <v>187</v>
      </c>
      <c r="I653" s="66">
        <v>0.32793428799565366</v>
      </c>
      <c r="J653" s="66">
        <v>0.67206571200434639</v>
      </c>
    </row>
    <row r="654" spans="6:10">
      <c r="F654" s="57" t="s">
        <v>429</v>
      </c>
      <c r="G654" s="92" t="s">
        <v>186</v>
      </c>
      <c r="H654" s="92" t="s">
        <v>186</v>
      </c>
      <c r="I654" s="66">
        <v>0.81805784272890414</v>
      </c>
      <c r="J654" s="66">
        <v>0.18194215727109586</v>
      </c>
    </row>
    <row r="655" spans="6:10">
      <c r="F655" s="57" t="s">
        <v>430</v>
      </c>
      <c r="G655" s="92" t="s">
        <v>186</v>
      </c>
      <c r="H655" s="92" t="s">
        <v>186</v>
      </c>
      <c r="I655" s="66">
        <v>0.77062028317495124</v>
      </c>
      <c r="J655" s="66">
        <v>0.22937971682504882</v>
      </c>
    </row>
    <row r="656" spans="6:10">
      <c r="F656" s="57" t="s">
        <v>431</v>
      </c>
      <c r="G656" s="92" t="s">
        <v>186</v>
      </c>
      <c r="H656" s="92" t="s">
        <v>186</v>
      </c>
      <c r="I656" s="66">
        <v>0.83875015184441837</v>
      </c>
      <c r="J656" s="66">
        <v>0.1612498481555816</v>
      </c>
    </row>
    <row r="657" spans="6:10">
      <c r="F657" s="57" t="s">
        <v>432</v>
      </c>
      <c r="G657" s="94" t="s">
        <v>186</v>
      </c>
      <c r="H657" s="94" t="s">
        <v>187</v>
      </c>
      <c r="I657" s="66">
        <v>0.40075783604933596</v>
      </c>
      <c r="J657" s="66">
        <v>0.5992421639506641</v>
      </c>
    </row>
    <row r="658" spans="6:10">
      <c r="F658" s="57" t="s">
        <v>433</v>
      </c>
      <c r="G658" s="92" t="s">
        <v>186</v>
      </c>
      <c r="H658" s="92" t="s">
        <v>186</v>
      </c>
      <c r="I658" s="66">
        <v>0.82865162136370307</v>
      </c>
      <c r="J658" s="66">
        <v>0.17134837863629696</v>
      </c>
    </row>
    <row r="659" spans="6:10">
      <c r="F659" s="57" t="s">
        <v>434</v>
      </c>
      <c r="G659" s="94" t="s">
        <v>186</v>
      </c>
      <c r="H659" s="94" t="s">
        <v>187</v>
      </c>
      <c r="I659" s="66">
        <v>0.19430066672682106</v>
      </c>
      <c r="J659" s="66">
        <v>0.80569933327317889</v>
      </c>
    </row>
    <row r="660" spans="6:10">
      <c r="F660" s="57" t="s">
        <v>435</v>
      </c>
      <c r="G660" s="92" t="s">
        <v>186</v>
      </c>
      <c r="H660" s="92" t="s">
        <v>186</v>
      </c>
      <c r="I660" s="66">
        <v>0.89650267909391401</v>
      </c>
      <c r="J660" s="66">
        <v>0.1034973209060859</v>
      </c>
    </row>
    <row r="661" spans="6:10">
      <c r="F661" s="57" t="s">
        <v>436</v>
      </c>
      <c r="G661" s="92" t="s">
        <v>186</v>
      </c>
      <c r="H661" s="92" t="s">
        <v>186</v>
      </c>
      <c r="I661" s="66">
        <v>0.85749905961745576</v>
      </c>
      <c r="J661" s="66">
        <v>0.14250094038254432</v>
      </c>
    </row>
    <row r="662" spans="6:10">
      <c r="F662" s="57" t="s">
        <v>437</v>
      </c>
      <c r="G662" s="92" t="s">
        <v>186</v>
      </c>
      <c r="H662" s="92" t="s">
        <v>186</v>
      </c>
      <c r="I662" s="66">
        <v>0.88218039965325856</v>
      </c>
      <c r="J662" s="66">
        <v>0.11781960034674145</v>
      </c>
    </row>
    <row r="663" spans="6:10">
      <c r="F663" s="57" t="s">
        <v>438</v>
      </c>
      <c r="G663" s="92" t="s">
        <v>186</v>
      </c>
      <c r="H663" s="92" t="s">
        <v>186</v>
      </c>
      <c r="I663" s="66">
        <v>0.6185147445569672</v>
      </c>
      <c r="J663" s="66">
        <v>0.38148525544303286</v>
      </c>
    </row>
    <row r="664" spans="6:10">
      <c r="F664" s="57" t="s">
        <v>439</v>
      </c>
      <c r="G664" s="92" t="s">
        <v>186</v>
      </c>
      <c r="H664" s="92" t="s">
        <v>186</v>
      </c>
      <c r="I664" s="66">
        <v>0.83875015184441837</v>
      </c>
      <c r="J664" s="66">
        <v>0.1612498481555816</v>
      </c>
    </row>
    <row r="665" spans="6:10">
      <c r="F665" s="57" t="s">
        <v>440</v>
      </c>
      <c r="G665" s="92" t="s">
        <v>186</v>
      </c>
      <c r="H665" s="92" t="s">
        <v>186</v>
      </c>
      <c r="I665" s="66">
        <v>0.81805784272890414</v>
      </c>
      <c r="J665" s="66">
        <v>0.18194215727109586</v>
      </c>
    </row>
    <row r="666" spans="6:10">
      <c r="F666" s="57" t="s">
        <v>441</v>
      </c>
      <c r="G666" s="92" t="s">
        <v>186</v>
      </c>
      <c r="H666" s="92" t="s">
        <v>186</v>
      </c>
      <c r="I666" s="66">
        <v>0.54501430441498733</v>
      </c>
      <c r="J666" s="66">
        <v>0.45498569558501262</v>
      </c>
    </row>
    <row r="667" spans="6:10">
      <c r="F667" s="57" t="s">
        <v>442</v>
      </c>
      <c r="G667" s="92" t="s">
        <v>186</v>
      </c>
      <c r="H667" s="92" t="s">
        <v>186</v>
      </c>
      <c r="I667" s="66">
        <v>0.52095823269754682</v>
      </c>
      <c r="J667" s="66">
        <v>0.47904176730245318</v>
      </c>
    </row>
    <row r="668" spans="6:10">
      <c r="F668" s="57" t="s">
        <v>443</v>
      </c>
      <c r="G668" s="92" t="s">
        <v>186</v>
      </c>
      <c r="H668" s="92" t="s">
        <v>186</v>
      </c>
      <c r="I668" s="66">
        <v>0.74385517329550654</v>
      </c>
      <c r="J668" s="66">
        <v>0.2561448267044934</v>
      </c>
    </row>
    <row r="669" spans="6:10">
      <c r="F669" s="57" t="s">
        <v>444</v>
      </c>
      <c r="G669" s="92" t="s">
        <v>186</v>
      </c>
      <c r="H669" s="92" t="s">
        <v>186</v>
      </c>
      <c r="I669" s="66">
        <v>0.82865162136370307</v>
      </c>
      <c r="J669" s="66">
        <v>0.17134837863629696</v>
      </c>
    </row>
    <row r="670" spans="6:10">
      <c r="F670" s="57" t="s">
        <v>445</v>
      </c>
      <c r="G670" s="94" t="s">
        <v>186</v>
      </c>
      <c r="H670" s="94" t="s">
        <v>187</v>
      </c>
      <c r="I670" s="66">
        <v>0.48454703599542565</v>
      </c>
      <c r="J670" s="66">
        <v>0.51545296400457441</v>
      </c>
    </row>
    <row r="671" spans="6:10">
      <c r="F671" s="57" t="s">
        <v>446</v>
      </c>
      <c r="G671" s="94" t="s">
        <v>186</v>
      </c>
      <c r="H671" s="94" t="s">
        <v>187</v>
      </c>
      <c r="I671" s="66">
        <v>0.2308117300468378</v>
      </c>
      <c r="J671" s="66">
        <v>0.76918826995316214</v>
      </c>
    </row>
    <row r="672" spans="6:10">
      <c r="F672" s="57" t="s">
        <v>447</v>
      </c>
      <c r="G672" s="92" t="s">
        <v>186</v>
      </c>
      <c r="H672" s="92" t="s">
        <v>186</v>
      </c>
      <c r="I672" s="66">
        <v>0.82865162136370307</v>
      </c>
      <c r="J672" s="66">
        <v>0.17134837863629696</v>
      </c>
    </row>
    <row r="673" spans="6:10">
      <c r="F673" s="57" t="s">
        <v>448</v>
      </c>
      <c r="G673" s="94" t="s">
        <v>186</v>
      </c>
      <c r="H673" s="94" t="s">
        <v>187</v>
      </c>
      <c r="I673" s="66">
        <v>0.34958158702884212</v>
      </c>
      <c r="J673" s="66">
        <v>0.65041841297115799</v>
      </c>
    </row>
    <row r="674" spans="6:10">
      <c r="F674" s="57" t="s">
        <v>449</v>
      </c>
      <c r="G674" s="92" t="s">
        <v>186</v>
      </c>
      <c r="H674" s="92" t="s">
        <v>186</v>
      </c>
      <c r="I674" s="66">
        <v>0.84836242958710317</v>
      </c>
      <c r="J674" s="66">
        <v>0.1516375704128968</v>
      </c>
    </row>
    <row r="675" spans="6:10">
      <c r="F675" s="57" t="s">
        <v>450</v>
      </c>
      <c r="G675" s="92" t="s">
        <v>186</v>
      </c>
      <c r="H675" s="92" t="s">
        <v>186</v>
      </c>
      <c r="I675" s="66">
        <v>0.52970616306970986</v>
      </c>
      <c r="J675" s="66">
        <v>0.47029383693029009</v>
      </c>
    </row>
    <row r="676" spans="6:10">
      <c r="F676" s="57" t="s">
        <v>451</v>
      </c>
      <c r="G676" s="92" t="s">
        <v>186</v>
      </c>
      <c r="H676" s="92" t="s">
        <v>186</v>
      </c>
      <c r="I676" s="66">
        <v>0.50275628867668509</v>
      </c>
      <c r="J676" s="66">
        <v>0.49724371132331496</v>
      </c>
    </row>
    <row r="677" spans="6:10">
      <c r="F677" s="57" t="s">
        <v>452</v>
      </c>
      <c r="G677" s="92" t="s">
        <v>186</v>
      </c>
      <c r="H677" s="92" t="s">
        <v>186</v>
      </c>
      <c r="I677" s="66">
        <v>0.79535806220767336</v>
      </c>
      <c r="J677" s="66">
        <v>0.20464193779232659</v>
      </c>
    </row>
    <row r="678" spans="6:10">
      <c r="F678" s="57" t="s">
        <v>453</v>
      </c>
      <c r="G678" s="94" t="s">
        <v>186</v>
      </c>
      <c r="H678" s="94" t="s">
        <v>187</v>
      </c>
      <c r="I678" s="66">
        <v>0.2140981448989451</v>
      </c>
      <c r="J678" s="66">
        <v>0.78590185510105481</v>
      </c>
    </row>
    <row r="679" spans="6:10">
      <c r="F679" s="57" t="s">
        <v>454</v>
      </c>
      <c r="G679" s="94" t="s">
        <v>186</v>
      </c>
      <c r="H679" s="94" t="s">
        <v>187</v>
      </c>
      <c r="I679" s="66">
        <v>0.12267012424572869</v>
      </c>
      <c r="J679" s="66">
        <v>0.87732987575427124</v>
      </c>
    </row>
    <row r="680" spans="6:10">
      <c r="F680" s="57" t="s">
        <v>455</v>
      </c>
      <c r="G680" s="92" t="s">
        <v>186</v>
      </c>
      <c r="H680" s="92" t="s">
        <v>186</v>
      </c>
      <c r="I680" s="66">
        <v>0.8661720217724943</v>
      </c>
      <c r="J680" s="66">
        <v>0.13382797822750572</v>
      </c>
    </row>
    <row r="681" spans="6:10">
      <c r="F681" s="57" t="s">
        <v>456</v>
      </c>
      <c r="G681" s="92" t="s">
        <v>186</v>
      </c>
      <c r="H681" s="92" t="s">
        <v>186</v>
      </c>
      <c r="I681" s="66">
        <v>0.88218039965325856</v>
      </c>
      <c r="J681" s="66">
        <v>0.11781960034674145</v>
      </c>
    </row>
    <row r="682" spans="6:10">
      <c r="F682" s="57" t="s">
        <v>457</v>
      </c>
      <c r="G682" s="92" t="s">
        <v>186</v>
      </c>
      <c r="H682" s="92" t="s">
        <v>186</v>
      </c>
      <c r="I682" s="66">
        <v>0.6845315559119316</v>
      </c>
      <c r="J682" s="66">
        <v>0.31546844408806846</v>
      </c>
    </row>
    <row r="683" spans="6:10">
      <c r="F683" s="57" t="s">
        <v>458</v>
      </c>
      <c r="G683" s="92" t="s">
        <v>186</v>
      </c>
      <c r="H683" s="92" t="s">
        <v>186</v>
      </c>
      <c r="I683" s="66">
        <v>0.53910469904886626</v>
      </c>
      <c r="J683" s="66">
        <v>0.4608953009511339</v>
      </c>
    </row>
    <row r="684" spans="6:10">
      <c r="F684" s="57" t="s">
        <v>459</v>
      </c>
      <c r="G684" s="92" t="s">
        <v>186</v>
      </c>
      <c r="H684" s="92" t="s">
        <v>186</v>
      </c>
      <c r="I684" s="66">
        <v>0.78324430768513731</v>
      </c>
      <c r="J684" s="66">
        <v>0.21675569231486269</v>
      </c>
    </row>
    <row r="685" spans="6:10">
      <c r="F685" s="57" t="s">
        <v>460</v>
      </c>
      <c r="G685" s="94" t="s">
        <v>186</v>
      </c>
      <c r="H685" s="94" t="s">
        <v>187</v>
      </c>
      <c r="I685" s="66">
        <v>0.2566111156244793</v>
      </c>
      <c r="J685" s="66">
        <v>0.74338888437552064</v>
      </c>
    </row>
    <row r="686" spans="6:10">
      <c r="F686" s="57" t="s">
        <v>461</v>
      </c>
      <c r="G686" s="94" t="s">
        <v>186</v>
      </c>
      <c r="H686" s="94" t="s">
        <v>187</v>
      </c>
      <c r="I686" s="66">
        <v>0.41259239327293978</v>
      </c>
      <c r="J686" s="66">
        <v>0.58740760672706027</v>
      </c>
    </row>
    <row r="687" spans="6:10">
      <c r="F687" s="57" t="s">
        <v>462</v>
      </c>
      <c r="G687" s="92" t="s">
        <v>186</v>
      </c>
      <c r="H687" s="92" t="s">
        <v>186</v>
      </c>
      <c r="I687" s="66">
        <v>0.77062028317495124</v>
      </c>
      <c r="J687" s="66">
        <v>0.22937971682504882</v>
      </c>
    </row>
    <row r="688" spans="6:10">
      <c r="F688" s="57" t="s">
        <v>463</v>
      </c>
      <c r="G688" s="92" t="s">
        <v>186</v>
      </c>
      <c r="H688" s="92" t="s">
        <v>186</v>
      </c>
      <c r="I688" s="66">
        <v>0.91509741598534788</v>
      </c>
      <c r="J688" s="66">
        <v>8.4902584014652102E-2</v>
      </c>
    </row>
    <row r="689" spans="6:10">
      <c r="F689" s="57" t="s">
        <v>464</v>
      </c>
      <c r="G689" s="92" t="s">
        <v>186</v>
      </c>
      <c r="H689" s="92" t="s">
        <v>186</v>
      </c>
      <c r="I689" s="66">
        <v>0.68331282846435315</v>
      </c>
      <c r="J689" s="66">
        <v>0.31668717153564691</v>
      </c>
    </row>
    <row r="690" spans="6:10">
      <c r="F690" s="57" t="s">
        <v>465</v>
      </c>
      <c r="G690" s="94" t="s">
        <v>186</v>
      </c>
      <c r="H690" s="94" t="s">
        <v>187</v>
      </c>
      <c r="I690" s="66">
        <v>0.45699092558393112</v>
      </c>
      <c r="J690" s="66">
        <v>0.54300907441606883</v>
      </c>
    </row>
    <row r="691" spans="6:10">
      <c r="F691" s="57" t="s">
        <v>466</v>
      </c>
      <c r="G691" s="94" t="s">
        <v>186</v>
      </c>
      <c r="H691" s="94" t="s">
        <v>187</v>
      </c>
      <c r="I691" s="66">
        <v>0.18230647251510651</v>
      </c>
      <c r="J691" s="66">
        <v>0.81769352748489343</v>
      </c>
    </row>
    <row r="692" spans="6:10">
      <c r="F692" s="57" t="s">
        <v>467</v>
      </c>
      <c r="G692" s="94" t="s">
        <v>186</v>
      </c>
      <c r="H692" s="94" t="s">
        <v>187</v>
      </c>
      <c r="I692" s="66">
        <v>0.47230806714002599</v>
      </c>
      <c r="J692" s="66">
        <v>0.52769193285997396</v>
      </c>
    </row>
    <row r="693" spans="6:10">
      <c r="F693" s="57" t="s">
        <v>468</v>
      </c>
      <c r="G693" s="94" t="s">
        <v>186</v>
      </c>
      <c r="H693" s="94" t="s">
        <v>187</v>
      </c>
      <c r="I693" s="66">
        <v>0.20596078945558585</v>
      </c>
      <c r="J693" s="66">
        <v>0.79403921054441406</v>
      </c>
    </row>
    <row r="694" spans="6:10">
      <c r="F694" s="57" t="s">
        <v>469</v>
      </c>
      <c r="G694" s="92" t="s">
        <v>186</v>
      </c>
      <c r="H694" s="92" t="s">
        <v>186</v>
      </c>
      <c r="I694" s="66">
        <v>0.80696167202446223</v>
      </c>
      <c r="J694" s="66">
        <v>0.19303832797553774</v>
      </c>
    </row>
    <row r="695" spans="6:10">
      <c r="F695" s="57" t="s">
        <v>470</v>
      </c>
      <c r="G695" s="92" t="s">
        <v>186</v>
      </c>
      <c r="H695" s="92" t="s">
        <v>186</v>
      </c>
      <c r="I695" s="66">
        <v>0.78324430768513731</v>
      </c>
      <c r="J695" s="66">
        <v>0.21675569231486269</v>
      </c>
    </row>
    <row r="696" spans="6:10">
      <c r="F696" s="57" t="s">
        <v>471</v>
      </c>
      <c r="G696" s="92" t="s">
        <v>186</v>
      </c>
      <c r="H696" s="92" t="s">
        <v>186</v>
      </c>
      <c r="I696" s="66">
        <v>0.87439444594149851</v>
      </c>
      <c r="J696" s="66">
        <v>0.12560555405850152</v>
      </c>
    </row>
    <row r="697" spans="6:10">
      <c r="F697" s="57" t="s">
        <v>472</v>
      </c>
      <c r="G697" s="92" t="s">
        <v>186</v>
      </c>
      <c r="H697" s="92" t="s">
        <v>186</v>
      </c>
      <c r="I697" s="66">
        <v>0.91509741598534788</v>
      </c>
      <c r="J697" s="66">
        <v>8.4902584014652102E-2</v>
      </c>
    </row>
    <row r="698" spans="6:10">
      <c r="F698" s="57" t="s">
        <v>473</v>
      </c>
      <c r="G698" s="92" t="s">
        <v>186</v>
      </c>
      <c r="H698" s="92" t="s">
        <v>186</v>
      </c>
      <c r="I698" s="66">
        <v>0.72972869536502227</v>
      </c>
      <c r="J698" s="66">
        <v>0.27027130463497784</v>
      </c>
    </row>
    <row r="699" spans="6:10">
      <c r="F699" s="57" t="s">
        <v>474</v>
      </c>
      <c r="G699" s="92" t="s">
        <v>186</v>
      </c>
      <c r="H699" s="92" t="s">
        <v>186</v>
      </c>
      <c r="I699" s="66">
        <v>0.81805784272890414</v>
      </c>
      <c r="J699" s="66">
        <v>0.18194215727109586</v>
      </c>
    </row>
    <row r="700" spans="6:10">
      <c r="F700" s="57" t="s">
        <v>475</v>
      </c>
      <c r="G700" s="92" t="s">
        <v>186</v>
      </c>
      <c r="H700" s="92" t="s">
        <v>186</v>
      </c>
      <c r="I700" s="66">
        <v>0.83875015184441837</v>
      </c>
      <c r="J700" s="66">
        <v>0.1612498481555816</v>
      </c>
    </row>
    <row r="701" spans="6:10">
      <c r="F701" s="57" t="s">
        <v>476</v>
      </c>
      <c r="G701" s="92" t="s">
        <v>186</v>
      </c>
      <c r="H701" s="92" t="s">
        <v>186</v>
      </c>
      <c r="I701" s="66">
        <v>0.94722623130592765</v>
      </c>
      <c r="J701" s="66">
        <v>5.2773768694072465E-2</v>
      </c>
    </row>
    <row r="702" spans="6:10">
      <c r="F702" s="57" t="s">
        <v>477</v>
      </c>
      <c r="G702" s="94" t="s">
        <v>186</v>
      </c>
      <c r="H702" s="94" t="s">
        <v>187</v>
      </c>
      <c r="I702" s="66">
        <v>0.45699092558393112</v>
      </c>
      <c r="J702" s="66">
        <v>0.54300907441606883</v>
      </c>
    </row>
    <row r="703" spans="6:10">
      <c r="F703" s="57" t="s">
        <v>478</v>
      </c>
      <c r="G703" s="92" t="s">
        <v>186</v>
      </c>
      <c r="H703" s="92" t="s">
        <v>186</v>
      </c>
      <c r="I703" s="66">
        <v>0.58084902422250939</v>
      </c>
      <c r="J703" s="66">
        <v>0.41915097577749066</v>
      </c>
    </row>
    <row r="704" spans="6:10">
      <c r="F704" s="57" t="s">
        <v>479</v>
      </c>
      <c r="G704" s="94" t="s">
        <v>186</v>
      </c>
      <c r="H704" s="94" t="s">
        <v>187</v>
      </c>
      <c r="I704" s="66">
        <v>0.46637872102733302</v>
      </c>
      <c r="J704" s="66">
        <v>0.53362127897266698</v>
      </c>
    </row>
    <row r="705" spans="6:10">
      <c r="F705" s="57" t="s">
        <v>480</v>
      </c>
      <c r="G705" s="92" t="s">
        <v>186</v>
      </c>
      <c r="H705" s="92" t="s">
        <v>186</v>
      </c>
      <c r="I705" s="66">
        <v>0.87439444594149851</v>
      </c>
      <c r="J705" s="66">
        <v>0.12560555405850152</v>
      </c>
    </row>
    <row r="706" spans="6:10">
      <c r="F706" s="57" t="s">
        <v>481</v>
      </c>
      <c r="G706" s="92" t="s">
        <v>186</v>
      </c>
      <c r="H706" s="92" t="s">
        <v>186</v>
      </c>
      <c r="I706" s="66">
        <v>0.80696167202446223</v>
      </c>
      <c r="J706" s="66">
        <v>0.19303832797553774</v>
      </c>
    </row>
    <row r="707" spans="6:10">
      <c r="F707" s="57" t="s">
        <v>482</v>
      </c>
      <c r="G707" s="92" t="s">
        <v>186</v>
      </c>
      <c r="H707" s="92" t="s">
        <v>186</v>
      </c>
      <c r="I707" s="66">
        <v>0.79535806220767336</v>
      </c>
      <c r="J707" s="66">
        <v>0.20464193779232659</v>
      </c>
    </row>
    <row r="708" spans="6:10">
      <c r="F708" s="57" t="s">
        <v>483</v>
      </c>
      <c r="G708" s="92" t="s">
        <v>186</v>
      </c>
      <c r="H708" s="92" t="s">
        <v>186</v>
      </c>
      <c r="I708" s="66">
        <v>0.6845315559119316</v>
      </c>
      <c r="J708" s="66">
        <v>0.31546844408806846</v>
      </c>
    </row>
    <row r="709" spans="6:10">
      <c r="F709" s="57" t="s">
        <v>484</v>
      </c>
      <c r="G709" s="94" t="s">
        <v>186</v>
      </c>
      <c r="H709" s="94" t="s">
        <v>187</v>
      </c>
      <c r="I709" s="66">
        <v>0.41259239327293978</v>
      </c>
      <c r="J709" s="66">
        <v>0.58740760672706027</v>
      </c>
    </row>
    <row r="710" spans="6:10">
      <c r="F710" s="57" t="s">
        <v>485</v>
      </c>
      <c r="G710" s="92" t="s">
        <v>186</v>
      </c>
      <c r="H710" s="92" t="s">
        <v>186</v>
      </c>
      <c r="I710" s="66">
        <v>0.74277950938538029</v>
      </c>
      <c r="J710" s="66">
        <v>0.25722049061461966</v>
      </c>
    </row>
    <row r="711" spans="6:10">
      <c r="F711" s="57" t="s">
        <v>486</v>
      </c>
      <c r="G711" s="92" t="s">
        <v>186</v>
      </c>
      <c r="H711" s="92" t="s">
        <v>186</v>
      </c>
      <c r="I711" s="66">
        <v>0.54641196136528014</v>
      </c>
      <c r="J711" s="66">
        <v>0.45358803863471986</v>
      </c>
    </row>
    <row r="712" spans="6:10">
      <c r="F712" s="57" t="s">
        <v>487</v>
      </c>
      <c r="G712" s="92" t="s">
        <v>186</v>
      </c>
      <c r="H712" s="92" t="s">
        <v>186</v>
      </c>
      <c r="I712" s="66">
        <v>0.563013886389791</v>
      </c>
      <c r="J712" s="66">
        <v>0.43698611361020895</v>
      </c>
    </row>
    <row r="713" spans="6:10">
      <c r="F713" s="57" t="s">
        <v>488</v>
      </c>
      <c r="G713" s="92" t="s">
        <v>186</v>
      </c>
      <c r="H713" s="92" t="s">
        <v>186</v>
      </c>
      <c r="I713" s="66">
        <v>0.72972869536502227</v>
      </c>
      <c r="J713" s="66">
        <v>0.27027130463497784</v>
      </c>
    </row>
    <row r="714" spans="6:10">
      <c r="F714" s="57" t="s">
        <v>489</v>
      </c>
      <c r="G714" s="92" t="s">
        <v>186</v>
      </c>
      <c r="H714" s="92" t="s">
        <v>186</v>
      </c>
      <c r="I714" s="66">
        <v>0.60118187310753357</v>
      </c>
      <c r="J714" s="66">
        <v>0.39881812689246637</v>
      </c>
    </row>
    <row r="715" spans="6:10">
      <c r="F715" s="57" t="s">
        <v>490</v>
      </c>
      <c r="G715" s="92" t="s">
        <v>186</v>
      </c>
      <c r="H715" s="92" t="s">
        <v>186</v>
      </c>
      <c r="I715" s="66">
        <v>0.52095823269754682</v>
      </c>
      <c r="J715" s="66">
        <v>0.47904176730245318</v>
      </c>
    </row>
    <row r="716" spans="6:10">
      <c r="F716" s="57" t="s">
        <v>491</v>
      </c>
      <c r="G716" s="92" t="s">
        <v>186</v>
      </c>
      <c r="H716" s="92" t="s">
        <v>186</v>
      </c>
      <c r="I716" s="66">
        <v>0.89650267909391401</v>
      </c>
      <c r="J716" s="66">
        <v>0.1034973209060859</v>
      </c>
    </row>
    <row r="717" spans="6:10">
      <c r="F717" s="57" t="s">
        <v>492</v>
      </c>
      <c r="G717" s="94" t="s">
        <v>186</v>
      </c>
      <c r="H717" s="94" t="s">
        <v>187</v>
      </c>
      <c r="I717" s="66">
        <v>0.18230647251510651</v>
      </c>
      <c r="J717" s="66">
        <v>0.81769352748489343</v>
      </c>
    </row>
    <row r="718" spans="6:10">
      <c r="F718" s="57" t="s">
        <v>493</v>
      </c>
      <c r="G718" s="92" t="s">
        <v>186</v>
      </c>
      <c r="H718" s="92" t="s">
        <v>186</v>
      </c>
      <c r="I718" s="66">
        <v>0.63555098345718308</v>
      </c>
      <c r="J718" s="66">
        <v>0.36444901654281697</v>
      </c>
    </row>
    <row r="719" spans="6:10">
      <c r="F719" s="57" t="s">
        <v>494</v>
      </c>
      <c r="G719" s="92" t="s">
        <v>186</v>
      </c>
      <c r="H719" s="92" t="s">
        <v>186</v>
      </c>
      <c r="I719" s="66">
        <v>0.81805784272890414</v>
      </c>
      <c r="J719" s="66">
        <v>0.18194215727109586</v>
      </c>
    </row>
    <row r="720" spans="6:10">
      <c r="F720" s="57" t="s">
        <v>495</v>
      </c>
      <c r="G720" s="92" t="s">
        <v>186</v>
      </c>
      <c r="H720" s="92" t="s">
        <v>186</v>
      </c>
      <c r="I720" s="66">
        <v>0.71512150602128177</v>
      </c>
      <c r="J720" s="66">
        <v>0.28487849397871828</v>
      </c>
    </row>
    <row r="721" spans="6:10">
      <c r="F721" s="57" t="s">
        <v>496</v>
      </c>
      <c r="G721" s="92" t="s">
        <v>186</v>
      </c>
      <c r="H721" s="92" t="s">
        <v>186</v>
      </c>
      <c r="I721" s="66">
        <v>0.52095823269754682</v>
      </c>
      <c r="J721" s="66">
        <v>0.47904176730245318</v>
      </c>
    </row>
    <row r="722" spans="6:10">
      <c r="F722" s="57" t="s">
        <v>497</v>
      </c>
      <c r="G722" s="94" t="s">
        <v>186</v>
      </c>
      <c r="H722" s="94" t="s">
        <v>187</v>
      </c>
      <c r="I722" s="66">
        <v>4.6054040817421739E-2</v>
      </c>
      <c r="J722" s="66">
        <v>0.9539459591825783</v>
      </c>
    </row>
    <row r="723" spans="6:10">
      <c r="F723" s="57" t="s">
        <v>498</v>
      </c>
      <c r="G723" s="92" t="s">
        <v>186</v>
      </c>
      <c r="H723" s="92" t="s">
        <v>186</v>
      </c>
      <c r="I723" s="66">
        <v>0.59274127573029656</v>
      </c>
      <c r="J723" s="66">
        <v>0.40725872426970344</v>
      </c>
    </row>
    <row r="724" spans="6:10">
      <c r="F724" s="57" t="s">
        <v>499</v>
      </c>
      <c r="G724" s="92" t="s">
        <v>186</v>
      </c>
      <c r="H724" s="92" t="s">
        <v>186</v>
      </c>
      <c r="I724" s="66">
        <v>0.74385517329550654</v>
      </c>
      <c r="J724" s="66">
        <v>0.2561448267044934</v>
      </c>
    </row>
    <row r="725" spans="6:10">
      <c r="F725" s="57" t="s">
        <v>500</v>
      </c>
      <c r="G725" s="92" t="s">
        <v>186</v>
      </c>
      <c r="H725" s="92" t="s">
        <v>186</v>
      </c>
      <c r="I725" s="66">
        <v>0.75748867135332465</v>
      </c>
      <c r="J725" s="66">
        <v>0.24251132864667538</v>
      </c>
    </row>
    <row r="726" spans="6:10">
      <c r="F726" s="57" t="s">
        <v>501</v>
      </c>
      <c r="G726" s="92" t="s">
        <v>186</v>
      </c>
      <c r="H726" s="92" t="s">
        <v>186</v>
      </c>
      <c r="I726" s="66">
        <v>0.53910469904886626</v>
      </c>
      <c r="J726" s="66">
        <v>0.4608953009511339</v>
      </c>
    </row>
    <row r="727" spans="6:10">
      <c r="F727" s="57" t="s">
        <v>502</v>
      </c>
      <c r="G727" s="92" t="s">
        <v>186</v>
      </c>
      <c r="H727" s="92" t="s">
        <v>186</v>
      </c>
      <c r="I727" s="66">
        <v>0.77062028317495124</v>
      </c>
      <c r="J727" s="66">
        <v>0.22937971682504882</v>
      </c>
    </row>
    <row r="728" spans="6:10">
      <c r="F728" s="57" t="s">
        <v>503</v>
      </c>
      <c r="G728" s="92" t="s">
        <v>186</v>
      </c>
      <c r="H728" s="92" t="s">
        <v>186</v>
      </c>
      <c r="I728" s="66">
        <v>0.88954468971870693</v>
      </c>
      <c r="J728" s="66">
        <v>0.11045531028129311</v>
      </c>
    </row>
    <row r="729" spans="6:10">
      <c r="F729" s="57" t="s">
        <v>504</v>
      </c>
      <c r="G729" s="94" t="s">
        <v>186</v>
      </c>
      <c r="H729" s="94" t="s">
        <v>187</v>
      </c>
      <c r="I729" s="66">
        <v>0.39505426651999459</v>
      </c>
      <c r="J729" s="66">
        <v>0.60494573348000547</v>
      </c>
    </row>
    <row r="730" spans="6:10">
      <c r="F730" s="57" t="s">
        <v>505</v>
      </c>
      <c r="G730" s="94" t="s">
        <v>186</v>
      </c>
      <c r="H730" s="94" t="s">
        <v>187</v>
      </c>
      <c r="I730" s="66">
        <v>0.2308117300468378</v>
      </c>
      <c r="J730" s="66">
        <v>0.76918826995316214</v>
      </c>
    </row>
    <row r="731" spans="6:10">
      <c r="F731" s="57" t="s">
        <v>506</v>
      </c>
      <c r="G731" s="92" t="s">
        <v>186</v>
      </c>
      <c r="H731" s="92" t="s">
        <v>186</v>
      </c>
      <c r="I731" s="66">
        <v>0.77062028317495124</v>
      </c>
      <c r="J731" s="66">
        <v>0.22937971682504882</v>
      </c>
    </row>
    <row r="732" spans="6:10">
      <c r="F732" s="57" t="s">
        <v>507</v>
      </c>
      <c r="G732" s="92" t="s">
        <v>186</v>
      </c>
      <c r="H732" s="92" t="s">
        <v>186</v>
      </c>
      <c r="I732" s="66">
        <v>0.79535806220767336</v>
      </c>
      <c r="J732" s="66">
        <v>0.20464193779232659</v>
      </c>
    </row>
    <row r="733" spans="6:10">
      <c r="F733" s="57" t="s">
        <v>508</v>
      </c>
      <c r="G733" s="92" t="s">
        <v>186</v>
      </c>
      <c r="H733" s="92" t="s">
        <v>186</v>
      </c>
      <c r="I733" s="66">
        <v>0.65225416546476689</v>
      </c>
      <c r="J733" s="66">
        <v>0.34774583453523311</v>
      </c>
    </row>
    <row r="734" spans="6:10">
      <c r="F734" s="57" t="s">
        <v>509</v>
      </c>
      <c r="G734" s="94" t="s">
        <v>186</v>
      </c>
      <c r="H734" s="94" t="s">
        <v>187</v>
      </c>
      <c r="I734" s="66">
        <v>0.20504031381268611</v>
      </c>
      <c r="J734" s="66">
        <v>0.79495968618731383</v>
      </c>
    </row>
    <row r="735" spans="6:10">
      <c r="F735" s="57" t="s">
        <v>510</v>
      </c>
      <c r="G735" s="92" t="s">
        <v>186</v>
      </c>
      <c r="H735" s="92" t="s">
        <v>186</v>
      </c>
      <c r="I735" s="66">
        <v>0.89650267909391401</v>
      </c>
      <c r="J735" s="66">
        <v>0.1034973209060859</v>
      </c>
    </row>
    <row r="736" spans="6:10">
      <c r="F736" s="57" t="s">
        <v>511</v>
      </c>
      <c r="G736" s="92" t="s">
        <v>186</v>
      </c>
      <c r="H736" s="92" t="s">
        <v>186</v>
      </c>
      <c r="I736" s="66">
        <v>0.81805784272890414</v>
      </c>
      <c r="J736" s="66">
        <v>0.18194215727109586</v>
      </c>
    </row>
    <row r="737" spans="6:10">
      <c r="F737" s="57" t="s">
        <v>512</v>
      </c>
      <c r="G737" s="92" t="s">
        <v>186</v>
      </c>
      <c r="H737" s="92" t="s">
        <v>186</v>
      </c>
      <c r="I737" s="66">
        <v>0.66859100469822785</v>
      </c>
      <c r="J737" s="66">
        <v>0.33140899530177215</v>
      </c>
    </row>
    <row r="738" spans="6:10">
      <c r="F738" s="57" t="s">
        <v>513</v>
      </c>
      <c r="G738" s="92" t="s">
        <v>186</v>
      </c>
      <c r="H738" s="92" t="s">
        <v>186</v>
      </c>
      <c r="I738" s="66">
        <v>0.74385517329550654</v>
      </c>
      <c r="J738" s="66">
        <v>0.2561448267044934</v>
      </c>
    </row>
    <row r="739" spans="6:10">
      <c r="F739" s="57" t="s">
        <v>514</v>
      </c>
      <c r="G739" s="92" t="s">
        <v>186</v>
      </c>
      <c r="H739" s="92" t="s">
        <v>186</v>
      </c>
      <c r="I739" s="66">
        <v>0.81805784272890414</v>
      </c>
      <c r="J739" s="66">
        <v>0.18194215727109586</v>
      </c>
    </row>
    <row r="740" spans="6:10">
      <c r="F740" s="57" t="s">
        <v>515</v>
      </c>
      <c r="G740" s="92" t="s">
        <v>186</v>
      </c>
      <c r="H740" s="92" t="s">
        <v>186</v>
      </c>
      <c r="I740" s="66">
        <v>0.59982938417303067</v>
      </c>
      <c r="J740" s="66">
        <v>0.40017061582696928</v>
      </c>
    </row>
    <row r="741" spans="6:10">
      <c r="F741" s="57" t="s">
        <v>516</v>
      </c>
      <c r="G741" s="94" t="s">
        <v>186</v>
      </c>
      <c r="H741" s="94" t="s">
        <v>187</v>
      </c>
      <c r="I741" s="66">
        <v>0.22562562788597706</v>
      </c>
      <c r="J741" s="66">
        <v>0.77437437211402305</v>
      </c>
    </row>
    <row r="742" spans="6:10">
      <c r="F742" s="57" t="s">
        <v>517</v>
      </c>
      <c r="G742" s="92" t="s">
        <v>186</v>
      </c>
      <c r="H742" s="92" t="s">
        <v>186</v>
      </c>
      <c r="I742" s="66">
        <v>0.84836242958710317</v>
      </c>
      <c r="J742" s="66">
        <v>0.1516375704128968</v>
      </c>
    </row>
    <row r="743" spans="6:10">
      <c r="F743" s="57" t="s">
        <v>518</v>
      </c>
      <c r="G743" s="92" t="s">
        <v>186</v>
      </c>
      <c r="H743" s="92" t="s">
        <v>186</v>
      </c>
      <c r="I743" s="66">
        <v>0.58359166994242428</v>
      </c>
      <c r="J743" s="66">
        <v>0.41640833005757572</v>
      </c>
    </row>
    <row r="744" spans="6:10">
      <c r="F744" s="57" t="s">
        <v>519</v>
      </c>
      <c r="G744" s="92" t="s">
        <v>186</v>
      </c>
      <c r="H744" s="92" t="s">
        <v>186</v>
      </c>
      <c r="I744" s="66">
        <v>0.74385517329550654</v>
      </c>
      <c r="J744" s="66">
        <v>0.2561448267044934</v>
      </c>
    </row>
    <row r="745" spans="6:10">
      <c r="F745" s="57" t="s">
        <v>520</v>
      </c>
      <c r="G745" s="94" t="s">
        <v>186</v>
      </c>
      <c r="H745" s="94" t="s">
        <v>187</v>
      </c>
      <c r="I745" s="66">
        <v>0.38339442529057016</v>
      </c>
      <c r="J745" s="66">
        <v>0.61660557470942989</v>
      </c>
    </row>
    <row r="746" spans="6:10">
      <c r="F746" s="57" t="s">
        <v>521</v>
      </c>
      <c r="G746" s="92" t="s">
        <v>186</v>
      </c>
      <c r="H746" s="92" t="s">
        <v>186</v>
      </c>
      <c r="I746" s="66">
        <v>0.54780888708889164</v>
      </c>
      <c r="J746" s="66">
        <v>0.45219111291110831</v>
      </c>
    </row>
    <row r="747" spans="6:10">
      <c r="F747" s="57" t="s">
        <v>522</v>
      </c>
      <c r="G747" s="92" t="s">
        <v>186</v>
      </c>
      <c r="H747" s="92" t="s">
        <v>186</v>
      </c>
      <c r="I747" s="66">
        <v>0.84836242958710317</v>
      </c>
      <c r="J747" s="66">
        <v>0.1516375704128968</v>
      </c>
    </row>
    <row r="748" spans="6:10">
      <c r="F748" s="57" t="s">
        <v>523</v>
      </c>
      <c r="G748" s="92" t="s">
        <v>186</v>
      </c>
      <c r="H748" s="92" t="s">
        <v>186</v>
      </c>
      <c r="I748" s="66">
        <v>0.65225416546476689</v>
      </c>
      <c r="J748" s="66">
        <v>0.34774583453523311</v>
      </c>
    </row>
    <row r="749" spans="6:10">
      <c r="F749" s="57" t="s">
        <v>524</v>
      </c>
      <c r="G749" s="94" t="s">
        <v>186</v>
      </c>
      <c r="H749" s="94" t="s">
        <v>187</v>
      </c>
      <c r="I749" s="66">
        <v>0.18230647251510651</v>
      </c>
      <c r="J749" s="66">
        <v>0.81769352748489343</v>
      </c>
    </row>
    <row r="750" spans="6:10">
      <c r="F750" s="57" t="s">
        <v>525</v>
      </c>
      <c r="G750" s="92" t="s">
        <v>186</v>
      </c>
      <c r="H750" s="92" t="s">
        <v>186</v>
      </c>
      <c r="I750" s="66">
        <v>0.59982938417303067</v>
      </c>
      <c r="J750" s="66">
        <v>0.40017061582696928</v>
      </c>
    </row>
    <row r="751" spans="6:10">
      <c r="F751" s="57" t="s">
        <v>526</v>
      </c>
      <c r="G751" s="92" t="s">
        <v>186</v>
      </c>
      <c r="H751" s="92" t="s">
        <v>186</v>
      </c>
      <c r="I751" s="66">
        <v>0.80696167202446223</v>
      </c>
      <c r="J751" s="66">
        <v>0.19303832797553774</v>
      </c>
    </row>
    <row r="752" spans="6:10">
      <c r="F752" s="57" t="s">
        <v>527</v>
      </c>
      <c r="G752" s="94" t="s">
        <v>186</v>
      </c>
      <c r="H752" s="94" t="s">
        <v>187</v>
      </c>
      <c r="I752" s="66">
        <v>0.39505426651999459</v>
      </c>
      <c r="J752" s="66">
        <v>0.60494573348000547</v>
      </c>
    </row>
    <row r="753" spans="6:10">
      <c r="F753" s="57" t="s">
        <v>528</v>
      </c>
      <c r="G753" s="92" t="s">
        <v>186</v>
      </c>
      <c r="H753" s="92" t="s">
        <v>186</v>
      </c>
      <c r="I753" s="66">
        <v>0.84836242958710317</v>
      </c>
      <c r="J753" s="66">
        <v>0.1516375704128968</v>
      </c>
    </row>
    <row r="754" spans="6:10">
      <c r="F754" s="57" t="s">
        <v>529</v>
      </c>
      <c r="G754" s="92" t="s">
        <v>186</v>
      </c>
      <c r="H754" s="92" t="s">
        <v>186</v>
      </c>
      <c r="I754" s="66">
        <v>0.81805784272890414</v>
      </c>
      <c r="J754" s="66">
        <v>0.18194215727109586</v>
      </c>
    </row>
    <row r="755" spans="6:10">
      <c r="F755" s="57" t="s">
        <v>530</v>
      </c>
      <c r="G755" s="94" t="s">
        <v>186</v>
      </c>
      <c r="H755" s="94" t="s">
        <v>187</v>
      </c>
      <c r="I755" s="66">
        <v>0.44829915740631016</v>
      </c>
      <c r="J755" s="66">
        <v>0.5517008425936899</v>
      </c>
    </row>
    <row r="756" spans="6:10">
      <c r="F756" s="57" t="s">
        <v>531</v>
      </c>
      <c r="G756" s="92" t="s">
        <v>186</v>
      </c>
      <c r="H756" s="92" t="s">
        <v>186</v>
      </c>
      <c r="I756" s="66">
        <v>0.52689632369280859</v>
      </c>
      <c r="J756" s="66">
        <v>0.47310367630719141</v>
      </c>
    </row>
    <row r="757" spans="6:10">
      <c r="F757" s="57" t="s">
        <v>532</v>
      </c>
      <c r="G757" s="92" t="s">
        <v>186</v>
      </c>
      <c r="H757" s="92" t="s">
        <v>186</v>
      </c>
      <c r="I757" s="66">
        <v>0.6185147445569672</v>
      </c>
      <c r="J757" s="66">
        <v>0.38148525544303286</v>
      </c>
    </row>
    <row r="758" spans="6:10">
      <c r="F758" s="57" t="s">
        <v>533</v>
      </c>
      <c r="G758" s="92" t="s">
        <v>186</v>
      </c>
      <c r="H758" s="92" t="s">
        <v>186</v>
      </c>
      <c r="I758" s="66">
        <v>0.8661720217724943</v>
      </c>
      <c r="J758" s="66">
        <v>0.13382797822750572</v>
      </c>
    </row>
    <row r="759" spans="6:10">
      <c r="F759" s="57" t="s">
        <v>534</v>
      </c>
      <c r="G759" s="92" t="s">
        <v>186</v>
      </c>
      <c r="H759" s="92" t="s">
        <v>186</v>
      </c>
      <c r="I759" s="66">
        <v>0.53910469904886626</v>
      </c>
      <c r="J759" s="66">
        <v>0.4608953009511339</v>
      </c>
    </row>
    <row r="760" spans="6:10">
      <c r="F760" s="57" t="s">
        <v>535</v>
      </c>
      <c r="G760" s="92" t="s">
        <v>186</v>
      </c>
      <c r="H760" s="92" t="s">
        <v>186</v>
      </c>
      <c r="I760" s="66">
        <v>0.82865162136370307</v>
      </c>
      <c r="J760" s="66">
        <v>0.17134837863629696</v>
      </c>
    </row>
    <row r="761" spans="6:10">
      <c r="F761" s="57" t="s">
        <v>536</v>
      </c>
      <c r="G761" s="94" t="s">
        <v>186</v>
      </c>
      <c r="H761" s="94" t="s">
        <v>187</v>
      </c>
      <c r="I761" s="66">
        <v>0.43035522560878409</v>
      </c>
      <c r="J761" s="66">
        <v>0.56964477439121586</v>
      </c>
    </row>
    <row r="762" spans="6:10">
      <c r="F762" s="57" t="s">
        <v>537</v>
      </c>
      <c r="G762" s="94" t="s">
        <v>186</v>
      </c>
      <c r="H762" s="94" t="s">
        <v>187</v>
      </c>
      <c r="I762" s="66">
        <v>7.4413251798570626E-2</v>
      </c>
      <c r="J762" s="66">
        <v>0.9255867482014295</v>
      </c>
    </row>
    <row r="763" spans="6:10">
      <c r="F763" s="57" t="s">
        <v>538</v>
      </c>
      <c r="G763" s="92" t="s">
        <v>186</v>
      </c>
      <c r="H763" s="92" t="s">
        <v>186</v>
      </c>
      <c r="I763" s="66">
        <v>0.9030701196458556</v>
      </c>
      <c r="J763" s="66">
        <v>9.6929880354144432E-2</v>
      </c>
    </row>
    <row r="764" spans="6:10">
      <c r="F764" s="57" t="s">
        <v>539</v>
      </c>
      <c r="G764" s="92" t="s">
        <v>186</v>
      </c>
      <c r="H764" s="92" t="s">
        <v>186</v>
      </c>
      <c r="I764" s="66">
        <v>0.80696167202446223</v>
      </c>
      <c r="J764" s="66">
        <v>0.19303832797553774</v>
      </c>
    </row>
    <row r="765" spans="6:10" ht="15.75" thickBot="1">
      <c r="F765" s="61" t="s">
        <v>540</v>
      </c>
      <c r="G765" s="95" t="s">
        <v>186</v>
      </c>
      <c r="H765" s="95" t="s">
        <v>187</v>
      </c>
      <c r="I765" s="67">
        <v>0.21315106435763087</v>
      </c>
      <c r="J765" s="67">
        <v>0.78684893564236913</v>
      </c>
    </row>
    <row r="784" spans="10:10">
      <c r="J784" t="s">
        <v>235</v>
      </c>
    </row>
    <row r="787" spans="6:10">
      <c r="F787" t="s">
        <v>543</v>
      </c>
    </row>
    <row r="788" spans="6:10" ht="15.75" thickBot="1"/>
    <row r="789" spans="6:10">
      <c r="F789" s="58" t="s">
        <v>544</v>
      </c>
      <c r="G789" s="97" t="s">
        <v>186</v>
      </c>
      <c r="H789" s="59" t="s">
        <v>187</v>
      </c>
      <c r="I789" s="97" t="s">
        <v>17</v>
      </c>
      <c r="J789" s="97" t="s">
        <v>545</v>
      </c>
    </row>
    <row r="790" spans="6:10">
      <c r="F790" s="91" t="s">
        <v>186</v>
      </c>
      <c r="G790" s="98">
        <v>102</v>
      </c>
      <c r="H790" s="62">
        <v>36</v>
      </c>
      <c r="I790" s="98">
        <v>138</v>
      </c>
      <c r="J790" s="101">
        <v>0.73913043478260865</v>
      </c>
    </row>
    <row r="791" spans="6:10">
      <c r="F791" s="92" t="s">
        <v>187</v>
      </c>
      <c r="G791" s="99">
        <v>40</v>
      </c>
      <c r="H791" s="63">
        <v>125</v>
      </c>
      <c r="I791" s="99">
        <v>165</v>
      </c>
      <c r="J791" s="102">
        <v>0.75757575757575757</v>
      </c>
    </row>
    <row r="792" spans="6:10" ht="15.75" thickBot="1">
      <c r="F792" s="96" t="s">
        <v>17</v>
      </c>
      <c r="G792" s="100">
        <v>142</v>
      </c>
      <c r="H792" s="89">
        <v>161</v>
      </c>
      <c r="I792" s="100">
        <v>303</v>
      </c>
      <c r="J792" s="103">
        <v>0.74917491749174914</v>
      </c>
    </row>
    <row r="811" spans="6:10">
      <c r="J811" t="s">
        <v>235</v>
      </c>
    </row>
    <row r="814" spans="6:10">
      <c r="F814" t="s">
        <v>546</v>
      </c>
    </row>
    <row r="832" spans="10:10">
      <c r="J832" t="s">
        <v>235</v>
      </c>
    </row>
    <row r="835" spans="6:8">
      <c r="F835" t="s">
        <v>547</v>
      </c>
      <c r="H835" s="104">
        <v>0.82204655248133318</v>
      </c>
    </row>
  </sheetData>
  <sortState xmlns:xlrd2="http://schemas.microsoft.com/office/spreadsheetml/2017/richdata2" ref="AF27:AF329">
    <sortCondition ref="AF27"/>
  </sortState>
  <mergeCells count="2">
    <mergeCell ref="F332:P333"/>
    <mergeCell ref="AR2:BB3"/>
  </mergeCells>
  <pageMargins left="0.7" right="0.7" top="0.75" bottom="0.75" header="0.3" footer="0.3"/>
  <pageSetup paperSize="9" orientation="portrait" horizontalDpi="4294967292" verticalDpi="0" r:id="rId1"/>
  <ignoredErrors>
    <ignoredError sqref="G360:G361 G463:G562 H463:H562 F790:F793" numberStoredAsText="1"/>
    <ignoredError sqref="A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DD124372">
              <controlPr defaultSize="0" autoFill="0" autoPict="0" macro="[0]!GoToResultsNew2408202409354953">
                <anchor moveWithCells="1">
                  <from>
                    <xdr:col>4</xdr:col>
                    <xdr:colOff>600075</xdr:colOff>
                    <xdr:row>345</xdr:row>
                    <xdr:rowOff>0</xdr:rowOff>
                  </from>
                  <to>
                    <xdr:col>8</xdr:col>
                    <xdr:colOff>600075</xdr:colOff>
                    <xdr:row>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DD950296">
              <controlPr defaultSize="0" autoFill="0" autoPict="0" macro="[0]!GoToResultsNew2408202409533774">
                <anchor moveWithCells="1">
                  <from>
                    <xdr:col>42</xdr:col>
                    <xdr:colOff>609600</xdr:colOff>
                    <xdr:row>9</xdr:row>
                    <xdr:rowOff>0</xdr:rowOff>
                  </from>
                  <to>
                    <xdr:col>45</xdr:col>
                    <xdr:colOff>638175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1C77C-2C68-4D24-A775-923FD7FFCD07}">
  <sheetPr codeName="Sheet5_HID"/>
  <dimension ref="A1:X700"/>
  <sheetViews>
    <sheetView workbookViewId="0">
      <selection activeCell="U1" sqref="U1"/>
    </sheetView>
  </sheetViews>
  <sheetFormatPr defaultRowHeight="15"/>
  <sheetData>
    <row r="1" spans="1:24">
      <c r="A1">
        <v>1</v>
      </c>
      <c r="B1">
        <f t="shared" ref="B1:B64" si="0">(A1-1)</f>
        <v>0</v>
      </c>
      <c r="C1">
        <f t="shared" ref="C1:C64" si="1">0.0427354058196621+B1*0.0013083393252656</f>
        <v>4.2735405819662099E-2</v>
      </c>
      <c r="D1">
        <f t="shared" ref="D1:D64" si="2">IF(B1/2-INT(B1/2)&lt;0.1,1.04273540581966,1.95726459418034)</f>
        <v>1.0427354058196601</v>
      </c>
      <c r="E1">
        <v>1</v>
      </c>
      <c r="F1">
        <f t="shared" ref="F1:F64" si="3">(E1-1)</f>
        <v>0</v>
      </c>
      <c r="G1">
        <f t="shared" ref="G1:G64" si="4">0.106877303446552+F1*0.0011248145824133</f>
        <v>0.106877303446552</v>
      </c>
      <c r="H1">
        <f t="shared" ref="H1:H64" si="5">IF(F1/2-INT(F1/2)&lt;0.1,1.10687730344655,1.89312269655345)</f>
        <v>1.10687730344655</v>
      </c>
      <c r="I1">
        <v>1</v>
      </c>
      <c r="J1">
        <f t="shared" ref="J1:J64" si="6">(I1-1)</f>
        <v>0</v>
      </c>
      <c r="K1">
        <f t="shared" ref="K1:K64" si="7">1.26645031675154+J1*0.0006682394370485</f>
        <v>1.26645031675154</v>
      </c>
      <c r="L1">
        <f t="shared" ref="L1:L64" si="8">IF(J1/2-INT(J1/2)&lt;0.1,1.26645031675154,1.73354968324846)</f>
        <v>1.26645031675154</v>
      </c>
      <c r="M1">
        <v>1</v>
      </c>
      <c r="N1">
        <f t="shared" ref="N1:N64" si="9">(M1-1)</f>
        <v>0</v>
      </c>
      <c r="O1">
        <f t="shared" ref="O1:O64" si="10">0.253817018041334+N1*0.000704386214474</f>
        <v>0.253817018041334</v>
      </c>
      <c r="P1">
        <f t="shared" ref="P1:P64" si="11">IF(N1/2-INT(N1/2)&lt;0.1,0.253817018041334,0.746182981958666)</f>
        <v>0.253817018041334</v>
      </c>
      <c r="Q1">
        <v>1</v>
      </c>
      <c r="R1">
        <f t="shared" ref="R1:R64" si="12">(Q1-1)</f>
        <v>0</v>
      </c>
      <c r="S1">
        <f t="shared" ref="S1:S64" si="13">1+R1*0.0014306151645207</f>
        <v>1</v>
      </c>
      <c r="T1">
        <f t="shared" ref="T1:T64" si="14">IF(R1/2-INT(R1/2)&lt;0.1,0,1)</f>
        <v>0</v>
      </c>
      <c r="U1">
        <v>1</v>
      </c>
      <c r="V1">
        <f t="shared" ref="V1:V64" si="15">(U1-1)</f>
        <v>0</v>
      </c>
      <c r="W1">
        <f t="shared" ref="W1:W64" si="16">1.06480586011076+V1*0.0012451906720722</f>
        <v>1.0648058601107599</v>
      </c>
      <c r="X1">
        <f t="shared" ref="X1:X64" si="17">IF(V1/2-INT(V1/2)&lt;0.1,0.0648058601107553,0.935194139889245)</f>
        <v>6.4805860110755301E-2</v>
      </c>
    </row>
    <row r="2" spans="1:24">
      <c r="A2">
        <v>2</v>
      </c>
      <c r="B2">
        <f t="shared" si="0"/>
        <v>1</v>
      </c>
      <c r="C2">
        <f t="shared" si="1"/>
        <v>4.4043745144927697E-2</v>
      </c>
      <c r="D2">
        <f t="shared" si="2"/>
        <v>1.9572645941803399</v>
      </c>
      <c r="E2">
        <v>2</v>
      </c>
      <c r="F2">
        <f t="shared" si="3"/>
        <v>1</v>
      </c>
      <c r="G2">
        <f t="shared" si="4"/>
        <v>0.1080021180289653</v>
      </c>
      <c r="H2">
        <f t="shared" si="5"/>
        <v>1.89312269655345</v>
      </c>
      <c r="I2">
        <v>2</v>
      </c>
      <c r="J2">
        <f t="shared" si="6"/>
        <v>1</v>
      </c>
      <c r="K2">
        <f t="shared" si="7"/>
        <v>1.2671185561885885</v>
      </c>
      <c r="L2">
        <f t="shared" si="8"/>
        <v>1.73354968324846</v>
      </c>
      <c r="M2">
        <v>2</v>
      </c>
      <c r="N2">
        <f t="shared" si="9"/>
        <v>1</v>
      </c>
      <c r="O2">
        <f t="shared" si="10"/>
        <v>0.25452140425580799</v>
      </c>
      <c r="P2">
        <f t="shared" si="11"/>
        <v>0.74618298195866595</v>
      </c>
      <c r="Q2">
        <v>2</v>
      </c>
      <c r="R2">
        <f t="shared" si="12"/>
        <v>1</v>
      </c>
      <c r="S2">
        <f t="shared" si="13"/>
        <v>1.0014306151645207</v>
      </c>
      <c r="T2">
        <f t="shared" si="14"/>
        <v>1</v>
      </c>
      <c r="U2">
        <v>2</v>
      </c>
      <c r="V2">
        <f t="shared" si="15"/>
        <v>1</v>
      </c>
      <c r="W2">
        <f t="shared" si="16"/>
        <v>1.0660510507828322</v>
      </c>
      <c r="X2">
        <f t="shared" si="17"/>
        <v>0.93519413988924505</v>
      </c>
    </row>
    <row r="3" spans="1:24">
      <c r="A3">
        <v>3</v>
      </c>
      <c r="B3">
        <f t="shared" si="0"/>
        <v>2</v>
      </c>
      <c r="C3">
        <f t="shared" si="1"/>
        <v>4.5352084470193302E-2</v>
      </c>
      <c r="D3">
        <f t="shared" si="2"/>
        <v>1.0427354058196601</v>
      </c>
      <c r="E3">
        <v>3</v>
      </c>
      <c r="F3">
        <f t="shared" si="3"/>
        <v>2</v>
      </c>
      <c r="G3">
        <f t="shared" si="4"/>
        <v>0.1091269326113786</v>
      </c>
      <c r="H3">
        <f t="shared" si="5"/>
        <v>1.10687730344655</v>
      </c>
      <c r="I3">
        <v>3</v>
      </c>
      <c r="J3">
        <f t="shared" si="6"/>
        <v>2</v>
      </c>
      <c r="K3">
        <f t="shared" si="7"/>
        <v>1.267786795625637</v>
      </c>
      <c r="L3">
        <f t="shared" si="8"/>
        <v>1.26645031675154</v>
      </c>
      <c r="M3">
        <v>3</v>
      </c>
      <c r="N3">
        <f t="shared" si="9"/>
        <v>2</v>
      </c>
      <c r="O3">
        <f t="shared" si="10"/>
        <v>0.25522579047028199</v>
      </c>
      <c r="P3">
        <f t="shared" si="11"/>
        <v>0.253817018041334</v>
      </c>
      <c r="Q3">
        <v>3</v>
      </c>
      <c r="R3">
        <f t="shared" si="12"/>
        <v>2</v>
      </c>
      <c r="S3">
        <f t="shared" si="13"/>
        <v>1.0028612303290414</v>
      </c>
      <c r="T3">
        <f t="shared" si="14"/>
        <v>0</v>
      </c>
      <c r="U3">
        <v>3</v>
      </c>
      <c r="V3">
        <f t="shared" si="15"/>
        <v>2</v>
      </c>
      <c r="W3">
        <f t="shared" si="16"/>
        <v>1.0672962414549043</v>
      </c>
      <c r="X3">
        <f t="shared" si="17"/>
        <v>6.4805860110755301E-2</v>
      </c>
    </row>
    <row r="4" spans="1:24">
      <c r="A4">
        <v>4</v>
      </c>
      <c r="B4">
        <f t="shared" si="0"/>
        <v>3</v>
      </c>
      <c r="C4">
        <f t="shared" si="1"/>
        <v>4.66604237954589E-2</v>
      </c>
      <c r="D4">
        <f t="shared" si="2"/>
        <v>1.9572645941803399</v>
      </c>
      <c r="E4">
        <v>4</v>
      </c>
      <c r="F4">
        <f t="shared" si="3"/>
        <v>3</v>
      </c>
      <c r="G4">
        <f t="shared" si="4"/>
        <v>0.1102517471937919</v>
      </c>
      <c r="H4">
        <f t="shared" si="5"/>
        <v>1.89312269655345</v>
      </c>
      <c r="I4">
        <v>4</v>
      </c>
      <c r="J4">
        <f t="shared" si="6"/>
        <v>3</v>
      </c>
      <c r="K4">
        <f t="shared" si="7"/>
        <v>1.2684550350626855</v>
      </c>
      <c r="L4">
        <f t="shared" si="8"/>
        <v>1.73354968324846</v>
      </c>
      <c r="M4">
        <v>4</v>
      </c>
      <c r="N4">
        <f t="shared" si="9"/>
        <v>3</v>
      </c>
      <c r="O4">
        <f t="shared" si="10"/>
        <v>0.25593017668475598</v>
      </c>
      <c r="P4">
        <f t="shared" si="11"/>
        <v>0.74618298195866595</v>
      </c>
      <c r="Q4">
        <v>4</v>
      </c>
      <c r="R4">
        <f t="shared" si="12"/>
        <v>3</v>
      </c>
      <c r="S4">
        <f t="shared" si="13"/>
        <v>1.0042918454935621</v>
      </c>
      <c r="T4">
        <f t="shared" si="14"/>
        <v>1</v>
      </c>
      <c r="U4">
        <v>4</v>
      </c>
      <c r="V4">
        <f t="shared" si="15"/>
        <v>3</v>
      </c>
      <c r="W4">
        <f t="shared" si="16"/>
        <v>1.0685414321269766</v>
      </c>
      <c r="X4">
        <f t="shared" si="17"/>
        <v>0.93519413988924505</v>
      </c>
    </row>
    <row r="5" spans="1:24">
      <c r="A5">
        <v>5</v>
      </c>
      <c r="B5">
        <f t="shared" si="0"/>
        <v>4</v>
      </c>
      <c r="C5">
        <f t="shared" si="1"/>
        <v>4.7968763120724497E-2</v>
      </c>
      <c r="D5">
        <f t="shared" si="2"/>
        <v>1.0427354058196601</v>
      </c>
      <c r="E5">
        <v>5</v>
      </c>
      <c r="F5">
        <f t="shared" si="3"/>
        <v>4</v>
      </c>
      <c r="G5">
        <f t="shared" si="4"/>
        <v>0.1113765617762052</v>
      </c>
      <c r="H5">
        <f t="shared" si="5"/>
        <v>1.10687730344655</v>
      </c>
      <c r="I5">
        <v>5</v>
      </c>
      <c r="J5">
        <f t="shared" si="6"/>
        <v>4</v>
      </c>
      <c r="K5">
        <f t="shared" si="7"/>
        <v>1.2691232744997341</v>
      </c>
      <c r="L5">
        <f t="shared" si="8"/>
        <v>1.26645031675154</v>
      </c>
      <c r="M5">
        <v>5</v>
      </c>
      <c r="N5">
        <f t="shared" si="9"/>
        <v>4</v>
      </c>
      <c r="O5">
        <f t="shared" si="10"/>
        <v>0.25663456289922998</v>
      </c>
      <c r="P5">
        <f t="shared" si="11"/>
        <v>0.253817018041334</v>
      </c>
      <c r="Q5">
        <v>5</v>
      </c>
      <c r="R5">
        <f t="shared" si="12"/>
        <v>4</v>
      </c>
      <c r="S5">
        <f t="shared" si="13"/>
        <v>1.0057224606580828</v>
      </c>
      <c r="T5">
        <f t="shared" si="14"/>
        <v>0</v>
      </c>
      <c r="U5">
        <v>5</v>
      </c>
      <c r="V5">
        <f t="shared" si="15"/>
        <v>4</v>
      </c>
      <c r="W5">
        <f t="shared" si="16"/>
        <v>1.0697866227990487</v>
      </c>
      <c r="X5">
        <f t="shared" si="17"/>
        <v>6.4805860110755301E-2</v>
      </c>
    </row>
    <row r="6" spans="1:24">
      <c r="A6">
        <v>6</v>
      </c>
      <c r="B6">
        <f t="shared" si="0"/>
        <v>5</v>
      </c>
      <c r="C6">
        <f t="shared" si="1"/>
        <v>4.9277102445990095E-2</v>
      </c>
      <c r="D6">
        <f t="shared" si="2"/>
        <v>1.9572645941803399</v>
      </c>
      <c r="E6">
        <v>6</v>
      </c>
      <c r="F6">
        <f t="shared" si="3"/>
        <v>5</v>
      </c>
      <c r="G6">
        <f t="shared" si="4"/>
        <v>0.1125013763586185</v>
      </c>
      <c r="H6">
        <f t="shared" si="5"/>
        <v>1.89312269655345</v>
      </c>
      <c r="I6">
        <v>6</v>
      </c>
      <c r="J6">
        <f t="shared" si="6"/>
        <v>5</v>
      </c>
      <c r="K6">
        <f t="shared" si="7"/>
        <v>1.2697915139367824</v>
      </c>
      <c r="L6">
        <f t="shared" si="8"/>
        <v>1.73354968324846</v>
      </c>
      <c r="M6">
        <v>6</v>
      </c>
      <c r="N6">
        <f t="shared" si="9"/>
        <v>5</v>
      </c>
      <c r="O6">
        <f t="shared" si="10"/>
        <v>0.25733894911370397</v>
      </c>
      <c r="P6">
        <f t="shared" si="11"/>
        <v>0.74618298195866595</v>
      </c>
      <c r="Q6">
        <v>6</v>
      </c>
      <c r="R6">
        <f t="shared" si="12"/>
        <v>5</v>
      </c>
      <c r="S6">
        <f t="shared" si="13"/>
        <v>1.0071530758226035</v>
      </c>
      <c r="T6">
        <f t="shared" si="14"/>
        <v>1</v>
      </c>
      <c r="U6">
        <v>6</v>
      </c>
      <c r="V6">
        <f t="shared" si="15"/>
        <v>5</v>
      </c>
      <c r="W6">
        <f t="shared" si="16"/>
        <v>1.071031813471121</v>
      </c>
      <c r="X6">
        <f t="shared" si="17"/>
        <v>0.93519413988924505</v>
      </c>
    </row>
    <row r="7" spans="1:24">
      <c r="A7">
        <v>7</v>
      </c>
      <c r="B7">
        <f t="shared" si="0"/>
        <v>6</v>
      </c>
      <c r="C7">
        <f t="shared" si="1"/>
        <v>5.05854417712557E-2</v>
      </c>
      <c r="D7">
        <f t="shared" si="2"/>
        <v>1.0427354058196601</v>
      </c>
      <c r="E7">
        <v>7</v>
      </c>
      <c r="F7">
        <f t="shared" si="3"/>
        <v>6</v>
      </c>
      <c r="G7">
        <f t="shared" si="4"/>
        <v>0.1136261909410318</v>
      </c>
      <c r="H7">
        <f t="shared" si="5"/>
        <v>1.10687730344655</v>
      </c>
      <c r="I7">
        <v>7</v>
      </c>
      <c r="J7">
        <f t="shared" si="6"/>
        <v>6</v>
      </c>
      <c r="K7">
        <f t="shared" si="7"/>
        <v>1.2704597533738309</v>
      </c>
      <c r="L7">
        <f t="shared" si="8"/>
        <v>1.26645031675154</v>
      </c>
      <c r="M7">
        <v>7</v>
      </c>
      <c r="N7">
        <f t="shared" si="9"/>
        <v>6</v>
      </c>
      <c r="O7">
        <f t="shared" si="10"/>
        <v>0.25804333532817803</v>
      </c>
      <c r="P7">
        <f t="shared" si="11"/>
        <v>0.253817018041334</v>
      </c>
      <c r="Q7">
        <v>7</v>
      </c>
      <c r="R7">
        <f t="shared" si="12"/>
        <v>6</v>
      </c>
      <c r="S7">
        <f t="shared" si="13"/>
        <v>1.0085836909871242</v>
      </c>
      <c r="T7">
        <f t="shared" si="14"/>
        <v>0</v>
      </c>
      <c r="U7">
        <v>7</v>
      </c>
      <c r="V7">
        <f t="shared" si="15"/>
        <v>6</v>
      </c>
      <c r="W7">
        <f t="shared" si="16"/>
        <v>1.072277004143193</v>
      </c>
      <c r="X7">
        <f t="shared" si="17"/>
        <v>6.4805860110755301E-2</v>
      </c>
    </row>
    <row r="8" spans="1:24">
      <c r="A8">
        <v>8</v>
      </c>
      <c r="B8">
        <f t="shared" si="0"/>
        <v>7</v>
      </c>
      <c r="C8">
        <f t="shared" si="1"/>
        <v>5.1893781096521298E-2</v>
      </c>
      <c r="D8">
        <f t="shared" si="2"/>
        <v>1.9572645941803399</v>
      </c>
      <c r="E8">
        <v>8</v>
      </c>
      <c r="F8">
        <f t="shared" si="3"/>
        <v>7</v>
      </c>
      <c r="G8">
        <f t="shared" si="4"/>
        <v>0.1147510055234451</v>
      </c>
      <c r="H8">
        <f t="shared" si="5"/>
        <v>1.89312269655345</v>
      </c>
      <c r="I8">
        <v>8</v>
      </c>
      <c r="J8">
        <f t="shared" si="6"/>
        <v>7</v>
      </c>
      <c r="K8">
        <f t="shared" si="7"/>
        <v>1.2711279928108794</v>
      </c>
      <c r="L8">
        <f t="shared" si="8"/>
        <v>1.73354968324846</v>
      </c>
      <c r="M8">
        <v>8</v>
      </c>
      <c r="N8">
        <f t="shared" si="9"/>
        <v>7</v>
      </c>
      <c r="O8">
        <f t="shared" si="10"/>
        <v>0.25874772154265202</v>
      </c>
      <c r="P8">
        <f t="shared" si="11"/>
        <v>0.74618298195866595</v>
      </c>
      <c r="Q8">
        <v>8</v>
      </c>
      <c r="R8">
        <f t="shared" si="12"/>
        <v>7</v>
      </c>
      <c r="S8">
        <f t="shared" si="13"/>
        <v>1.0100143061516449</v>
      </c>
      <c r="T8">
        <f t="shared" si="14"/>
        <v>1</v>
      </c>
      <c r="U8">
        <v>8</v>
      </c>
      <c r="V8">
        <f t="shared" si="15"/>
        <v>7</v>
      </c>
      <c r="W8">
        <f t="shared" si="16"/>
        <v>1.0735221948152653</v>
      </c>
      <c r="X8">
        <f t="shared" si="17"/>
        <v>0.93519413988924505</v>
      </c>
    </row>
    <row r="9" spans="1:24">
      <c r="A9">
        <v>9</v>
      </c>
      <c r="B9">
        <f t="shared" si="0"/>
        <v>8</v>
      </c>
      <c r="C9">
        <f t="shared" si="1"/>
        <v>5.3202120421786903E-2</v>
      </c>
      <c r="D9">
        <f t="shared" si="2"/>
        <v>1.0427354058196601</v>
      </c>
      <c r="E9">
        <v>9</v>
      </c>
      <c r="F9">
        <f t="shared" si="3"/>
        <v>8</v>
      </c>
      <c r="G9">
        <f t="shared" si="4"/>
        <v>0.1158758201058584</v>
      </c>
      <c r="H9">
        <f t="shared" si="5"/>
        <v>1.10687730344655</v>
      </c>
      <c r="I9">
        <v>9</v>
      </c>
      <c r="J9">
        <f t="shared" si="6"/>
        <v>8</v>
      </c>
      <c r="K9">
        <f t="shared" si="7"/>
        <v>1.2717962322479279</v>
      </c>
      <c r="L9">
        <f t="shared" si="8"/>
        <v>1.26645031675154</v>
      </c>
      <c r="M9">
        <v>9</v>
      </c>
      <c r="N9">
        <f t="shared" si="9"/>
        <v>8</v>
      </c>
      <c r="O9">
        <f t="shared" si="10"/>
        <v>0.25945210775712602</v>
      </c>
      <c r="P9">
        <f t="shared" si="11"/>
        <v>0.253817018041334</v>
      </c>
      <c r="Q9">
        <v>9</v>
      </c>
      <c r="R9">
        <f t="shared" si="12"/>
        <v>8</v>
      </c>
      <c r="S9">
        <f t="shared" si="13"/>
        <v>1.0114449213161656</v>
      </c>
      <c r="T9">
        <f t="shared" si="14"/>
        <v>0</v>
      </c>
      <c r="U9">
        <v>9</v>
      </c>
      <c r="V9">
        <f t="shared" si="15"/>
        <v>8</v>
      </c>
      <c r="W9">
        <f t="shared" si="16"/>
        <v>1.0747673854873376</v>
      </c>
      <c r="X9">
        <f t="shared" si="17"/>
        <v>6.4805860110755301E-2</v>
      </c>
    </row>
    <row r="10" spans="1:24">
      <c r="A10">
        <v>10</v>
      </c>
      <c r="B10">
        <f t="shared" si="0"/>
        <v>9</v>
      </c>
      <c r="C10">
        <f t="shared" si="1"/>
        <v>5.45104597470525E-2</v>
      </c>
      <c r="D10">
        <f t="shared" si="2"/>
        <v>1.9572645941803399</v>
      </c>
      <c r="E10">
        <v>10</v>
      </c>
      <c r="F10">
        <f t="shared" si="3"/>
        <v>9</v>
      </c>
      <c r="G10">
        <f t="shared" si="4"/>
        <v>0.1170006346882717</v>
      </c>
      <c r="H10">
        <f t="shared" si="5"/>
        <v>1.89312269655345</v>
      </c>
      <c r="I10">
        <v>10</v>
      </c>
      <c r="J10">
        <f t="shared" si="6"/>
        <v>9</v>
      </c>
      <c r="K10">
        <f t="shared" si="7"/>
        <v>1.2724644716849765</v>
      </c>
      <c r="L10">
        <f t="shared" si="8"/>
        <v>1.73354968324846</v>
      </c>
      <c r="M10">
        <v>10</v>
      </c>
      <c r="N10">
        <f t="shared" si="9"/>
        <v>9</v>
      </c>
      <c r="O10">
        <f t="shared" si="10"/>
        <v>0.26015649397160001</v>
      </c>
      <c r="P10">
        <f t="shared" si="11"/>
        <v>0.74618298195866595</v>
      </c>
      <c r="Q10">
        <v>10</v>
      </c>
      <c r="R10">
        <f t="shared" si="12"/>
        <v>9</v>
      </c>
      <c r="S10">
        <f t="shared" si="13"/>
        <v>1.0128755364806863</v>
      </c>
      <c r="T10">
        <f t="shared" si="14"/>
        <v>1</v>
      </c>
      <c r="U10">
        <v>10</v>
      </c>
      <c r="V10">
        <f t="shared" si="15"/>
        <v>9</v>
      </c>
      <c r="W10">
        <f t="shared" si="16"/>
        <v>1.0760125761594097</v>
      </c>
      <c r="X10">
        <f t="shared" si="17"/>
        <v>0.93519413988924505</v>
      </c>
    </row>
    <row r="11" spans="1:24">
      <c r="A11">
        <v>11</v>
      </c>
      <c r="B11">
        <f t="shared" si="0"/>
        <v>10</v>
      </c>
      <c r="C11">
        <f t="shared" si="1"/>
        <v>5.5818799072318098E-2</v>
      </c>
      <c r="D11">
        <f t="shared" si="2"/>
        <v>1.0427354058196601</v>
      </c>
      <c r="E11">
        <v>11</v>
      </c>
      <c r="F11">
        <f t="shared" si="3"/>
        <v>10</v>
      </c>
      <c r="G11">
        <f t="shared" si="4"/>
        <v>0.118125449270685</v>
      </c>
      <c r="H11">
        <f t="shared" si="5"/>
        <v>1.10687730344655</v>
      </c>
      <c r="I11">
        <v>11</v>
      </c>
      <c r="J11">
        <f t="shared" si="6"/>
        <v>10</v>
      </c>
      <c r="K11">
        <f t="shared" si="7"/>
        <v>1.273132711122025</v>
      </c>
      <c r="L11">
        <f t="shared" si="8"/>
        <v>1.26645031675154</v>
      </c>
      <c r="M11">
        <v>11</v>
      </c>
      <c r="N11">
        <f t="shared" si="9"/>
        <v>10</v>
      </c>
      <c r="O11">
        <f t="shared" si="10"/>
        <v>0.26086088018607401</v>
      </c>
      <c r="P11">
        <f t="shared" si="11"/>
        <v>0.253817018041334</v>
      </c>
      <c r="Q11">
        <v>11</v>
      </c>
      <c r="R11">
        <f t="shared" si="12"/>
        <v>10</v>
      </c>
      <c r="S11">
        <f t="shared" si="13"/>
        <v>1.014306151645207</v>
      </c>
      <c r="T11">
        <f t="shared" si="14"/>
        <v>0</v>
      </c>
      <c r="U11">
        <v>11</v>
      </c>
      <c r="V11">
        <f t="shared" si="15"/>
        <v>10</v>
      </c>
      <c r="W11">
        <f t="shared" si="16"/>
        <v>1.077257766831482</v>
      </c>
      <c r="X11">
        <f t="shared" si="17"/>
        <v>6.4805860110755301E-2</v>
      </c>
    </row>
    <row r="12" spans="1:24">
      <c r="A12">
        <v>12</v>
      </c>
      <c r="B12">
        <f t="shared" si="0"/>
        <v>11</v>
      </c>
      <c r="C12">
        <f t="shared" si="1"/>
        <v>5.7127138397583696E-2</v>
      </c>
      <c r="D12">
        <f t="shared" si="2"/>
        <v>1.9572645941803399</v>
      </c>
      <c r="E12">
        <v>12</v>
      </c>
      <c r="F12">
        <f t="shared" si="3"/>
        <v>11</v>
      </c>
      <c r="G12">
        <f t="shared" si="4"/>
        <v>0.1192502638530983</v>
      </c>
      <c r="H12">
        <f t="shared" si="5"/>
        <v>1.89312269655345</v>
      </c>
      <c r="I12">
        <v>12</v>
      </c>
      <c r="J12">
        <f t="shared" si="6"/>
        <v>11</v>
      </c>
      <c r="K12">
        <f t="shared" si="7"/>
        <v>1.2738009505590735</v>
      </c>
      <c r="L12">
        <f t="shared" si="8"/>
        <v>1.73354968324846</v>
      </c>
      <c r="M12">
        <v>12</v>
      </c>
      <c r="N12">
        <f t="shared" si="9"/>
        <v>11</v>
      </c>
      <c r="O12">
        <f t="shared" si="10"/>
        <v>0.261565266400548</v>
      </c>
      <c r="P12">
        <f t="shared" si="11"/>
        <v>0.74618298195866595</v>
      </c>
      <c r="Q12">
        <v>12</v>
      </c>
      <c r="R12">
        <f t="shared" si="12"/>
        <v>11</v>
      </c>
      <c r="S12">
        <f t="shared" si="13"/>
        <v>1.0157367668097277</v>
      </c>
      <c r="T12">
        <f t="shared" si="14"/>
        <v>1</v>
      </c>
      <c r="U12">
        <v>12</v>
      </c>
      <c r="V12">
        <f t="shared" si="15"/>
        <v>11</v>
      </c>
      <c r="W12">
        <f t="shared" si="16"/>
        <v>1.0785029575035541</v>
      </c>
      <c r="X12">
        <f t="shared" si="17"/>
        <v>0.93519413988924505</v>
      </c>
    </row>
    <row r="13" spans="1:24">
      <c r="A13">
        <v>13</v>
      </c>
      <c r="B13">
        <f t="shared" si="0"/>
        <v>12</v>
      </c>
      <c r="C13">
        <f t="shared" si="1"/>
        <v>5.8435477722849301E-2</v>
      </c>
      <c r="D13">
        <f t="shared" si="2"/>
        <v>1.0427354058196601</v>
      </c>
      <c r="E13">
        <v>13</v>
      </c>
      <c r="F13">
        <f t="shared" si="3"/>
        <v>12</v>
      </c>
      <c r="G13">
        <f t="shared" si="4"/>
        <v>0.1203750784355116</v>
      </c>
      <c r="H13">
        <f t="shared" si="5"/>
        <v>1.10687730344655</v>
      </c>
      <c r="I13">
        <v>13</v>
      </c>
      <c r="J13">
        <f t="shared" si="6"/>
        <v>12</v>
      </c>
      <c r="K13">
        <f t="shared" si="7"/>
        <v>1.274469189996122</v>
      </c>
      <c r="L13">
        <f t="shared" si="8"/>
        <v>1.26645031675154</v>
      </c>
      <c r="M13">
        <v>13</v>
      </c>
      <c r="N13">
        <f t="shared" si="9"/>
        <v>12</v>
      </c>
      <c r="O13">
        <f t="shared" si="10"/>
        <v>0.262269652615022</v>
      </c>
      <c r="P13">
        <f t="shared" si="11"/>
        <v>0.253817018041334</v>
      </c>
      <c r="Q13">
        <v>13</v>
      </c>
      <c r="R13">
        <f t="shared" si="12"/>
        <v>12</v>
      </c>
      <c r="S13">
        <f t="shared" si="13"/>
        <v>1.0171673819742484</v>
      </c>
      <c r="T13">
        <f t="shared" si="14"/>
        <v>0</v>
      </c>
      <c r="U13">
        <v>13</v>
      </c>
      <c r="V13">
        <f t="shared" si="15"/>
        <v>12</v>
      </c>
      <c r="W13">
        <f t="shared" si="16"/>
        <v>1.0797481481756264</v>
      </c>
      <c r="X13">
        <f t="shared" si="17"/>
        <v>6.4805860110755301E-2</v>
      </c>
    </row>
    <row r="14" spans="1:24">
      <c r="A14">
        <v>14</v>
      </c>
      <c r="B14">
        <f t="shared" si="0"/>
        <v>13</v>
      </c>
      <c r="C14">
        <f t="shared" si="1"/>
        <v>5.9743817048114899E-2</v>
      </c>
      <c r="D14">
        <f t="shared" si="2"/>
        <v>1.9572645941803399</v>
      </c>
      <c r="E14">
        <v>14</v>
      </c>
      <c r="F14">
        <f t="shared" si="3"/>
        <v>13</v>
      </c>
      <c r="G14">
        <f t="shared" si="4"/>
        <v>0.1214998930179249</v>
      </c>
      <c r="H14">
        <f t="shared" si="5"/>
        <v>1.89312269655345</v>
      </c>
      <c r="I14">
        <v>14</v>
      </c>
      <c r="J14">
        <f t="shared" si="6"/>
        <v>13</v>
      </c>
      <c r="K14">
        <f t="shared" si="7"/>
        <v>1.2751374294331705</v>
      </c>
      <c r="L14">
        <f t="shared" si="8"/>
        <v>1.73354968324846</v>
      </c>
      <c r="M14">
        <v>14</v>
      </c>
      <c r="N14">
        <f t="shared" si="9"/>
        <v>13</v>
      </c>
      <c r="O14">
        <f t="shared" si="10"/>
        <v>0.26297403882949599</v>
      </c>
      <c r="P14">
        <f t="shared" si="11"/>
        <v>0.74618298195866595</v>
      </c>
      <c r="Q14">
        <v>14</v>
      </c>
      <c r="R14">
        <f t="shared" si="12"/>
        <v>13</v>
      </c>
      <c r="S14">
        <f t="shared" si="13"/>
        <v>1.0185979971387691</v>
      </c>
      <c r="T14">
        <f t="shared" si="14"/>
        <v>1</v>
      </c>
      <c r="U14">
        <v>14</v>
      </c>
      <c r="V14">
        <f t="shared" si="15"/>
        <v>13</v>
      </c>
      <c r="W14">
        <f t="shared" si="16"/>
        <v>1.0809933388476987</v>
      </c>
      <c r="X14">
        <f t="shared" si="17"/>
        <v>0.93519413988924505</v>
      </c>
    </row>
    <row r="15" spans="1:24">
      <c r="A15">
        <v>15</v>
      </c>
      <c r="B15">
        <f t="shared" si="0"/>
        <v>14</v>
      </c>
      <c r="C15">
        <f t="shared" si="1"/>
        <v>6.1052156373380503E-2</v>
      </c>
      <c r="D15">
        <f t="shared" si="2"/>
        <v>1.0427354058196601</v>
      </c>
      <c r="E15">
        <v>15</v>
      </c>
      <c r="F15">
        <f t="shared" si="3"/>
        <v>14</v>
      </c>
      <c r="G15">
        <f t="shared" si="4"/>
        <v>0.1226247076003382</v>
      </c>
      <c r="H15">
        <f t="shared" si="5"/>
        <v>1.10687730344655</v>
      </c>
      <c r="I15">
        <v>15</v>
      </c>
      <c r="J15">
        <f t="shared" si="6"/>
        <v>14</v>
      </c>
      <c r="K15">
        <f t="shared" si="7"/>
        <v>1.2758056688702191</v>
      </c>
      <c r="L15">
        <f t="shared" si="8"/>
        <v>1.26645031675154</v>
      </c>
      <c r="M15">
        <v>15</v>
      </c>
      <c r="N15">
        <f t="shared" si="9"/>
        <v>14</v>
      </c>
      <c r="O15">
        <f t="shared" si="10"/>
        <v>0.26367842504396999</v>
      </c>
      <c r="P15">
        <f t="shared" si="11"/>
        <v>0.253817018041334</v>
      </c>
      <c r="Q15">
        <v>15</v>
      </c>
      <c r="R15">
        <f t="shared" si="12"/>
        <v>14</v>
      </c>
      <c r="S15">
        <f t="shared" si="13"/>
        <v>1.0200286123032898</v>
      </c>
      <c r="T15">
        <f t="shared" si="14"/>
        <v>0</v>
      </c>
      <c r="U15">
        <v>15</v>
      </c>
      <c r="V15">
        <f t="shared" si="15"/>
        <v>14</v>
      </c>
      <c r="W15">
        <f t="shared" si="16"/>
        <v>1.0822385295197707</v>
      </c>
      <c r="X15">
        <f t="shared" si="17"/>
        <v>6.4805860110755301E-2</v>
      </c>
    </row>
    <row r="16" spans="1:24">
      <c r="A16">
        <v>16</v>
      </c>
      <c r="B16">
        <f t="shared" si="0"/>
        <v>15</v>
      </c>
      <c r="C16">
        <f t="shared" si="1"/>
        <v>6.2360495698646101E-2</v>
      </c>
      <c r="D16">
        <f t="shared" si="2"/>
        <v>1.9572645941803399</v>
      </c>
      <c r="E16">
        <v>16</v>
      </c>
      <c r="F16">
        <f t="shared" si="3"/>
        <v>15</v>
      </c>
      <c r="G16">
        <f t="shared" si="4"/>
        <v>0.1237495221827515</v>
      </c>
      <c r="H16">
        <f t="shared" si="5"/>
        <v>1.89312269655345</v>
      </c>
      <c r="I16">
        <v>16</v>
      </c>
      <c r="J16">
        <f t="shared" si="6"/>
        <v>15</v>
      </c>
      <c r="K16">
        <f t="shared" si="7"/>
        <v>1.2764739083072674</v>
      </c>
      <c r="L16">
        <f t="shared" si="8"/>
        <v>1.73354968324846</v>
      </c>
      <c r="M16">
        <v>16</v>
      </c>
      <c r="N16">
        <f t="shared" si="9"/>
        <v>15</v>
      </c>
      <c r="O16">
        <f t="shared" si="10"/>
        <v>0.26438281125844398</v>
      </c>
      <c r="P16">
        <f t="shared" si="11"/>
        <v>0.74618298195866595</v>
      </c>
      <c r="Q16">
        <v>16</v>
      </c>
      <c r="R16">
        <f t="shared" si="12"/>
        <v>15</v>
      </c>
      <c r="S16">
        <f t="shared" si="13"/>
        <v>1.0214592274678105</v>
      </c>
      <c r="T16">
        <f t="shared" si="14"/>
        <v>1</v>
      </c>
      <c r="U16">
        <v>16</v>
      </c>
      <c r="V16">
        <f t="shared" si="15"/>
        <v>15</v>
      </c>
      <c r="W16">
        <f t="shared" si="16"/>
        <v>1.083483720191843</v>
      </c>
      <c r="X16">
        <f t="shared" si="17"/>
        <v>0.93519413988924505</v>
      </c>
    </row>
    <row r="17" spans="1:24">
      <c r="A17">
        <v>17</v>
      </c>
      <c r="B17">
        <f t="shared" si="0"/>
        <v>16</v>
      </c>
      <c r="C17">
        <f t="shared" si="1"/>
        <v>6.3668835023911699E-2</v>
      </c>
      <c r="D17">
        <f t="shared" si="2"/>
        <v>1.0427354058196601</v>
      </c>
      <c r="E17">
        <v>17</v>
      </c>
      <c r="F17">
        <f t="shared" si="3"/>
        <v>16</v>
      </c>
      <c r="G17">
        <f t="shared" si="4"/>
        <v>0.1248743367651648</v>
      </c>
      <c r="H17">
        <f t="shared" si="5"/>
        <v>1.10687730344655</v>
      </c>
      <c r="I17">
        <v>17</v>
      </c>
      <c r="J17">
        <f t="shared" si="6"/>
        <v>16</v>
      </c>
      <c r="K17">
        <f t="shared" si="7"/>
        <v>1.2771421477443159</v>
      </c>
      <c r="L17">
        <f t="shared" si="8"/>
        <v>1.26645031675154</v>
      </c>
      <c r="M17">
        <v>17</v>
      </c>
      <c r="N17">
        <f t="shared" si="9"/>
        <v>16</v>
      </c>
      <c r="O17">
        <f t="shared" si="10"/>
        <v>0.26508719747291798</v>
      </c>
      <c r="P17">
        <f t="shared" si="11"/>
        <v>0.253817018041334</v>
      </c>
      <c r="Q17">
        <v>17</v>
      </c>
      <c r="R17">
        <f t="shared" si="12"/>
        <v>16</v>
      </c>
      <c r="S17">
        <f t="shared" si="13"/>
        <v>1.0228898426323312</v>
      </c>
      <c r="T17">
        <f t="shared" si="14"/>
        <v>0</v>
      </c>
      <c r="U17">
        <v>17</v>
      </c>
      <c r="V17">
        <f t="shared" si="15"/>
        <v>16</v>
      </c>
      <c r="W17">
        <f t="shared" si="16"/>
        <v>1.0847289108639151</v>
      </c>
      <c r="X17">
        <f t="shared" si="17"/>
        <v>6.4805860110755301E-2</v>
      </c>
    </row>
    <row r="18" spans="1:24">
      <c r="A18">
        <v>18</v>
      </c>
      <c r="B18">
        <f t="shared" si="0"/>
        <v>17</v>
      </c>
      <c r="C18">
        <f t="shared" si="1"/>
        <v>6.4977174349177297E-2</v>
      </c>
      <c r="D18">
        <f t="shared" si="2"/>
        <v>1.9572645941803399</v>
      </c>
      <c r="E18">
        <v>18</v>
      </c>
      <c r="F18">
        <f t="shared" si="3"/>
        <v>17</v>
      </c>
      <c r="G18">
        <f t="shared" si="4"/>
        <v>0.12599915134757811</v>
      </c>
      <c r="H18">
        <f t="shared" si="5"/>
        <v>1.89312269655345</v>
      </c>
      <c r="I18">
        <v>18</v>
      </c>
      <c r="J18">
        <f t="shared" si="6"/>
        <v>17</v>
      </c>
      <c r="K18">
        <f t="shared" si="7"/>
        <v>1.2778103871813644</v>
      </c>
      <c r="L18">
        <f t="shared" si="8"/>
        <v>1.73354968324846</v>
      </c>
      <c r="M18">
        <v>18</v>
      </c>
      <c r="N18">
        <f t="shared" si="9"/>
        <v>17</v>
      </c>
      <c r="O18">
        <f t="shared" si="10"/>
        <v>0.26579158368739197</v>
      </c>
      <c r="P18">
        <f t="shared" si="11"/>
        <v>0.74618298195866595</v>
      </c>
      <c r="Q18">
        <v>18</v>
      </c>
      <c r="R18">
        <f t="shared" si="12"/>
        <v>17</v>
      </c>
      <c r="S18">
        <f t="shared" si="13"/>
        <v>1.0243204577968519</v>
      </c>
      <c r="T18">
        <f t="shared" si="14"/>
        <v>1</v>
      </c>
      <c r="U18">
        <v>18</v>
      </c>
      <c r="V18">
        <f t="shared" si="15"/>
        <v>17</v>
      </c>
      <c r="W18">
        <f t="shared" si="16"/>
        <v>1.0859741015359874</v>
      </c>
      <c r="X18">
        <f t="shared" si="17"/>
        <v>0.93519413988924505</v>
      </c>
    </row>
    <row r="19" spans="1:24">
      <c r="A19">
        <v>19</v>
      </c>
      <c r="B19">
        <f t="shared" si="0"/>
        <v>18</v>
      </c>
      <c r="C19">
        <f t="shared" si="1"/>
        <v>6.6285513674442895E-2</v>
      </c>
      <c r="D19">
        <f t="shared" si="2"/>
        <v>1.0427354058196601</v>
      </c>
      <c r="E19">
        <v>19</v>
      </c>
      <c r="F19">
        <f t="shared" si="3"/>
        <v>18</v>
      </c>
      <c r="G19">
        <f t="shared" si="4"/>
        <v>0.12712396592999139</v>
      </c>
      <c r="H19">
        <f t="shared" si="5"/>
        <v>1.10687730344655</v>
      </c>
      <c r="I19">
        <v>19</v>
      </c>
      <c r="J19">
        <f t="shared" si="6"/>
        <v>18</v>
      </c>
      <c r="K19">
        <f t="shared" si="7"/>
        <v>1.2784786266184129</v>
      </c>
      <c r="L19">
        <f t="shared" si="8"/>
        <v>1.26645031675154</v>
      </c>
      <c r="M19">
        <v>19</v>
      </c>
      <c r="N19">
        <f t="shared" si="9"/>
        <v>18</v>
      </c>
      <c r="O19">
        <f t="shared" si="10"/>
        <v>0.26649596990186597</v>
      </c>
      <c r="P19">
        <f t="shared" si="11"/>
        <v>0.253817018041334</v>
      </c>
      <c r="Q19">
        <v>19</v>
      </c>
      <c r="R19">
        <f t="shared" si="12"/>
        <v>18</v>
      </c>
      <c r="S19">
        <f t="shared" si="13"/>
        <v>1.0257510729613726</v>
      </c>
      <c r="T19">
        <f t="shared" si="14"/>
        <v>0</v>
      </c>
      <c r="U19">
        <v>19</v>
      </c>
      <c r="V19">
        <f t="shared" si="15"/>
        <v>18</v>
      </c>
      <c r="W19">
        <f t="shared" si="16"/>
        <v>1.0872192922080595</v>
      </c>
      <c r="X19">
        <f t="shared" si="17"/>
        <v>6.4805860110755301E-2</v>
      </c>
    </row>
    <row r="20" spans="1:24">
      <c r="A20">
        <v>20</v>
      </c>
      <c r="B20">
        <f t="shared" si="0"/>
        <v>19</v>
      </c>
      <c r="C20">
        <f t="shared" si="1"/>
        <v>6.7593852999708492E-2</v>
      </c>
      <c r="D20">
        <f t="shared" si="2"/>
        <v>1.9572645941803399</v>
      </c>
      <c r="E20">
        <v>20</v>
      </c>
      <c r="F20">
        <f t="shared" si="3"/>
        <v>19</v>
      </c>
      <c r="G20">
        <f t="shared" si="4"/>
        <v>0.12824878051240468</v>
      </c>
      <c r="H20">
        <f t="shared" si="5"/>
        <v>1.89312269655345</v>
      </c>
      <c r="I20">
        <v>20</v>
      </c>
      <c r="J20">
        <f t="shared" si="6"/>
        <v>19</v>
      </c>
      <c r="K20">
        <f t="shared" si="7"/>
        <v>1.2791468660554615</v>
      </c>
      <c r="L20">
        <f t="shared" si="8"/>
        <v>1.73354968324846</v>
      </c>
      <c r="M20">
        <v>20</v>
      </c>
      <c r="N20">
        <f t="shared" si="9"/>
        <v>19</v>
      </c>
      <c r="O20">
        <f t="shared" si="10"/>
        <v>0.26720035611634002</v>
      </c>
      <c r="P20">
        <f t="shared" si="11"/>
        <v>0.74618298195866595</v>
      </c>
      <c r="Q20">
        <v>20</v>
      </c>
      <c r="R20">
        <f t="shared" si="12"/>
        <v>19</v>
      </c>
      <c r="S20">
        <f t="shared" si="13"/>
        <v>1.0271816881258933</v>
      </c>
      <c r="T20">
        <f t="shared" si="14"/>
        <v>1</v>
      </c>
      <c r="U20">
        <v>20</v>
      </c>
      <c r="V20">
        <f t="shared" si="15"/>
        <v>19</v>
      </c>
      <c r="W20">
        <f t="shared" si="16"/>
        <v>1.0884644828801318</v>
      </c>
      <c r="X20">
        <f t="shared" si="17"/>
        <v>0.93519413988924505</v>
      </c>
    </row>
    <row r="21" spans="1:24">
      <c r="A21">
        <v>21</v>
      </c>
      <c r="B21">
        <f t="shared" si="0"/>
        <v>20</v>
      </c>
      <c r="C21">
        <f t="shared" si="1"/>
        <v>6.8902192324974104E-2</v>
      </c>
      <c r="D21">
        <f t="shared" si="2"/>
        <v>1.0427354058196601</v>
      </c>
      <c r="E21">
        <v>21</v>
      </c>
      <c r="F21">
        <f t="shared" si="3"/>
        <v>20</v>
      </c>
      <c r="G21">
        <f t="shared" si="4"/>
        <v>0.12937359509481799</v>
      </c>
      <c r="H21">
        <f t="shared" si="5"/>
        <v>1.10687730344655</v>
      </c>
      <c r="I21">
        <v>21</v>
      </c>
      <c r="J21">
        <f t="shared" si="6"/>
        <v>20</v>
      </c>
      <c r="K21">
        <f t="shared" si="7"/>
        <v>1.27981510549251</v>
      </c>
      <c r="L21">
        <f t="shared" si="8"/>
        <v>1.26645031675154</v>
      </c>
      <c r="M21">
        <v>21</v>
      </c>
      <c r="N21">
        <f t="shared" si="9"/>
        <v>20</v>
      </c>
      <c r="O21">
        <f t="shared" si="10"/>
        <v>0.26790474233081402</v>
      </c>
      <c r="P21">
        <f t="shared" si="11"/>
        <v>0.253817018041334</v>
      </c>
      <c r="Q21">
        <v>21</v>
      </c>
      <c r="R21">
        <f t="shared" si="12"/>
        <v>20</v>
      </c>
      <c r="S21">
        <f t="shared" si="13"/>
        <v>1.028612303290414</v>
      </c>
      <c r="T21">
        <f t="shared" si="14"/>
        <v>0</v>
      </c>
      <c r="U21">
        <v>21</v>
      </c>
      <c r="V21">
        <f t="shared" si="15"/>
        <v>20</v>
      </c>
      <c r="W21">
        <f t="shared" si="16"/>
        <v>1.0897096735522041</v>
      </c>
      <c r="X21">
        <f t="shared" si="17"/>
        <v>6.4805860110755301E-2</v>
      </c>
    </row>
    <row r="22" spans="1:24">
      <c r="A22">
        <v>22</v>
      </c>
      <c r="B22">
        <f t="shared" si="0"/>
        <v>21</v>
      </c>
      <c r="C22">
        <f t="shared" si="1"/>
        <v>7.0210531650239702E-2</v>
      </c>
      <c r="D22">
        <f t="shared" si="2"/>
        <v>1.9572645941803399</v>
      </c>
      <c r="E22">
        <v>22</v>
      </c>
      <c r="F22">
        <f t="shared" si="3"/>
        <v>21</v>
      </c>
      <c r="G22">
        <f t="shared" si="4"/>
        <v>0.13049840967723131</v>
      </c>
      <c r="H22">
        <f t="shared" si="5"/>
        <v>1.89312269655345</v>
      </c>
      <c r="I22">
        <v>22</v>
      </c>
      <c r="J22">
        <f t="shared" si="6"/>
        <v>21</v>
      </c>
      <c r="K22">
        <f t="shared" si="7"/>
        <v>1.2804833449295585</v>
      </c>
      <c r="L22">
        <f t="shared" si="8"/>
        <v>1.73354968324846</v>
      </c>
      <c r="M22">
        <v>22</v>
      </c>
      <c r="N22">
        <f t="shared" si="9"/>
        <v>21</v>
      </c>
      <c r="O22">
        <f t="shared" si="10"/>
        <v>0.26860912854528801</v>
      </c>
      <c r="P22">
        <f t="shared" si="11"/>
        <v>0.74618298195866595</v>
      </c>
      <c r="Q22">
        <v>22</v>
      </c>
      <c r="R22">
        <f t="shared" si="12"/>
        <v>21</v>
      </c>
      <c r="S22">
        <f t="shared" si="13"/>
        <v>1.0300429184549347</v>
      </c>
      <c r="T22">
        <f t="shared" si="14"/>
        <v>1</v>
      </c>
      <c r="U22">
        <v>22</v>
      </c>
      <c r="V22">
        <f t="shared" si="15"/>
        <v>21</v>
      </c>
      <c r="W22">
        <f t="shared" si="16"/>
        <v>1.0909548642242761</v>
      </c>
      <c r="X22">
        <f t="shared" si="17"/>
        <v>0.93519413988924505</v>
      </c>
    </row>
    <row r="23" spans="1:24">
      <c r="A23">
        <v>23</v>
      </c>
      <c r="B23">
        <f t="shared" si="0"/>
        <v>22</v>
      </c>
      <c r="C23">
        <f t="shared" si="1"/>
        <v>7.15188709755053E-2</v>
      </c>
      <c r="D23">
        <f t="shared" si="2"/>
        <v>1.0427354058196601</v>
      </c>
      <c r="E23">
        <v>23</v>
      </c>
      <c r="F23">
        <f t="shared" si="3"/>
        <v>22</v>
      </c>
      <c r="G23">
        <f t="shared" si="4"/>
        <v>0.13162322425964459</v>
      </c>
      <c r="H23">
        <f t="shared" si="5"/>
        <v>1.10687730344655</v>
      </c>
      <c r="I23">
        <v>23</v>
      </c>
      <c r="J23">
        <f t="shared" si="6"/>
        <v>22</v>
      </c>
      <c r="K23">
        <f t="shared" si="7"/>
        <v>1.281151584366607</v>
      </c>
      <c r="L23">
        <f t="shared" si="8"/>
        <v>1.26645031675154</v>
      </c>
      <c r="M23">
        <v>23</v>
      </c>
      <c r="N23">
        <f t="shared" si="9"/>
        <v>22</v>
      </c>
      <c r="O23">
        <f t="shared" si="10"/>
        <v>0.26931351475976201</v>
      </c>
      <c r="P23">
        <f t="shared" si="11"/>
        <v>0.253817018041334</v>
      </c>
      <c r="Q23">
        <v>23</v>
      </c>
      <c r="R23">
        <f t="shared" si="12"/>
        <v>22</v>
      </c>
      <c r="S23">
        <f t="shared" si="13"/>
        <v>1.0314735336194554</v>
      </c>
      <c r="T23">
        <f t="shared" si="14"/>
        <v>0</v>
      </c>
      <c r="U23">
        <v>23</v>
      </c>
      <c r="V23">
        <f t="shared" si="15"/>
        <v>22</v>
      </c>
      <c r="W23">
        <f t="shared" si="16"/>
        <v>1.0922000548963484</v>
      </c>
      <c r="X23">
        <f t="shared" si="17"/>
        <v>6.4805860110755301E-2</v>
      </c>
    </row>
    <row r="24" spans="1:24">
      <c r="A24">
        <v>24</v>
      </c>
      <c r="B24">
        <f t="shared" si="0"/>
        <v>23</v>
      </c>
      <c r="C24">
        <f t="shared" si="1"/>
        <v>7.2827210300770898E-2</v>
      </c>
      <c r="D24">
        <f t="shared" si="2"/>
        <v>1.9572645941803399</v>
      </c>
      <c r="E24">
        <v>24</v>
      </c>
      <c r="F24">
        <f t="shared" si="3"/>
        <v>23</v>
      </c>
      <c r="G24">
        <f t="shared" si="4"/>
        <v>0.13274803884205788</v>
      </c>
      <c r="H24">
        <f t="shared" si="5"/>
        <v>1.89312269655345</v>
      </c>
      <c r="I24">
        <v>24</v>
      </c>
      <c r="J24">
        <f t="shared" si="6"/>
        <v>23</v>
      </c>
      <c r="K24">
        <f t="shared" si="7"/>
        <v>1.2818198238036556</v>
      </c>
      <c r="L24">
        <f t="shared" si="8"/>
        <v>1.73354968324846</v>
      </c>
      <c r="M24">
        <v>24</v>
      </c>
      <c r="N24">
        <f t="shared" si="9"/>
        <v>23</v>
      </c>
      <c r="O24">
        <f t="shared" si="10"/>
        <v>0.270017900974236</v>
      </c>
      <c r="P24">
        <f t="shared" si="11"/>
        <v>0.74618298195866595</v>
      </c>
      <c r="Q24">
        <v>24</v>
      </c>
      <c r="R24">
        <f t="shared" si="12"/>
        <v>23</v>
      </c>
      <c r="S24">
        <f t="shared" si="13"/>
        <v>1.0329041487839761</v>
      </c>
      <c r="T24">
        <f t="shared" si="14"/>
        <v>1</v>
      </c>
      <c r="U24">
        <v>24</v>
      </c>
      <c r="V24">
        <f t="shared" si="15"/>
        <v>23</v>
      </c>
      <c r="W24">
        <f t="shared" si="16"/>
        <v>1.0934452455684205</v>
      </c>
      <c r="X24">
        <f t="shared" si="17"/>
        <v>0.93519413988924505</v>
      </c>
    </row>
    <row r="25" spans="1:24">
      <c r="A25">
        <v>25</v>
      </c>
      <c r="B25">
        <f t="shared" si="0"/>
        <v>24</v>
      </c>
      <c r="C25">
        <f t="shared" si="1"/>
        <v>7.4135549626036495E-2</v>
      </c>
      <c r="D25">
        <f t="shared" si="2"/>
        <v>1.0427354058196601</v>
      </c>
      <c r="E25">
        <v>25</v>
      </c>
      <c r="F25">
        <f t="shared" si="3"/>
        <v>24</v>
      </c>
      <c r="G25">
        <f t="shared" si="4"/>
        <v>0.13387285342447119</v>
      </c>
      <c r="H25">
        <f t="shared" si="5"/>
        <v>1.10687730344655</v>
      </c>
      <c r="I25">
        <v>25</v>
      </c>
      <c r="J25">
        <f t="shared" si="6"/>
        <v>24</v>
      </c>
      <c r="K25">
        <f t="shared" si="7"/>
        <v>1.2824880632407039</v>
      </c>
      <c r="L25">
        <f t="shared" si="8"/>
        <v>1.26645031675154</v>
      </c>
      <c r="M25">
        <v>25</v>
      </c>
      <c r="N25">
        <f t="shared" si="9"/>
        <v>24</v>
      </c>
      <c r="O25">
        <f t="shared" si="10"/>
        <v>0.27072228718871</v>
      </c>
      <c r="P25">
        <f t="shared" si="11"/>
        <v>0.253817018041334</v>
      </c>
      <c r="Q25">
        <v>25</v>
      </c>
      <c r="R25">
        <f t="shared" si="12"/>
        <v>24</v>
      </c>
      <c r="S25">
        <f t="shared" si="13"/>
        <v>1.0343347639484968</v>
      </c>
      <c r="T25">
        <f t="shared" si="14"/>
        <v>0</v>
      </c>
      <c r="U25">
        <v>25</v>
      </c>
      <c r="V25">
        <f t="shared" si="15"/>
        <v>24</v>
      </c>
      <c r="W25">
        <f t="shared" si="16"/>
        <v>1.0946904362404928</v>
      </c>
      <c r="X25">
        <f t="shared" si="17"/>
        <v>6.4805860110755301E-2</v>
      </c>
    </row>
    <row r="26" spans="1:24">
      <c r="A26">
        <v>26</v>
      </c>
      <c r="B26">
        <f t="shared" si="0"/>
        <v>25</v>
      </c>
      <c r="C26">
        <f t="shared" si="1"/>
        <v>7.5443888951302107E-2</v>
      </c>
      <c r="D26">
        <f t="shared" si="2"/>
        <v>1.9572645941803399</v>
      </c>
      <c r="E26">
        <v>26</v>
      </c>
      <c r="F26">
        <f t="shared" si="3"/>
        <v>25</v>
      </c>
      <c r="G26">
        <f t="shared" si="4"/>
        <v>0.13499766800688451</v>
      </c>
      <c r="H26">
        <f t="shared" si="5"/>
        <v>1.89312269655345</v>
      </c>
      <c r="I26">
        <v>26</v>
      </c>
      <c r="J26">
        <f t="shared" si="6"/>
        <v>25</v>
      </c>
      <c r="K26">
        <f t="shared" si="7"/>
        <v>1.2831563026777524</v>
      </c>
      <c r="L26">
        <f t="shared" si="8"/>
        <v>1.73354968324846</v>
      </c>
      <c r="M26">
        <v>26</v>
      </c>
      <c r="N26">
        <f t="shared" si="9"/>
        <v>25</v>
      </c>
      <c r="O26">
        <f t="shared" si="10"/>
        <v>0.27142667340318399</v>
      </c>
      <c r="P26">
        <f t="shared" si="11"/>
        <v>0.74618298195866595</v>
      </c>
      <c r="Q26">
        <v>26</v>
      </c>
      <c r="R26">
        <f t="shared" si="12"/>
        <v>25</v>
      </c>
      <c r="S26">
        <f t="shared" si="13"/>
        <v>1.0357653791130175</v>
      </c>
      <c r="T26">
        <f t="shared" si="14"/>
        <v>1</v>
      </c>
      <c r="U26">
        <v>26</v>
      </c>
      <c r="V26">
        <f t="shared" si="15"/>
        <v>25</v>
      </c>
      <c r="W26">
        <f t="shared" si="16"/>
        <v>1.0959356269125649</v>
      </c>
      <c r="X26">
        <f t="shared" si="17"/>
        <v>0.93519413988924505</v>
      </c>
    </row>
    <row r="27" spans="1:24">
      <c r="A27">
        <v>27</v>
      </c>
      <c r="B27">
        <f t="shared" si="0"/>
        <v>26</v>
      </c>
      <c r="C27">
        <f t="shared" si="1"/>
        <v>7.6752228276567691E-2</v>
      </c>
      <c r="D27">
        <f t="shared" si="2"/>
        <v>1.0427354058196601</v>
      </c>
      <c r="E27">
        <v>27</v>
      </c>
      <c r="F27">
        <f t="shared" si="3"/>
        <v>26</v>
      </c>
      <c r="G27">
        <f t="shared" si="4"/>
        <v>0.13612248258929779</v>
      </c>
      <c r="H27">
        <f t="shared" si="5"/>
        <v>1.10687730344655</v>
      </c>
      <c r="I27">
        <v>27</v>
      </c>
      <c r="J27">
        <f t="shared" si="6"/>
        <v>26</v>
      </c>
      <c r="K27">
        <f t="shared" si="7"/>
        <v>1.2838245421148009</v>
      </c>
      <c r="L27">
        <f t="shared" si="8"/>
        <v>1.26645031675154</v>
      </c>
      <c r="M27">
        <v>27</v>
      </c>
      <c r="N27">
        <f t="shared" si="9"/>
        <v>26</v>
      </c>
      <c r="O27">
        <f t="shared" si="10"/>
        <v>0.27213105961765799</v>
      </c>
      <c r="P27">
        <f t="shared" si="11"/>
        <v>0.253817018041334</v>
      </c>
      <c r="Q27">
        <v>27</v>
      </c>
      <c r="R27">
        <f t="shared" si="12"/>
        <v>26</v>
      </c>
      <c r="S27">
        <f t="shared" si="13"/>
        <v>1.0371959942775382</v>
      </c>
      <c r="T27">
        <f t="shared" si="14"/>
        <v>0</v>
      </c>
      <c r="U27">
        <v>27</v>
      </c>
      <c r="V27">
        <f t="shared" si="15"/>
        <v>26</v>
      </c>
      <c r="W27">
        <f t="shared" si="16"/>
        <v>1.0971808175846371</v>
      </c>
      <c r="X27">
        <f t="shared" si="17"/>
        <v>6.4805860110755301E-2</v>
      </c>
    </row>
    <row r="28" spans="1:24">
      <c r="A28">
        <v>28</v>
      </c>
      <c r="B28">
        <f t="shared" si="0"/>
        <v>27</v>
      </c>
      <c r="C28">
        <f t="shared" si="1"/>
        <v>7.8060567601833303E-2</v>
      </c>
      <c r="D28">
        <f t="shared" si="2"/>
        <v>1.9572645941803399</v>
      </c>
      <c r="E28">
        <v>28</v>
      </c>
      <c r="F28">
        <f t="shared" si="3"/>
        <v>27</v>
      </c>
      <c r="G28">
        <f t="shared" si="4"/>
        <v>0.13724729717171108</v>
      </c>
      <c r="H28">
        <f t="shared" si="5"/>
        <v>1.89312269655345</v>
      </c>
      <c r="I28">
        <v>28</v>
      </c>
      <c r="J28">
        <f t="shared" si="6"/>
        <v>27</v>
      </c>
      <c r="K28">
        <f t="shared" si="7"/>
        <v>1.2844927815518494</v>
      </c>
      <c r="L28">
        <f t="shared" si="8"/>
        <v>1.73354968324846</v>
      </c>
      <c r="M28">
        <v>28</v>
      </c>
      <c r="N28">
        <f t="shared" si="9"/>
        <v>27</v>
      </c>
      <c r="O28">
        <f t="shared" si="10"/>
        <v>0.27283544583213198</v>
      </c>
      <c r="P28">
        <f t="shared" si="11"/>
        <v>0.74618298195866595</v>
      </c>
      <c r="Q28">
        <v>28</v>
      </c>
      <c r="R28">
        <f t="shared" si="12"/>
        <v>27</v>
      </c>
      <c r="S28">
        <f t="shared" si="13"/>
        <v>1.0386266094420589</v>
      </c>
      <c r="T28">
        <f t="shared" si="14"/>
        <v>1</v>
      </c>
      <c r="U28">
        <v>28</v>
      </c>
      <c r="V28">
        <f t="shared" si="15"/>
        <v>27</v>
      </c>
      <c r="W28">
        <f t="shared" si="16"/>
        <v>1.0984260082567094</v>
      </c>
      <c r="X28">
        <f t="shared" si="17"/>
        <v>0.93519413988924505</v>
      </c>
    </row>
    <row r="29" spans="1:24">
      <c r="A29">
        <v>29</v>
      </c>
      <c r="B29">
        <f t="shared" si="0"/>
        <v>28</v>
      </c>
      <c r="C29">
        <f t="shared" si="1"/>
        <v>7.9368906927098901E-2</v>
      </c>
      <c r="D29">
        <f t="shared" si="2"/>
        <v>1.0427354058196601</v>
      </c>
      <c r="E29">
        <v>29</v>
      </c>
      <c r="F29">
        <f t="shared" si="3"/>
        <v>28</v>
      </c>
      <c r="G29">
        <f t="shared" si="4"/>
        <v>0.13837211175412439</v>
      </c>
      <c r="H29">
        <f t="shared" si="5"/>
        <v>1.10687730344655</v>
      </c>
      <c r="I29">
        <v>29</v>
      </c>
      <c r="J29">
        <f t="shared" si="6"/>
        <v>28</v>
      </c>
      <c r="K29">
        <f t="shared" si="7"/>
        <v>1.285161020988898</v>
      </c>
      <c r="L29">
        <f t="shared" si="8"/>
        <v>1.26645031675154</v>
      </c>
      <c r="M29">
        <v>29</v>
      </c>
      <c r="N29">
        <f t="shared" si="9"/>
        <v>28</v>
      </c>
      <c r="O29">
        <f t="shared" si="10"/>
        <v>0.27353983204660598</v>
      </c>
      <c r="P29">
        <f t="shared" si="11"/>
        <v>0.253817018041334</v>
      </c>
      <c r="Q29">
        <v>29</v>
      </c>
      <c r="R29">
        <f t="shared" si="12"/>
        <v>28</v>
      </c>
      <c r="S29">
        <f t="shared" si="13"/>
        <v>1.0400572246065796</v>
      </c>
      <c r="T29">
        <f t="shared" si="14"/>
        <v>0</v>
      </c>
      <c r="U29">
        <v>29</v>
      </c>
      <c r="V29">
        <f t="shared" si="15"/>
        <v>28</v>
      </c>
      <c r="W29">
        <f t="shared" si="16"/>
        <v>1.0996711989287815</v>
      </c>
      <c r="X29">
        <f t="shared" si="17"/>
        <v>6.4805860110755301E-2</v>
      </c>
    </row>
    <row r="30" spans="1:24">
      <c r="A30">
        <v>30</v>
      </c>
      <c r="B30">
        <f t="shared" si="0"/>
        <v>29</v>
      </c>
      <c r="C30">
        <f t="shared" si="1"/>
        <v>8.0677246252364498E-2</v>
      </c>
      <c r="D30">
        <f t="shared" si="2"/>
        <v>1.9572645941803399</v>
      </c>
      <c r="E30">
        <v>30</v>
      </c>
      <c r="F30">
        <f t="shared" si="3"/>
        <v>29</v>
      </c>
      <c r="G30">
        <f t="shared" si="4"/>
        <v>0.13949692633653771</v>
      </c>
      <c r="H30">
        <f t="shared" si="5"/>
        <v>1.89312269655345</v>
      </c>
      <c r="I30">
        <v>30</v>
      </c>
      <c r="J30">
        <f t="shared" si="6"/>
        <v>29</v>
      </c>
      <c r="K30">
        <f t="shared" si="7"/>
        <v>1.2858292604259465</v>
      </c>
      <c r="L30">
        <f t="shared" si="8"/>
        <v>1.73354968324846</v>
      </c>
      <c r="M30">
        <v>30</v>
      </c>
      <c r="N30">
        <f t="shared" si="9"/>
        <v>29</v>
      </c>
      <c r="O30">
        <f t="shared" si="10"/>
        <v>0.27424421826107998</v>
      </c>
      <c r="P30">
        <f t="shared" si="11"/>
        <v>0.74618298195866595</v>
      </c>
      <c r="Q30">
        <v>30</v>
      </c>
      <c r="R30">
        <f t="shared" si="12"/>
        <v>29</v>
      </c>
      <c r="S30">
        <f t="shared" si="13"/>
        <v>1.0414878397711003</v>
      </c>
      <c r="T30">
        <f t="shared" si="14"/>
        <v>1</v>
      </c>
      <c r="U30">
        <v>30</v>
      </c>
      <c r="V30">
        <f t="shared" si="15"/>
        <v>29</v>
      </c>
      <c r="W30">
        <f t="shared" si="16"/>
        <v>1.1009163896008538</v>
      </c>
      <c r="X30">
        <f t="shared" si="17"/>
        <v>0.93519413988924505</v>
      </c>
    </row>
    <row r="31" spans="1:24">
      <c r="A31">
        <v>31</v>
      </c>
      <c r="B31">
        <f t="shared" si="0"/>
        <v>30</v>
      </c>
      <c r="C31">
        <f t="shared" si="1"/>
        <v>8.1985585577630096E-2</v>
      </c>
      <c r="D31">
        <f t="shared" si="2"/>
        <v>1.0427354058196601</v>
      </c>
      <c r="E31">
        <v>31</v>
      </c>
      <c r="F31">
        <f t="shared" si="3"/>
        <v>30</v>
      </c>
      <c r="G31">
        <f t="shared" si="4"/>
        <v>0.14062174091895099</v>
      </c>
      <c r="H31">
        <f t="shared" si="5"/>
        <v>1.10687730344655</v>
      </c>
      <c r="I31">
        <v>31</v>
      </c>
      <c r="J31">
        <f t="shared" si="6"/>
        <v>30</v>
      </c>
      <c r="K31">
        <f t="shared" si="7"/>
        <v>1.286497499862995</v>
      </c>
      <c r="L31">
        <f t="shared" si="8"/>
        <v>1.26645031675154</v>
      </c>
      <c r="M31">
        <v>31</v>
      </c>
      <c r="N31">
        <f t="shared" si="9"/>
        <v>30</v>
      </c>
      <c r="O31">
        <f t="shared" si="10"/>
        <v>0.27494860447555397</v>
      </c>
      <c r="P31">
        <f t="shared" si="11"/>
        <v>0.253817018041334</v>
      </c>
      <c r="Q31">
        <v>31</v>
      </c>
      <c r="R31">
        <f t="shared" si="12"/>
        <v>30</v>
      </c>
      <c r="S31">
        <f t="shared" si="13"/>
        <v>1.042918454935621</v>
      </c>
      <c r="T31">
        <f t="shared" si="14"/>
        <v>0</v>
      </c>
      <c r="U31">
        <v>31</v>
      </c>
      <c r="V31">
        <f t="shared" si="15"/>
        <v>30</v>
      </c>
      <c r="W31">
        <f t="shared" si="16"/>
        <v>1.1021615802729259</v>
      </c>
      <c r="X31">
        <f t="shared" si="17"/>
        <v>6.4805860110755301E-2</v>
      </c>
    </row>
    <row r="32" spans="1:24">
      <c r="A32">
        <v>32</v>
      </c>
      <c r="B32">
        <f t="shared" si="0"/>
        <v>31</v>
      </c>
      <c r="C32">
        <f t="shared" si="1"/>
        <v>8.3293924902895694E-2</v>
      </c>
      <c r="D32">
        <f t="shared" si="2"/>
        <v>1.9572645941803399</v>
      </c>
      <c r="E32">
        <v>32</v>
      </c>
      <c r="F32">
        <f t="shared" si="3"/>
        <v>31</v>
      </c>
      <c r="G32">
        <f t="shared" si="4"/>
        <v>0.14174655550136428</v>
      </c>
      <c r="H32">
        <f t="shared" si="5"/>
        <v>1.89312269655345</v>
      </c>
      <c r="I32">
        <v>32</v>
      </c>
      <c r="J32">
        <f t="shared" si="6"/>
        <v>31</v>
      </c>
      <c r="K32">
        <f t="shared" si="7"/>
        <v>1.2871657393000435</v>
      </c>
      <c r="L32">
        <f t="shared" si="8"/>
        <v>1.73354968324846</v>
      </c>
      <c r="M32">
        <v>32</v>
      </c>
      <c r="N32">
        <f t="shared" si="9"/>
        <v>31</v>
      </c>
      <c r="O32">
        <f t="shared" si="10"/>
        <v>0.27565299069002802</v>
      </c>
      <c r="P32">
        <f t="shared" si="11"/>
        <v>0.74618298195866595</v>
      </c>
      <c r="Q32">
        <v>32</v>
      </c>
      <c r="R32">
        <f t="shared" si="12"/>
        <v>31</v>
      </c>
      <c r="S32">
        <f t="shared" si="13"/>
        <v>1.0443490701001417</v>
      </c>
      <c r="T32">
        <f t="shared" si="14"/>
        <v>1</v>
      </c>
      <c r="U32">
        <v>32</v>
      </c>
      <c r="V32">
        <f t="shared" si="15"/>
        <v>31</v>
      </c>
      <c r="W32">
        <f t="shared" si="16"/>
        <v>1.1034067709449982</v>
      </c>
      <c r="X32">
        <f t="shared" si="17"/>
        <v>0.93519413988924505</v>
      </c>
    </row>
    <row r="33" spans="1:24">
      <c r="A33">
        <v>33</v>
      </c>
      <c r="B33">
        <f t="shared" si="0"/>
        <v>32</v>
      </c>
      <c r="C33">
        <f t="shared" si="1"/>
        <v>8.4602264228161306E-2</v>
      </c>
      <c r="D33">
        <f t="shared" si="2"/>
        <v>1.0427354058196601</v>
      </c>
      <c r="E33">
        <v>33</v>
      </c>
      <c r="F33">
        <f t="shared" si="3"/>
        <v>32</v>
      </c>
      <c r="G33">
        <f t="shared" si="4"/>
        <v>0.14287137008377759</v>
      </c>
      <c r="H33">
        <f t="shared" si="5"/>
        <v>1.10687730344655</v>
      </c>
      <c r="I33">
        <v>33</v>
      </c>
      <c r="J33">
        <f t="shared" si="6"/>
        <v>32</v>
      </c>
      <c r="K33">
        <f t="shared" si="7"/>
        <v>1.287833978737092</v>
      </c>
      <c r="L33">
        <f t="shared" si="8"/>
        <v>1.26645031675154</v>
      </c>
      <c r="M33">
        <v>33</v>
      </c>
      <c r="N33">
        <f t="shared" si="9"/>
        <v>32</v>
      </c>
      <c r="O33">
        <f t="shared" si="10"/>
        <v>0.27635737690450202</v>
      </c>
      <c r="P33">
        <f t="shared" si="11"/>
        <v>0.253817018041334</v>
      </c>
      <c r="Q33">
        <v>33</v>
      </c>
      <c r="R33">
        <f t="shared" si="12"/>
        <v>32</v>
      </c>
      <c r="S33">
        <f t="shared" si="13"/>
        <v>1.0457796852646624</v>
      </c>
      <c r="T33">
        <f t="shared" si="14"/>
        <v>0</v>
      </c>
      <c r="U33">
        <v>33</v>
      </c>
      <c r="V33">
        <f t="shared" si="15"/>
        <v>32</v>
      </c>
      <c r="W33">
        <f t="shared" si="16"/>
        <v>1.1046519616170702</v>
      </c>
      <c r="X33">
        <f t="shared" si="17"/>
        <v>6.4805860110755301E-2</v>
      </c>
    </row>
    <row r="34" spans="1:24">
      <c r="A34">
        <v>34</v>
      </c>
      <c r="B34">
        <f t="shared" si="0"/>
        <v>33</v>
      </c>
      <c r="C34">
        <f t="shared" si="1"/>
        <v>8.591060355342689E-2</v>
      </c>
      <c r="D34">
        <f t="shared" si="2"/>
        <v>1.9572645941803399</v>
      </c>
      <c r="E34">
        <v>34</v>
      </c>
      <c r="F34">
        <f t="shared" si="3"/>
        <v>33</v>
      </c>
      <c r="G34">
        <f t="shared" si="4"/>
        <v>0.14399618466619091</v>
      </c>
      <c r="H34">
        <f t="shared" si="5"/>
        <v>1.89312269655345</v>
      </c>
      <c r="I34">
        <v>34</v>
      </c>
      <c r="J34">
        <f t="shared" si="6"/>
        <v>33</v>
      </c>
      <c r="K34">
        <f t="shared" si="7"/>
        <v>1.2885022181741406</v>
      </c>
      <c r="L34">
        <f t="shared" si="8"/>
        <v>1.73354968324846</v>
      </c>
      <c r="M34">
        <v>34</v>
      </c>
      <c r="N34">
        <f t="shared" si="9"/>
        <v>33</v>
      </c>
      <c r="O34">
        <f t="shared" si="10"/>
        <v>0.27706176311897601</v>
      </c>
      <c r="P34">
        <f t="shared" si="11"/>
        <v>0.74618298195866595</v>
      </c>
      <c r="Q34">
        <v>34</v>
      </c>
      <c r="R34">
        <f t="shared" si="12"/>
        <v>33</v>
      </c>
      <c r="S34">
        <f t="shared" si="13"/>
        <v>1.0472103004291831</v>
      </c>
      <c r="T34">
        <f t="shared" si="14"/>
        <v>1</v>
      </c>
      <c r="U34">
        <v>34</v>
      </c>
      <c r="V34">
        <f t="shared" si="15"/>
        <v>33</v>
      </c>
      <c r="W34">
        <f t="shared" si="16"/>
        <v>1.1058971522891425</v>
      </c>
      <c r="X34">
        <f t="shared" si="17"/>
        <v>0.93519413988924505</v>
      </c>
    </row>
    <row r="35" spans="1:24">
      <c r="A35">
        <v>35</v>
      </c>
      <c r="B35">
        <f t="shared" si="0"/>
        <v>34</v>
      </c>
      <c r="C35">
        <f t="shared" si="1"/>
        <v>8.7218942878692501E-2</v>
      </c>
      <c r="D35">
        <f t="shared" si="2"/>
        <v>1.0427354058196601</v>
      </c>
      <c r="E35">
        <v>35</v>
      </c>
      <c r="F35">
        <f t="shared" si="3"/>
        <v>34</v>
      </c>
      <c r="G35">
        <f t="shared" si="4"/>
        <v>0.14512099924860419</v>
      </c>
      <c r="H35">
        <f t="shared" si="5"/>
        <v>1.10687730344655</v>
      </c>
      <c r="I35">
        <v>35</v>
      </c>
      <c r="J35">
        <f t="shared" si="6"/>
        <v>34</v>
      </c>
      <c r="K35">
        <f t="shared" si="7"/>
        <v>1.2891704576111889</v>
      </c>
      <c r="L35">
        <f t="shared" si="8"/>
        <v>1.26645031675154</v>
      </c>
      <c r="M35">
        <v>35</v>
      </c>
      <c r="N35">
        <f t="shared" si="9"/>
        <v>34</v>
      </c>
      <c r="O35">
        <f t="shared" si="10"/>
        <v>0.27776614933345001</v>
      </c>
      <c r="P35">
        <f t="shared" si="11"/>
        <v>0.253817018041334</v>
      </c>
      <c r="Q35">
        <v>35</v>
      </c>
      <c r="R35">
        <f t="shared" si="12"/>
        <v>34</v>
      </c>
      <c r="S35">
        <f t="shared" si="13"/>
        <v>1.0486409155937038</v>
      </c>
      <c r="T35">
        <f t="shared" si="14"/>
        <v>0</v>
      </c>
      <c r="U35">
        <v>35</v>
      </c>
      <c r="V35">
        <f t="shared" si="15"/>
        <v>34</v>
      </c>
      <c r="W35">
        <f t="shared" si="16"/>
        <v>1.1071423429612148</v>
      </c>
      <c r="X35">
        <f t="shared" si="17"/>
        <v>6.4805860110755301E-2</v>
      </c>
    </row>
    <row r="36" spans="1:24">
      <c r="A36">
        <v>36</v>
      </c>
      <c r="B36">
        <f t="shared" si="0"/>
        <v>35</v>
      </c>
      <c r="C36">
        <f t="shared" si="1"/>
        <v>8.8527282203958099E-2</v>
      </c>
      <c r="D36">
        <f t="shared" si="2"/>
        <v>1.9572645941803399</v>
      </c>
      <c r="E36">
        <v>36</v>
      </c>
      <c r="F36">
        <f t="shared" si="3"/>
        <v>35</v>
      </c>
      <c r="G36">
        <f t="shared" si="4"/>
        <v>0.14624581383101748</v>
      </c>
      <c r="H36">
        <f t="shared" si="5"/>
        <v>1.89312269655345</v>
      </c>
      <c r="I36">
        <v>36</v>
      </c>
      <c r="J36">
        <f t="shared" si="6"/>
        <v>35</v>
      </c>
      <c r="K36">
        <f t="shared" si="7"/>
        <v>1.2898386970482374</v>
      </c>
      <c r="L36">
        <f t="shared" si="8"/>
        <v>1.73354968324846</v>
      </c>
      <c r="M36">
        <v>36</v>
      </c>
      <c r="N36">
        <f t="shared" si="9"/>
        <v>35</v>
      </c>
      <c r="O36">
        <f t="shared" si="10"/>
        <v>0.278470535547924</v>
      </c>
      <c r="P36">
        <f t="shared" si="11"/>
        <v>0.74618298195866595</v>
      </c>
      <c r="Q36">
        <v>36</v>
      </c>
      <c r="R36">
        <f t="shared" si="12"/>
        <v>35</v>
      </c>
      <c r="S36">
        <f t="shared" si="13"/>
        <v>1.0500715307582245</v>
      </c>
      <c r="T36">
        <f t="shared" si="14"/>
        <v>1</v>
      </c>
      <c r="U36">
        <v>36</v>
      </c>
      <c r="V36">
        <f t="shared" si="15"/>
        <v>35</v>
      </c>
      <c r="W36">
        <f t="shared" si="16"/>
        <v>1.1083875336332869</v>
      </c>
      <c r="X36">
        <f t="shared" si="17"/>
        <v>0.93519413988924505</v>
      </c>
    </row>
    <row r="37" spans="1:24">
      <c r="A37">
        <v>37</v>
      </c>
      <c r="B37">
        <f t="shared" si="0"/>
        <v>36</v>
      </c>
      <c r="C37">
        <f t="shared" si="1"/>
        <v>8.9835621529223697E-2</v>
      </c>
      <c r="D37">
        <f t="shared" si="2"/>
        <v>1.0427354058196601</v>
      </c>
      <c r="E37">
        <v>37</v>
      </c>
      <c r="F37">
        <f t="shared" si="3"/>
        <v>36</v>
      </c>
      <c r="G37">
        <f t="shared" si="4"/>
        <v>0.14737062841343079</v>
      </c>
      <c r="H37">
        <f t="shared" si="5"/>
        <v>1.10687730344655</v>
      </c>
      <c r="I37">
        <v>37</v>
      </c>
      <c r="J37">
        <f t="shared" si="6"/>
        <v>36</v>
      </c>
      <c r="K37">
        <f t="shared" si="7"/>
        <v>1.2905069364852859</v>
      </c>
      <c r="L37">
        <f t="shared" si="8"/>
        <v>1.26645031675154</v>
      </c>
      <c r="M37">
        <v>37</v>
      </c>
      <c r="N37">
        <f t="shared" si="9"/>
        <v>36</v>
      </c>
      <c r="O37">
        <f t="shared" si="10"/>
        <v>0.279174921762398</v>
      </c>
      <c r="P37">
        <f t="shared" si="11"/>
        <v>0.253817018041334</v>
      </c>
      <c r="Q37">
        <v>37</v>
      </c>
      <c r="R37">
        <f t="shared" si="12"/>
        <v>36</v>
      </c>
      <c r="S37">
        <f t="shared" si="13"/>
        <v>1.0515021459227452</v>
      </c>
      <c r="T37">
        <f t="shared" si="14"/>
        <v>0</v>
      </c>
      <c r="U37">
        <v>37</v>
      </c>
      <c r="V37">
        <f t="shared" si="15"/>
        <v>36</v>
      </c>
      <c r="W37">
        <f t="shared" si="16"/>
        <v>1.1096327243053592</v>
      </c>
      <c r="X37">
        <f t="shared" si="17"/>
        <v>6.4805860110755301E-2</v>
      </c>
    </row>
    <row r="38" spans="1:24">
      <c r="A38">
        <v>38</v>
      </c>
      <c r="B38">
        <f t="shared" si="0"/>
        <v>37</v>
      </c>
      <c r="C38">
        <f t="shared" si="1"/>
        <v>9.1143960854489309E-2</v>
      </c>
      <c r="D38">
        <f t="shared" si="2"/>
        <v>1.9572645941803399</v>
      </c>
      <c r="E38">
        <v>38</v>
      </c>
      <c r="F38">
        <f t="shared" si="3"/>
        <v>37</v>
      </c>
      <c r="G38">
        <f t="shared" si="4"/>
        <v>0.14849544299584411</v>
      </c>
      <c r="H38">
        <f t="shared" si="5"/>
        <v>1.89312269655345</v>
      </c>
      <c r="I38">
        <v>38</v>
      </c>
      <c r="J38">
        <f t="shared" si="6"/>
        <v>37</v>
      </c>
      <c r="K38">
        <f t="shared" si="7"/>
        <v>1.2911751759223344</v>
      </c>
      <c r="L38">
        <f t="shared" si="8"/>
        <v>1.73354968324846</v>
      </c>
      <c r="M38">
        <v>38</v>
      </c>
      <c r="N38">
        <f t="shared" si="9"/>
        <v>37</v>
      </c>
      <c r="O38">
        <f t="shared" si="10"/>
        <v>0.27987930797687199</v>
      </c>
      <c r="P38">
        <f t="shared" si="11"/>
        <v>0.74618298195866595</v>
      </c>
      <c r="Q38">
        <v>38</v>
      </c>
      <c r="R38">
        <f t="shared" si="12"/>
        <v>37</v>
      </c>
      <c r="S38">
        <f t="shared" si="13"/>
        <v>1.0529327610872659</v>
      </c>
      <c r="T38">
        <f t="shared" si="14"/>
        <v>1</v>
      </c>
      <c r="U38">
        <v>38</v>
      </c>
      <c r="V38">
        <f t="shared" si="15"/>
        <v>37</v>
      </c>
      <c r="W38">
        <f t="shared" si="16"/>
        <v>1.1108779149774313</v>
      </c>
      <c r="X38">
        <f t="shared" si="17"/>
        <v>0.93519413988924505</v>
      </c>
    </row>
    <row r="39" spans="1:24">
      <c r="A39">
        <v>39</v>
      </c>
      <c r="B39">
        <f t="shared" si="0"/>
        <v>38</v>
      </c>
      <c r="C39">
        <f t="shared" si="1"/>
        <v>9.2452300179754893E-2</v>
      </c>
      <c r="D39">
        <f t="shared" si="2"/>
        <v>1.0427354058196601</v>
      </c>
      <c r="E39">
        <v>39</v>
      </c>
      <c r="F39">
        <f t="shared" si="3"/>
        <v>38</v>
      </c>
      <c r="G39">
        <f t="shared" si="4"/>
        <v>0.14962025757825739</v>
      </c>
      <c r="H39">
        <f t="shared" si="5"/>
        <v>1.10687730344655</v>
      </c>
      <c r="I39">
        <v>39</v>
      </c>
      <c r="J39">
        <f t="shared" si="6"/>
        <v>38</v>
      </c>
      <c r="K39">
        <f t="shared" si="7"/>
        <v>1.291843415359383</v>
      </c>
      <c r="L39">
        <f t="shared" si="8"/>
        <v>1.26645031675154</v>
      </c>
      <c r="M39">
        <v>39</v>
      </c>
      <c r="N39">
        <f t="shared" si="9"/>
        <v>38</v>
      </c>
      <c r="O39">
        <f t="shared" si="10"/>
        <v>0.28058369419134599</v>
      </c>
      <c r="P39">
        <f t="shared" si="11"/>
        <v>0.253817018041334</v>
      </c>
      <c r="Q39">
        <v>39</v>
      </c>
      <c r="R39">
        <f t="shared" si="12"/>
        <v>38</v>
      </c>
      <c r="S39">
        <f t="shared" si="13"/>
        <v>1.0543633762517866</v>
      </c>
      <c r="T39">
        <f t="shared" si="14"/>
        <v>0</v>
      </c>
      <c r="U39">
        <v>39</v>
      </c>
      <c r="V39">
        <f t="shared" si="15"/>
        <v>38</v>
      </c>
      <c r="W39">
        <f t="shared" si="16"/>
        <v>1.1121231056495036</v>
      </c>
      <c r="X39">
        <f t="shared" si="17"/>
        <v>6.4805860110755301E-2</v>
      </c>
    </row>
    <row r="40" spans="1:24">
      <c r="A40">
        <v>40</v>
      </c>
      <c r="B40">
        <f t="shared" si="0"/>
        <v>39</v>
      </c>
      <c r="C40">
        <f t="shared" si="1"/>
        <v>9.3760639505020504E-2</v>
      </c>
      <c r="D40">
        <f t="shared" si="2"/>
        <v>1.9572645941803399</v>
      </c>
      <c r="E40">
        <v>40</v>
      </c>
      <c r="F40">
        <f t="shared" si="3"/>
        <v>39</v>
      </c>
      <c r="G40">
        <f t="shared" si="4"/>
        <v>0.15074507216067068</v>
      </c>
      <c r="H40">
        <f t="shared" si="5"/>
        <v>1.89312269655345</v>
      </c>
      <c r="I40">
        <v>40</v>
      </c>
      <c r="J40">
        <f t="shared" si="6"/>
        <v>39</v>
      </c>
      <c r="K40">
        <f t="shared" si="7"/>
        <v>1.2925116547964315</v>
      </c>
      <c r="L40">
        <f t="shared" si="8"/>
        <v>1.73354968324846</v>
      </c>
      <c r="M40">
        <v>40</v>
      </c>
      <c r="N40">
        <f t="shared" si="9"/>
        <v>39</v>
      </c>
      <c r="O40">
        <f t="shared" si="10"/>
        <v>0.28128808040581998</v>
      </c>
      <c r="P40">
        <f t="shared" si="11"/>
        <v>0.74618298195866595</v>
      </c>
      <c r="Q40">
        <v>40</v>
      </c>
      <c r="R40">
        <f t="shared" si="12"/>
        <v>39</v>
      </c>
      <c r="S40">
        <f t="shared" si="13"/>
        <v>1.0557939914163073</v>
      </c>
      <c r="T40">
        <f t="shared" si="14"/>
        <v>1</v>
      </c>
      <c r="U40">
        <v>40</v>
      </c>
      <c r="V40">
        <f t="shared" si="15"/>
        <v>39</v>
      </c>
      <c r="W40">
        <f t="shared" si="16"/>
        <v>1.1133682963215756</v>
      </c>
      <c r="X40">
        <f t="shared" si="17"/>
        <v>0.93519413988924505</v>
      </c>
    </row>
    <row r="41" spans="1:24">
      <c r="A41">
        <v>41</v>
      </c>
      <c r="B41">
        <f t="shared" si="0"/>
        <v>40</v>
      </c>
      <c r="C41">
        <f t="shared" si="1"/>
        <v>9.5068978830286088E-2</v>
      </c>
      <c r="D41">
        <f t="shared" si="2"/>
        <v>1.0427354058196601</v>
      </c>
      <c r="E41">
        <v>41</v>
      </c>
      <c r="F41">
        <f t="shared" si="3"/>
        <v>40</v>
      </c>
      <c r="G41">
        <f t="shared" si="4"/>
        <v>0.15186988674308399</v>
      </c>
      <c r="H41">
        <f t="shared" si="5"/>
        <v>1.10687730344655</v>
      </c>
      <c r="I41">
        <v>41</v>
      </c>
      <c r="J41">
        <f t="shared" si="6"/>
        <v>40</v>
      </c>
      <c r="K41">
        <f t="shared" si="7"/>
        <v>1.29317989423348</v>
      </c>
      <c r="L41">
        <f t="shared" si="8"/>
        <v>1.26645031675154</v>
      </c>
      <c r="M41">
        <v>41</v>
      </c>
      <c r="N41">
        <f t="shared" si="9"/>
        <v>40</v>
      </c>
      <c r="O41">
        <f t="shared" si="10"/>
        <v>0.28199246662029398</v>
      </c>
      <c r="P41">
        <f t="shared" si="11"/>
        <v>0.253817018041334</v>
      </c>
      <c r="Q41">
        <v>41</v>
      </c>
      <c r="R41">
        <f t="shared" si="12"/>
        <v>40</v>
      </c>
      <c r="S41">
        <f t="shared" si="13"/>
        <v>1.057224606580828</v>
      </c>
      <c r="T41">
        <f t="shared" si="14"/>
        <v>0</v>
      </c>
      <c r="U41">
        <v>41</v>
      </c>
      <c r="V41">
        <f t="shared" si="15"/>
        <v>40</v>
      </c>
      <c r="W41">
        <f t="shared" si="16"/>
        <v>1.1146134869936479</v>
      </c>
      <c r="X41">
        <f t="shared" si="17"/>
        <v>6.4805860110755301E-2</v>
      </c>
    </row>
    <row r="42" spans="1:24">
      <c r="A42">
        <v>42</v>
      </c>
      <c r="B42">
        <f t="shared" si="0"/>
        <v>41</v>
      </c>
      <c r="C42">
        <f t="shared" si="1"/>
        <v>9.63773181555517E-2</v>
      </c>
      <c r="D42">
        <f t="shared" si="2"/>
        <v>1.9572645941803399</v>
      </c>
      <c r="E42">
        <v>42</v>
      </c>
      <c r="F42">
        <f t="shared" si="3"/>
        <v>41</v>
      </c>
      <c r="G42">
        <f t="shared" si="4"/>
        <v>0.15299470132549731</v>
      </c>
      <c r="H42">
        <f t="shared" si="5"/>
        <v>1.89312269655345</v>
      </c>
      <c r="I42">
        <v>42</v>
      </c>
      <c r="J42">
        <f t="shared" si="6"/>
        <v>41</v>
      </c>
      <c r="K42">
        <f t="shared" si="7"/>
        <v>1.2938481336705285</v>
      </c>
      <c r="L42">
        <f t="shared" si="8"/>
        <v>1.73354968324846</v>
      </c>
      <c r="M42">
        <v>42</v>
      </c>
      <c r="N42">
        <f t="shared" si="9"/>
        <v>41</v>
      </c>
      <c r="O42">
        <f t="shared" si="10"/>
        <v>0.28269685283476798</v>
      </c>
      <c r="P42">
        <f t="shared" si="11"/>
        <v>0.74618298195866595</v>
      </c>
      <c r="Q42">
        <v>42</v>
      </c>
      <c r="R42">
        <f t="shared" si="12"/>
        <v>41</v>
      </c>
      <c r="S42">
        <f t="shared" si="13"/>
        <v>1.0586552217453487</v>
      </c>
      <c r="T42">
        <f t="shared" si="14"/>
        <v>1</v>
      </c>
      <c r="U42">
        <v>42</v>
      </c>
      <c r="V42">
        <f t="shared" si="15"/>
        <v>41</v>
      </c>
      <c r="W42">
        <f t="shared" si="16"/>
        <v>1.1158586776657202</v>
      </c>
      <c r="X42">
        <f t="shared" si="17"/>
        <v>0.93519413988924505</v>
      </c>
    </row>
    <row r="43" spans="1:24">
      <c r="A43">
        <v>43</v>
      </c>
      <c r="B43">
        <f t="shared" si="0"/>
        <v>42</v>
      </c>
      <c r="C43">
        <f t="shared" si="1"/>
        <v>9.7685657480817298E-2</v>
      </c>
      <c r="D43">
        <f t="shared" si="2"/>
        <v>1.0427354058196601</v>
      </c>
      <c r="E43">
        <v>43</v>
      </c>
      <c r="F43">
        <f t="shared" si="3"/>
        <v>42</v>
      </c>
      <c r="G43">
        <f t="shared" si="4"/>
        <v>0.15411951590791059</v>
      </c>
      <c r="H43">
        <f t="shared" si="5"/>
        <v>1.10687730344655</v>
      </c>
      <c r="I43">
        <v>43</v>
      </c>
      <c r="J43">
        <f t="shared" si="6"/>
        <v>42</v>
      </c>
      <c r="K43">
        <f t="shared" si="7"/>
        <v>1.2945163731075771</v>
      </c>
      <c r="L43">
        <f t="shared" si="8"/>
        <v>1.26645031675154</v>
      </c>
      <c r="M43">
        <v>43</v>
      </c>
      <c r="N43">
        <f t="shared" si="9"/>
        <v>42</v>
      </c>
      <c r="O43">
        <f t="shared" si="10"/>
        <v>0.28340123904924197</v>
      </c>
      <c r="P43">
        <f t="shared" si="11"/>
        <v>0.253817018041334</v>
      </c>
      <c r="Q43">
        <v>43</v>
      </c>
      <c r="R43">
        <f t="shared" si="12"/>
        <v>42</v>
      </c>
      <c r="S43">
        <f t="shared" si="13"/>
        <v>1.0600858369098694</v>
      </c>
      <c r="T43">
        <f t="shared" si="14"/>
        <v>0</v>
      </c>
      <c r="U43">
        <v>43</v>
      </c>
      <c r="V43">
        <f t="shared" si="15"/>
        <v>42</v>
      </c>
      <c r="W43">
        <f t="shared" si="16"/>
        <v>1.1171038683377923</v>
      </c>
      <c r="X43">
        <f t="shared" si="17"/>
        <v>6.4805860110755301E-2</v>
      </c>
    </row>
    <row r="44" spans="1:24">
      <c r="A44">
        <v>44</v>
      </c>
      <c r="B44">
        <f t="shared" si="0"/>
        <v>43</v>
      </c>
      <c r="C44">
        <f t="shared" si="1"/>
        <v>9.8993996806082896E-2</v>
      </c>
      <c r="D44">
        <f t="shared" si="2"/>
        <v>1.9572645941803399</v>
      </c>
      <c r="E44">
        <v>44</v>
      </c>
      <c r="F44">
        <f t="shared" si="3"/>
        <v>43</v>
      </c>
      <c r="G44">
        <f t="shared" si="4"/>
        <v>0.15524433049032388</v>
      </c>
      <c r="H44">
        <f t="shared" si="5"/>
        <v>1.89312269655345</v>
      </c>
      <c r="I44">
        <v>44</v>
      </c>
      <c r="J44">
        <f t="shared" si="6"/>
        <v>43</v>
      </c>
      <c r="K44">
        <f t="shared" si="7"/>
        <v>1.2951846125446254</v>
      </c>
      <c r="L44">
        <f t="shared" si="8"/>
        <v>1.73354968324846</v>
      </c>
      <c r="M44">
        <v>44</v>
      </c>
      <c r="N44">
        <f t="shared" si="9"/>
        <v>43</v>
      </c>
      <c r="O44">
        <f t="shared" si="10"/>
        <v>0.28410562526371597</v>
      </c>
      <c r="P44">
        <f t="shared" si="11"/>
        <v>0.74618298195866595</v>
      </c>
      <c r="Q44">
        <v>44</v>
      </c>
      <c r="R44">
        <f t="shared" si="12"/>
        <v>43</v>
      </c>
      <c r="S44">
        <f t="shared" si="13"/>
        <v>1.06151645207439</v>
      </c>
      <c r="T44">
        <f t="shared" si="14"/>
        <v>1</v>
      </c>
      <c r="U44">
        <v>44</v>
      </c>
      <c r="V44">
        <f t="shared" si="15"/>
        <v>43</v>
      </c>
      <c r="W44">
        <f t="shared" si="16"/>
        <v>1.1183490590098646</v>
      </c>
      <c r="X44">
        <f t="shared" si="17"/>
        <v>0.93519413988924505</v>
      </c>
    </row>
    <row r="45" spans="1:24">
      <c r="A45">
        <v>45</v>
      </c>
      <c r="B45">
        <f t="shared" si="0"/>
        <v>44</v>
      </c>
      <c r="C45">
        <f t="shared" si="1"/>
        <v>0.10030233613134851</v>
      </c>
      <c r="D45">
        <f t="shared" si="2"/>
        <v>1.0427354058196601</v>
      </c>
      <c r="E45">
        <v>45</v>
      </c>
      <c r="F45">
        <f t="shared" si="3"/>
        <v>44</v>
      </c>
      <c r="G45">
        <f t="shared" si="4"/>
        <v>0.15636914507273719</v>
      </c>
      <c r="H45">
        <f t="shared" si="5"/>
        <v>1.10687730344655</v>
      </c>
      <c r="I45">
        <v>45</v>
      </c>
      <c r="J45">
        <f t="shared" si="6"/>
        <v>44</v>
      </c>
      <c r="K45">
        <f t="shared" si="7"/>
        <v>1.2958528519816739</v>
      </c>
      <c r="L45">
        <f t="shared" si="8"/>
        <v>1.26645031675154</v>
      </c>
      <c r="M45">
        <v>45</v>
      </c>
      <c r="N45">
        <f t="shared" si="9"/>
        <v>44</v>
      </c>
      <c r="O45">
        <f t="shared" si="10"/>
        <v>0.28481001147819002</v>
      </c>
      <c r="P45">
        <f t="shared" si="11"/>
        <v>0.253817018041334</v>
      </c>
      <c r="Q45">
        <v>45</v>
      </c>
      <c r="R45">
        <f t="shared" si="12"/>
        <v>44</v>
      </c>
      <c r="S45">
        <f t="shared" si="13"/>
        <v>1.0629470672389107</v>
      </c>
      <c r="T45">
        <f t="shared" si="14"/>
        <v>0</v>
      </c>
      <c r="U45">
        <v>45</v>
      </c>
      <c r="V45">
        <f t="shared" si="15"/>
        <v>44</v>
      </c>
      <c r="W45">
        <f t="shared" si="16"/>
        <v>1.1195942496819367</v>
      </c>
      <c r="X45">
        <f t="shared" si="17"/>
        <v>6.4805860110755301E-2</v>
      </c>
    </row>
    <row r="46" spans="1:24">
      <c r="A46">
        <v>46</v>
      </c>
      <c r="B46">
        <f t="shared" si="0"/>
        <v>45</v>
      </c>
      <c r="C46">
        <f t="shared" si="1"/>
        <v>0.10161067545661409</v>
      </c>
      <c r="D46">
        <f t="shared" si="2"/>
        <v>1.9572645941803399</v>
      </c>
      <c r="E46">
        <v>46</v>
      </c>
      <c r="F46">
        <f t="shared" si="3"/>
        <v>45</v>
      </c>
      <c r="G46">
        <f t="shared" si="4"/>
        <v>0.15749395965515051</v>
      </c>
      <c r="H46">
        <f t="shared" si="5"/>
        <v>1.89312269655345</v>
      </c>
      <c r="I46">
        <v>46</v>
      </c>
      <c r="J46">
        <f t="shared" si="6"/>
        <v>45</v>
      </c>
      <c r="K46">
        <f t="shared" si="7"/>
        <v>1.2965210914187224</v>
      </c>
      <c r="L46">
        <f t="shared" si="8"/>
        <v>1.73354968324846</v>
      </c>
      <c r="M46">
        <v>46</v>
      </c>
      <c r="N46">
        <f t="shared" si="9"/>
        <v>45</v>
      </c>
      <c r="O46">
        <f t="shared" si="10"/>
        <v>0.28551439769266401</v>
      </c>
      <c r="P46">
        <f t="shared" si="11"/>
        <v>0.74618298195866595</v>
      </c>
      <c r="Q46">
        <v>46</v>
      </c>
      <c r="R46">
        <f t="shared" si="12"/>
        <v>45</v>
      </c>
      <c r="S46">
        <f t="shared" si="13"/>
        <v>1.0643776824034314</v>
      </c>
      <c r="T46">
        <f t="shared" si="14"/>
        <v>1</v>
      </c>
      <c r="U46">
        <v>46</v>
      </c>
      <c r="V46">
        <f t="shared" si="15"/>
        <v>45</v>
      </c>
      <c r="W46">
        <f t="shared" si="16"/>
        <v>1.120839440354009</v>
      </c>
      <c r="X46">
        <f t="shared" si="17"/>
        <v>0.93519413988924505</v>
      </c>
    </row>
    <row r="47" spans="1:24">
      <c r="A47">
        <v>47</v>
      </c>
      <c r="B47">
        <f t="shared" si="0"/>
        <v>46</v>
      </c>
      <c r="C47">
        <f t="shared" si="1"/>
        <v>0.1029190147818797</v>
      </c>
      <c r="D47">
        <f t="shared" si="2"/>
        <v>1.0427354058196601</v>
      </c>
      <c r="E47">
        <v>47</v>
      </c>
      <c r="F47">
        <f t="shared" si="3"/>
        <v>46</v>
      </c>
      <c r="G47">
        <f t="shared" si="4"/>
        <v>0.15861877423756379</v>
      </c>
      <c r="H47">
        <f t="shared" si="5"/>
        <v>1.10687730344655</v>
      </c>
      <c r="I47">
        <v>47</v>
      </c>
      <c r="J47">
        <f t="shared" si="6"/>
        <v>46</v>
      </c>
      <c r="K47">
        <f t="shared" si="7"/>
        <v>1.2971893308557709</v>
      </c>
      <c r="L47">
        <f t="shared" si="8"/>
        <v>1.26645031675154</v>
      </c>
      <c r="M47">
        <v>47</v>
      </c>
      <c r="N47">
        <f t="shared" si="9"/>
        <v>46</v>
      </c>
      <c r="O47">
        <f t="shared" si="10"/>
        <v>0.28621878390713801</v>
      </c>
      <c r="P47">
        <f t="shared" si="11"/>
        <v>0.253817018041334</v>
      </c>
      <c r="Q47">
        <v>47</v>
      </c>
      <c r="R47">
        <f t="shared" si="12"/>
        <v>46</v>
      </c>
      <c r="S47">
        <f t="shared" si="13"/>
        <v>1.0658082975679521</v>
      </c>
      <c r="T47">
        <f t="shared" si="14"/>
        <v>0</v>
      </c>
      <c r="U47">
        <v>47</v>
      </c>
      <c r="V47">
        <f t="shared" si="15"/>
        <v>46</v>
      </c>
      <c r="W47">
        <f t="shared" si="16"/>
        <v>1.1220846310260812</v>
      </c>
      <c r="X47">
        <f t="shared" si="17"/>
        <v>6.4805860110755301E-2</v>
      </c>
    </row>
    <row r="48" spans="1:24">
      <c r="A48">
        <v>48</v>
      </c>
      <c r="B48">
        <f t="shared" si="0"/>
        <v>47</v>
      </c>
      <c r="C48">
        <f t="shared" si="1"/>
        <v>0.1042273541071453</v>
      </c>
      <c r="D48">
        <f t="shared" si="2"/>
        <v>1.9572645941803399</v>
      </c>
      <c r="E48">
        <v>48</v>
      </c>
      <c r="F48">
        <f t="shared" si="3"/>
        <v>47</v>
      </c>
      <c r="G48">
        <f t="shared" si="4"/>
        <v>0.15974358881997708</v>
      </c>
      <c r="H48">
        <f t="shared" si="5"/>
        <v>1.89312269655345</v>
      </c>
      <c r="I48">
        <v>48</v>
      </c>
      <c r="J48">
        <f t="shared" si="6"/>
        <v>47</v>
      </c>
      <c r="K48">
        <f t="shared" si="7"/>
        <v>1.2978575702928195</v>
      </c>
      <c r="L48">
        <f t="shared" si="8"/>
        <v>1.73354968324846</v>
      </c>
      <c r="M48">
        <v>48</v>
      </c>
      <c r="N48">
        <f t="shared" si="9"/>
        <v>47</v>
      </c>
      <c r="O48">
        <f t="shared" si="10"/>
        <v>0.286923170121612</v>
      </c>
      <c r="P48">
        <f t="shared" si="11"/>
        <v>0.74618298195866595</v>
      </c>
      <c r="Q48">
        <v>48</v>
      </c>
      <c r="R48">
        <f t="shared" si="12"/>
        <v>47</v>
      </c>
      <c r="S48">
        <f t="shared" si="13"/>
        <v>1.0672389127324728</v>
      </c>
      <c r="T48">
        <f t="shared" si="14"/>
        <v>1</v>
      </c>
      <c r="U48">
        <v>48</v>
      </c>
      <c r="V48">
        <f t="shared" si="15"/>
        <v>47</v>
      </c>
      <c r="W48">
        <f t="shared" si="16"/>
        <v>1.1233298216981533</v>
      </c>
      <c r="X48">
        <f t="shared" si="17"/>
        <v>0.93519413988924505</v>
      </c>
    </row>
    <row r="49" spans="1:24">
      <c r="A49">
        <v>49</v>
      </c>
      <c r="B49">
        <f t="shared" si="0"/>
        <v>48</v>
      </c>
      <c r="C49">
        <f t="shared" si="1"/>
        <v>0.1055356934324109</v>
      </c>
      <c r="D49">
        <f t="shared" si="2"/>
        <v>1.0427354058196601</v>
      </c>
      <c r="E49">
        <v>49</v>
      </c>
      <c r="F49">
        <f t="shared" si="3"/>
        <v>48</v>
      </c>
      <c r="G49">
        <f t="shared" si="4"/>
        <v>0.16086840340239039</v>
      </c>
      <c r="H49">
        <f t="shared" si="5"/>
        <v>1.10687730344655</v>
      </c>
      <c r="I49">
        <v>49</v>
      </c>
      <c r="J49">
        <f t="shared" si="6"/>
        <v>48</v>
      </c>
      <c r="K49">
        <f t="shared" si="7"/>
        <v>1.298525809729868</v>
      </c>
      <c r="L49">
        <f t="shared" si="8"/>
        <v>1.26645031675154</v>
      </c>
      <c r="M49">
        <v>49</v>
      </c>
      <c r="N49">
        <f t="shared" si="9"/>
        <v>48</v>
      </c>
      <c r="O49">
        <f t="shared" si="10"/>
        <v>0.287627556336086</v>
      </c>
      <c r="P49">
        <f t="shared" si="11"/>
        <v>0.253817018041334</v>
      </c>
      <c r="Q49">
        <v>49</v>
      </c>
      <c r="R49">
        <f t="shared" si="12"/>
        <v>48</v>
      </c>
      <c r="S49">
        <f t="shared" si="13"/>
        <v>1.0686695278969935</v>
      </c>
      <c r="T49">
        <f t="shared" si="14"/>
        <v>0</v>
      </c>
      <c r="U49">
        <v>49</v>
      </c>
      <c r="V49">
        <f t="shared" si="15"/>
        <v>48</v>
      </c>
      <c r="W49">
        <f t="shared" si="16"/>
        <v>1.1245750123702256</v>
      </c>
      <c r="X49">
        <f t="shared" si="17"/>
        <v>6.4805860110755301E-2</v>
      </c>
    </row>
    <row r="50" spans="1:24">
      <c r="A50">
        <v>50</v>
      </c>
      <c r="B50">
        <f t="shared" si="0"/>
        <v>49</v>
      </c>
      <c r="C50">
        <f t="shared" si="1"/>
        <v>0.10684403275767651</v>
      </c>
      <c r="D50">
        <f t="shared" si="2"/>
        <v>1.9572645941803399</v>
      </c>
      <c r="E50">
        <v>50</v>
      </c>
      <c r="F50">
        <f t="shared" si="3"/>
        <v>49</v>
      </c>
      <c r="G50">
        <f t="shared" si="4"/>
        <v>0.16199321798480371</v>
      </c>
      <c r="H50">
        <f t="shared" si="5"/>
        <v>1.89312269655345</v>
      </c>
      <c r="I50">
        <v>50</v>
      </c>
      <c r="J50">
        <f t="shared" si="6"/>
        <v>49</v>
      </c>
      <c r="K50">
        <f t="shared" si="7"/>
        <v>1.2991940491669165</v>
      </c>
      <c r="L50">
        <f t="shared" si="8"/>
        <v>1.73354968324846</v>
      </c>
      <c r="M50">
        <v>50</v>
      </c>
      <c r="N50">
        <f t="shared" si="9"/>
        <v>49</v>
      </c>
      <c r="O50">
        <f t="shared" si="10"/>
        <v>0.28833194255055999</v>
      </c>
      <c r="P50">
        <f t="shared" si="11"/>
        <v>0.74618298195866595</v>
      </c>
      <c r="Q50">
        <v>50</v>
      </c>
      <c r="R50">
        <f t="shared" si="12"/>
        <v>49</v>
      </c>
      <c r="S50">
        <f t="shared" si="13"/>
        <v>1.0701001430615142</v>
      </c>
      <c r="T50">
        <f t="shared" si="14"/>
        <v>1</v>
      </c>
      <c r="U50">
        <v>50</v>
      </c>
      <c r="V50">
        <f t="shared" si="15"/>
        <v>49</v>
      </c>
      <c r="W50">
        <f t="shared" si="16"/>
        <v>1.1258202030422977</v>
      </c>
      <c r="X50">
        <f t="shared" si="17"/>
        <v>0.93519413988924505</v>
      </c>
    </row>
    <row r="51" spans="1:24">
      <c r="A51">
        <v>51</v>
      </c>
      <c r="B51">
        <f t="shared" si="0"/>
        <v>50</v>
      </c>
      <c r="C51">
        <f t="shared" si="1"/>
        <v>0.10815237208294209</v>
      </c>
      <c r="D51">
        <f t="shared" si="2"/>
        <v>1.0427354058196601</v>
      </c>
      <c r="E51">
        <v>51</v>
      </c>
      <c r="F51">
        <f t="shared" si="3"/>
        <v>50</v>
      </c>
      <c r="G51">
        <f t="shared" si="4"/>
        <v>0.16311803256721699</v>
      </c>
      <c r="H51">
        <f t="shared" si="5"/>
        <v>1.10687730344655</v>
      </c>
      <c r="I51">
        <v>51</v>
      </c>
      <c r="J51">
        <f t="shared" si="6"/>
        <v>50</v>
      </c>
      <c r="K51">
        <f t="shared" si="7"/>
        <v>1.299862288603965</v>
      </c>
      <c r="L51">
        <f t="shared" si="8"/>
        <v>1.26645031675154</v>
      </c>
      <c r="M51">
        <v>51</v>
      </c>
      <c r="N51">
        <f t="shared" si="9"/>
        <v>50</v>
      </c>
      <c r="O51">
        <f t="shared" si="10"/>
        <v>0.28903632876503399</v>
      </c>
      <c r="P51">
        <f t="shared" si="11"/>
        <v>0.253817018041334</v>
      </c>
      <c r="Q51">
        <v>51</v>
      </c>
      <c r="R51">
        <f t="shared" si="12"/>
        <v>50</v>
      </c>
      <c r="S51">
        <f t="shared" si="13"/>
        <v>1.0715307582260349</v>
      </c>
      <c r="T51">
        <f t="shared" si="14"/>
        <v>0</v>
      </c>
      <c r="U51">
        <v>51</v>
      </c>
      <c r="V51">
        <f t="shared" si="15"/>
        <v>50</v>
      </c>
      <c r="W51">
        <f t="shared" si="16"/>
        <v>1.12706539371437</v>
      </c>
      <c r="X51">
        <f t="shared" si="17"/>
        <v>6.4805860110755301E-2</v>
      </c>
    </row>
    <row r="52" spans="1:24">
      <c r="A52">
        <v>52</v>
      </c>
      <c r="B52">
        <f t="shared" si="0"/>
        <v>51</v>
      </c>
      <c r="C52">
        <f t="shared" si="1"/>
        <v>0.10946071140820771</v>
      </c>
      <c r="D52">
        <f t="shared" si="2"/>
        <v>1.9572645941803399</v>
      </c>
      <c r="E52">
        <v>52</v>
      </c>
      <c r="F52">
        <f t="shared" si="3"/>
        <v>51</v>
      </c>
      <c r="G52">
        <f t="shared" si="4"/>
        <v>0.16424284714963028</v>
      </c>
      <c r="H52">
        <f t="shared" si="5"/>
        <v>1.89312269655345</v>
      </c>
      <c r="I52">
        <v>52</v>
      </c>
      <c r="J52">
        <f t="shared" si="6"/>
        <v>51</v>
      </c>
      <c r="K52">
        <f t="shared" si="7"/>
        <v>1.3005305280410135</v>
      </c>
      <c r="L52">
        <f t="shared" si="8"/>
        <v>1.73354968324846</v>
      </c>
      <c r="M52">
        <v>52</v>
      </c>
      <c r="N52">
        <f t="shared" si="9"/>
        <v>51</v>
      </c>
      <c r="O52">
        <f t="shared" si="10"/>
        <v>0.28974071497950799</v>
      </c>
      <c r="P52">
        <f t="shared" si="11"/>
        <v>0.74618298195866595</v>
      </c>
      <c r="Q52">
        <v>52</v>
      </c>
      <c r="R52">
        <f t="shared" si="12"/>
        <v>51</v>
      </c>
      <c r="S52">
        <f t="shared" si="13"/>
        <v>1.0729613733905556</v>
      </c>
      <c r="T52">
        <f t="shared" si="14"/>
        <v>1</v>
      </c>
      <c r="U52">
        <v>52</v>
      </c>
      <c r="V52">
        <f t="shared" si="15"/>
        <v>51</v>
      </c>
      <c r="W52">
        <f t="shared" si="16"/>
        <v>1.1283105843864421</v>
      </c>
      <c r="X52">
        <f t="shared" si="17"/>
        <v>0.93519413988924505</v>
      </c>
    </row>
    <row r="53" spans="1:24">
      <c r="A53">
        <v>53</v>
      </c>
      <c r="B53">
        <f t="shared" si="0"/>
        <v>52</v>
      </c>
      <c r="C53">
        <f t="shared" si="1"/>
        <v>0.11076905073347329</v>
      </c>
      <c r="D53">
        <f t="shared" si="2"/>
        <v>1.0427354058196601</v>
      </c>
      <c r="E53">
        <v>53</v>
      </c>
      <c r="F53">
        <f t="shared" si="3"/>
        <v>52</v>
      </c>
      <c r="G53">
        <f t="shared" si="4"/>
        <v>0.16536766173204359</v>
      </c>
      <c r="H53">
        <f t="shared" si="5"/>
        <v>1.10687730344655</v>
      </c>
      <c r="I53">
        <v>53</v>
      </c>
      <c r="J53">
        <f t="shared" si="6"/>
        <v>52</v>
      </c>
      <c r="K53">
        <f t="shared" si="7"/>
        <v>1.3011987674780618</v>
      </c>
      <c r="L53">
        <f t="shared" si="8"/>
        <v>1.26645031675154</v>
      </c>
      <c r="M53">
        <v>53</v>
      </c>
      <c r="N53">
        <f t="shared" si="9"/>
        <v>52</v>
      </c>
      <c r="O53">
        <f t="shared" si="10"/>
        <v>0.29044510119398198</v>
      </c>
      <c r="P53">
        <f t="shared" si="11"/>
        <v>0.253817018041334</v>
      </c>
      <c r="Q53">
        <v>53</v>
      </c>
      <c r="R53">
        <f t="shared" si="12"/>
        <v>52</v>
      </c>
      <c r="S53">
        <f t="shared" si="13"/>
        <v>1.0743919885550763</v>
      </c>
      <c r="T53">
        <f t="shared" si="14"/>
        <v>0</v>
      </c>
      <c r="U53">
        <v>53</v>
      </c>
      <c r="V53">
        <f t="shared" si="15"/>
        <v>52</v>
      </c>
      <c r="W53">
        <f t="shared" si="16"/>
        <v>1.1295557750585143</v>
      </c>
      <c r="X53">
        <f t="shared" si="17"/>
        <v>6.4805860110755301E-2</v>
      </c>
    </row>
    <row r="54" spans="1:24">
      <c r="A54">
        <v>54</v>
      </c>
      <c r="B54">
        <f t="shared" si="0"/>
        <v>53</v>
      </c>
      <c r="C54">
        <f t="shared" si="1"/>
        <v>0.1120773900587389</v>
      </c>
      <c r="D54">
        <f t="shared" si="2"/>
        <v>1.9572645941803399</v>
      </c>
      <c r="E54">
        <v>54</v>
      </c>
      <c r="F54">
        <f t="shared" si="3"/>
        <v>53</v>
      </c>
      <c r="G54">
        <f t="shared" si="4"/>
        <v>0.16649247631445691</v>
      </c>
      <c r="H54">
        <f t="shared" si="5"/>
        <v>1.89312269655345</v>
      </c>
      <c r="I54">
        <v>54</v>
      </c>
      <c r="J54">
        <f t="shared" si="6"/>
        <v>53</v>
      </c>
      <c r="K54">
        <f t="shared" si="7"/>
        <v>1.3018670069151104</v>
      </c>
      <c r="L54">
        <f t="shared" si="8"/>
        <v>1.73354968324846</v>
      </c>
      <c r="M54">
        <v>54</v>
      </c>
      <c r="N54">
        <f t="shared" si="9"/>
        <v>53</v>
      </c>
      <c r="O54">
        <f t="shared" si="10"/>
        <v>0.29114948740845598</v>
      </c>
      <c r="P54">
        <f t="shared" si="11"/>
        <v>0.74618298195866595</v>
      </c>
      <c r="Q54">
        <v>54</v>
      </c>
      <c r="R54">
        <f t="shared" si="12"/>
        <v>53</v>
      </c>
      <c r="S54">
        <f t="shared" si="13"/>
        <v>1.075822603719597</v>
      </c>
      <c r="T54">
        <f t="shared" si="14"/>
        <v>1</v>
      </c>
      <c r="U54">
        <v>54</v>
      </c>
      <c r="V54">
        <f t="shared" si="15"/>
        <v>53</v>
      </c>
      <c r="W54">
        <f t="shared" si="16"/>
        <v>1.1308009657305866</v>
      </c>
      <c r="X54">
        <f t="shared" si="17"/>
        <v>0.93519413988924505</v>
      </c>
    </row>
    <row r="55" spans="1:24">
      <c r="A55">
        <v>55</v>
      </c>
      <c r="B55">
        <f t="shared" si="0"/>
        <v>54</v>
      </c>
      <c r="C55">
        <f t="shared" si="1"/>
        <v>0.11338572938400449</v>
      </c>
      <c r="D55">
        <f t="shared" si="2"/>
        <v>1.0427354058196601</v>
      </c>
      <c r="E55">
        <v>55</v>
      </c>
      <c r="F55">
        <f t="shared" si="3"/>
        <v>54</v>
      </c>
      <c r="G55">
        <f t="shared" si="4"/>
        <v>0.16761729089687019</v>
      </c>
      <c r="H55">
        <f t="shared" si="5"/>
        <v>1.10687730344655</v>
      </c>
      <c r="I55">
        <v>55</v>
      </c>
      <c r="J55">
        <f t="shared" si="6"/>
        <v>54</v>
      </c>
      <c r="K55">
        <f t="shared" si="7"/>
        <v>1.3025352463521589</v>
      </c>
      <c r="L55">
        <f t="shared" si="8"/>
        <v>1.26645031675154</v>
      </c>
      <c r="M55">
        <v>55</v>
      </c>
      <c r="N55">
        <f t="shared" si="9"/>
        <v>54</v>
      </c>
      <c r="O55">
        <f t="shared" si="10"/>
        <v>0.29185387362292997</v>
      </c>
      <c r="P55">
        <f t="shared" si="11"/>
        <v>0.253817018041334</v>
      </c>
      <c r="Q55">
        <v>55</v>
      </c>
      <c r="R55">
        <f t="shared" si="12"/>
        <v>54</v>
      </c>
      <c r="S55">
        <f t="shared" si="13"/>
        <v>1.0772532188841177</v>
      </c>
      <c r="T55">
        <f t="shared" si="14"/>
        <v>0</v>
      </c>
      <c r="U55">
        <v>55</v>
      </c>
      <c r="V55">
        <f t="shared" si="15"/>
        <v>54</v>
      </c>
      <c r="W55">
        <f t="shared" si="16"/>
        <v>1.1320461564026587</v>
      </c>
      <c r="X55">
        <f t="shared" si="17"/>
        <v>6.4805860110755301E-2</v>
      </c>
    </row>
    <row r="56" spans="1:24">
      <c r="A56">
        <v>56</v>
      </c>
      <c r="B56">
        <f t="shared" si="0"/>
        <v>55</v>
      </c>
      <c r="C56">
        <f t="shared" si="1"/>
        <v>0.1146940687092701</v>
      </c>
      <c r="D56">
        <f t="shared" si="2"/>
        <v>1.9572645941803399</v>
      </c>
      <c r="E56">
        <v>56</v>
      </c>
      <c r="F56">
        <f t="shared" si="3"/>
        <v>55</v>
      </c>
      <c r="G56">
        <f t="shared" si="4"/>
        <v>0.16874210547928348</v>
      </c>
      <c r="H56">
        <f t="shared" si="5"/>
        <v>1.89312269655345</v>
      </c>
      <c r="I56">
        <v>56</v>
      </c>
      <c r="J56">
        <f t="shared" si="6"/>
        <v>55</v>
      </c>
      <c r="K56">
        <f t="shared" si="7"/>
        <v>1.3032034857892074</v>
      </c>
      <c r="L56">
        <f t="shared" si="8"/>
        <v>1.73354968324846</v>
      </c>
      <c r="M56">
        <v>56</v>
      </c>
      <c r="N56">
        <f t="shared" si="9"/>
        <v>55</v>
      </c>
      <c r="O56">
        <f t="shared" si="10"/>
        <v>0.29255825983740402</v>
      </c>
      <c r="P56">
        <f t="shared" si="11"/>
        <v>0.74618298195866595</v>
      </c>
      <c r="Q56">
        <v>56</v>
      </c>
      <c r="R56">
        <f t="shared" si="12"/>
        <v>55</v>
      </c>
      <c r="S56">
        <f t="shared" si="13"/>
        <v>1.0786838340486384</v>
      </c>
      <c r="T56">
        <f t="shared" si="14"/>
        <v>1</v>
      </c>
      <c r="U56">
        <v>56</v>
      </c>
      <c r="V56">
        <f t="shared" si="15"/>
        <v>55</v>
      </c>
      <c r="W56">
        <f t="shared" si="16"/>
        <v>1.133291347074731</v>
      </c>
      <c r="X56">
        <f t="shared" si="17"/>
        <v>0.93519413988924505</v>
      </c>
    </row>
    <row r="57" spans="1:24">
      <c r="A57">
        <v>57</v>
      </c>
      <c r="B57">
        <f t="shared" si="0"/>
        <v>56</v>
      </c>
      <c r="C57">
        <f t="shared" si="1"/>
        <v>0.11600240803453571</v>
      </c>
      <c r="D57">
        <f t="shared" si="2"/>
        <v>1.0427354058196601</v>
      </c>
      <c r="E57">
        <v>57</v>
      </c>
      <c r="F57">
        <f t="shared" si="3"/>
        <v>56</v>
      </c>
      <c r="G57">
        <f t="shared" si="4"/>
        <v>0.16986692006169679</v>
      </c>
      <c r="H57">
        <f t="shared" si="5"/>
        <v>1.10687730344655</v>
      </c>
      <c r="I57">
        <v>57</v>
      </c>
      <c r="J57">
        <f t="shared" si="6"/>
        <v>56</v>
      </c>
      <c r="K57">
        <f t="shared" si="7"/>
        <v>1.3038717252262559</v>
      </c>
      <c r="L57">
        <f t="shared" si="8"/>
        <v>1.26645031675154</v>
      </c>
      <c r="M57">
        <v>57</v>
      </c>
      <c r="N57">
        <f t="shared" si="9"/>
        <v>56</v>
      </c>
      <c r="O57">
        <f t="shared" si="10"/>
        <v>0.29326264605187802</v>
      </c>
      <c r="P57">
        <f t="shared" si="11"/>
        <v>0.253817018041334</v>
      </c>
      <c r="Q57">
        <v>57</v>
      </c>
      <c r="R57">
        <f t="shared" si="12"/>
        <v>56</v>
      </c>
      <c r="S57">
        <f t="shared" si="13"/>
        <v>1.0801144492131591</v>
      </c>
      <c r="T57">
        <f t="shared" si="14"/>
        <v>0</v>
      </c>
      <c r="U57">
        <v>57</v>
      </c>
      <c r="V57">
        <f t="shared" si="15"/>
        <v>56</v>
      </c>
      <c r="W57">
        <f t="shared" si="16"/>
        <v>1.1345365377468031</v>
      </c>
      <c r="X57">
        <f t="shared" si="17"/>
        <v>6.4805860110755301E-2</v>
      </c>
    </row>
    <row r="58" spans="1:24">
      <c r="A58">
        <v>58</v>
      </c>
      <c r="B58">
        <f t="shared" si="0"/>
        <v>57</v>
      </c>
      <c r="C58">
        <f t="shared" si="1"/>
        <v>0.11731074735980129</v>
      </c>
      <c r="D58">
        <f t="shared" si="2"/>
        <v>1.9572645941803399</v>
      </c>
      <c r="E58">
        <v>58</v>
      </c>
      <c r="F58">
        <f t="shared" si="3"/>
        <v>57</v>
      </c>
      <c r="G58">
        <f t="shared" si="4"/>
        <v>0.1709917346441101</v>
      </c>
      <c r="H58">
        <f t="shared" si="5"/>
        <v>1.89312269655345</v>
      </c>
      <c r="I58">
        <v>58</v>
      </c>
      <c r="J58">
        <f t="shared" si="6"/>
        <v>57</v>
      </c>
      <c r="K58">
        <f t="shared" si="7"/>
        <v>1.3045399646633045</v>
      </c>
      <c r="L58">
        <f t="shared" si="8"/>
        <v>1.73354968324846</v>
      </c>
      <c r="M58">
        <v>58</v>
      </c>
      <c r="N58">
        <f t="shared" si="9"/>
        <v>57</v>
      </c>
      <c r="O58">
        <f t="shared" si="10"/>
        <v>0.29396703226635201</v>
      </c>
      <c r="P58">
        <f t="shared" si="11"/>
        <v>0.74618298195866595</v>
      </c>
      <c r="Q58">
        <v>58</v>
      </c>
      <c r="R58">
        <f t="shared" si="12"/>
        <v>57</v>
      </c>
      <c r="S58">
        <f t="shared" si="13"/>
        <v>1.0815450643776798</v>
      </c>
      <c r="T58">
        <f t="shared" si="14"/>
        <v>1</v>
      </c>
      <c r="U58">
        <v>58</v>
      </c>
      <c r="V58">
        <f t="shared" si="15"/>
        <v>57</v>
      </c>
      <c r="W58">
        <f t="shared" si="16"/>
        <v>1.1357817284188754</v>
      </c>
      <c r="X58">
        <f t="shared" si="17"/>
        <v>0.93519413988924505</v>
      </c>
    </row>
    <row r="59" spans="1:24">
      <c r="A59">
        <v>59</v>
      </c>
      <c r="B59">
        <f t="shared" si="0"/>
        <v>58</v>
      </c>
      <c r="C59">
        <f t="shared" si="1"/>
        <v>0.1186190866850669</v>
      </c>
      <c r="D59">
        <f t="shared" si="2"/>
        <v>1.0427354058196601</v>
      </c>
      <c r="E59">
        <v>59</v>
      </c>
      <c r="F59">
        <f t="shared" si="3"/>
        <v>58</v>
      </c>
      <c r="G59">
        <f t="shared" si="4"/>
        <v>0.17211654922652339</v>
      </c>
      <c r="H59">
        <f t="shared" si="5"/>
        <v>1.10687730344655</v>
      </c>
      <c r="I59">
        <v>59</v>
      </c>
      <c r="J59">
        <f t="shared" si="6"/>
        <v>58</v>
      </c>
      <c r="K59">
        <f t="shared" si="7"/>
        <v>1.305208204100353</v>
      </c>
      <c r="L59">
        <f t="shared" si="8"/>
        <v>1.26645031675154</v>
      </c>
      <c r="M59">
        <v>59</v>
      </c>
      <c r="N59">
        <f t="shared" si="9"/>
        <v>58</v>
      </c>
      <c r="O59">
        <f t="shared" si="10"/>
        <v>0.29467141848082601</v>
      </c>
      <c r="P59">
        <f t="shared" si="11"/>
        <v>0.253817018041334</v>
      </c>
      <c r="Q59">
        <v>59</v>
      </c>
      <c r="R59">
        <f t="shared" si="12"/>
        <v>58</v>
      </c>
      <c r="S59">
        <f t="shared" si="13"/>
        <v>1.0829756795422005</v>
      </c>
      <c r="T59">
        <f t="shared" si="14"/>
        <v>0</v>
      </c>
      <c r="U59">
        <v>59</v>
      </c>
      <c r="V59">
        <f t="shared" si="15"/>
        <v>58</v>
      </c>
      <c r="W59">
        <f t="shared" si="16"/>
        <v>1.1370269190909474</v>
      </c>
      <c r="X59">
        <f t="shared" si="17"/>
        <v>6.4805860110755301E-2</v>
      </c>
    </row>
    <row r="60" spans="1:24">
      <c r="A60">
        <v>60</v>
      </c>
      <c r="B60">
        <f t="shared" si="0"/>
        <v>59</v>
      </c>
      <c r="C60">
        <f t="shared" si="1"/>
        <v>0.11992742601033249</v>
      </c>
      <c r="D60">
        <f t="shared" si="2"/>
        <v>1.9572645941803399</v>
      </c>
      <c r="E60">
        <v>60</v>
      </c>
      <c r="F60">
        <f t="shared" si="3"/>
        <v>59</v>
      </c>
      <c r="G60">
        <f t="shared" si="4"/>
        <v>0.17324136380893668</v>
      </c>
      <c r="H60">
        <f t="shared" si="5"/>
        <v>1.89312269655345</v>
      </c>
      <c r="I60">
        <v>60</v>
      </c>
      <c r="J60">
        <f t="shared" si="6"/>
        <v>59</v>
      </c>
      <c r="K60">
        <f t="shared" si="7"/>
        <v>1.3058764435374015</v>
      </c>
      <c r="L60">
        <f t="shared" si="8"/>
        <v>1.73354968324846</v>
      </c>
      <c r="M60">
        <v>60</v>
      </c>
      <c r="N60">
        <f t="shared" si="9"/>
        <v>59</v>
      </c>
      <c r="O60">
        <f t="shared" si="10"/>
        <v>0.2953758046953</v>
      </c>
      <c r="P60">
        <f t="shared" si="11"/>
        <v>0.74618298195866595</v>
      </c>
      <c r="Q60">
        <v>60</v>
      </c>
      <c r="R60">
        <f t="shared" si="12"/>
        <v>59</v>
      </c>
      <c r="S60">
        <f t="shared" si="13"/>
        <v>1.0844062947067212</v>
      </c>
      <c r="T60">
        <f t="shared" si="14"/>
        <v>1</v>
      </c>
      <c r="U60">
        <v>60</v>
      </c>
      <c r="V60">
        <f t="shared" si="15"/>
        <v>59</v>
      </c>
      <c r="W60">
        <f t="shared" si="16"/>
        <v>1.1382721097630197</v>
      </c>
      <c r="X60">
        <f t="shared" si="17"/>
        <v>0.93519413988924505</v>
      </c>
    </row>
    <row r="61" spans="1:24">
      <c r="A61">
        <v>61</v>
      </c>
      <c r="B61">
        <f t="shared" si="0"/>
        <v>60</v>
      </c>
      <c r="C61">
        <f t="shared" si="1"/>
        <v>0.1212357653355981</v>
      </c>
      <c r="D61">
        <f t="shared" si="2"/>
        <v>1.0427354058196601</v>
      </c>
      <c r="E61">
        <v>61</v>
      </c>
      <c r="F61">
        <f t="shared" si="3"/>
        <v>60</v>
      </c>
      <c r="G61">
        <f t="shared" si="4"/>
        <v>0.17436617839134999</v>
      </c>
      <c r="H61">
        <f t="shared" si="5"/>
        <v>1.10687730344655</v>
      </c>
      <c r="I61">
        <v>61</v>
      </c>
      <c r="J61">
        <f t="shared" si="6"/>
        <v>60</v>
      </c>
      <c r="K61">
        <f t="shared" si="7"/>
        <v>1.30654468297445</v>
      </c>
      <c r="L61">
        <f t="shared" si="8"/>
        <v>1.26645031675154</v>
      </c>
      <c r="M61">
        <v>61</v>
      </c>
      <c r="N61">
        <f t="shared" si="9"/>
        <v>60</v>
      </c>
      <c r="O61">
        <f t="shared" si="10"/>
        <v>0.296080190909774</v>
      </c>
      <c r="P61">
        <f t="shared" si="11"/>
        <v>0.253817018041334</v>
      </c>
      <c r="Q61">
        <v>61</v>
      </c>
      <c r="R61">
        <f t="shared" si="12"/>
        <v>60</v>
      </c>
      <c r="S61">
        <f t="shared" si="13"/>
        <v>1.0858369098712419</v>
      </c>
      <c r="T61">
        <f t="shared" si="14"/>
        <v>0</v>
      </c>
      <c r="U61">
        <v>61</v>
      </c>
      <c r="V61">
        <f t="shared" si="15"/>
        <v>60</v>
      </c>
      <c r="W61">
        <f t="shared" si="16"/>
        <v>1.139517300435092</v>
      </c>
      <c r="X61">
        <f t="shared" si="17"/>
        <v>6.4805860110755301E-2</v>
      </c>
    </row>
    <row r="62" spans="1:24">
      <c r="A62">
        <v>62</v>
      </c>
      <c r="B62">
        <f t="shared" si="0"/>
        <v>61</v>
      </c>
      <c r="C62">
        <f t="shared" si="1"/>
        <v>0.12254410466086371</v>
      </c>
      <c r="D62">
        <f t="shared" si="2"/>
        <v>1.9572645941803399</v>
      </c>
      <c r="E62">
        <v>62</v>
      </c>
      <c r="F62">
        <f t="shared" si="3"/>
        <v>61</v>
      </c>
      <c r="G62">
        <f t="shared" si="4"/>
        <v>0.1754909929737633</v>
      </c>
      <c r="H62">
        <f t="shared" si="5"/>
        <v>1.89312269655345</v>
      </c>
      <c r="I62">
        <v>62</v>
      </c>
      <c r="J62">
        <f t="shared" si="6"/>
        <v>61</v>
      </c>
      <c r="K62">
        <f t="shared" si="7"/>
        <v>1.3072129224114986</v>
      </c>
      <c r="L62">
        <f t="shared" si="8"/>
        <v>1.73354968324846</v>
      </c>
      <c r="M62">
        <v>62</v>
      </c>
      <c r="N62">
        <f t="shared" si="9"/>
        <v>61</v>
      </c>
      <c r="O62">
        <f t="shared" si="10"/>
        <v>0.29678457712424799</v>
      </c>
      <c r="P62">
        <f t="shared" si="11"/>
        <v>0.74618298195866595</v>
      </c>
      <c r="Q62">
        <v>62</v>
      </c>
      <c r="R62">
        <f t="shared" si="12"/>
        <v>61</v>
      </c>
      <c r="S62">
        <f t="shared" si="13"/>
        <v>1.0872675250357626</v>
      </c>
      <c r="T62">
        <f t="shared" si="14"/>
        <v>1</v>
      </c>
      <c r="U62">
        <v>62</v>
      </c>
      <c r="V62">
        <f t="shared" si="15"/>
        <v>61</v>
      </c>
      <c r="W62">
        <f t="shared" si="16"/>
        <v>1.1407624911071641</v>
      </c>
      <c r="X62">
        <f t="shared" si="17"/>
        <v>0.93519413988924505</v>
      </c>
    </row>
    <row r="63" spans="1:24">
      <c r="A63">
        <v>63</v>
      </c>
      <c r="B63">
        <f t="shared" si="0"/>
        <v>62</v>
      </c>
      <c r="C63">
        <f t="shared" si="1"/>
        <v>0.1238524439861293</v>
      </c>
      <c r="D63">
        <f t="shared" si="2"/>
        <v>1.0427354058196601</v>
      </c>
      <c r="E63">
        <v>63</v>
      </c>
      <c r="F63">
        <f t="shared" si="3"/>
        <v>62</v>
      </c>
      <c r="G63">
        <f t="shared" si="4"/>
        <v>0.17661580755617659</v>
      </c>
      <c r="H63">
        <f t="shared" si="5"/>
        <v>1.10687730344655</v>
      </c>
      <c r="I63">
        <v>63</v>
      </c>
      <c r="J63">
        <f t="shared" si="6"/>
        <v>62</v>
      </c>
      <c r="K63">
        <f t="shared" si="7"/>
        <v>1.3078811618485469</v>
      </c>
      <c r="L63">
        <f t="shared" si="8"/>
        <v>1.26645031675154</v>
      </c>
      <c r="M63">
        <v>63</v>
      </c>
      <c r="N63">
        <f t="shared" si="9"/>
        <v>62</v>
      </c>
      <c r="O63">
        <f t="shared" si="10"/>
        <v>0.29748896333872199</v>
      </c>
      <c r="P63">
        <f t="shared" si="11"/>
        <v>0.253817018041334</v>
      </c>
      <c r="Q63">
        <v>63</v>
      </c>
      <c r="R63">
        <f t="shared" si="12"/>
        <v>62</v>
      </c>
      <c r="S63">
        <f t="shared" si="13"/>
        <v>1.0886981402002833</v>
      </c>
      <c r="T63">
        <f t="shared" si="14"/>
        <v>0</v>
      </c>
      <c r="U63">
        <v>63</v>
      </c>
      <c r="V63">
        <f t="shared" si="15"/>
        <v>62</v>
      </c>
      <c r="W63">
        <f t="shared" si="16"/>
        <v>1.1420076817792364</v>
      </c>
      <c r="X63">
        <f t="shared" si="17"/>
        <v>6.4805860110755301E-2</v>
      </c>
    </row>
    <row r="64" spans="1:24">
      <c r="A64">
        <v>64</v>
      </c>
      <c r="B64">
        <f t="shared" si="0"/>
        <v>63</v>
      </c>
      <c r="C64">
        <f t="shared" si="1"/>
        <v>0.12516078331139491</v>
      </c>
      <c r="D64">
        <f t="shared" si="2"/>
        <v>1.9572645941803399</v>
      </c>
      <c r="E64">
        <v>64</v>
      </c>
      <c r="F64">
        <f t="shared" si="3"/>
        <v>63</v>
      </c>
      <c r="G64">
        <f t="shared" si="4"/>
        <v>0.17774062213858988</v>
      </c>
      <c r="H64">
        <f t="shared" si="5"/>
        <v>1.89312269655345</v>
      </c>
      <c r="I64">
        <v>64</v>
      </c>
      <c r="J64">
        <f t="shared" si="6"/>
        <v>63</v>
      </c>
      <c r="K64">
        <f t="shared" si="7"/>
        <v>1.3085494012855954</v>
      </c>
      <c r="L64">
        <f t="shared" si="8"/>
        <v>1.73354968324846</v>
      </c>
      <c r="M64">
        <v>64</v>
      </c>
      <c r="N64">
        <f t="shared" si="9"/>
        <v>63</v>
      </c>
      <c r="O64">
        <f t="shared" si="10"/>
        <v>0.29819334955319599</v>
      </c>
      <c r="P64">
        <f t="shared" si="11"/>
        <v>0.74618298195866595</v>
      </c>
      <c r="Q64">
        <v>64</v>
      </c>
      <c r="R64">
        <f t="shared" si="12"/>
        <v>63</v>
      </c>
      <c r="S64">
        <f t="shared" si="13"/>
        <v>1.090128755364804</v>
      </c>
      <c r="T64">
        <f t="shared" si="14"/>
        <v>1</v>
      </c>
      <c r="U64">
        <v>64</v>
      </c>
      <c r="V64">
        <f t="shared" si="15"/>
        <v>63</v>
      </c>
      <c r="W64">
        <f t="shared" si="16"/>
        <v>1.1432528724513085</v>
      </c>
      <c r="X64">
        <f t="shared" si="17"/>
        <v>0.93519413988924505</v>
      </c>
    </row>
    <row r="65" spans="1:24">
      <c r="A65">
        <v>65</v>
      </c>
      <c r="B65">
        <f t="shared" ref="B65:B128" si="18">(A65-1)</f>
        <v>64</v>
      </c>
      <c r="C65">
        <f t="shared" ref="C65:C128" si="19">0.0427354058196621+B65*0.0013083393252656</f>
        <v>0.12646912263666049</v>
      </c>
      <c r="D65">
        <f t="shared" ref="D65:D128" si="20">IF(B65/2-INT(B65/2)&lt;0.1,1.04273540581966,1.95726459418034)</f>
        <v>1.0427354058196601</v>
      </c>
      <c r="E65">
        <v>65</v>
      </c>
      <c r="F65">
        <f t="shared" ref="F65:F128" si="21">(E65-1)</f>
        <v>64</v>
      </c>
      <c r="G65">
        <f t="shared" ref="G65:G128" si="22">0.106877303446552+F65*0.0011248145824133</f>
        <v>0.17886543672100319</v>
      </c>
      <c r="H65">
        <f t="shared" ref="H65:H128" si="23">IF(F65/2-INT(F65/2)&lt;0.1,1.10687730344655,1.89312269655345)</f>
        <v>1.10687730344655</v>
      </c>
      <c r="I65">
        <v>65</v>
      </c>
      <c r="J65">
        <f t="shared" ref="J65:J128" si="24">(I65-1)</f>
        <v>64</v>
      </c>
      <c r="K65">
        <f t="shared" ref="K65:K128" si="25">1.26645031675154+J65*0.0006682394370485</f>
        <v>1.3092176407226439</v>
      </c>
      <c r="L65">
        <f t="shared" ref="L65:L128" si="26">IF(J65/2-INT(J65/2)&lt;0.1,1.26645031675154,1.73354968324846)</f>
        <v>1.26645031675154</v>
      </c>
      <c r="M65">
        <v>65</v>
      </c>
      <c r="N65">
        <f t="shared" ref="N65:N128" si="27">(M65-1)</f>
        <v>64</v>
      </c>
      <c r="O65">
        <f t="shared" ref="O65:O128" si="28">0.253817018041334+N65*0.000704386214474</f>
        <v>0.29889773576766998</v>
      </c>
      <c r="P65">
        <f t="shared" ref="P65:P128" si="29">IF(N65/2-INT(N65/2)&lt;0.1,0.253817018041334,0.746182981958666)</f>
        <v>0.253817018041334</v>
      </c>
      <c r="Q65">
        <v>65</v>
      </c>
      <c r="R65">
        <f t="shared" ref="R65:R128" si="30">(Q65-1)</f>
        <v>64</v>
      </c>
      <c r="S65">
        <f t="shared" ref="S65:S128" si="31">1+R65*0.0014306151645207</f>
        <v>1.0915593705293247</v>
      </c>
      <c r="T65">
        <f t="shared" ref="T65:T128" si="32">IF(R65/2-INT(R65/2)&lt;0.1,0,1)</f>
        <v>0</v>
      </c>
      <c r="U65">
        <v>65</v>
      </c>
      <c r="V65">
        <f t="shared" ref="V65:V128" si="33">(U65-1)</f>
        <v>64</v>
      </c>
      <c r="W65">
        <f t="shared" ref="W65:W128" si="34">1.06480586011076+V65*0.0012451906720722</f>
        <v>1.1444980631233808</v>
      </c>
      <c r="X65">
        <f t="shared" ref="X65:X128" si="35">IF(V65/2-INT(V65/2)&lt;0.1,0.0648058601107553,0.935194139889245)</f>
        <v>6.4805860110755301E-2</v>
      </c>
    </row>
    <row r="66" spans="1:24">
      <c r="A66">
        <v>66</v>
      </c>
      <c r="B66">
        <f t="shared" si="18"/>
        <v>65</v>
      </c>
      <c r="C66">
        <f t="shared" si="19"/>
        <v>0.1277774619619261</v>
      </c>
      <c r="D66">
        <f t="shared" si="20"/>
        <v>1.9572645941803399</v>
      </c>
      <c r="E66">
        <v>66</v>
      </c>
      <c r="F66">
        <f t="shared" si="21"/>
        <v>65</v>
      </c>
      <c r="G66">
        <f t="shared" si="22"/>
        <v>0.1799902513034165</v>
      </c>
      <c r="H66">
        <f t="shared" si="23"/>
        <v>1.89312269655345</v>
      </c>
      <c r="I66">
        <v>66</v>
      </c>
      <c r="J66">
        <f t="shared" si="24"/>
        <v>65</v>
      </c>
      <c r="K66">
        <f t="shared" si="25"/>
        <v>1.3098858801596924</v>
      </c>
      <c r="L66">
        <f t="shared" si="26"/>
        <v>1.73354968324846</v>
      </c>
      <c r="M66">
        <v>66</v>
      </c>
      <c r="N66">
        <f t="shared" si="27"/>
        <v>65</v>
      </c>
      <c r="O66">
        <f t="shared" si="28"/>
        <v>0.29960212198214398</v>
      </c>
      <c r="P66">
        <f t="shared" si="29"/>
        <v>0.74618298195866595</v>
      </c>
      <c r="Q66">
        <v>66</v>
      </c>
      <c r="R66">
        <f t="shared" si="30"/>
        <v>65</v>
      </c>
      <c r="S66">
        <f t="shared" si="31"/>
        <v>1.0929899856938454</v>
      </c>
      <c r="T66">
        <f t="shared" si="32"/>
        <v>1</v>
      </c>
      <c r="U66">
        <v>66</v>
      </c>
      <c r="V66">
        <f t="shared" si="33"/>
        <v>65</v>
      </c>
      <c r="W66">
        <f t="shared" si="34"/>
        <v>1.1457432537954531</v>
      </c>
      <c r="X66">
        <f t="shared" si="35"/>
        <v>0.93519413988924505</v>
      </c>
    </row>
    <row r="67" spans="1:24">
      <c r="A67">
        <v>67</v>
      </c>
      <c r="B67">
        <f t="shared" si="18"/>
        <v>66</v>
      </c>
      <c r="C67">
        <f t="shared" si="19"/>
        <v>0.12908580128719169</v>
      </c>
      <c r="D67">
        <f t="shared" si="20"/>
        <v>1.0427354058196601</v>
      </c>
      <c r="E67">
        <v>67</v>
      </c>
      <c r="F67">
        <f t="shared" si="21"/>
        <v>66</v>
      </c>
      <c r="G67">
        <f t="shared" si="22"/>
        <v>0.18111506588582979</v>
      </c>
      <c r="H67">
        <f t="shared" si="23"/>
        <v>1.10687730344655</v>
      </c>
      <c r="I67">
        <v>67</v>
      </c>
      <c r="J67">
        <f t="shared" si="24"/>
        <v>66</v>
      </c>
      <c r="K67">
        <f t="shared" si="25"/>
        <v>1.310554119596741</v>
      </c>
      <c r="L67">
        <f t="shared" si="26"/>
        <v>1.26645031675154</v>
      </c>
      <c r="M67">
        <v>67</v>
      </c>
      <c r="N67">
        <f t="shared" si="27"/>
        <v>66</v>
      </c>
      <c r="O67">
        <f t="shared" si="28"/>
        <v>0.30030650819661797</v>
      </c>
      <c r="P67">
        <f t="shared" si="29"/>
        <v>0.253817018041334</v>
      </c>
      <c r="Q67">
        <v>67</v>
      </c>
      <c r="R67">
        <f t="shared" si="30"/>
        <v>66</v>
      </c>
      <c r="S67">
        <f t="shared" si="31"/>
        <v>1.0944206008583661</v>
      </c>
      <c r="T67">
        <f t="shared" si="32"/>
        <v>0</v>
      </c>
      <c r="U67">
        <v>67</v>
      </c>
      <c r="V67">
        <f t="shared" si="33"/>
        <v>66</v>
      </c>
      <c r="W67">
        <f t="shared" si="34"/>
        <v>1.1469884444675251</v>
      </c>
      <c r="X67">
        <f t="shared" si="35"/>
        <v>6.4805860110755301E-2</v>
      </c>
    </row>
    <row r="68" spans="1:24">
      <c r="A68">
        <v>68</v>
      </c>
      <c r="B68">
        <f t="shared" si="18"/>
        <v>67</v>
      </c>
      <c r="C68">
        <f t="shared" si="19"/>
        <v>0.1303941406124573</v>
      </c>
      <c r="D68">
        <f t="shared" si="20"/>
        <v>1.9572645941803399</v>
      </c>
      <c r="E68">
        <v>68</v>
      </c>
      <c r="F68">
        <f t="shared" si="21"/>
        <v>67</v>
      </c>
      <c r="G68">
        <f t="shared" si="22"/>
        <v>0.18223988046824308</v>
      </c>
      <c r="H68">
        <f t="shared" si="23"/>
        <v>1.89312269655345</v>
      </c>
      <c r="I68">
        <v>68</v>
      </c>
      <c r="J68">
        <f t="shared" si="24"/>
        <v>67</v>
      </c>
      <c r="K68">
        <f t="shared" si="25"/>
        <v>1.3112223590337895</v>
      </c>
      <c r="L68">
        <f t="shared" si="26"/>
        <v>1.73354968324846</v>
      </c>
      <c r="M68">
        <v>68</v>
      </c>
      <c r="N68">
        <f t="shared" si="27"/>
        <v>67</v>
      </c>
      <c r="O68">
        <f t="shared" si="28"/>
        <v>0.30101089441109197</v>
      </c>
      <c r="P68">
        <f t="shared" si="29"/>
        <v>0.74618298195866595</v>
      </c>
      <c r="Q68">
        <v>68</v>
      </c>
      <c r="R68">
        <f t="shared" si="30"/>
        <v>67</v>
      </c>
      <c r="S68">
        <f t="shared" si="31"/>
        <v>1.0958512160228868</v>
      </c>
      <c r="T68">
        <f t="shared" si="32"/>
        <v>1</v>
      </c>
      <c r="U68">
        <v>68</v>
      </c>
      <c r="V68">
        <f t="shared" si="33"/>
        <v>67</v>
      </c>
      <c r="W68">
        <f t="shared" si="34"/>
        <v>1.1482336351395974</v>
      </c>
      <c r="X68">
        <f t="shared" si="35"/>
        <v>0.93519413988924505</v>
      </c>
    </row>
    <row r="69" spans="1:24">
      <c r="A69">
        <v>69</v>
      </c>
      <c r="B69">
        <f t="shared" si="18"/>
        <v>68</v>
      </c>
      <c r="C69">
        <f t="shared" si="19"/>
        <v>0.13170247993772291</v>
      </c>
      <c r="D69">
        <f t="shared" si="20"/>
        <v>1.0427354058196601</v>
      </c>
      <c r="E69">
        <v>69</v>
      </c>
      <c r="F69">
        <f t="shared" si="21"/>
        <v>68</v>
      </c>
      <c r="G69">
        <f t="shared" si="22"/>
        <v>0.18336469505065639</v>
      </c>
      <c r="H69">
        <f t="shared" si="23"/>
        <v>1.10687730344655</v>
      </c>
      <c r="I69">
        <v>69</v>
      </c>
      <c r="J69">
        <f t="shared" si="24"/>
        <v>68</v>
      </c>
      <c r="K69">
        <f t="shared" si="25"/>
        <v>1.311890598470838</v>
      </c>
      <c r="L69">
        <f t="shared" si="26"/>
        <v>1.26645031675154</v>
      </c>
      <c r="M69">
        <v>69</v>
      </c>
      <c r="N69">
        <f t="shared" si="27"/>
        <v>68</v>
      </c>
      <c r="O69">
        <f t="shared" si="28"/>
        <v>0.30171528062556602</v>
      </c>
      <c r="P69">
        <f t="shared" si="29"/>
        <v>0.253817018041334</v>
      </c>
      <c r="Q69">
        <v>69</v>
      </c>
      <c r="R69">
        <f t="shared" si="30"/>
        <v>68</v>
      </c>
      <c r="S69">
        <f t="shared" si="31"/>
        <v>1.0972818311874075</v>
      </c>
      <c r="T69">
        <f t="shared" si="32"/>
        <v>0</v>
      </c>
      <c r="U69">
        <v>69</v>
      </c>
      <c r="V69">
        <f t="shared" si="33"/>
        <v>68</v>
      </c>
      <c r="W69">
        <f t="shared" si="34"/>
        <v>1.1494788258116695</v>
      </c>
      <c r="X69">
        <f t="shared" si="35"/>
        <v>6.4805860110755301E-2</v>
      </c>
    </row>
    <row r="70" spans="1:24">
      <c r="A70">
        <v>70</v>
      </c>
      <c r="B70">
        <f t="shared" si="18"/>
        <v>69</v>
      </c>
      <c r="C70">
        <f t="shared" si="19"/>
        <v>0.13301081926298849</v>
      </c>
      <c r="D70">
        <f t="shared" si="20"/>
        <v>1.9572645941803399</v>
      </c>
      <c r="E70">
        <v>70</v>
      </c>
      <c r="F70">
        <f t="shared" si="21"/>
        <v>69</v>
      </c>
      <c r="G70">
        <f t="shared" si="22"/>
        <v>0.1844895096330697</v>
      </c>
      <c r="H70">
        <f t="shared" si="23"/>
        <v>1.89312269655345</v>
      </c>
      <c r="I70">
        <v>70</v>
      </c>
      <c r="J70">
        <f t="shared" si="24"/>
        <v>69</v>
      </c>
      <c r="K70">
        <f t="shared" si="25"/>
        <v>1.3125588379078865</v>
      </c>
      <c r="L70">
        <f t="shared" si="26"/>
        <v>1.73354968324846</v>
      </c>
      <c r="M70">
        <v>70</v>
      </c>
      <c r="N70">
        <f t="shared" si="27"/>
        <v>69</v>
      </c>
      <c r="O70">
        <f t="shared" si="28"/>
        <v>0.30241966684004001</v>
      </c>
      <c r="P70">
        <f t="shared" si="29"/>
        <v>0.74618298195866595</v>
      </c>
      <c r="Q70">
        <v>70</v>
      </c>
      <c r="R70">
        <f t="shared" si="30"/>
        <v>69</v>
      </c>
      <c r="S70">
        <f t="shared" si="31"/>
        <v>1.0987124463519282</v>
      </c>
      <c r="T70">
        <f t="shared" si="32"/>
        <v>1</v>
      </c>
      <c r="U70">
        <v>70</v>
      </c>
      <c r="V70">
        <f t="shared" si="33"/>
        <v>69</v>
      </c>
      <c r="W70">
        <f t="shared" si="34"/>
        <v>1.1507240164837418</v>
      </c>
      <c r="X70">
        <f t="shared" si="35"/>
        <v>0.93519413988924505</v>
      </c>
    </row>
    <row r="71" spans="1:24">
      <c r="A71">
        <v>71</v>
      </c>
      <c r="B71">
        <f t="shared" si="18"/>
        <v>70</v>
      </c>
      <c r="C71">
        <f t="shared" si="19"/>
        <v>0.13431915858825411</v>
      </c>
      <c r="D71">
        <f t="shared" si="20"/>
        <v>1.0427354058196601</v>
      </c>
      <c r="E71">
        <v>71</v>
      </c>
      <c r="F71">
        <f t="shared" si="21"/>
        <v>70</v>
      </c>
      <c r="G71">
        <f t="shared" si="22"/>
        <v>0.18561432421548299</v>
      </c>
      <c r="H71">
        <f t="shared" si="23"/>
        <v>1.10687730344655</v>
      </c>
      <c r="I71">
        <v>71</v>
      </c>
      <c r="J71">
        <f t="shared" si="24"/>
        <v>70</v>
      </c>
      <c r="K71">
        <f t="shared" si="25"/>
        <v>1.313227077344935</v>
      </c>
      <c r="L71">
        <f t="shared" si="26"/>
        <v>1.26645031675154</v>
      </c>
      <c r="M71">
        <v>71</v>
      </c>
      <c r="N71">
        <f t="shared" si="27"/>
        <v>70</v>
      </c>
      <c r="O71">
        <f t="shared" si="28"/>
        <v>0.30312405305451401</v>
      </c>
      <c r="P71">
        <f t="shared" si="29"/>
        <v>0.253817018041334</v>
      </c>
      <c r="Q71">
        <v>71</v>
      </c>
      <c r="R71">
        <f t="shared" si="30"/>
        <v>70</v>
      </c>
      <c r="S71">
        <f t="shared" si="31"/>
        <v>1.1001430615164489</v>
      </c>
      <c r="T71">
        <f t="shared" si="32"/>
        <v>0</v>
      </c>
      <c r="U71">
        <v>71</v>
      </c>
      <c r="V71">
        <f t="shared" si="33"/>
        <v>70</v>
      </c>
      <c r="W71">
        <f t="shared" si="34"/>
        <v>1.1519692071558139</v>
      </c>
      <c r="X71">
        <f t="shared" si="35"/>
        <v>6.4805860110755301E-2</v>
      </c>
    </row>
    <row r="72" spans="1:24">
      <c r="A72">
        <v>72</v>
      </c>
      <c r="B72">
        <f t="shared" si="18"/>
        <v>71</v>
      </c>
      <c r="C72">
        <f t="shared" si="19"/>
        <v>0.13562749791351969</v>
      </c>
      <c r="D72">
        <f t="shared" si="20"/>
        <v>1.9572645941803399</v>
      </c>
      <c r="E72">
        <v>72</v>
      </c>
      <c r="F72">
        <f t="shared" si="21"/>
        <v>71</v>
      </c>
      <c r="G72">
        <f t="shared" si="22"/>
        <v>0.18673913879789628</v>
      </c>
      <c r="H72">
        <f t="shared" si="23"/>
        <v>1.89312269655345</v>
      </c>
      <c r="I72">
        <v>72</v>
      </c>
      <c r="J72">
        <f t="shared" si="24"/>
        <v>71</v>
      </c>
      <c r="K72">
        <f t="shared" si="25"/>
        <v>1.3138953167819833</v>
      </c>
      <c r="L72">
        <f t="shared" si="26"/>
        <v>1.73354968324846</v>
      </c>
      <c r="M72">
        <v>72</v>
      </c>
      <c r="N72">
        <f t="shared" si="27"/>
        <v>71</v>
      </c>
      <c r="O72">
        <f t="shared" si="28"/>
        <v>0.303828439268988</v>
      </c>
      <c r="P72">
        <f t="shared" si="29"/>
        <v>0.74618298195866595</v>
      </c>
      <c r="Q72">
        <v>72</v>
      </c>
      <c r="R72">
        <f t="shared" si="30"/>
        <v>71</v>
      </c>
      <c r="S72">
        <f t="shared" si="31"/>
        <v>1.1015736766809696</v>
      </c>
      <c r="T72">
        <f t="shared" si="32"/>
        <v>1</v>
      </c>
      <c r="U72">
        <v>72</v>
      </c>
      <c r="V72">
        <f t="shared" si="33"/>
        <v>71</v>
      </c>
      <c r="W72">
        <f t="shared" si="34"/>
        <v>1.1532143978278862</v>
      </c>
      <c r="X72">
        <f t="shared" si="35"/>
        <v>0.93519413988924505</v>
      </c>
    </row>
    <row r="73" spans="1:24">
      <c r="A73">
        <v>73</v>
      </c>
      <c r="B73">
        <f t="shared" si="18"/>
        <v>72</v>
      </c>
      <c r="C73">
        <f t="shared" si="19"/>
        <v>0.1369358372387853</v>
      </c>
      <c r="D73">
        <f t="shared" si="20"/>
        <v>1.0427354058196601</v>
      </c>
      <c r="E73">
        <v>73</v>
      </c>
      <c r="F73">
        <f t="shared" si="21"/>
        <v>72</v>
      </c>
      <c r="G73">
        <f t="shared" si="22"/>
        <v>0.18786395338030959</v>
      </c>
      <c r="H73">
        <f t="shared" si="23"/>
        <v>1.10687730344655</v>
      </c>
      <c r="I73">
        <v>73</v>
      </c>
      <c r="J73">
        <f t="shared" si="24"/>
        <v>72</v>
      </c>
      <c r="K73">
        <f t="shared" si="25"/>
        <v>1.3145635562190319</v>
      </c>
      <c r="L73">
        <f t="shared" si="26"/>
        <v>1.26645031675154</v>
      </c>
      <c r="M73">
        <v>73</v>
      </c>
      <c r="N73">
        <f t="shared" si="27"/>
        <v>72</v>
      </c>
      <c r="O73">
        <f t="shared" si="28"/>
        <v>0.304532825483462</v>
      </c>
      <c r="P73">
        <f t="shared" si="29"/>
        <v>0.253817018041334</v>
      </c>
      <c r="Q73">
        <v>73</v>
      </c>
      <c r="R73">
        <f t="shared" si="30"/>
        <v>72</v>
      </c>
      <c r="S73">
        <f t="shared" si="31"/>
        <v>1.1030042918454903</v>
      </c>
      <c r="T73">
        <f t="shared" si="32"/>
        <v>0</v>
      </c>
      <c r="U73">
        <v>73</v>
      </c>
      <c r="V73">
        <f t="shared" si="33"/>
        <v>72</v>
      </c>
      <c r="W73">
        <f t="shared" si="34"/>
        <v>1.1544595884999584</v>
      </c>
      <c r="X73">
        <f t="shared" si="35"/>
        <v>6.4805860110755301E-2</v>
      </c>
    </row>
    <row r="74" spans="1:24">
      <c r="A74">
        <v>74</v>
      </c>
      <c r="B74">
        <f t="shared" si="18"/>
        <v>73</v>
      </c>
      <c r="C74">
        <f t="shared" si="19"/>
        <v>0.13824417656405089</v>
      </c>
      <c r="D74">
        <f t="shared" si="20"/>
        <v>1.9572645941803399</v>
      </c>
      <c r="E74">
        <v>74</v>
      </c>
      <c r="F74">
        <f t="shared" si="21"/>
        <v>73</v>
      </c>
      <c r="G74">
        <f t="shared" si="22"/>
        <v>0.1889887679627229</v>
      </c>
      <c r="H74">
        <f t="shared" si="23"/>
        <v>1.89312269655345</v>
      </c>
      <c r="I74">
        <v>74</v>
      </c>
      <c r="J74">
        <f t="shared" si="24"/>
        <v>73</v>
      </c>
      <c r="K74">
        <f t="shared" si="25"/>
        <v>1.3152317956560804</v>
      </c>
      <c r="L74">
        <f t="shared" si="26"/>
        <v>1.73354968324846</v>
      </c>
      <c r="M74">
        <v>74</v>
      </c>
      <c r="N74">
        <f t="shared" si="27"/>
        <v>73</v>
      </c>
      <c r="O74">
        <f t="shared" si="28"/>
        <v>0.305237211697936</v>
      </c>
      <c r="P74">
        <f t="shared" si="29"/>
        <v>0.74618298195866595</v>
      </c>
      <c r="Q74">
        <v>74</v>
      </c>
      <c r="R74">
        <f t="shared" si="30"/>
        <v>73</v>
      </c>
      <c r="S74">
        <f t="shared" si="31"/>
        <v>1.104434907010011</v>
      </c>
      <c r="T74">
        <f t="shared" si="32"/>
        <v>1</v>
      </c>
      <c r="U74">
        <v>74</v>
      </c>
      <c r="V74">
        <f t="shared" si="33"/>
        <v>73</v>
      </c>
      <c r="W74">
        <f t="shared" si="34"/>
        <v>1.1557047791720305</v>
      </c>
      <c r="X74">
        <f t="shared" si="35"/>
        <v>0.93519413988924505</v>
      </c>
    </row>
    <row r="75" spans="1:24">
      <c r="A75">
        <v>75</v>
      </c>
      <c r="B75">
        <f t="shared" si="18"/>
        <v>74</v>
      </c>
      <c r="C75">
        <f t="shared" si="19"/>
        <v>0.1395525158893165</v>
      </c>
      <c r="D75">
        <f t="shared" si="20"/>
        <v>1.0427354058196601</v>
      </c>
      <c r="E75">
        <v>75</v>
      </c>
      <c r="F75">
        <f t="shared" si="21"/>
        <v>74</v>
      </c>
      <c r="G75">
        <f t="shared" si="22"/>
        <v>0.19011358254513619</v>
      </c>
      <c r="H75">
        <f t="shared" si="23"/>
        <v>1.10687730344655</v>
      </c>
      <c r="I75">
        <v>75</v>
      </c>
      <c r="J75">
        <f t="shared" si="24"/>
        <v>74</v>
      </c>
      <c r="K75">
        <f t="shared" si="25"/>
        <v>1.3159000350931289</v>
      </c>
      <c r="L75">
        <f t="shared" si="26"/>
        <v>1.26645031675154</v>
      </c>
      <c r="M75">
        <v>75</v>
      </c>
      <c r="N75">
        <f t="shared" si="27"/>
        <v>74</v>
      </c>
      <c r="O75">
        <f t="shared" si="28"/>
        <v>0.30594159791240999</v>
      </c>
      <c r="P75">
        <f t="shared" si="29"/>
        <v>0.253817018041334</v>
      </c>
      <c r="Q75">
        <v>75</v>
      </c>
      <c r="R75">
        <f t="shared" si="30"/>
        <v>74</v>
      </c>
      <c r="S75">
        <f t="shared" si="31"/>
        <v>1.1058655221745317</v>
      </c>
      <c r="T75">
        <f t="shared" si="32"/>
        <v>0</v>
      </c>
      <c r="U75">
        <v>75</v>
      </c>
      <c r="V75">
        <f t="shared" si="33"/>
        <v>74</v>
      </c>
      <c r="W75">
        <f t="shared" si="34"/>
        <v>1.1569499698441028</v>
      </c>
      <c r="X75">
        <f t="shared" si="35"/>
        <v>6.4805860110755301E-2</v>
      </c>
    </row>
    <row r="76" spans="1:24">
      <c r="A76">
        <v>76</v>
      </c>
      <c r="B76">
        <f t="shared" si="18"/>
        <v>75</v>
      </c>
      <c r="C76">
        <f t="shared" si="19"/>
        <v>0.14086085521458211</v>
      </c>
      <c r="D76">
        <f t="shared" si="20"/>
        <v>1.9572645941803399</v>
      </c>
      <c r="E76">
        <v>76</v>
      </c>
      <c r="F76">
        <f t="shared" si="21"/>
        <v>75</v>
      </c>
      <c r="G76">
        <f t="shared" si="22"/>
        <v>0.19123839712754948</v>
      </c>
      <c r="H76">
        <f t="shared" si="23"/>
        <v>1.89312269655345</v>
      </c>
      <c r="I76">
        <v>76</v>
      </c>
      <c r="J76">
        <f t="shared" si="24"/>
        <v>75</v>
      </c>
      <c r="K76">
        <f t="shared" si="25"/>
        <v>1.3165682745301774</v>
      </c>
      <c r="L76">
        <f t="shared" si="26"/>
        <v>1.73354968324846</v>
      </c>
      <c r="M76">
        <v>76</v>
      </c>
      <c r="N76">
        <f t="shared" si="27"/>
        <v>75</v>
      </c>
      <c r="O76">
        <f t="shared" si="28"/>
        <v>0.30664598412688399</v>
      </c>
      <c r="P76">
        <f t="shared" si="29"/>
        <v>0.74618298195866595</v>
      </c>
      <c r="Q76">
        <v>76</v>
      </c>
      <c r="R76">
        <f t="shared" si="30"/>
        <v>75</v>
      </c>
      <c r="S76">
        <f t="shared" si="31"/>
        <v>1.1072961373390524</v>
      </c>
      <c r="T76">
        <f t="shared" si="32"/>
        <v>1</v>
      </c>
      <c r="U76">
        <v>76</v>
      </c>
      <c r="V76">
        <f t="shared" si="33"/>
        <v>75</v>
      </c>
      <c r="W76">
        <f t="shared" si="34"/>
        <v>1.1581951605161749</v>
      </c>
      <c r="X76">
        <f t="shared" si="35"/>
        <v>0.93519413988924505</v>
      </c>
    </row>
    <row r="77" spans="1:24">
      <c r="A77">
        <v>77</v>
      </c>
      <c r="B77">
        <f t="shared" si="18"/>
        <v>76</v>
      </c>
      <c r="C77">
        <f t="shared" si="19"/>
        <v>0.14216919453984769</v>
      </c>
      <c r="D77">
        <f t="shared" si="20"/>
        <v>1.0427354058196601</v>
      </c>
      <c r="E77">
        <v>77</v>
      </c>
      <c r="F77">
        <f t="shared" si="21"/>
        <v>76</v>
      </c>
      <c r="G77">
        <f t="shared" si="22"/>
        <v>0.19236321170996279</v>
      </c>
      <c r="H77">
        <f t="shared" si="23"/>
        <v>1.10687730344655</v>
      </c>
      <c r="I77">
        <v>77</v>
      </c>
      <c r="J77">
        <f t="shared" si="24"/>
        <v>76</v>
      </c>
      <c r="K77">
        <f t="shared" si="25"/>
        <v>1.317236513967226</v>
      </c>
      <c r="L77">
        <f t="shared" si="26"/>
        <v>1.26645031675154</v>
      </c>
      <c r="M77">
        <v>77</v>
      </c>
      <c r="N77">
        <f t="shared" si="27"/>
        <v>76</v>
      </c>
      <c r="O77">
        <f t="shared" si="28"/>
        <v>0.30735037034135798</v>
      </c>
      <c r="P77">
        <f t="shared" si="29"/>
        <v>0.253817018041334</v>
      </c>
      <c r="Q77">
        <v>77</v>
      </c>
      <c r="R77">
        <f t="shared" si="30"/>
        <v>76</v>
      </c>
      <c r="S77">
        <f t="shared" si="31"/>
        <v>1.1087267525035731</v>
      </c>
      <c r="T77">
        <f t="shared" si="32"/>
        <v>0</v>
      </c>
      <c r="U77">
        <v>77</v>
      </c>
      <c r="V77">
        <f t="shared" si="33"/>
        <v>76</v>
      </c>
      <c r="W77">
        <f t="shared" si="34"/>
        <v>1.1594403511882472</v>
      </c>
      <c r="X77">
        <f t="shared" si="35"/>
        <v>6.4805860110755301E-2</v>
      </c>
    </row>
    <row r="78" spans="1:24">
      <c r="A78">
        <v>78</v>
      </c>
      <c r="B78">
        <f t="shared" si="18"/>
        <v>77</v>
      </c>
      <c r="C78">
        <f t="shared" si="19"/>
        <v>0.1434775338651133</v>
      </c>
      <c r="D78">
        <f t="shared" si="20"/>
        <v>1.9572645941803399</v>
      </c>
      <c r="E78">
        <v>78</v>
      </c>
      <c r="F78">
        <f t="shared" si="21"/>
        <v>77</v>
      </c>
      <c r="G78">
        <f t="shared" si="22"/>
        <v>0.1934880262923761</v>
      </c>
      <c r="H78">
        <f t="shared" si="23"/>
        <v>1.89312269655345</v>
      </c>
      <c r="I78">
        <v>78</v>
      </c>
      <c r="J78">
        <f t="shared" si="24"/>
        <v>77</v>
      </c>
      <c r="K78">
        <f t="shared" si="25"/>
        <v>1.3179047534042745</v>
      </c>
      <c r="L78">
        <f t="shared" si="26"/>
        <v>1.73354968324846</v>
      </c>
      <c r="M78">
        <v>78</v>
      </c>
      <c r="N78">
        <f t="shared" si="27"/>
        <v>77</v>
      </c>
      <c r="O78">
        <f t="shared" si="28"/>
        <v>0.30805475655583198</v>
      </c>
      <c r="P78">
        <f t="shared" si="29"/>
        <v>0.74618298195866595</v>
      </c>
      <c r="Q78">
        <v>78</v>
      </c>
      <c r="R78">
        <f t="shared" si="30"/>
        <v>77</v>
      </c>
      <c r="S78">
        <f t="shared" si="31"/>
        <v>1.1101573676680938</v>
      </c>
      <c r="T78">
        <f t="shared" si="32"/>
        <v>1</v>
      </c>
      <c r="U78">
        <v>78</v>
      </c>
      <c r="V78">
        <f t="shared" si="33"/>
        <v>77</v>
      </c>
      <c r="W78">
        <f t="shared" si="34"/>
        <v>1.1606855418603192</v>
      </c>
      <c r="X78">
        <f t="shared" si="35"/>
        <v>0.93519413988924505</v>
      </c>
    </row>
    <row r="79" spans="1:24">
      <c r="A79">
        <v>79</v>
      </c>
      <c r="B79">
        <f t="shared" si="18"/>
        <v>78</v>
      </c>
      <c r="C79">
        <f t="shared" si="19"/>
        <v>0.14478587319037889</v>
      </c>
      <c r="D79">
        <f t="shared" si="20"/>
        <v>1.0427354058196601</v>
      </c>
      <c r="E79">
        <v>79</v>
      </c>
      <c r="F79">
        <f t="shared" si="21"/>
        <v>78</v>
      </c>
      <c r="G79">
        <f t="shared" si="22"/>
        <v>0.19461284087478939</v>
      </c>
      <c r="H79">
        <f t="shared" si="23"/>
        <v>1.10687730344655</v>
      </c>
      <c r="I79">
        <v>79</v>
      </c>
      <c r="J79">
        <f t="shared" si="24"/>
        <v>78</v>
      </c>
      <c r="K79">
        <f t="shared" si="25"/>
        <v>1.318572992841323</v>
      </c>
      <c r="L79">
        <f t="shared" si="26"/>
        <v>1.26645031675154</v>
      </c>
      <c r="M79">
        <v>79</v>
      </c>
      <c r="N79">
        <f t="shared" si="27"/>
        <v>78</v>
      </c>
      <c r="O79">
        <f t="shared" si="28"/>
        <v>0.30875914277030597</v>
      </c>
      <c r="P79">
        <f t="shared" si="29"/>
        <v>0.253817018041334</v>
      </c>
      <c r="Q79">
        <v>79</v>
      </c>
      <c r="R79">
        <f t="shared" si="30"/>
        <v>78</v>
      </c>
      <c r="S79">
        <f t="shared" si="31"/>
        <v>1.1115879828326145</v>
      </c>
      <c r="T79">
        <f t="shared" si="32"/>
        <v>0</v>
      </c>
      <c r="U79">
        <v>79</v>
      </c>
      <c r="V79">
        <f t="shared" si="33"/>
        <v>78</v>
      </c>
      <c r="W79">
        <f t="shared" si="34"/>
        <v>1.1619307325323915</v>
      </c>
      <c r="X79">
        <f t="shared" si="35"/>
        <v>6.4805860110755301E-2</v>
      </c>
    </row>
    <row r="80" spans="1:24">
      <c r="A80">
        <v>80</v>
      </c>
      <c r="B80">
        <f t="shared" si="18"/>
        <v>79</v>
      </c>
      <c r="C80">
        <f t="shared" si="19"/>
        <v>0.1460942125156445</v>
      </c>
      <c r="D80">
        <f t="shared" si="20"/>
        <v>1.9572645941803399</v>
      </c>
      <c r="E80">
        <v>80</v>
      </c>
      <c r="F80">
        <f t="shared" si="21"/>
        <v>79</v>
      </c>
      <c r="G80">
        <f t="shared" si="22"/>
        <v>0.19573765545720268</v>
      </c>
      <c r="H80">
        <f t="shared" si="23"/>
        <v>1.89312269655345</v>
      </c>
      <c r="I80">
        <v>80</v>
      </c>
      <c r="J80">
        <f t="shared" si="24"/>
        <v>79</v>
      </c>
      <c r="K80">
        <f t="shared" si="25"/>
        <v>1.3192412322783715</v>
      </c>
      <c r="L80">
        <f t="shared" si="26"/>
        <v>1.73354968324846</v>
      </c>
      <c r="M80">
        <v>80</v>
      </c>
      <c r="N80">
        <f t="shared" si="27"/>
        <v>79</v>
      </c>
      <c r="O80">
        <f t="shared" si="28"/>
        <v>0.30946352898478002</v>
      </c>
      <c r="P80">
        <f t="shared" si="29"/>
        <v>0.74618298195866595</v>
      </c>
      <c r="Q80">
        <v>80</v>
      </c>
      <c r="R80">
        <f t="shared" si="30"/>
        <v>79</v>
      </c>
      <c r="S80">
        <f t="shared" si="31"/>
        <v>1.1130185979971352</v>
      </c>
      <c r="T80">
        <f t="shared" si="32"/>
        <v>1</v>
      </c>
      <c r="U80">
        <v>80</v>
      </c>
      <c r="V80">
        <f t="shared" si="33"/>
        <v>79</v>
      </c>
      <c r="W80">
        <f t="shared" si="34"/>
        <v>1.1631759232044638</v>
      </c>
      <c r="X80">
        <f t="shared" si="35"/>
        <v>0.93519413988924505</v>
      </c>
    </row>
    <row r="81" spans="1:24">
      <c r="A81">
        <v>81</v>
      </c>
      <c r="B81">
        <f t="shared" si="18"/>
        <v>80</v>
      </c>
      <c r="C81">
        <f t="shared" si="19"/>
        <v>0.14740255184091008</v>
      </c>
      <c r="D81">
        <f t="shared" si="20"/>
        <v>1.0427354058196601</v>
      </c>
      <c r="E81">
        <v>81</v>
      </c>
      <c r="F81">
        <f t="shared" si="21"/>
        <v>80</v>
      </c>
      <c r="G81">
        <f t="shared" si="22"/>
        <v>0.19686247003961599</v>
      </c>
      <c r="H81">
        <f t="shared" si="23"/>
        <v>1.10687730344655</v>
      </c>
      <c r="I81">
        <v>81</v>
      </c>
      <c r="J81">
        <f t="shared" si="24"/>
        <v>80</v>
      </c>
      <c r="K81">
        <f t="shared" si="25"/>
        <v>1.3199094717154201</v>
      </c>
      <c r="L81">
        <f t="shared" si="26"/>
        <v>1.26645031675154</v>
      </c>
      <c r="M81">
        <v>81</v>
      </c>
      <c r="N81">
        <f t="shared" si="27"/>
        <v>80</v>
      </c>
      <c r="O81">
        <f t="shared" si="28"/>
        <v>0.31016791519925402</v>
      </c>
      <c r="P81">
        <f t="shared" si="29"/>
        <v>0.253817018041334</v>
      </c>
      <c r="Q81">
        <v>81</v>
      </c>
      <c r="R81">
        <f t="shared" si="30"/>
        <v>80</v>
      </c>
      <c r="S81">
        <f t="shared" si="31"/>
        <v>1.1144492131616559</v>
      </c>
      <c r="T81">
        <f t="shared" si="32"/>
        <v>0</v>
      </c>
      <c r="U81">
        <v>81</v>
      </c>
      <c r="V81">
        <f t="shared" si="33"/>
        <v>80</v>
      </c>
      <c r="W81">
        <f t="shared" si="34"/>
        <v>1.1644211138765359</v>
      </c>
      <c r="X81">
        <f t="shared" si="35"/>
        <v>6.4805860110755301E-2</v>
      </c>
    </row>
    <row r="82" spans="1:24">
      <c r="A82">
        <v>82</v>
      </c>
      <c r="B82">
        <f t="shared" si="18"/>
        <v>81</v>
      </c>
      <c r="C82">
        <f t="shared" si="19"/>
        <v>0.1487108911661757</v>
      </c>
      <c r="D82">
        <f t="shared" si="20"/>
        <v>1.9572645941803399</v>
      </c>
      <c r="E82">
        <v>82</v>
      </c>
      <c r="F82">
        <f t="shared" si="21"/>
        <v>81</v>
      </c>
      <c r="G82">
        <f t="shared" si="22"/>
        <v>0.1979872846220293</v>
      </c>
      <c r="H82">
        <f t="shared" si="23"/>
        <v>1.89312269655345</v>
      </c>
      <c r="I82">
        <v>82</v>
      </c>
      <c r="J82">
        <f t="shared" si="24"/>
        <v>81</v>
      </c>
      <c r="K82">
        <f t="shared" si="25"/>
        <v>1.3205777111524684</v>
      </c>
      <c r="L82">
        <f t="shared" si="26"/>
        <v>1.73354968324846</v>
      </c>
      <c r="M82">
        <v>82</v>
      </c>
      <c r="N82">
        <f t="shared" si="27"/>
        <v>81</v>
      </c>
      <c r="O82">
        <f t="shared" si="28"/>
        <v>0.31087230141372801</v>
      </c>
      <c r="P82">
        <f t="shared" si="29"/>
        <v>0.74618298195866595</v>
      </c>
      <c r="Q82">
        <v>82</v>
      </c>
      <c r="R82">
        <f t="shared" si="30"/>
        <v>81</v>
      </c>
      <c r="S82">
        <f t="shared" si="31"/>
        <v>1.1158798283261766</v>
      </c>
      <c r="T82">
        <f t="shared" si="32"/>
        <v>1</v>
      </c>
      <c r="U82">
        <v>82</v>
      </c>
      <c r="V82">
        <f t="shared" si="33"/>
        <v>81</v>
      </c>
      <c r="W82">
        <f t="shared" si="34"/>
        <v>1.1656663045486082</v>
      </c>
      <c r="X82">
        <f t="shared" si="35"/>
        <v>0.93519413988924505</v>
      </c>
    </row>
    <row r="83" spans="1:24">
      <c r="A83">
        <v>83</v>
      </c>
      <c r="B83">
        <f t="shared" si="18"/>
        <v>82</v>
      </c>
      <c r="C83">
        <f t="shared" si="19"/>
        <v>0.15001923049144131</v>
      </c>
      <c r="D83">
        <f t="shared" si="20"/>
        <v>1.0427354058196601</v>
      </c>
      <c r="E83">
        <v>83</v>
      </c>
      <c r="F83">
        <f t="shared" si="21"/>
        <v>82</v>
      </c>
      <c r="G83">
        <f t="shared" si="22"/>
        <v>0.19911209920444259</v>
      </c>
      <c r="H83">
        <f t="shared" si="23"/>
        <v>1.10687730344655</v>
      </c>
      <c r="I83">
        <v>83</v>
      </c>
      <c r="J83">
        <f t="shared" si="24"/>
        <v>82</v>
      </c>
      <c r="K83">
        <f t="shared" si="25"/>
        <v>1.3212459505895169</v>
      </c>
      <c r="L83">
        <f t="shared" si="26"/>
        <v>1.26645031675154</v>
      </c>
      <c r="M83">
        <v>83</v>
      </c>
      <c r="N83">
        <f t="shared" si="27"/>
        <v>82</v>
      </c>
      <c r="O83">
        <f t="shared" si="28"/>
        <v>0.31157668762820201</v>
      </c>
      <c r="P83">
        <f t="shared" si="29"/>
        <v>0.253817018041334</v>
      </c>
      <c r="Q83">
        <v>83</v>
      </c>
      <c r="R83">
        <f t="shared" si="30"/>
        <v>82</v>
      </c>
      <c r="S83">
        <f t="shared" si="31"/>
        <v>1.1173104434906973</v>
      </c>
      <c r="T83">
        <f t="shared" si="32"/>
        <v>0</v>
      </c>
      <c r="U83">
        <v>83</v>
      </c>
      <c r="V83">
        <f t="shared" si="33"/>
        <v>82</v>
      </c>
      <c r="W83">
        <f t="shared" si="34"/>
        <v>1.1669114952206803</v>
      </c>
      <c r="X83">
        <f t="shared" si="35"/>
        <v>6.4805860110755301E-2</v>
      </c>
    </row>
    <row r="84" spans="1:24">
      <c r="A84">
        <v>84</v>
      </c>
      <c r="B84">
        <f t="shared" si="18"/>
        <v>83</v>
      </c>
      <c r="C84">
        <f t="shared" si="19"/>
        <v>0.15132756981670689</v>
      </c>
      <c r="D84">
        <f t="shared" si="20"/>
        <v>1.9572645941803399</v>
      </c>
      <c r="E84">
        <v>84</v>
      </c>
      <c r="F84">
        <f t="shared" si="21"/>
        <v>83</v>
      </c>
      <c r="G84">
        <f t="shared" si="22"/>
        <v>0.20023691378685587</v>
      </c>
      <c r="H84">
        <f t="shared" si="23"/>
        <v>1.89312269655345</v>
      </c>
      <c r="I84">
        <v>84</v>
      </c>
      <c r="J84">
        <f t="shared" si="24"/>
        <v>83</v>
      </c>
      <c r="K84">
        <f t="shared" si="25"/>
        <v>1.3219141900265654</v>
      </c>
      <c r="L84">
        <f t="shared" si="26"/>
        <v>1.73354968324846</v>
      </c>
      <c r="M84">
        <v>84</v>
      </c>
      <c r="N84">
        <f t="shared" si="27"/>
        <v>83</v>
      </c>
      <c r="O84">
        <f t="shared" si="28"/>
        <v>0.312281073842676</v>
      </c>
      <c r="P84">
        <f t="shared" si="29"/>
        <v>0.74618298195866595</v>
      </c>
      <c r="Q84">
        <v>84</v>
      </c>
      <c r="R84">
        <f t="shared" si="30"/>
        <v>83</v>
      </c>
      <c r="S84">
        <f t="shared" si="31"/>
        <v>1.118741058655218</v>
      </c>
      <c r="T84">
        <f t="shared" si="32"/>
        <v>1</v>
      </c>
      <c r="U84">
        <v>84</v>
      </c>
      <c r="V84">
        <f t="shared" si="33"/>
        <v>83</v>
      </c>
      <c r="W84">
        <f t="shared" si="34"/>
        <v>1.1681566858927526</v>
      </c>
      <c r="X84">
        <f t="shared" si="35"/>
        <v>0.93519413988924505</v>
      </c>
    </row>
    <row r="85" spans="1:24">
      <c r="A85">
        <v>85</v>
      </c>
      <c r="B85">
        <f t="shared" si="18"/>
        <v>84</v>
      </c>
      <c r="C85">
        <f t="shared" si="19"/>
        <v>0.1526359091419725</v>
      </c>
      <c r="D85">
        <f t="shared" si="20"/>
        <v>1.0427354058196601</v>
      </c>
      <c r="E85">
        <v>85</v>
      </c>
      <c r="F85">
        <f t="shared" si="21"/>
        <v>84</v>
      </c>
      <c r="G85">
        <f t="shared" si="22"/>
        <v>0.20136172836926919</v>
      </c>
      <c r="H85">
        <f t="shared" si="23"/>
        <v>1.10687730344655</v>
      </c>
      <c r="I85">
        <v>85</v>
      </c>
      <c r="J85">
        <f t="shared" si="24"/>
        <v>84</v>
      </c>
      <c r="K85">
        <f t="shared" si="25"/>
        <v>1.3225824294636139</v>
      </c>
      <c r="L85">
        <f t="shared" si="26"/>
        <v>1.26645031675154</v>
      </c>
      <c r="M85">
        <v>85</v>
      </c>
      <c r="N85">
        <f t="shared" si="27"/>
        <v>84</v>
      </c>
      <c r="O85">
        <f t="shared" si="28"/>
        <v>0.31298546005715</v>
      </c>
      <c r="P85">
        <f t="shared" si="29"/>
        <v>0.253817018041334</v>
      </c>
      <c r="Q85">
        <v>85</v>
      </c>
      <c r="R85">
        <f t="shared" si="30"/>
        <v>84</v>
      </c>
      <c r="S85">
        <f t="shared" si="31"/>
        <v>1.1201716738197387</v>
      </c>
      <c r="T85">
        <f t="shared" si="32"/>
        <v>0</v>
      </c>
      <c r="U85">
        <v>85</v>
      </c>
      <c r="V85">
        <f t="shared" si="33"/>
        <v>84</v>
      </c>
      <c r="W85">
        <f t="shared" si="34"/>
        <v>1.1694018765648249</v>
      </c>
      <c r="X85">
        <f t="shared" si="35"/>
        <v>6.4805860110755301E-2</v>
      </c>
    </row>
    <row r="86" spans="1:24">
      <c r="A86">
        <v>86</v>
      </c>
      <c r="B86">
        <f t="shared" si="18"/>
        <v>85</v>
      </c>
      <c r="C86">
        <f t="shared" si="19"/>
        <v>0.15394424846723809</v>
      </c>
      <c r="D86">
        <f t="shared" si="20"/>
        <v>1.9572645941803399</v>
      </c>
      <c r="E86">
        <v>86</v>
      </c>
      <c r="F86">
        <f t="shared" si="21"/>
        <v>85</v>
      </c>
      <c r="G86">
        <f t="shared" si="22"/>
        <v>0.2024865429516825</v>
      </c>
      <c r="H86">
        <f t="shared" si="23"/>
        <v>1.89312269655345</v>
      </c>
      <c r="I86">
        <v>86</v>
      </c>
      <c r="J86">
        <f t="shared" si="24"/>
        <v>85</v>
      </c>
      <c r="K86">
        <f t="shared" si="25"/>
        <v>1.3232506689006625</v>
      </c>
      <c r="L86">
        <f t="shared" si="26"/>
        <v>1.73354968324846</v>
      </c>
      <c r="M86">
        <v>86</v>
      </c>
      <c r="N86">
        <f t="shared" si="27"/>
        <v>85</v>
      </c>
      <c r="O86">
        <f t="shared" si="28"/>
        <v>0.313689846271624</v>
      </c>
      <c r="P86">
        <f t="shared" si="29"/>
        <v>0.74618298195866595</v>
      </c>
      <c r="Q86">
        <v>86</v>
      </c>
      <c r="R86">
        <f t="shared" si="30"/>
        <v>85</v>
      </c>
      <c r="S86">
        <f t="shared" si="31"/>
        <v>1.1216022889842594</v>
      </c>
      <c r="T86">
        <f t="shared" si="32"/>
        <v>1</v>
      </c>
      <c r="U86">
        <v>86</v>
      </c>
      <c r="V86">
        <f t="shared" si="33"/>
        <v>85</v>
      </c>
      <c r="W86">
        <f t="shared" si="34"/>
        <v>1.1706470672368969</v>
      </c>
      <c r="X86">
        <f t="shared" si="35"/>
        <v>0.93519413988924505</v>
      </c>
    </row>
    <row r="87" spans="1:24">
      <c r="A87">
        <v>87</v>
      </c>
      <c r="B87">
        <f t="shared" si="18"/>
        <v>86</v>
      </c>
      <c r="C87">
        <f t="shared" si="19"/>
        <v>0.1552525877925037</v>
      </c>
      <c r="D87">
        <f t="shared" si="20"/>
        <v>1.0427354058196601</v>
      </c>
      <c r="E87">
        <v>87</v>
      </c>
      <c r="F87">
        <f t="shared" si="21"/>
        <v>86</v>
      </c>
      <c r="G87">
        <f t="shared" si="22"/>
        <v>0.20361135753409579</v>
      </c>
      <c r="H87">
        <f t="shared" si="23"/>
        <v>1.10687730344655</v>
      </c>
      <c r="I87">
        <v>87</v>
      </c>
      <c r="J87">
        <f t="shared" si="24"/>
        <v>86</v>
      </c>
      <c r="K87">
        <f t="shared" si="25"/>
        <v>1.323918908337711</v>
      </c>
      <c r="L87">
        <f t="shared" si="26"/>
        <v>1.26645031675154</v>
      </c>
      <c r="M87">
        <v>87</v>
      </c>
      <c r="N87">
        <f t="shared" si="27"/>
        <v>86</v>
      </c>
      <c r="O87">
        <f t="shared" si="28"/>
        <v>0.31439423248609799</v>
      </c>
      <c r="P87">
        <f t="shared" si="29"/>
        <v>0.253817018041334</v>
      </c>
      <c r="Q87">
        <v>87</v>
      </c>
      <c r="R87">
        <f t="shared" si="30"/>
        <v>86</v>
      </c>
      <c r="S87">
        <f t="shared" si="31"/>
        <v>1.1230329041487801</v>
      </c>
      <c r="T87">
        <f t="shared" si="32"/>
        <v>0</v>
      </c>
      <c r="U87">
        <v>87</v>
      </c>
      <c r="V87">
        <f t="shared" si="33"/>
        <v>86</v>
      </c>
      <c r="W87">
        <f t="shared" si="34"/>
        <v>1.1718922579089692</v>
      </c>
      <c r="X87">
        <f t="shared" si="35"/>
        <v>6.4805860110755301E-2</v>
      </c>
    </row>
    <row r="88" spans="1:24">
      <c r="A88">
        <v>88</v>
      </c>
      <c r="B88">
        <f t="shared" si="18"/>
        <v>87</v>
      </c>
      <c r="C88">
        <f t="shared" si="19"/>
        <v>0.15656092711776931</v>
      </c>
      <c r="D88">
        <f t="shared" si="20"/>
        <v>1.9572645941803399</v>
      </c>
      <c r="E88">
        <v>88</v>
      </c>
      <c r="F88">
        <f t="shared" si="21"/>
        <v>87</v>
      </c>
      <c r="G88">
        <f t="shared" si="22"/>
        <v>0.20473617211650907</v>
      </c>
      <c r="H88">
        <f t="shared" si="23"/>
        <v>1.89312269655345</v>
      </c>
      <c r="I88">
        <v>88</v>
      </c>
      <c r="J88">
        <f t="shared" si="24"/>
        <v>87</v>
      </c>
      <c r="K88">
        <f t="shared" si="25"/>
        <v>1.3245871477747595</v>
      </c>
      <c r="L88">
        <f t="shared" si="26"/>
        <v>1.73354968324846</v>
      </c>
      <c r="M88">
        <v>88</v>
      </c>
      <c r="N88">
        <f t="shared" si="27"/>
        <v>87</v>
      </c>
      <c r="O88">
        <f t="shared" si="28"/>
        <v>0.31509861870057199</v>
      </c>
      <c r="P88">
        <f t="shared" si="29"/>
        <v>0.74618298195866595</v>
      </c>
      <c r="Q88">
        <v>88</v>
      </c>
      <c r="R88">
        <f t="shared" si="30"/>
        <v>87</v>
      </c>
      <c r="S88">
        <f t="shared" si="31"/>
        <v>1.1244635193133008</v>
      </c>
      <c r="T88">
        <f t="shared" si="32"/>
        <v>1</v>
      </c>
      <c r="U88">
        <v>88</v>
      </c>
      <c r="V88">
        <f t="shared" si="33"/>
        <v>87</v>
      </c>
      <c r="W88">
        <f t="shared" si="34"/>
        <v>1.1731374485810413</v>
      </c>
      <c r="X88">
        <f t="shared" si="35"/>
        <v>0.93519413988924505</v>
      </c>
    </row>
    <row r="89" spans="1:24">
      <c r="A89">
        <v>89</v>
      </c>
      <c r="B89">
        <f t="shared" si="18"/>
        <v>88</v>
      </c>
      <c r="C89">
        <f t="shared" si="19"/>
        <v>0.15786926644303489</v>
      </c>
      <c r="D89">
        <f t="shared" si="20"/>
        <v>1.0427354058196601</v>
      </c>
      <c r="E89">
        <v>89</v>
      </c>
      <c r="F89">
        <f t="shared" si="21"/>
        <v>88</v>
      </c>
      <c r="G89">
        <f t="shared" si="22"/>
        <v>0.20586098669892239</v>
      </c>
      <c r="H89">
        <f t="shared" si="23"/>
        <v>1.10687730344655</v>
      </c>
      <c r="I89">
        <v>89</v>
      </c>
      <c r="J89">
        <f t="shared" si="24"/>
        <v>88</v>
      </c>
      <c r="K89">
        <f t="shared" si="25"/>
        <v>1.325255387211808</v>
      </c>
      <c r="L89">
        <f t="shared" si="26"/>
        <v>1.26645031675154</v>
      </c>
      <c r="M89">
        <v>89</v>
      </c>
      <c r="N89">
        <f t="shared" si="27"/>
        <v>88</v>
      </c>
      <c r="O89">
        <f t="shared" si="28"/>
        <v>0.31580300491504598</v>
      </c>
      <c r="P89">
        <f t="shared" si="29"/>
        <v>0.253817018041334</v>
      </c>
      <c r="Q89">
        <v>89</v>
      </c>
      <c r="R89">
        <f t="shared" si="30"/>
        <v>88</v>
      </c>
      <c r="S89">
        <f t="shared" si="31"/>
        <v>1.1258941344778215</v>
      </c>
      <c r="T89">
        <f t="shared" si="32"/>
        <v>0</v>
      </c>
      <c r="U89">
        <v>89</v>
      </c>
      <c r="V89">
        <f t="shared" si="33"/>
        <v>88</v>
      </c>
      <c r="W89">
        <f t="shared" si="34"/>
        <v>1.1743826392531136</v>
      </c>
      <c r="X89">
        <f t="shared" si="35"/>
        <v>6.4805860110755301E-2</v>
      </c>
    </row>
    <row r="90" spans="1:24">
      <c r="A90">
        <v>90</v>
      </c>
      <c r="B90">
        <f t="shared" si="18"/>
        <v>89</v>
      </c>
      <c r="C90">
        <f t="shared" si="19"/>
        <v>0.15917760576830051</v>
      </c>
      <c r="D90">
        <f t="shared" si="20"/>
        <v>1.9572645941803399</v>
      </c>
      <c r="E90">
        <v>90</v>
      </c>
      <c r="F90">
        <f t="shared" si="21"/>
        <v>89</v>
      </c>
      <c r="G90">
        <f t="shared" si="22"/>
        <v>0.2069858012813357</v>
      </c>
      <c r="H90">
        <f t="shared" si="23"/>
        <v>1.89312269655345</v>
      </c>
      <c r="I90">
        <v>90</v>
      </c>
      <c r="J90">
        <f t="shared" si="24"/>
        <v>89</v>
      </c>
      <c r="K90">
        <f t="shared" si="25"/>
        <v>1.3259236266488565</v>
      </c>
      <c r="L90">
        <f t="shared" si="26"/>
        <v>1.73354968324846</v>
      </c>
      <c r="M90">
        <v>90</v>
      </c>
      <c r="N90">
        <f t="shared" si="27"/>
        <v>89</v>
      </c>
      <c r="O90">
        <f t="shared" si="28"/>
        <v>0.31650739112951998</v>
      </c>
      <c r="P90">
        <f t="shared" si="29"/>
        <v>0.74618298195866595</v>
      </c>
      <c r="Q90">
        <v>90</v>
      </c>
      <c r="R90">
        <f t="shared" si="30"/>
        <v>89</v>
      </c>
      <c r="S90">
        <f t="shared" si="31"/>
        <v>1.1273247496423422</v>
      </c>
      <c r="T90">
        <f t="shared" si="32"/>
        <v>1</v>
      </c>
      <c r="U90">
        <v>90</v>
      </c>
      <c r="V90">
        <f t="shared" si="33"/>
        <v>89</v>
      </c>
      <c r="W90">
        <f t="shared" si="34"/>
        <v>1.1756278299251857</v>
      </c>
      <c r="X90">
        <f t="shared" si="35"/>
        <v>0.93519413988924505</v>
      </c>
    </row>
    <row r="91" spans="1:24">
      <c r="A91">
        <v>91</v>
      </c>
      <c r="B91">
        <f t="shared" si="18"/>
        <v>90</v>
      </c>
      <c r="C91">
        <f t="shared" si="19"/>
        <v>0.16048594509356609</v>
      </c>
      <c r="D91">
        <f t="shared" si="20"/>
        <v>1.0427354058196601</v>
      </c>
      <c r="E91">
        <v>91</v>
      </c>
      <c r="F91">
        <f t="shared" si="21"/>
        <v>90</v>
      </c>
      <c r="G91">
        <f t="shared" si="22"/>
        <v>0.20811061586374899</v>
      </c>
      <c r="H91">
        <f t="shared" si="23"/>
        <v>1.10687730344655</v>
      </c>
      <c r="I91">
        <v>91</v>
      </c>
      <c r="J91">
        <f t="shared" si="24"/>
        <v>90</v>
      </c>
      <c r="K91">
        <f t="shared" si="25"/>
        <v>1.3265918660859048</v>
      </c>
      <c r="L91">
        <f t="shared" si="26"/>
        <v>1.26645031675154</v>
      </c>
      <c r="M91">
        <v>91</v>
      </c>
      <c r="N91">
        <f t="shared" si="27"/>
        <v>90</v>
      </c>
      <c r="O91">
        <f t="shared" si="28"/>
        <v>0.31721177734399397</v>
      </c>
      <c r="P91">
        <f t="shared" si="29"/>
        <v>0.253817018041334</v>
      </c>
      <c r="Q91">
        <v>91</v>
      </c>
      <c r="R91">
        <f t="shared" si="30"/>
        <v>90</v>
      </c>
      <c r="S91">
        <f t="shared" si="31"/>
        <v>1.1287553648068629</v>
      </c>
      <c r="T91">
        <f t="shared" si="32"/>
        <v>0</v>
      </c>
      <c r="U91">
        <v>91</v>
      </c>
      <c r="V91">
        <f t="shared" si="33"/>
        <v>90</v>
      </c>
      <c r="W91">
        <f t="shared" si="34"/>
        <v>1.176873020597258</v>
      </c>
      <c r="X91">
        <f t="shared" si="35"/>
        <v>6.4805860110755301E-2</v>
      </c>
    </row>
    <row r="92" spans="1:24">
      <c r="A92">
        <v>92</v>
      </c>
      <c r="B92">
        <f t="shared" si="18"/>
        <v>91</v>
      </c>
      <c r="C92">
        <f t="shared" si="19"/>
        <v>0.1617942844188317</v>
      </c>
      <c r="D92">
        <f t="shared" si="20"/>
        <v>1.9572645941803399</v>
      </c>
      <c r="E92">
        <v>92</v>
      </c>
      <c r="F92">
        <f t="shared" si="21"/>
        <v>91</v>
      </c>
      <c r="G92">
        <f t="shared" si="22"/>
        <v>0.20923543044616227</v>
      </c>
      <c r="H92">
        <f t="shared" si="23"/>
        <v>1.89312269655345</v>
      </c>
      <c r="I92">
        <v>92</v>
      </c>
      <c r="J92">
        <f t="shared" si="24"/>
        <v>91</v>
      </c>
      <c r="K92">
        <f t="shared" si="25"/>
        <v>1.3272601055229534</v>
      </c>
      <c r="L92">
        <f t="shared" si="26"/>
        <v>1.73354968324846</v>
      </c>
      <c r="M92">
        <v>92</v>
      </c>
      <c r="N92">
        <f t="shared" si="27"/>
        <v>91</v>
      </c>
      <c r="O92">
        <f t="shared" si="28"/>
        <v>0.31791616355846797</v>
      </c>
      <c r="P92">
        <f t="shared" si="29"/>
        <v>0.74618298195866595</v>
      </c>
      <c r="Q92">
        <v>92</v>
      </c>
      <c r="R92">
        <f t="shared" si="30"/>
        <v>91</v>
      </c>
      <c r="S92">
        <f t="shared" si="31"/>
        <v>1.1301859799713836</v>
      </c>
      <c r="T92">
        <f t="shared" si="32"/>
        <v>1</v>
      </c>
      <c r="U92">
        <v>92</v>
      </c>
      <c r="V92">
        <f t="shared" si="33"/>
        <v>91</v>
      </c>
      <c r="W92">
        <f t="shared" si="34"/>
        <v>1.17811821126933</v>
      </c>
      <c r="X92">
        <f t="shared" si="35"/>
        <v>0.93519413988924505</v>
      </c>
    </row>
    <row r="93" spans="1:24">
      <c r="A93">
        <v>93</v>
      </c>
      <c r="B93">
        <f t="shared" si="18"/>
        <v>92</v>
      </c>
      <c r="C93">
        <f t="shared" si="19"/>
        <v>0.16310262374409729</v>
      </c>
      <c r="D93">
        <f t="shared" si="20"/>
        <v>1.0427354058196601</v>
      </c>
      <c r="E93">
        <v>93</v>
      </c>
      <c r="F93">
        <f t="shared" si="21"/>
        <v>92</v>
      </c>
      <c r="G93">
        <f t="shared" si="22"/>
        <v>0.21036024502857559</v>
      </c>
      <c r="H93">
        <f t="shared" si="23"/>
        <v>1.10687730344655</v>
      </c>
      <c r="I93">
        <v>93</v>
      </c>
      <c r="J93">
        <f t="shared" si="24"/>
        <v>92</v>
      </c>
      <c r="K93">
        <f t="shared" si="25"/>
        <v>1.3279283449600019</v>
      </c>
      <c r="L93">
        <f t="shared" si="26"/>
        <v>1.26645031675154</v>
      </c>
      <c r="M93">
        <v>93</v>
      </c>
      <c r="N93">
        <f t="shared" si="27"/>
        <v>92</v>
      </c>
      <c r="O93">
        <f t="shared" si="28"/>
        <v>0.31862054977294196</v>
      </c>
      <c r="P93">
        <f t="shared" si="29"/>
        <v>0.253817018041334</v>
      </c>
      <c r="Q93">
        <v>93</v>
      </c>
      <c r="R93">
        <f t="shared" si="30"/>
        <v>92</v>
      </c>
      <c r="S93">
        <f t="shared" si="31"/>
        <v>1.1316165951359043</v>
      </c>
      <c r="T93">
        <f t="shared" si="32"/>
        <v>0</v>
      </c>
      <c r="U93">
        <v>93</v>
      </c>
      <c r="V93">
        <f t="shared" si="33"/>
        <v>92</v>
      </c>
      <c r="W93">
        <f t="shared" si="34"/>
        <v>1.1793634019414023</v>
      </c>
      <c r="X93">
        <f t="shared" si="35"/>
        <v>6.4805860110755301E-2</v>
      </c>
    </row>
    <row r="94" spans="1:24">
      <c r="A94">
        <v>94</v>
      </c>
      <c r="B94">
        <f t="shared" si="18"/>
        <v>93</v>
      </c>
      <c r="C94">
        <f t="shared" si="19"/>
        <v>0.1644109630693629</v>
      </c>
      <c r="D94">
        <f t="shared" si="20"/>
        <v>1.9572645941803399</v>
      </c>
      <c r="E94">
        <v>94</v>
      </c>
      <c r="F94">
        <f t="shared" si="21"/>
        <v>93</v>
      </c>
      <c r="G94">
        <f t="shared" si="22"/>
        <v>0.2114850596109889</v>
      </c>
      <c r="H94">
        <f t="shared" si="23"/>
        <v>1.89312269655345</v>
      </c>
      <c r="I94">
        <v>94</v>
      </c>
      <c r="J94">
        <f t="shared" si="24"/>
        <v>93</v>
      </c>
      <c r="K94">
        <f t="shared" si="25"/>
        <v>1.3285965843970504</v>
      </c>
      <c r="L94">
        <f t="shared" si="26"/>
        <v>1.73354968324846</v>
      </c>
      <c r="M94">
        <v>94</v>
      </c>
      <c r="N94">
        <f t="shared" si="27"/>
        <v>93</v>
      </c>
      <c r="O94">
        <f t="shared" si="28"/>
        <v>0.31932493598741601</v>
      </c>
      <c r="P94">
        <f t="shared" si="29"/>
        <v>0.74618298195866595</v>
      </c>
      <c r="Q94">
        <v>94</v>
      </c>
      <c r="R94">
        <f t="shared" si="30"/>
        <v>93</v>
      </c>
      <c r="S94">
        <f t="shared" si="31"/>
        <v>1.133047210300425</v>
      </c>
      <c r="T94">
        <f t="shared" si="32"/>
        <v>1</v>
      </c>
      <c r="U94">
        <v>94</v>
      </c>
      <c r="V94">
        <f t="shared" si="33"/>
        <v>93</v>
      </c>
      <c r="W94">
        <f t="shared" si="34"/>
        <v>1.1806085926134746</v>
      </c>
      <c r="X94">
        <f t="shared" si="35"/>
        <v>0.93519413988924505</v>
      </c>
    </row>
    <row r="95" spans="1:24">
      <c r="A95">
        <v>95</v>
      </c>
      <c r="B95">
        <f t="shared" si="18"/>
        <v>94</v>
      </c>
      <c r="C95">
        <f t="shared" si="19"/>
        <v>0.16571930239462851</v>
      </c>
      <c r="D95">
        <f t="shared" si="20"/>
        <v>1.0427354058196601</v>
      </c>
      <c r="E95">
        <v>95</v>
      </c>
      <c r="F95">
        <f t="shared" si="21"/>
        <v>94</v>
      </c>
      <c r="G95">
        <f t="shared" si="22"/>
        <v>0.21260987419340219</v>
      </c>
      <c r="H95">
        <f t="shared" si="23"/>
        <v>1.10687730344655</v>
      </c>
      <c r="I95">
        <v>95</v>
      </c>
      <c r="J95">
        <f t="shared" si="24"/>
        <v>94</v>
      </c>
      <c r="K95">
        <f t="shared" si="25"/>
        <v>1.3292648238340989</v>
      </c>
      <c r="L95">
        <f t="shared" si="26"/>
        <v>1.26645031675154</v>
      </c>
      <c r="M95">
        <v>95</v>
      </c>
      <c r="N95">
        <f t="shared" si="27"/>
        <v>94</v>
      </c>
      <c r="O95">
        <f t="shared" si="28"/>
        <v>0.32002932220189001</v>
      </c>
      <c r="P95">
        <f t="shared" si="29"/>
        <v>0.253817018041334</v>
      </c>
      <c r="Q95">
        <v>95</v>
      </c>
      <c r="R95">
        <f t="shared" si="30"/>
        <v>94</v>
      </c>
      <c r="S95">
        <f t="shared" si="31"/>
        <v>1.1344778254649457</v>
      </c>
      <c r="T95">
        <f t="shared" si="32"/>
        <v>0</v>
      </c>
      <c r="U95">
        <v>95</v>
      </c>
      <c r="V95">
        <f t="shared" si="33"/>
        <v>94</v>
      </c>
      <c r="W95">
        <f t="shared" si="34"/>
        <v>1.1818537832855467</v>
      </c>
      <c r="X95">
        <f t="shared" si="35"/>
        <v>6.4805860110755301E-2</v>
      </c>
    </row>
    <row r="96" spans="1:24">
      <c r="A96">
        <v>96</v>
      </c>
      <c r="B96">
        <f t="shared" si="18"/>
        <v>95</v>
      </c>
      <c r="C96">
        <f t="shared" si="19"/>
        <v>0.16702764171989409</v>
      </c>
      <c r="D96">
        <f t="shared" si="20"/>
        <v>1.9572645941803399</v>
      </c>
      <c r="E96">
        <v>96</v>
      </c>
      <c r="F96">
        <f t="shared" si="21"/>
        <v>95</v>
      </c>
      <c r="G96">
        <f t="shared" si="22"/>
        <v>0.21373468877581547</v>
      </c>
      <c r="H96">
        <f t="shared" si="23"/>
        <v>1.89312269655345</v>
      </c>
      <c r="I96">
        <v>96</v>
      </c>
      <c r="J96">
        <f t="shared" si="24"/>
        <v>95</v>
      </c>
      <c r="K96">
        <f t="shared" si="25"/>
        <v>1.3299330632711475</v>
      </c>
      <c r="L96">
        <f t="shared" si="26"/>
        <v>1.73354968324846</v>
      </c>
      <c r="M96">
        <v>96</v>
      </c>
      <c r="N96">
        <f t="shared" si="27"/>
        <v>95</v>
      </c>
      <c r="O96">
        <f t="shared" si="28"/>
        <v>0.32073370841636401</v>
      </c>
      <c r="P96">
        <f t="shared" si="29"/>
        <v>0.74618298195866595</v>
      </c>
      <c r="Q96">
        <v>96</v>
      </c>
      <c r="R96">
        <f t="shared" si="30"/>
        <v>95</v>
      </c>
      <c r="S96">
        <f t="shared" si="31"/>
        <v>1.1359084406294664</v>
      </c>
      <c r="T96">
        <f t="shared" si="32"/>
        <v>1</v>
      </c>
      <c r="U96">
        <v>96</v>
      </c>
      <c r="V96">
        <f t="shared" si="33"/>
        <v>95</v>
      </c>
      <c r="W96">
        <f t="shared" si="34"/>
        <v>1.183098973957619</v>
      </c>
      <c r="X96">
        <f t="shared" si="35"/>
        <v>0.93519413988924505</v>
      </c>
    </row>
    <row r="97" spans="1:24">
      <c r="A97">
        <v>97</v>
      </c>
      <c r="B97">
        <f t="shared" si="18"/>
        <v>96</v>
      </c>
      <c r="C97">
        <f t="shared" si="19"/>
        <v>0.1683359810451597</v>
      </c>
      <c r="D97">
        <f t="shared" si="20"/>
        <v>1.0427354058196601</v>
      </c>
      <c r="E97">
        <v>97</v>
      </c>
      <c r="F97">
        <f t="shared" si="21"/>
        <v>96</v>
      </c>
      <c r="G97">
        <f t="shared" si="22"/>
        <v>0.21485950335822879</v>
      </c>
      <c r="H97">
        <f t="shared" si="23"/>
        <v>1.10687730344655</v>
      </c>
      <c r="I97">
        <v>97</v>
      </c>
      <c r="J97">
        <f t="shared" si="24"/>
        <v>96</v>
      </c>
      <c r="K97">
        <f t="shared" si="25"/>
        <v>1.330601302708196</v>
      </c>
      <c r="L97">
        <f t="shared" si="26"/>
        <v>1.26645031675154</v>
      </c>
      <c r="M97">
        <v>97</v>
      </c>
      <c r="N97">
        <f t="shared" si="27"/>
        <v>96</v>
      </c>
      <c r="O97">
        <f t="shared" si="28"/>
        <v>0.321438094630838</v>
      </c>
      <c r="P97">
        <f t="shared" si="29"/>
        <v>0.253817018041334</v>
      </c>
      <c r="Q97">
        <v>97</v>
      </c>
      <c r="R97">
        <f t="shared" si="30"/>
        <v>96</v>
      </c>
      <c r="S97">
        <f t="shared" si="31"/>
        <v>1.1373390557939871</v>
      </c>
      <c r="T97">
        <f t="shared" si="32"/>
        <v>0</v>
      </c>
      <c r="U97">
        <v>97</v>
      </c>
      <c r="V97">
        <f t="shared" si="33"/>
        <v>96</v>
      </c>
      <c r="W97">
        <f t="shared" si="34"/>
        <v>1.1843441646296911</v>
      </c>
      <c r="X97">
        <f t="shared" si="35"/>
        <v>6.4805860110755301E-2</v>
      </c>
    </row>
    <row r="98" spans="1:24">
      <c r="A98">
        <v>98</v>
      </c>
      <c r="B98">
        <f t="shared" si="18"/>
        <v>97</v>
      </c>
      <c r="C98">
        <f t="shared" si="19"/>
        <v>0.16964432037042529</v>
      </c>
      <c r="D98">
        <f t="shared" si="20"/>
        <v>1.9572645941803399</v>
      </c>
      <c r="E98">
        <v>98</v>
      </c>
      <c r="F98">
        <f t="shared" si="21"/>
        <v>97</v>
      </c>
      <c r="G98">
        <f t="shared" si="22"/>
        <v>0.2159843179406421</v>
      </c>
      <c r="H98">
        <f t="shared" si="23"/>
        <v>1.89312269655345</v>
      </c>
      <c r="I98">
        <v>98</v>
      </c>
      <c r="J98">
        <f t="shared" si="24"/>
        <v>97</v>
      </c>
      <c r="K98">
        <f t="shared" si="25"/>
        <v>1.3312695421452445</v>
      </c>
      <c r="L98">
        <f t="shared" si="26"/>
        <v>1.73354968324846</v>
      </c>
      <c r="M98">
        <v>98</v>
      </c>
      <c r="N98">
        <f t="shared" si="27"/>
        <v>97</v>
      </c>
      <c r="O98">
        <f t="shared" si="28"/>
        <v>0.322142480845312</v>
      </c>
      <c r="P98">
        <f t="shared" si="29"/>
        <v>0.74618298195866595</v>
      </c>
      <c r="Q98">
        <v>98</v>
      </c>
      <c r="R98">
        <f t="shared" si="30"/>
        <v>97</v>
      </c>
      <c r="S98">
        <f t="shared" si="31"/>
        <v>1.1387696709585078</v>
      </c>
      <c r="T98">
        <f t="shared" si="32"/>
        <v>1</v>
      </c>
      <c r="U98">
        <v>98</v>
      </c>
      <c r="V98">
        <f t="shared" si="33"/>
        <v>97</v>
      </c>
      <c r="W98">
        <f t="shared" si="34"/>
        <v>1.1855893553017633</v>
      </c>
      <c r="X98">
        <f t="shared" si="35"/>
        <v>0.93519413988924505</v>
      </c>
    </row>
    <row r="99" spans="1:24">
      <c r="A99">
        <v>99</v>
      </c>
      <c r="B99">
        <f t="shared" si="18"/>
        <v>98</v>
      </c>
      <c r="C99">
        <f t="shared" si="19"/>
        <v>0.1709526596956909</v>
      </c>
      <c r="D99">
        <f t="shared" si="20"/>
        <v>1.0427354058196601</v>
      </c>
      <c r="E99">
        <v>99</v>
      </c>
      <c r="F99">
        <f t="shared" si="21"/>
        <v>98</v>
      </c>
      <c r="G99">
        <f t="shared" si="22"/>
        <v>0.21710913252305539</v>
      </c>
      <c r="H99">
        <f t="shared" si="23"/>
        <v>1.10687730344655</v>
      </c>
      <c r="I99">
        <v>99</v>
      </c>
      <c r="J99">
        <f t="shared" si="24"/>
        <v>98</v>
      </c>
      <c r="K99">
        <f t="shared" si="25"/>
        <v>1.331937781582293</v>
      </c>
      <c r="L99">
        <f t="shared" si="26"/>
        <v>1.26645031675154</v>
      </c>
      <c r="M99">
        <v>99</v>
      </c>
      <c r="N99">
        <f t="shared" si="27"/>
        <v>98</v>
      </c>
      <c r="O99">
        <f t="shared" si="28"/>
        <v>0.32284686705978599</v>
      </c>
      <c r="P99">
        <f t="shared" si="29"/>
        <v>0.253817018041334</v>
      </c>
      <c r="Q99">
        <v>99</v>
      </c>
      <c r="R99">
        <f t="shared" si="30"/>
        <v>98</v>
      </c>
      <c r="S99">
        <f t="shared" si="31"/>
        <v>1.1402002861230285</v>
      </c>
      <c r="T99">
        <f t="shared" si="32"/>
        <v>0</v>
      </c>
      <c r="U99">
        <v>99</v>
      </c>
      <c r="V99">
        <f t="shared" si="33"/>
        <v>98</v>
      </c>
      <c r="W99">
        <f t="shared" si="34"/>
        <v>1.1868345459738356</v>
      </c>
      <c r="X99">
        <f t="shared" si="35"/>
        <v>6.4805860110755301E-2</v>
      </c>
    </row>
    <row r="100" spans="1:24">
      <c r="A100">
        <v>100</v>
      </c>
      <c r="B100">
        <f t="shared" si="18"/>
        <v>99</v>
      </c>
      <c r="C100">
        <f t="shared" si="19"/>
        <v>0.17226099902095648</v>
      </c>
      <c r="D100">
        <f t="shared" si="20"/>
        <v>1.9572645941803399</v>
      </c>
      <c r="E100">
        <v>100</v>
      </c>
      <c r="F100">
        <f t="shared" si="21"/>
        <v>99</v>
      </c>
      <c r="G100">
        <f t="shared" si="22"/>
        <v>0.21823394710546867</v>
      </c>
      <c r="H100">
        <f t="shared" si="23"/>
        <v>1.89312269655345</v>
      </c>
      <c r="I100">
        <v>100</v>
      </c>
      <c r="J100">
        <f t="shared" si="24"/>
        <v>99</v>
      </c>
      <c r="K100">
        <f t="shared" si="25"/>
        <v>1.3326060210193416</v>
      </c>
      <c r="L100">
        <f t="shared" si="26"/>
        <v>1.73354968324846</v>
      </c>
      <c r="M100">
        <v>100</v>
      </c>
      <c r="N100">
        <f t="shared" si="27"/>
        <v>99</v>
      </c>
      <c r="O100">
        <f t="shared" si="28"/>
        <v>0.32355125327425999</v>
      </c>
      <c r="P100">
        <f t="shared" si="29"/>
        <v>0.74618298195866595</v>
      </c>
      <c r="Q100">
        <v>100</v>
      </c>
      <c r="R100">
        <f t="shared" si="30"/>
        <v>99</v>
      </c>
      <c r="S100">
        <f t="shared" si="31"/>
        <v>1.1416309012875492</v>
      </c>
      <c r="T100">
        <f t="shared" si="32"/>
        <v>1</v>
      </c>
      <c r="U100">
        <v>100</v>
      </c>
      <c r="V100">
        <f t="shared" si="33"/>
        <v>99</v>
      </c>
      <c r="W100">
        <f t="shared" si="34"/>
        <v>1.1880797366459077</v>
      </c>
      <c r="X100">
        <f t="shared" si="35"/>
        <v>0.93519413988924505</v>
      </c>
    </row>
    <row r="101" spans="1:24">
      <c r="A101">
        <v>101</v>
      </c>
      <c r="B101">
        <f t="shared" si="18"/>
        <v>100</v>
      </c>
      <c r="C101">
        <f t="shared" si="19"/>
        <v>0.1735693383462221</v>
      </c>
      <c r="D101">
        <f t="shared" si="20"/>
        <v>1.0427354058196601</v>
      </c>
      <c r="E101">
        <v>101</v>
      </c>
      <c r="F101">
        <f t="shared" si="21"/>
        <v>100</v>
      </c>
      <c r="G101">
        <f t="shared" si="22"/>
        <v>0.21935876168788199</v>
      </c>
      <c r="H101">
        <f t="shared" si="23"/>
        <v>1.10687730344655</v>
      </c>
      <c r="I101">
        <v>101</v>
      </c>
      <c r="J101">
        <f t="shared" si="24"/>
        <v>100</v>
      </c>
      <c r="K101">
        <f t="shared" si="25"/>
        <v>1.3332742604563899</v>
      </c>
      <c r="L101">
        <f t="shared" si="26"/>
        <v>1.26645031675154</v>
      </c>
      <c r="M101">
        <v>101</v>
      </c>
      <c r="N101">
        <f t="shared" si="27"/>
        <v>100</v>
      </c>
      <c r="O101">
        <f t="shared" si="28"/>
        <v>0.32425563948873398</v>
      </c>
      <c r="P101">
        <f t="shared" si="29"/>
        <v>0.253817018041334</v>
      </c>
      <c r="Q101">
        <v>101</v>
      </c>
      <c r="R101">
        <f t="shared" si="30"/>
        <v>100</v>
      </c>
      <c r="S101">
        <f t="shared" si="31"/>
        <v>1.1430615164520699</v>
      </c>
      <c r="T101">
        <f t="shared" si="32"/>
        <v>0</v>
      </c>
      <c r="U101">
        <v>101</v>
      </c>
      <c r="V101">
        <f t="shared" si="33"/>
        <v>100</v>
      </c>
      <c r="W101">
        <f t="shared" si="34"/>
        <v>1.18932492731798</v>
      </c>
      <c r="X101">
        <f t="shared" si="35"/>
        <v>6.4805860110755301E-2</v>
      </c>
    </row>
    <row r="102" spans="1:24">
      <c r="A102">
        <v>102</v>
      </c>
      <c r="B102">
        <f t="shared" si="18"/>
        <v>101</v>
      </c>
      <c r="C102">
        <f t="shared" si="19"/>
        <v>0.17487767767148768</v>
      </c>
      <c r="D102">
        <f t="shared" si="20"/>
        <v>1.9572645941803399</v>
      </c>
      <c r="E102">
        <v>102</v>
      </c>
      <c r="F102">
        <f t="shared" si="21"/>
        <v>101</v>
      </c>
      <c r="G102">
        <f t="shared" si="22"/>
        <v>0.2204835762702953</v>
      </c>
      <c r="H102">
        <f t="shared" si="23"/>
        <v>1.89312269655345</v>
      </c>
      <c r="I102">
        <v>102</v>
      </c>
      <c r="J102">
        <f t="shared" si="24"/>
        <v>101</v>
      </c>
      <c r="K102">
        <f t="shared" si="25"/>
        <v>1.3339424998934384</v>
      </c>
      <c r="L102">
        <f t="shared" si="26"/>
        <v>1.73354968324846</v>
      </c>
      <c r="M102">
        <v>102</v>
      </c>
      <c r="N102">
        <f t="shared" si="27"/>
        <v>101</v>
      </c>
      <c r="O102">
        <f t="shared" si="28"/>
        <v>0.32496002570320798</v>
      </c>
      <c r="P102">
        <f t="shared" si="29"/>
        <v>0.74618298195866595</v>
      </c>
      <c r="Q102">
        <v>102</v>
      </c>
      <c r="R102">
        <f t="shared" si="30"/>
        <v>101</v>
      </c>
      <c r="S102">
        <f t="shared" si="31"/>
        <v>1.1444921316165906</v>
      </c>
      <c r="T102">
        <f t="shared" si="32"/>
        <v>1</v>
      </c>
      <c r="U102">
        <v>102</v>
      </c>
      <c r="V102">
        <f t="shared" si="33"/>
        <v>101</v>
      </c>
      <c r="W102">
        <f t="shared" si="34"/>
        <v>1.1905701179900521</v>
      </c>
      <c r="X102">
        <f t="shared" si="35"/>
        <v>0.93519413988924505</v>
      </c>
    </row>
    <row r="103" spans="1:24">
      <c r="A103">
        <v>103</v>
      </c>
      <c r="B103">
        <f t="shared" si="18"/>
        <v>102</v>
      </c>
      <c r="C103">
        <f t="shared" si="19"/>
        <v>0.17618601699675329</v>
      </c>
      <c r="D103">
        <f t="shared" si="20"/>
        <v>1.0427354058196601</v>
      </c>
      <c r="E103">
        <v>103</v>
      </c>
      <c r="F103">
        <f t="shared" si="21"/>
        <v>102</v>
      </c>
      <c r="G103">
        <f t="shared" si="22"/>
        <v>0.22160839085270859</v>
      </c>
      <c r="H103">
        <f t="shared" si="23"/>
        <v>1.10687730344655</v>
      </c>
      <c r="I103">
        <v>103</v>
      </c>
      <c r="J103">
        <f t="shared" si="24"/>
        <v>102</v>
      </c>
      <c r="K103">
        <f t="shared" si="25"/>
        <v>1.3346107393304869</v>
      </c>
      <c r="L103">
        <f t="shared" si="26"/>
        <v>1.26645031675154</v>
      </c>
      <c r="M103">
        <v>103</v>
      </c>
      <c r="N103">
        <f t="shared" si="27"/>
        <v>102</v>
      </c>
      <c r="O103">
        <f t="shared" si="28"/>
        <v>0.32566441191768197</v>
      </c>
      <c r="P103">
        <f t="shared" si="29"/>
        <v>0.253817018041334</v>
      </c>
      <c r="Q103">
        <v>103</v>
      </c>
      <c r="R103">
        <f t="shared" si="30"/>
        <v>102</v>
      </c>
      <c r="S103">
        <f t="shared" si="31"/>
        <v>1.1459227467811113</v>
      </c>
      <c r="T103">
        <f t="shared" si="32"/>
        <v>0</v>
      </c>
      <c r="U103">
        <v>103</v>
      </c>
      <c r="V103">
        <f t="shared" si="33"/>
        <v>102</v>
      </c>
      <c r="W103">
        <f t="shared" si="34"/>
        <v>1.1918153086621244</v>
      </c>
      <c r="X103">
        <f t="shared" si="35"/>
        <v>6.4805860110755301E-2</v>
      </c>
    </row>
    <row r="104" spans="1:24">
      <c r="A104">
        <v>104</v>
      </c>
      <c r="B104">
        <f t="shared" si="18"/>
        <v>103</v>
      </c>
      <c r="C104">
        <f t="shared" si="19"/>
        <v>0.1774943563220189</v>
      </c>
      <c r="D104">
        <f t="shared" si="20"/>
        <v>1.9572645941803399</v>
      </c>
      <c r="E104">
        <v>104</v>
      </c>
      <c r="F104">
        <f t="shared" si="21"/>
        <v>103</v>
      </c>
      <c r="G104">
        <f t="shared" si="22"/>
        <v>0.22273320543512187</v>
      </c>
      <c r="H104">
        <f t="shared" si="23"/>
        <v>1.89312269655345</v>
      </c>
      <c r="I104">
        <v>104</v>
      </c>
      <c r="J104">
        <f t="shared" si="24"/>
        <v>103</v>
      </c>
      <c r="K104">
        <f t="shared" si="25"/>
        <v>1.3352789787675354</v>
      </c>
      <c r="L104">
        <f t="shared" si="26"/>
        <v>1.73354968324846</v>
      </c>
      <c r="M104">
        <v>104</v>
      </c>
      <c r="N104">
        <f t="shared" si="27"/>
        <v>103</v>
      </c>
      <c r="O104">
        <f t="shared" si="28"/>
        <v>0.32636879813215602</v>
      </c>
      <c r="P104">
        <f t="shared" si="29"/>
        <v>0.74618298195866595</v>
      </c>
      <c r="Q104">
        <v>104</v>
      </c>
      <c r="R104">
        <f t="shared" si="30"/>
        <v>103</v>
      </c>
      <c r="S104">
        <f t="shared" si="31"/>
        <v>1.147353361945632</v>
      </c>
      <c r="T104">
        <f t="shared" si="32"/>
        <v>1</v>
      </c>
      <c r="U104">
        <v>104</v>
      </c>
      <c r="V104">
        <f t="shared" si="33"/>
        <v>103</v>
      </c>
      <c r="W104">
        <f t="shared" si="34"/>
        <v>1.1930604993341967</v>
      </c>
      <c r="X104">
        <f t="shared" si="35"/>
        <v>0.93519413988924505</v>
      </c>
    </row>
    <row r="105" spans="1:24">
      <c r="A105">
        <v>105</v>
      </c>
      <c r="B105">
        <f t="shared" si="18"/>
        <v>104</v>
      </c>
      <c r="C105">
        <f t="shared" si="19"/>
        <v>0.17880269564728449</v>
      </c>
      <c r="D105">
        <f t="shared" si="20"/>
        <v>1.0427354058196601</v>
      </c>
      <c r="E105">
        <v>105</v>
      </c>
      <c r="F105">
        <f t="shared" si="21"/>
        <v>104</v>
      </c>
      <c r="G105">
        <f t="shared" si="22"/>
        <v>0.22385802001753519</v>
      </c>
      <c r="H105">
        <f t="shared" si="23"/>
        <v>1.10687730344655</v>
      </c>
      <c r="I105">
        <v>105</v>
      </c>
      <c r="J105">
        <f t="shared" si="24"/>
        <v>104</v>
      </c>
      <c r="K105">
        <f t="shared" si="25"/>
        <v>1.335947218204584</v>
      </c>
      <c r="L105">
        <f t="shared" si="26"/>
        <v>1.26645031675154</v>
      </c>
      <c r="M105">
        <v>105</v>
      </c>
      <c r="N105">
        <f t="shared" si="27"/>
        <v>104</v>
      </c>
      <c r="O105">
        <f t="shared" si="28"/>
        <v>0.32707318434663002</v>
      </c>
      <c r="P105">
        <f t="shared" si="29"/>
        <v>0.253817018041334</v>
      </c>
      <c r="Q105">
        <v>105</v>
      </c>
      <c r="R105">
        <f t="shared" si="30"/>
        <v>104</v>
      </c>
      <c r="S105">
        <f t="shared" si="31"/>
        <v>1.1487839771101527</v>
      </c>
      <c r="T105">
        <f t="shared" si="32"/>
        <v>0</v>
      </c>
      <c r="U105">
        <v>105</v>
      </c>
      <c r="V105">
        <f t="shared" si="33"/>
        <v>104</v>
      </c>
      <c r="W105">
        <f t="shared" si="34"/>
        <v>1.1943056900062687</v>
      </c>
      <c r="X105">
        <f t="shared" si="35"/>
        <v>6.4805860110755301E-2</v>
      </c>
    </row>
    <row r="106" spans="1:24">
      <c r="A106">
        <v>106</v>
      </c>
      <c r="B106">
        <f t="shared" si="18"/>
        <v>105</v>
      </c>
      <c r="C106">
        <f t="shared" si="19"/>
        <v>0.1801110349725501</v>
      </c>
      <c r="D106">
        <f t="shared" si="20"/>
        <v>1.9572645941803399</v>
      </c>
      <c r="E106">
        <v>106</v>
      </c>
      <c r="F106">
        <f t="shared" si="21"/>
        <v>105</v>
      </c>
      <c r="G106">
        <f t="shared" si="22"/>
        <v>0.2249828345999485</v>
      </c>
      <c r="H106">
        <f t="shared" si="23"/>
        <v>1.89312269655345</v>
      </c>
      <c r="I106">
        <v>106</v>
      </c>
      <c r="J106">
        <f t="shared" si="24"/>
        <v>105</v>
      </c>
      <c r="K106">
        <f t="shared" si="25"/>
        <v>1.3366154576416325</v>
      </c>
      <c r="L106">
        <f t="shared" si="26"/>
        <v>1.73354968324846</v>
      </c>
      <c r="M106">
        <v>106</v>
      </c>
      <c r="N106">
        <f t="shared" si="27"/>
        <v>105</v>
      </c>
      <c r="O106">
        <f t="shared" si="28"/>
        <v>0.32777757056110401</v>
      </c>
      <c r="P106">
        <f t="shared" si="29"/>
        <v>0.74618298195866595</v>
      </c>
      <c r="Q106">
        <v>106</v>
      </c>
      <c r="R106">
        <f t="shared" si="30"/>
        <v>105</v>
      </c>
      <c r="S106">
        <f t="shared" si="31"/>
        <v>1.1502145922746734</v>
      </c>
      <c r="T106">
        <f t="shared" si="32"/>
        <v>1</v>
      </c>
      <c r="U106">
        <v>106</v>
      </c>
      <c r="V106">
        <f t="shared" si="33"/>
        <v>105</v>
      </c>
      <c r="W106">
        <f t="shared" si="34"/>
        <v>1.195550880678341</v>
      </c>
      <c r="X106">
        <f t="shared" si="35"/>
        <v>0.93519413988924505</v>
      </c>
    </row>
    <row r="107" spans="1:24">
      <c r="A107">
        <v>107</v>
      </c>
      <c r="B107">
        <f t="shared" si="18"/>
        <v>106</v>
      </c>
      <c r="C107">
        <f t="shared" si="19"/>
        <v>0.18141937429781568</v>
      </c>
      <c r="D107">
        <f t="shared" si="20"/>
        <v>1.0427354058196601</v>
      </c>
      <c r="E107">
        <v>107</v>
      </c>
      <c r="F107">
        <f t="shared" si="21"/>
        <v>106</v>
      </c>
      <c r="G107">
        <f t="shared" si="22"/>
        <v>0.22610764918236179</v>
      </c>
      <c r="H107">
        <f t="shared" si="23"/>
        <v>1.10687730344655</v>
      </c>
      <c r="I107">
        <v>107</v>
      </c>
      <c r="J107">
        <f t="shared" si="24"/>
        <v>106</v>
      </c>
      <c r="K107">
        <f t="shared" si="25"/>
        <v>1.337283697078681</v>
      </c>
      <c r="L107">
        <f t="shared" si="26"/>
        <v>1.26645031675154</v>
      </c>
      <c r="M107">
        <v>107</v>
      </c>
      <c r="N107">
        <f t="shared" si="27"/>
        <v>106</v>
      </c>
      <c r="O107">
        <f t="shared" si="28"/>
        <v>0.32848195677557801</v>
      </c>
      <c r="P107">
        <f t="shared" si="29"/>
        <v>0.253817018041334</v>
      </c>
      <c r="Q107">
        <v>107</v>
      </c>
      <c r="R107">
        <f t="shared" si="30"/>
        <v>106</v>
      </c>
      <c r="S107">
        <f t="shared" si="31"/>
        <v>1.1516452074391941</v>
      </c>
      <c r="T107">
        <f t="shared" si="32"/>
        <v>0</v>
      </c>
      <c r="U107">
        <v>107</v>
      </c>
      <c r="V107">
        <f t="shared" si="33"/>
        <v>106</v>
      </c>
      <c r="W107">
        <f t="shared" si="34"/>
        <v>1.1967960713504131</v>
      </c>
      <c r="X107">
        <f t="shared" si="35"/>
        <v>6.4805860110755301E-2</v>
      </c>
    </row>
    <row r="108" spans="1:24">
      <c r="A108">
        <v>108</v>
      </c>
      <c r="B108">
        <f t="shared" si="18"/>
        <v>107</v>
      </c>
      <c r="C108">
        <f t="shared" si="19"/>
        <v>0.18272771362308129</v>
      </c>
      <c r="D108">
        <f t="shared" si="20"/>
        <v>1.9572645941803399</v>
      </c>
      <c r="E108">
        <v>108</v>
      </c>
      <c r="F108">
        <f t="shared" si="21"/>
        <v>107</v>
      </c>
      <c r="G108">
        <f t="shared" si="22"/>
        <v>0.22723246376477507</v>
      </c>
      <c r="H108">
        <f t="shared" si="23"/>
        <v>1.89312269655345</v>
      </c>
      <c r="I108">
        <v>108</v>
      </c>
      <c r="J108">
        <f t="shared" si="24"/>
        <v>107</v>
      </c>
      <c r="K108">
        <f t="shared" si="25"/>
        <v>1.3379519365157295</v>
      </c>
      <c r="L108">
        <f t="shared" si="26"/>
        <v>1.73354968324846</v>
      </c>
      <c r="M108">
        <v>108</v>
      </c>
      <c r="N108">
        <f t="shared" si="27"/>
        <v>107</v>
      </c>
      <c r="O108">
        <f t="shared" si="28"/>
        <v>0.32918634299005201</v>
      </c>
      <c r="P108">
        <f t="shared" si="29"/>
        <v>0.74618298195866595</v>
      </c>
      <c r="Q108">
        <v>108</v>
      </c>
      <c r="R108">
        <f t="shared" si="30"/>
        <v>107</v>
      </c>
      <c r="S108">
        <f t="shared" si="31"/>
        <v>1.1530758226037148</v>
      </c>
      <c r="T108">
        <f t="shared" si="32"/>
        <v>1</v>
      </c>
      <c r="U108">
        <v>108</v>
      </c>
      <c r="V108">
        <f t="shared" si="33"/>
        <v>107</v>
      </c>
      <c r="W108">
        <f t="shared" si="34"/>
        <v>1.1980412620224854</v>
      </c>
      <c r="X108">
        <f t="shared" si="35"/>
        <v>0.93519413988924505</v>
      </c>
    </row>
    <row r="109" spans="1:24">
      <c r="A109">
        <v>109</v>
      </c>
      <c r="B109">
        <f t="shared" si="18"/>
        <v>108</v>
      </c>
      <c r="C109">
        <f t="shared" si="19"/>
        <v>0.18403605294834688</v>
      </c>
      <c r="D109">
        <f t="shared" si="20"/>
        <v>1.0427354058196601</v>
      </c>
      <c r="E109">
        <v>109</v>
      </c>
      <c r="F109">
        <f t="shared" si="21"/>
        <v>108</v>
      </c>
      <c r="G109">
        <f t="shared" si="22"/>
        <v>0.22835727834718839</v>
      </c>
      <c r="H109">
        <f t="shared" si="23"/>
        <v>1.10687730344655</v>
      </c>
      <c r="I109">
        <v>109</v>
      </c>
      <c r="J109">
        <f t="shared" si="24"/>
        <v>108</v>
      </c>
      <c r="K109">
        <f t="shared" si="25"/>
        <v>1.338620175952778</v>
      </c>
      <c r="L109">
        <f t="shared" si="26"/>
        <v>1.26645031675154</v>
      </c>
      <c r="M109">
        <v>109</v>
      </c>
      <c r="N109">
        <f t="shared" si="27"/>
        <v>108</v>
      </c>
      <c r="O109">
        <f t="shared" si="28"/>
        <v>0.329890729204526</v>
      </c>
      <c r="P109">
        <f t="shared" si="29"/>
        <v>0.253817018041334</v>
      </c>
      <c r="Q109">
        <v>109</v>
      </c>
      <c r="R109">
        <f t="shared" si="30"/>
        <v>108</v>
      </c>
      <c r="S109">
        <f t="shared" si="31"/>
        <v>1.1545064377682355</v>
      </c>
      <c r="T109">
        <f t="shared" si="32"/>
        <v>0</v>
      </c>
      <c r="U109">
        <v>109</v>
      </c>
      <c r="V109">
        <f t="shared" si="33"/>
        <v>108</v>
      </c>
      <c r="W109">
        <f t="shared" si="34"/>
        <v>1.1992864526945575</v>
      </c>
      <c r="X109">
        <f t="shared" si="35"/>
        <v>6.4805860110755301E-2</v>
      </c>
    </row>
    <row r="110" spans="1:24">
      <c r="A110">
        <v>110</v>
      </c>
      <c r="B110">
        <f t="shared" si="18"/>
        <v>109</v>
      </c>
      <c r="C110">
        <f t="shared" si="19"/>
        <v>0.18534439227361249</v>
      </c>
      <c r="D110">
        <f t="shared" si="20"/>
        <v>1.9572645941803399</v>
      </c>
      <c r="E110">
        <v>110</v>
      </c>
      <c r="F110">
        <f t="shared" si="21"/>
        <v>109</v>
      </c>
      <c r="G110">
        <f t="shared" si="22"/>
        <v>0.2294820929296017</v>
      </c>
      <c r="H110">
        <f t="shared" si="23"/>
        <v>1.89312269655345</v>
      </c>
      <c r="I110">
        <v>110</v>
      </c>
      <c r="J110">
        <f t="shared" si="24"/>
        <v>109</v>
      </c>
      <c r="K110">
        <f t="shared" si="25"/>
        <v>1.3392884153898263</v>
      </c>
      <c r="L110">
        <f t="shared" si="26"/>
        <v>1.73354968324846</v>
      </c>
      <c r="M110">
        <v>110</v>
      </c>
      <c r="N110">
        <f t="shared" si="27"/>
        <v>109</v>
      </c>
      <c r="O110">
        <f t="shared" si="28"/>
        <v>0.330595115419</v>
      </c>
      <c r="P110">
        <f t="shared" si="29"/>
        <v>0.74618298195866595</v>
      </c>
      <c r="Q110">
        <v>110</v>
      </c>
      <c r="R110">
        <f t="shared" si="30"/>
        <v>109</v>
      </c>
      <c r="S110">
        <f t="shared" si="31"/>
        <v>1.1559370529327562</v>
      </c>
      <c r="T110">
        <f t="shared" si="32"/>
        <v>1</v>
      </c>
      <c r="U110">
        <v>110</v>
      </c>
      <c r="V110">
        <f t="shared" si="33"/>
        <v>109</v>
      </c>
      <c r="W110">
        <f t="shared" si="34"/>
        <v>1.2005316433666298</v>
      </c>
      <c r="X110">
        <f t="shared" si="35"/>
        <v>0.93519413988924505</v>
      </c>
    </row>
    <row r="111" spans="1:24">
      <c r="A111">
        <v>111</v>
      </c>
      <c r="B111">
        <f t="shared" si="18"/>
        <v>110</v>
      </c>
      <c r="C111">
        <f t="shared" si="19"/>
        <v>0.1866527315988781</v>
      </c>
      <c r="D111">
        <f t="shared" si="20"/>
        <v>1.0427354058196601</v>
      </c>
      <c r="E111">
        <v>111</v>
      </c>
      <c r="F111">
        <f t="shared" si="21"/>
        <v>110</v>
      </c>
      <c r="G111">
        <f t="shared" si="22"/>
        <v>0.23060690751201499</v>
      </c>
      <c r="H111">
        <f t="shared" si="23"/>
        <v>1.10687730344655</v>
      </c>
      <c r="I111">
        <v>111</v>
      </c>
      <c r="J111">
        <f t="shared" si="24"/>
        <v>110</v>
      </c>
      <c r="K111">
        <f t="shared" si="25"/>
        <v>1.3399566548268749</v>
      </c>
      <c r="L111">
        <f t="shared" si="26"/>
        <v>1.26645031675154</v>
      </c>
      <c r="M111">
        <v>111</v>
      </c>
      <c r="N111">
        <f t="shared" si="27"/>
        <v>110</v>
      </c>
      <c r="O111">
        <f t="shared" si="28"/>
        <v>0.33129950163347399</v>
      </c>
      <c r="P111">
        <f t="shared" si="29"/>
        <v>0.253817018041334</v>
      </c>
      <c r="Q111">
        <v>111</v>
      </c>
      <c r="R111">
        <f t="shared" si="30"/>
        <v>110</v>
      </c>
      <c r="S111">
        <f t="shared" si="31"/>
        <v>1.1573676680972769</v>
      </c>
      <c r="T111">
        <f t="shared" si="32"/>
        <v>0</v>
      </c>
      <c r="U111">
        <v>111</v>
      </c>
      <c r="V111">
        <f t="shared" si="33"/>
        <v>110</v>
      </c>
      <c r="W111">
        <f t="shared" si="34"/>
        <v>1.2017768340387018</v>
      </c>
      <c r="X111">
        <f t="shared" si="35"/>
        <v>6.4805860110755301E-2</v>
      </c>
    </row>
    <row r="112" spans="1:24">
      <c r="A112">
        <v>112</v>
      </c>
      <c r="B112">
        <f t="shared" si="18"/>
        <v>111</v>
      </c>
      <c r="C112">
        <f t="shared" si="19"/>
        <v>0.18796107092414369</v>
      </c>
      <c r="D112">
        <f t="shared" si="20"/>
        <v>1.9572645941803399</v>
      </c>
      <c r="E112">
        <v>112</v>
      </c>
      <c r="F112">
        <f t="shared" si="21"/>
        <v>111</v>
      </c>
      <c r="G112">
        <f t="shared" si="22"/>
        <v>0.23173172209442827</v>
      </c>
      <c r="H112">
        <f t="shared" si="23"/>
        <v>1.89312269655345</v>
      </c>
      <c r="I112">
        <v>112</v>
      </c>
      <c r="J112">
        <f t="shared" si="24"/>
        <v>111</v>
      </c>
      <c r="K112">
        <f t="shared" si="25"/>
        <v>1.3406248942639234</v>
      </c>
      <c r="L112">
        <f t="shared" si="26"/>
        <v>1.73354968324846</v>
      </c>
      <c r="M112">
        <v>112</v>
      </c>
      <c r="N112">
        <f t="shared" si="27"/>
        <v>111</v>
      </c>
      <c r="O112">
        <f t="shared" si="28"/>
        <v>0.33200388784794799</v>
      </c>
      <c r="P112">
        <f t="shared" si="29"/>
        <v>0.74618298195866595</v>
      </c>
      <c r="Q112">
        <v>112</v>
      </c>
      <c r="R112">
        <f t="shared" si="30"/>
        <v>111</v>
      </c>
      <c r="S112">
        <f t="shared" si="31"/>
        <v>1.1587982832617976</v>
      </c>
      <c r="T112">
        <f t="shared" si="32"/>
        <v>1</v>
      </c>
      <c r="U112">
        <v>112</v>
      </c>
      <c r="V112">
        <f t="shared" si="33"/>
        <v>111</v>
      </c>
      <c r="W112">
        <f t="shared" si="34"/>
        <v>1.2030220247107741</v>
      </c>
      <c r="X112">
        <f t="shared" si="35"/>
        <v>0.93519413988924505</v>
      </c>
    </row>
    <row r="113" spans="1:24">
      <c r="A113">
        <v>113</v>
      </c>
      <c r="B113">
        <f t="shared" si="18"/>
        <v>112</v>
      </c>
      <c r="C113">
        <f t="shared" si="19"/>
        <v>0.1892694102494093</v>
      </c>
      <c r="D113">
        <f t="shared" si="20"/>
        <v>1.0427354058196601</v>
      </c>
      <c r="E113">
        <v>113</v>
      </c>
      <c r="F113">
        <f t="shared" si="21"/>
        <v>112</v>
      </c>
      <c r="G113">
        <f t="shared" si="22"/>
        <v>0.23285653667684159</v>
      </c>
      <c r="H113">
        <f t="shared" si="23"/>
        <v>1.10687730344655</v>
      </c>
      <c r="I113">
        <v>113</v>
      </c>
      <c r="J113">
        <f t="shared" si="24"/>
        <v>112</v>
      </c>
      <c r="K113">
        <f t="shared" si="25"/>
        <v>1.3412931337009719</v>
      </c>
      <c r="L113">
        <f t="shared" si="26"/>
        <v>1.26645031675154</v>
      </c>
      <c r="M113">
        <v>113</v>
      </c>
      <c r="N113">
        <f t="shared" si="27"/>
        <v>112</v>
      </c>
      <c r="O113">
        <f t="shared" si="28"/>
        <v>0.33270827406242198</v>
      </c>
      <c r="P113">
        <f t="shared" si="29"/>
        <v>0.253817018041334</v>
      </c>
      <c r="Q113">
        <v>113</v>
      </c>
      <c r="R113">
        <f t="shared" si="30"/>
        <v>112</v>
      </c>
      <c r="S113">
        <f t="shared" si="31"/>
        <v>1.1602288984263183</v>
      </c>
      <c r="T113">
        <f t="shared" si="32"/>
        <v>0</v>
      </c>
      <c r="U113">
        <v>113</v>
      </c>
      <c r="V113">
        <f t="shared" si="33"/>
        <v>112</v>
      </c>
      <c r="W113">
        <f t="shared" si="34"/>
        <v>1.2042672153828464</v>
      </c>
      <c r="X113">
        <f t="shared" si="35"/>
        <v>6.4805860110755301E-2</v>
      </c>
    </row>
    <row r="114" spans="1:24">
      <c r="A114">
        <v>114</v>
      </c>
      <c r="B114">
        <f t="shared" si="18"/>
        <v>113</v>
      </c>
      <c r="C114">
        <f t="shared" si="19"/>
        <v>0.19057774957467488</v>
      </c>
      <c r="D114">
        <f t="shared" si="20"/>
        <v>1.9572645941803399</v>
      </c>
      <c r="E114">
        <v>114</v>
      </c>
      <c r="F114">
        <f t="shared" si="21"/>
        <v>113</v>
      </c>
      <c r="G114">
        <f t="shared" si="22"/>
        <v>0.2339813512592549</v>
      </c>
      <c r="H114">
        <f t="shared" si="23"/>
        <v>1.89312269655345</v>
      </c>
      <c r="I114">
        <v>114</v>
      </c>
      <c r="J114">
        <f t="shared" si="24"/>
        <v>113</v>
      </c>
      <c r="K114">
        <f t="shared" si="25"/>
        <v>1.3419613731380204</v>
      </c>
      <c r="L114">
        <f t="shared" si="26"/>
        <v>1.73354968324846</v>
      </c>
      <c r="M114">
        <v>114</v>
      </c>
      <c r="N114">
        <f t="shared" si="27"/>
        <v>113</v>
      </c>
      <c r="O114">
        <f t="shared" si="28"/>
        <v>0.33341266027689598</v>
      </c>
      <c r="P114">
        <f t="shared" si="29"/>
        <v>0.74618298195866595</v>
      </c>
      <c r="Q114">
        <v>114</v>
      </c>
      <c r="R114">
        <f t="shared" si="30"/>
        <v>113</v>
      </c>
      <c r="S114">
        <f t="shared" si="31"/>
        <v>1.161659513590839</v>
      </c>
      <c r="T114">
        <f t="shared" si="32"/>
        <v>1</v>
      </c>
      <c r="U114">
        <v>114</v>
      </c>
      <c r="V114">
        <f t="shared" si="33"/>
        <v>113</v>
      </c>
      <c r="W114">
        <f t="shared" si="34"/>
        <v>1.2055124060549185</v>
      </c>
      <c r="X114">
        <f t="shared" si="35"/>
        <v>0.93519413988924505</v>
      </c>
    </row>
    <row r="115" spans="1:24">
      <c r="A115">
        <v>115</v>
      </c>
      <c r="B115">
        <f t="shared" si="18"/>
        <v>114</v>
      </c>
      <c r="C115">
        <f t="shared" si="19"/>
        <v>0.19188608889994049</v>
      </c>
      <c r="D115">
        <f t="shared" si="20"/>
        <v>1.0427354058196601</v>
      </c>
      <c r="E115">
        <v>115</v>
      </c>
      <c r="F115">
        <f t="shared" si="21"/>
        <v>114</v>
      </c>
      <c r="G115">
        <f t="shared" si="22"/>
        <v>0.23510616584166819</v>
      </c>
      <c r="H115">
        <f t="shared" si="23"/>
        <v>1.10687730344655</v>
      </c>
      <c r="I115">
        <v>115</v>
      </c>
      <c r="J115">
        <f t="shared" si="24"/>
        <v>114</v>
      </c>
      <c r="K115">
        <f t="shared" si="25"/>
        <v>1.342629612575069</v>
      </c>
      <c r="L115">
        <f t="shared" si="26"/>
        <v>1.26645031675154</v>
      </c>
      <c r="M115">
        <v>115</v>
      </c>
      <c r="N115">
        <f t="shared" si="27"/>
        <v>114</v>
      </c>
      <c r="O115">
        <f t="shared" si="28"/>
        <v>0.33411704649136997</v>
      </c>
      <c r="P115">
        <f t="shared" si="29"/>
        <v>0.253817018041334</v>
      </c>
      <c r="Q115">
        <v>115</v>
      </c>
      <c r="R115">
        <f t="shared" si="30"/>
        <v>114</v>
      </c>
      <c r="S115">
        <f t="shared" si="31"/>
        <v>1.1630901287553597</v>
      </c>
      <c r="T115">
        <f t="shared" si="32"/>
        <v>0</v>
      </c>
      <c r="U115">
        <v>115</v>
      </c>
      <c r="V115">
        <f t="shared" si="33"/>
        <v>114</v>
      </c>
      <c r="W115">
        <f t="shared" si="34"/>
        <v>1.2067575967269908</v>
      </c>
      <c r="X115">
        <f t="shared" si="35"/>
        <v>6.4805860110755301E-2</v>
      </c>
    </row>
    <row r="116" spans="1:24">
      <c r="A116">
        <v>116</v>
      </c>
      <c r="B116">
        <f t="shared" si="18"/>
        <v>115</v>
      </c>
      <c r="C116">
        <f t="shared" si="19"/>
        <v>0.19319442822520608</v>
      </c>
      <c r="D116">
        <f t="shared" si="20"/>
        <v>1.9572645941803399</v>
      </c>
      <c r="E116">
        <v>116</v>
      </c>
      <c r="F116">
        <f t="shared" si="21"/>
        <v>115</v>
      </c>
      <c r="G116">
        <f t="shared" si="22"/>
        <v>0.23623098042408147</v>
      </c>
      <c r="H116">
        <f t="shared" si="23"/>
        <v>1.89312269655345</v>
      </c>
      <c r="I116">
        <v>116</v>
      </c>
      <c r="J116">
        <f t="shared" si="24"/>
        <v>115</v>
      </c>
      <c r="K116">
        <f t="shared" si="25"/>
        <v>1.3432978520121175</v>
      </c>
      <c r="L116">
        <f t="shared" si="26"/>
        <v>1.73354968324846</v>
      </c>
      <c r="M116">
        <v>116</v>
      </c>
      <c r="N116">
        <f t="shared" si="27"/>
        <v>115</v>
      </c>
      <c r="O116">
        <f t="shared" si="28"/>
        <v>0.33482143270584397</v>
      </c>
      <c r="P116">
        <f t="shared" si="29"/>
        <v>0.74618298195866595</v>
      </c>
      <c r="Q116">
        <v>116</v>
      </c>
      <c r="R116">
        <f t="shared" si="30"/>
        <v>115</v>
      </c>
      <c r="S116">
        <f t="shared" si="31"/>
        <v>1.1645207439198804</v>
      </c>
      <c r="T116">
        <f t="shared" si="32"/>
        <v>1</v>
      </c>
      <c r="U116">
        <v>116</v>
      </c>
      <c r="V116">
        <f t="shared" si="33"/>
        <v>115</v>
      </c>
      <c r="W116">
        <f t="shared" si="34"/>
        <v>1.2080027873990629</v>
      </c>
      <c r="X116">
        <f t="shared" si="35"/>
        <v>0.93519413988924505</v>
      </c>
    </row>
    <row r="117" spans="1:24">
      <c r="A117">
        <v>117</v>
      </c>
      <c r="B117">
        <f t="shared" si="18"/>
        <v>116</v>
      </c>
      <c r="C117">
        <f t="shared" si="19"/>
        <v>0.19450276755047169</v>
      </c>
      <c r="D117">
        <f t="shared" si="20"/>
        <v>1.0427354058196601</v>
      </c>
      <c r="E117">
        <v>117</v>
      </c>
      <c r="F117">
        <f t="shared" si="21"/>
        <v>116</v>
      </c>
      <c r="G117">
        <f t="shared" si="22"/>
        <v>0.23735579500649479</v>
      </c>
      <c r="H117">
        <f t="shared" si="23"/>
        <v>1.10687730344655</v>
      </c>
      <c r="I117">
        <v>117</v>
      </c>
      <c r="J117">
        <f t="shared" si="24"/>
        <v>116</v>
      </c>
      <c r="K117">
        <f t="shared" si="25"/>
        <v>1.343966091449166</v>
      </c>
      <c r="L117">
        <f t="shared" si="26"/>
        <v>1.26645031675154</v>
      </c>
      <c r="M117">
        <v>117</v>
      </c>
      <c r="N117">
        <f t="shared" si="27"/>
        <v>116</v>
      </c>
      <c r="O117">
        <f t="shared" si="28"/>
        <v>0.33552581892031796</v>
      </c>
      <c r="P117">
        <f t="shared" si="29"/>
        <v>0.253817018041334</v>
      </c>
      <c r="Q117">
        <v>117</v>
      </c>
      <c r="R117">
        <f t="shared" si="30"/>
        <v>116</v>
      </c>
      <c r="S117">
        <f t="shared" si="31"/>
        <v>1.1659513590844013</v>
      </c>
      <c r="T117">
        <f t="shared" si="32"/>
        <v>0</v>
      </c>
      <c r="U117">
        <v>117</v>
      </c>
      <c r="V117">
        <f t="shared" si="33"/>
        <v>116</v>
      </c>
      <c r="W117">
        <f t="shared" si="34"/>
        <v>1.2092479780711352</v>
      </c>
      <c r="X117">
        <f t="shared" si="35"/>
        <v>6.4805860110755301E-2</v>
      </c>
    </row>
    <row r="118" spans="1:24">
      <c r="A118">
        <v>118</v>
      </c>
      <c r="B118">
        <f t="shared" si="18"/>
        <v>117</v>
      </c>
      <c r="C118">
        <f t="shared" si="19"/>
        <v>0.1958111068757373</v>
      </c>
      <c r="D118">
        <f t="shared" si="20"/>
        <v>1.9572645941803399</v>
      </c>
      <c r="E118">
        <v>118</v>
      </c>
      <c r="F118">
        <f t="shared" si="21"/>
        <v>117</v>
      </c>
      <c r="G118">
        <f t="shared" si="22"/>
        <v>0.2384806095889081</v>
      </c>
      <c r="H118">
        <f t="shared" si="23"/>
        <v>1.89312269655345</v>
      </c>
      <c r="I118">
        <v>118</v>
      </c>
      <c r="J118">
        <f t="shared" si="24"/>
        <v>117</v>
      </c>
      <c r="K118">
        <f t="shared" si="25"/>
        <v>1.3446343308862145</v>
      </c>
      <c r="L118">
        <f t="shared" si="26"/>
        <v>1.73354968324846</v>
      </c>
      <c r="M118">
        <v>118</v>
      </c>
      <c r="N118">
        <f t="shared" si="27"/>
        <v>117</v>
      </c>
      <c r="O118">
        <f t="shared" si="28"/>
        <v>0.33623020513479196</v>
      </c>
      <c r="P118">
        <f t="shared" si="29"/>
        <v>0.74618298195866595</v>
      </c>
      <c r="Q118">
        <v>118</v>
      </c>
      <c r="R118">
        <f t="shared" si="30"/>
        <v>117</v>
      </c>
      <c r="S118">
        <f t="shared" si="31"/>
        <v>1.167381974248922</v>
      </c>
      <c r="T118">
        <f t="shared" si="32"/>
        <v>1</v>
      </c>
      <c r="U118">
        <v>118</v>
      </c>
      <c r="V118">
        <f t="shared" si="33"/>
        <v>117</v>
      </c>
      <c r="W118">
        <f t="shared" si="34"/>
        <v>1.2104931687432074</v>
      </c>
      <c r="X118">
        <f t="shared" si="35"/>
        <v>0.93519413988924505</v>
      </c>
    </row>
    <row r="119" spans="1:24">
      <c r="A119">
        <v>119</v>
      </c>
      <c r="B119">
        <f t="shared" si="18"/>
        <v>118</v>
      </c>
      <c r="C119">
        <f t="shared" si="19"/>
        <v>0.19711944620100288</v>
      </c>
      <c r="D119">
        <f t="shared" si="20"/>
        <v>1.0427354058196601</v>
      </c>
      <c r="E119">
        <v>119</v>
      </c>
      <c r="F119">
        <f t="shared" si="21"/>
        <v>118</v>
      </c>
      <c r="G119">
        <f t="shared" si="22"/>
        <v>0.23960542417132139</v>
      </c>
      <c r="H119">
        <f t="shared" si="23"/>
        <v>1.10687730344655</v>
      </c>
      <c r="I119">
        <v>119</v>
      </c>
      <c r="J119">
        <f t="shared" si="24"/>
        <v>118</v>
      </c>
      <c r="K119">
        <f t="shared" si="25"/>
        <v>1.3453025703232631</v>
      </c>
      <c r="L119">
        <f t="shared" si="26"/>
        <v>1.26645031675154</v>
      </c>
      <c r="M119">
        <v>119</v>
      </c>
      <c r="N119">
        <f t="shared" si="27"/>
        <v>118</v>
      </c>
      <c r="O119">
        <f t="shared" si="28"/>
        <v>0.33693459134926601</v>
      </c>
      <c r="P119">
        <f t="shared" si="29"/>
        <v>0.253817018041334</v>
      </c>
      <c r="Q119">
        <v>119</v>
      </c>
      <c r="R119">
        <f t="shared" si="30"/>
        <v>118</v>
      </c>
      <c r="S119">
        <f t="shared" si="31"/>
        <v>1.1688125894134427</v>
      </c>
      <c r="T119">
        <f t="shared" si="32"/>
        <v>0</v>
      </c>
      <c r="U119">
        <v>119</v>
      </c>
      <c r="V119">
        <f t="shared" si="33"/>
        <v>118</v>
      </c>
      <c r="W119">
        <f t="shared" si="34"/>
        <v>1.2117383594152795</v>
      </c>
      <c r="X119">
        <f t="shared" si="35"/>
        <v>6.4805860110755301E-2</v>
      </c>
    </row>
    <row r="120" spans="1:24">
      <c r="A120">
        <v>120</v>
      </c>
      <c r="B120">
        <f t="shared" si="18"/>
        <v>119</v>
      </c>
      <c r="C120">
        <f t="shared" si="19"/>
        <v>0.1984277855262685</v>
      </c>
      <c r="D120">
        <f t="shared" si="20"/>
        <v>1.9572645941803399</v>
      </c>
      <c r="E120">
        <v>120</v>
      </c>
      <c r="F120">
        <f t="shared" si="21"/>
        <v>119</v>
      </c>
      <c r="G120">
        <f t="shared" si="22"/>
        <v>0.24073023875373467</v>
      </c>
      <c r="H120">
        <f t="shared" si="23"/>
        <v>1.89312269655345</v>
      </c>
      <c r="I120">
        <v>120</v>
      </c>
      <c r="J120">
        <f t="shared" si="24"/>
        <v>119</v>
      </c>
      <c r="K120">
        <f t="shared" si="25"/>
        <v>1.3459708097603114</v>
      </c>
      <c r="L120">
        <f t="shared" si="26"/>
        <v>1.73354968324846</v>
      </c>
      <c r="M120">
        <v>120</v>
      </c>
      <c r="N120">
        <f t="shared" si="27"/>
        <v>119</v>
      </c>
      <c r="O120">
        <f t="shared" si="28"/>
        <v>0.33763897756374001</v>
      </c>
      <c r="P120">
        <f t="shared" si="29"/>
        <v>0.74618298195866595</v>
      </c>
      <c r="Q120">
        <v>120</v>
      </c>
      <c r="R120">
        <f t="shared" si="30"/>
        <v>119</v>
      </c>
      <c r="S120">
        <f t="shared" si="31"/>
        <v>1.1702432045779634</v>
      </c>
      <c r="T120">
        <f t="shared" si="32"/>
        <v>1</v>
      </c>
      <c r="U120">
        <v>120</v>
      </c>
      <c r="V120">
        <f t="shared" si="33"/>
        <v>119</v>
      </c>
      <c r="W120">
        <f t="shared" si="34"/>
        <v>1.2129835500873518</v>
      </c>
      <c r="X120">
        <f t="shared" si="35"/>
        <v>0.93519413988924505</v>
      </c>
    </row>
    <row r="121" spans="1:24">
      <c r="A121">
        <v>121</v>
      </c>
      <c r="B121">
        <f t="shared" si="18"/>
        <v>120</v>
      </c>
      <c r="C121">
        <f t="shared" si="19"/>
        <v>0.19973612485153408</v>
      </c>
      <c r="D121">
        <f t="shared" si="20"/>
        <v>1.0427354058196601</v>
      </c>
      <c r="E121">
        <v>121</v>
      </c>
      <c r="F121">
        <f t="shared" si="21"/>
        <v>120</v>
      </c>
      <c r="G121">
        <f t="shared" si="22"/>
        <v>0.24185505333614798</v>
      </c>
      <c r="H121">
        <f t="shared" si="23"/>
        <v>1.10687730344655</v>
      </c>
      <c r="I121">
        <v>121</v>
      </c>
      <c r="J121">
        <f t="shared" si="24"/>
        <v>120</v>
      </c>
      <c r="K121">
        <f t="shared" si="25"/>
        <v>1.3466390491973599</v>
      </c>
      <c r="L121">
        <f t="shared" si="26"/>
        <v>1.26645031675154</v>
      </c>
      <c r="M121">
        <v>121</v>
      </c>
      <c r="N121">
        <f t="shared" si="27"/>
        <v>120</v>
      </c>
      <c r="O121">
        <f t="shared" si="28"/>
        <v>0.338343363778214</v>
      </c>
      <c r="P121">
        <f t="shared" si="29"/>
        <v>0.253817018041334</v>
      </c>
      <c r="Q121">
        <v>121</v>
      </c>
      <c r="R121">
        <f t="shared" si="30"/>
        <v>120</v>
      </c>
      <c r="S121">
        <f t="shared" si="31"/>
        <v>1.1716738197424841</v>
      </c>
      <c r="T121">
        <f t="shared" si="32"/>
        <v>0</v>
      </c>
      <c r="U121">
        <v>121</v>
      </c>
      <c r="V121">
        <f t="shared" si="33"/>
        <v>120</v>
      </c>
      <c r="W121">
        <f t="shared" si="34"/>
        <v>1.2142287407594239</v>
      </c>
      <c r="X121">
        <f t="shared" si="35"/>
        <v>6.4805860110755301E-2</v>
      </c>
    </row>
    <row r="122" spans="1:24">
      <c r="A122">
        <v>122</v>
      </c>
      <c r="B122">
        <f t="shared" si="18"/>
        <v>121</v>
      </c>
      <c r="C122">
        <f t="shared" si="19"/>
        <v>0.20104446417679969</v>
      </c>
      <c r="D122">
        <f t="shared" si="20"/>
        <v>1.9572645941803399</v>
      </c>
      <c r="E122">
        <v>122</v>
      </c>
      <c r="F122">
        <f t="shared" si="21"/>
        <v>121</v>
      </c>
      <c r="G122">
        <f t="shared" si="22"/>
        <v>0.2429798679185613</v>
      </c>
      <c r="H122">
        <f t="shared" si="23"/>
        <v>1.89312269655345</v>
      </c>
      <c r="I122">
        <v>122</v>
      </c>
      <c r="J122">
        <f t="shared" si="24"/>
        <v>121</v>
      </c>
      <c r="K122">
        <f t="shared" si="25"/>
        <v>1.3473072886344084</v>
      </c>
      <c r="L122">
        <f t="shared" si="26"/>
        <v>1.73354968324846</v>
      </c>
      <c r="M122">
        <v>122</v>
      </c>
      <c r="N122">
        <f t="shared" si="27"/>
        <v>121</v>
      </c>
      <c r="O122">
        <f t="shared" si="28"/>
        <v>0.339047749992688</v>
      </c>
      <c r="P122">
        <f t="shared" si="29"/>
        <v>0.74618298195866595</v>
      </c>
      <c r="Q122">
        <v>122</v>
      </c>
      <c r="R122">
        <f t="shared" si="30"/>
        <v>121</v>
      </c>
      <c r="S122">
        <f t="shared" si="31"/>
        <v>1.1731044349070048</v>
      </c>
      <c r="T122">
        <f t="shared" si="32"/>
        <v>1</v>
      </c>
      <c r="U122">
        <v>122</v>
      </c>
      <c r="V122">
        <f t="shared" si="33"/>
        <v>121</v>
      </c>
      <c r="W122">
        <f t="shared" si="34"/>
        <v>1.2154739314314962</v>
      </c>
      <c r="X122">
        <f t="shared" si="35"/>
        <v>0.93519413988924505</v>
      </c>
    </row>
    <row r="123" spans="1:24">
      <c r="A123">
        <v>123</v>
      </c>
      <c r="B123">
        <f t="shared" si="18"/>
        <v>122</v>
      </c>
      <c r="C123">
        <f t="shared" si="19"/>
        <v>0.2023528035020653</v>
      </c>
      <c r="D123">
        <f t="shared" si="20"/>
        <v>1.0427354058196601</v>
      </c>
      <c r="E123">
        <v>123</v>
      </c>
      <c r="F123">
        <f t="shared" si="21"/>
        <v>122</v>
      </c>
      <c r="G123">
        <f t="shared" si="22"/>
        <v>0.24410468250097458</v>
      </c>
      <c r="H123">
        <f t="shared" si="23"/>
        <v>1.10687730344655</v>
      </c>
      <c r="I123">
        <v>123</v>
      </c>
      <c r="J123">
        <f t="shared" si="24"/>
        <v>122</v>
      </c>
      <c r="K123">
        <f t="shared" si="25"/>
        <v>1.3479755280714569</v>
      </c>
      <c r="L123">
        <f t="shared" si="26"/>
        <v>1.26645031675154</v>
      </c>
      <c r="M123">
        <v>123</v>
      </c>
      <c r="N123">
        <f t="shared" si="27"/>
        <v>122</v>
      </c>
      <c r="O123">
        <f t="shared" si="28"/>
        <v>0.33975213620716199</v>
      </c>
      <c r="P123">
        <f t="shared" si="29"/>
        <v>0.253817018041334</v>
      </c>
      <c r="Q123">
        <v>123</v>
      </c>
      <c r="R123">
        <f t="shared" si="30"/>
        <v>122</v>
      </c>
      <c r="S123">
        <f t="shared" si="31"/>
        <v>1.1745350500715255</v>
      </c>
      <c r="T123">
        <f t="shared" si="32"/>
        <v>0</v>
      </c>
      <c r="U123">
        <v>123</v>
      </c>
      <c r="V123">
        <f t="shared" si="33"/>
        <v>122</v>
      </c>
      <c r="W123">
        <f t="shared" si="34"/>
        <v>1.2167191221035683</v>
      </c>
      <c r="X123">
        <f t="shared" si="35"/>
        <v>6.4805860110755301E-2</v>
      </c>
    </row>
    <row r="124" spans="1:24">
      <c r="A124">
        <v>124</v>
      </c>
      <c r="B124">
        <f t="shared" si="18"/>
        <v>123</v>
      </c>
      <c r="C124">
        <f t="shared" si="19"/>
        <v>0.20366114282733089</v>
      </c>
      <c r="D124">
        <f t="shared" si="20"/>
        <v>1.9572645941803399</v>
      </c>
      <c r="E124">
        <v>124</v>
      </c>
      <c r="F124">
        <f t="shared" si="21"/>
        <v>123</v>
      </c>
      <c r="G124">
        <f t="shared" si="22"/>
        <v>0.24522949708338787</v>
      </c>
      <c r="H124">
        <f t="shared" si="23"/>
        <v>1.89312269655345</v>
      </c>
      <c r="I124">
        <v>124</v>
      </c>
      <c r="J124">
        <f t="shared" si="24"/>
        <v>123</v>
      </c>
      <c r="K124">
        <f t="shared" si="25"/>
        <v>1.3486437675085055</v>
      </c>
      <c r="L124">
        <f t="shared" si="26"/>
        <v>1.73354968324846</v>
      </c>
      <c r="M124">
        <v>124</v>
      </c>
      <c r="N124">
        <f t="shared" si="27"/>
        <v>123</v>
      </c>
      <c r="O124">
        <f t="shared" si="28"/>
        <v>0.34045652242163599</v>
      </c>
      <c r="P124">
        <f t="shared" si="29"/>
        <v>0.74618298195866595</v>
      </c>
      <c r="Q124">
        <v>124</v>
      </c>
      <c r="R124">
        <f t="shared" si="30"/>
        <v>123</v>
      </c>
      <c r="S124">
        <f t="shared" si="31"/>
        <v>1.1759656652360462</v>
      </c>
      <c r="T124">
        <f t="shared" si="32"/>
        <v>1</v>
      </c>
      <c r="U124">
        <v>124</v>
      </c>
      <c r="V124">
        <f t="shared" si="33"/>
        <v>123</v>
      </c>
      <c r="W124">
        <f t="shared" si="34"/>
        <v>1.2179643127756405</v>
      </c>
      <c r="X124">
        <f t="shared" si="35"/>
        <v>0.93519413988924505</v>
      </c>
    </row>
    <row r="125" spans="1:24">
      <c r="A125">
        <v>125</v>
      </c>
      <c r="B125">
        <f t="shared" si="18"/>
        <v>124</v>
      </c>
      <c r="C125">
        <f t="shared" si="19"/>
        <v>0.2049694821525965</v>
      </c>
      <c r="D125">
        <f t="shared" si="20"/>
        <v>1.0427354058196601</v>
      </c>
      <c r="E125">
        <v>125</v>
      </c>
      <c r="F125">
        <f t="shared" si="21"/>
        <v>124</v>
      </c>
      <c r="G125">
        <f t="shared" si="22"/>
        <v>0.24635431166580118</v>
      </c>
      <c r="H125">
        <f t="shared" si="23"/>
        <v>1.10687730344655</v>
      </c>
      <c r="I125">
        <v>125</v>
      </c>
      <c r="J125">
        <f t="shared" si="24"/>
        <v>124</v>
      </c>
      <c r="K125">
        <f t="shared" si="25"/>
        <v>1.349312006945554</v>
      </c>
      <c r="L125">
        <f t="shared" si="26"/>
        <v>1.26645031675154</v>
      </c>
      <c r="M125">
        <v>125</v>
      </c>
      <c r="N125">
        <f t="shared" si="27"/>
        <v>124</v>
      </c>
      <c r="O125">
        <f t="shared" si="28"/>
        <v>0.34116090863610998</v>
      </c>
      <c r="P125">
        <f t="shared" si="29"/>
        <v>0.253817018041334</v>
      </c>
      <c r="Q125">
        <v>125</v>
      </c>
      <c r="R125">
        <f t="shared" si="30"/>
        <v>124</v>
      </c>
      <c r="S125">
        <f t="shared" si="31"/>
        <v>1.1773962804005669</v>
      </c>
      <c r="T125">
        <f t="shared" si="32"/>
        <v>0</v>
      </c>
      <c r="U125">
        <v>125</v>
      </c>
      <c r="V125">
        <f t="shared" si="33"/>
        <v>124</v>
      </c>
      <c r="W125">
        <f t="shared" si="34"/>
        <v>1.2192095034477128</v>
      </c>
      <c r="X125">
        <f t="shared" si="35"/>
        <v>6.4805860110755301E-2</v>
      </c>
    </row>
    <row r="126" spans="1:24">
      <c r="A126">
        <v>126</v>
      </c>
      <c r="B126">
        <f t="shared" si="18"/>
        <v>125</v>
      </c>
      <c r="C126">
        <f t="shared" si="19"/>
        <v>0.20627782147786208</v>
      </c>
      <c r="D126">
        <f t="shared" si="20"/>
        <v>1.9572645941803399</v>
      </c>
      <c r="E126">
        <v>126</v>
      </c>
      <c r="F126">
        <f t="shared" si="21"/>
        <v>125</v>
      </c>
      <c r="G126">
        <f t="shared" si="22"/>
        <v>0.2474791262482145</v>
      </c>
      <c r="H126">
        <f t="shared" si="23"/>
        <v>1.89312269655345</v>
      </c>
      <c r="I126">
        <v>126</v>
      </c>
      <c r="J126">
        <f t="shared" si="24"/>
        <v>125</v>
      </c>
      <c r="K126">
        <f t="shared" si="25"/>
        <v>1.3499802463826025</v>
      </c>
      <c r="L126">
        <f t="shared" si="26"/>
        <v>1.73354968324846</v>
      </c>
      <c r="M126">
        <v>126</v>
      </c>
      <c r="N126">
        <f t="shared" si="27"/>
        <v>125</v>
      </c>
      <c r="O126">
        <f t="shared" si="28"/>
        <v>0.34186529485058398</v>
      </c>
      <c r="P126">
        <f t="shared" si="29"/>
        <v>0.74618298195866595</v>
      </c>
      <c r="Q126">
        <v>126</v>
      </c>
      <c r="R126">
        <f t="shared" si="30"/>
        <v>125</v>
      </c>
      <c r="S126">
        <f t="shared" si="31"/>
        <v>1.1788268955650876</v>
      </c>
      <c r="T126">
        <f t="shared" si="32"/>
        <v>1</v>
      </c>
      <c r="U126">
        <v>126</v>
      </c>
      <c r="V126">
        <f t="shared" si="33"/>
        <v>125</v>
      </c>
      <c r="W126">
        <f t="shared" si="34"/>
        <v>1.2204546941197849</v>
      </c>
      <c r="X126">
        <f t="shared" si="35"/>
        <v>0.93519413988924505</v>
      </c>
    </row>
    <row r="127" spans="1:24">
      <c r="A127">
        <v>127</v>
      </c>
      <c r="B127">
        <f t="shared" si="18"/>
        <v>126</v>
      </c>
      <c r="C127">
        <f t="shared" si="19"/>
        <v>0.2075861608031277</v>
      </c>
      <c r="D127">
        <f t="shared" si="20"/>
        <v>1.0427354058196601</v>
      </c>
      <c r="E127">
        <v>127</v>
      </c>
      <c r="F127">
        <f t="shared" si="21"/>
        <v>126</v>
      </c>
      <c r="G127">
        <f t="shared" si="22"/>
        <v>0.24860394083062778</v>
      </c>
      <c r="H127">
        <f t="shared" si="23"/>
        <v>1.10687730344655</v>
      </c>
      <c r="I127">
        <v>127</v>
      </c>
      <c r="J127">
        <f t="shared" si="24"/>
        <v>126</v>
      </c>
      <c r="K127">
        <f t="shared" si="25"/>
        <v>1.350648485819651</v>
      </c>
      <c r="L127">
        <f t="shared" si="26"/>
        <v>1.26645031675154</v>
      </c>
      <c r="M127">
        <v>127</v>
      </c>
      <c r="N127">
        <f t="shared" si="27"/>
        <v>126</v>
      </c>
      <c r="O127">
        <f t="shared" si="28"/>
        <v>0.34256968106505797</v>
      </c>
      <c r="P127">
        <f t="shared" si="29"/>
        <v>0.253817018041334</v>
      </c>
      <c r="Q127">
        <v>127</v>
      </c>
      <c r="R127">
        <f t="shared" si="30"/>
        <v>126</v>
      </c>
      <c r="S127">
        <f t="shared" si="31"/>
        <v>1.1802575107296083</v>
      </c>
      <c r="T127">
        <f t="shared" si="32"/>
        <v>0</v>
      </c>
      <c r="U127">
        <v>127</v>
      </c>
      <c r="V127">
        <f t="shared" si="33"/>
        <v>126</v>
      </c>
      <c r="W127">
        <f t="shared" si="34"/>
        <v>1.2216998847918572</v>
      </c>
      <c r="X127">
        <f t="shared" si="35"/>
        <v>6.4805860110755301E-2</v>
      </c>
    </row>
    <row r="128" spans="1:24">
      <c r="A128">
        <v>128</v>
      </c>
      <c r="B128">
        <f t="shared" si="18"/>
        <v>127</v>
      </c>
      <c r="C128">
        <f t="shared" si="19"/>
        <v>0.20889450012839328</v>
      </c>
      <c r="D128">
        <f t="shared" si="20"/>
        <v>1.9572645941803399</v>
      </c>
      <c r="E128">
        <v>128</v>
      </c>
      <c r="F128">
        <f t="shared" si="21"/>
        <v>127</v>
      </c>
      <c r="G128">
        <f t="shared" si="22"/>
        <v>0.24972875541304107</v>
      </c>
      <c r="H128">
        <f t="shared" si="23"/>
        <v>1.89312269655345</v>
      </c>
      <c r="I128">
        <v>128</v>
      </c>
      <c r="J128">
        <f t="shared" si="24"/>
        <v>127</v>
      </c>
      <c r="K128">
        <f t="shared" si="25"/>
        <v>1.3513167252566995</v>
      </c>
      <c r="L128">
        <f t="shared" si="26"/>
        <v>1.73354968324846</v>
      </c>
      <c r="M128">
        <v>128</v>
      </c>
      <c r="N128">
        <f t="shared" si="27"/>
        <v>127</v>
      </c>
      <c r="O128">
        <f t="shared" si="28"/>
        <v>0.34327406727953202</v>
      </c>
      <c r="P128">
        <f t="shared" si="29"/>
        <v>0.74618298195866595</v>
      </c>
      <c r="Q128">
        <v>128</v>
      </c>
      <c r="R128">
        <f t="shared" si="30"/>
        <v>127</v>
      </c>
      <c r="S128">
        <f t="shared" si="31"/>
        <v>1.181688125894129</v>
      </c>
      <c r="T128">
        <f t="shared" si="32"/>
        <v>1</v>
      </c>
      <c r="U128">
        <v>128</v>
      </c>
      <c r="V128">
        <f t="shared" si="33"/>
        <v>127</v>
      </c>
      <c r="W128">
        <f t="shared" si="34"/>
        <v>1.2229450754639293</v>
      </c>
      <c r="X128">
        <f t="shared" si="35"/>
        <v>0.93519413988924505</v>
      </c>
    </row>
    <row r="129" spans="1:24">
      <c r="A129">
        <v>129</v>
      </c>
      <c r="B129">
        <f t="shared" ref="B129:B192" si="36">(A129-1)</f>
        <v>128</v>
      </c>
      <c r="C129">
        <f t="shared" ref="C129:C192" si="37">0.0427354058196621+B129*0.0013083393252656</f>
        <v>0.21020283945365889</v>
      </c>
      <c r="D129">
        <f t="shared" ref="D129:D192" si="38">IF(B129/2-INT(B129/2)&lt;0.1,1.04273540581966,1.95726459418034)</f>
        <v>1.0427354058196601</v>
      </c>
      <c r="E129">
        <v>129</v>
      </c>
      <c r="F129">
        <f t="shared" ref="F129:F192" si="39">(E129-1)</f>
        <v>128</v>
      </c>
      <c r="G129">
        <f t="shared" ref="G129:G192" si="40">0.106877303446552+F129*0.0011248145824133</f>
        <v>0.25085356999545438</v>
      </c>
      <c r="H129">
        <f t="shared" ref="H129:H192" si="41">IF(F129/2-INT(F129/2)&lt;0.1,1.10687730344655,1.89312269655345)</f>
        <v>1.10687730344655</v>
      </c>
      <c r="I129">
        <v>129</v>
      </c>
      <c r="J129">
        <f t="shared" ref="J129:J192" si="42">(I129-1)</f>
        <v>128</v>
      </c>
      <c r="K129">
        <f t="shared" ref="K129:K192" si="43">1.26645031675154+J129*0.0006682394370485</f>
        <v>1.3519849646937478</v>
      </c>
      <c r="L129">
        <f t="shared" ref="L129:L192" si="44">IF(J129/2-INT(J129/2)&lt;0.1,1.26645031675154,1.73354968324846)</f>
        <v>1.26645031675154</v>
      </c>
      <c r="M129">
        <v>129</v>
      </c>
      <c r="N129">
        <f t="shared" ref="N129:N192" si="45">(M129-1)</f>
        <v>128</v>
      </c>
      <c r="O129">
        <f t="shared" ref="O129:O192" si="46">0.253817018041334+N129*0.000704386214474</f>
        <v>0.34397845349400602</v>
      </c>
      <c r="P129">
        <f t="shared" ref="P129:P192" si="47">IF(N129/2-INT(N129/2)&lt;0.1,0.253817018041334,0.746182981958666)</f>
        <v>0.253817018041334</v>
      </c>
      <c r="Q129">
        <v>129</v>
      </c>
      <c r="R129">
        <f t="shared" ref="R129:R192" si="48">(Q129-1)</f>
        <v>128</v>
      </c>
      <c r="S129">
        <f t="shared" ref="S129:S192" si="49">1+R129*0.0014306151645207</f>
        <v>1.1831187410586497</v>
      </c>
      <c r="T129">
        <f t="shared" ref="T129:T192" si="50">IF(R129/2-INT(R129/2)&lt;0.1,0,1)</f>
        <v>0</v>
      </c>
      <c r="U129">
        <v>129</v>
      </c>
      <c r="V129">
        <f t="shared" ref="V129:V192" si="51">(U129-1)</f>
        <v>128</v>
      </c>
      <c r="W129">
        <f t="shared" ref="W129:W192" si="52">1.06480586011076+V129*0.0012451906720722</f>
        <v>1.2241902661360016</v>
      </c>
      <c r="X129">
        <f t="shared" ref="X129:X192" si="53">IF(V129/2-INT(V129/2)&lt;0.1,0.0648058601107553,0.935194139889245)</f>
        <v>6.4805860110755301E-2</v>
      </c>
    </row>
    <row r="130" spans="1:24">
      <c r="A130">
        <v>130</v>
      </c>
      <c r="B130">
        <f t="shared" si="36"/>
        <v>129</v>
      </c>
      <c r="C130">
        <f t="shared" si="37"/>
        <v>0.2115111787789245</v>
      </c>
      <c r="D130">
        <f t="shared" si="38"/>
        <v>1.9572645941803399</v>
      </c>
      <c r="E130">
        <v>130</v>
      </c>
      <c r="F130">
        <f t="shared" si="39"/>
        <v>129</v>
      </c>
      <c r="G130">
        <f t="shared" si="40"/>
        <v>0.2519783845778677</v>
      </c>
      <c r="H130">
        <f t="shared" si="41"/>
        <v>1.89312269655345</v>
      </c>
      <c r="I130">
        <v>130</v>
      </c>
      <c r="J130">
        <f t="shared" si="42"/>
        <v>129</v>
      </c>
      <c r="K130">
        <f t="shared" si="43"/>
        <v>1.3526532041307964</v>
      </c>
      <c r="L130">
        <f t="shared" si="44"/>
        <v>1.73354968324846</v>
      </c>
      <c r="M130">
        <v>130</v>
      </c>
      <c r="N130">
        <f t="shared" si="45"/>
        <v>129</v>
      </c>
      <c r="O130">
        <f t="shared" si="46"/>
        <v>0.34468283970848002</v>
      </c>
      <c r="P130">
        <f t="shared" si="47"/>
        <v>0.74618298195866595</v>
      </c>
      <c r="Q130">
        <v>130</v>
      </c>
      <c r="R130">
        <f t="shared" si="48"/>
        <v>129</v>
      </c>
      <c r="S130">
        <f t="shared" si="49"/>
        <v>1.1845493562231704</v>
      </c>
      <c r="T130">
        <f t="shared" si="50"/>
        <v>1</v>
      </c>
      <c r="U130">
        <v>130</v>
      </c>
      <c r="V130">
        <f t="shared" si="51"/>
        <v>129</v>
      </c>
      <c r="W130">
        <f t="shared" si="52"/>
        <v>1.2254354568080736</v>
      </c>
      <c r="X130">
        <f t="shared" si="53"/>
        <v>0.93519413988924505</v>
      </c>
    </row>
    <row r="131" spans="1:24">
      <c r="A131">
        <v>131</v>
      </c>
      <c r="B131">
        <f t="shared" si="36"/>
        <v>130</v>
      </c>
      <c r="C131">
        <f t="shared" si="37"/>
        <v>0.21281951810419009</v>
      </c>
      <c r="D131">
        <f t="shared" si="38"/>
        <v>1.0427354058196601</v>
      </c>
      <c r="E131">
        <v>131</v>
      </c>
      <c r="F131">
        <f t="shared" si="39"/>
        <v>130</v>
      </c>
      <c r="G131">
        <f t="shared" si="40"/>
        <v>0.25310319916028101</v>
      </c>
      <c r="H131">
        <f t="shared" si="41"/>
        <v>1.10687730344655</v>
      </c>
      <c r="I131">
        <v>131</v>
      </c>
      <c r="J131">
        <f t="shared" si="42"/>
        <v>130</v>
      </c>
      <c r="K131">
        <f t="shared" si="43"/>
        <v>1.3533214435678449</v>
      </c>
      <c r="L131">
        <f t="shared" si="44"/>
        <v>1.26645031675154</v>
      </c>
      <c r="M131">
        <v>131</v>
      </c>
      <c r="N131">
        <f t="shared" si="45"/>
        <v>130</v>
      </c>
      <c r="O131">
        <f t="shared" si="46"/>
        <v>0.34538722592295401</v>
      </c>
      <c r="P131">
        <f t="shared" si="47"/>
        <v>0.253817018041334</v>
      </c>
      <c r="Q131">
        <v>131</v>
      </c>
      <c r="R131">
        <f t="shared" si="48"/>
        <v>130</v>
      </c>
      <c r="S131">
        <f t="shared" si="49"/>
        <v>1.1859799713876911</v>
      </c>
      <c r="T131">
        <f t="shared" si="50"/>
        <v>0</v>
      </c>
      <c r="U131">
        <v>131</v>
      </c>
      <c r="V131">
        <f t="shared" si="51"/>
        <v>130</v>
      </c>
      <c r="W131">
        <f t="shared" si="52"/>
        <v>1.2266806474801459</v>
      </c>
      <c r="X131">
        <f t="shared" si="53"/>
        <v>6.4805860110755301E-2</v>
      </c>
    </row>
    <row r="132" spans="1:24">
      <c r="A132">
        <v>132</v>
      </c>
      <c r="B132">
        <f t="shared" si="36"/>
        <v>131</v>
      </c>
      <c r="C132">
        <f t="shared" si="37"/>
        <v>0.2141278574294557</v>
      </c>
      <c r="D132">
        <f t="shared" si="38"/>
        <v>1.9572645941803399</v>
      </c>
      <c r="E132">
        <v>132</v>
      </c>
      <c r="F132">
        <f t="shared" si="39"/>
        <v>131</v>
      </c>
      <c r="G132">
        <f t="shared" si="40"/>
        <v>0.25422801374269427</v>
      </c>
      <c r="H132">
        <f t="shared" si="41"/>
        <v>1.89312269655345</v>
      </c>
      <c r="I132">
        <v>132</v>
      </c>
      <c r="J132">
        <f t="shared" si="42"/>
        <v>131</v>
      </c>
      <c r="K132">
        <f t="shared" si="43"/>
        <v>1.3539896830048934</v>
      </c>
      <c r="L132">
        <f t="shared" si="44"/>
        <v>1.73354968324846</v>
      </c>
      <c r="M132">
        <v>132</v>
      </c>
      <c r="N132">
        <f t="shared" si="45"/>
        <v>131</v>
      </c>
      <c r="O132">
        <f t="shared" si="46"/>
        <v>0.34609161213742801</v>
      </c>
      <c r="P132">
        <f t="shared" si="47"/>
        <v>0.74618298195866595</v>
      </c>
      <c r="Q132">
        <v>132</v>
      </c>
      <c r="R132">
        <f t="shared" si="48"/>
        <v>131</v>
      </c>
      <c r="S132">
        <f t="shared" si="49"/>
        <v>1.1874105865522118</v>
      </c>
      <c r="T132">
        <f t="shared" si="50"/>
        <v>1</v>
      </c>
      <c r="U132">
        <v>132</v>
      </c>
      <c r="V132">
        <f t="shared" si="51"/>
        <v>131</v>
      </c>
      <c r="W132">
        <f t="shared" si="52"/>
        <v>1.2279258381522182</v>
      </c>
      <c r="X132">
        <f t="shared" si="53"/>
        <v>0.93519413988924505</v>
      </c>
    </row>
    <row r="133" spans="1:24">
      <c r="A133">
        <v>133</v>
      </c>
      <c r="B133">
        <f t="shared" si="36"/>
        <v>132</v>
      </c>
      <c r="C133">
        <f t="shared" si="37"/>
        <v>0.21543619675472128</v>
      </c>
      <c r="D133">
        <f t="shared" si="38"/>
        <v>1.0427354058196601</v>
      </c>
      <c r="E133">
        <v>133</v>
      </c>
      <c r="F133">
        <f t="shared" si="39"/>
        <v>132</v>
      </c>
      <c r="G133">
        <f t="shared" si="40"/>
        <v>0.25535282832510758</v>
      </c>
      <c r="H133">
        <f t="shared" si="41"/>
        <v>1.10687730344655</v>
      </c>
      <c r="I133">
        <v>133</v>
      </c>
      <c r="J133">
        <f t="shared" si="42"/>
        <v>132</v>
      </c>
      <c r="K133">
        <f t="shared" si="43"/>
        <v>1.3546579224419419</v>
      </c>
      <c r="L133">
        <f t="shared" si="44"/>
        <v>1.26645031675154</v>
      </c>
      <c r="M133">
        <v>133</v>
      </c>
      <c r="N133">
        <f t="shared" si="45"/>
        <v>132</v>
      </c>
      <c r="O133">
        <f t="shared" si="46"/>
        <v>0.346795998351902</v>
      </c>
      <c r="P133">
        <f t="shared" si="47"/>
        <v>0.253817018041334</v>
      </c>
      <c r="Q133">
        <v>133</v>
      </c>
      <c r="R133">
        <f t="shared" si="48"/>
        <v>132</v>
      </c>
      <c r="S133">
        <f t="shared" si="49"/>
        <v>1.1888412017167325</v>
      </c>
      <c r="T133">
        <f t="shared" si="50"/>
        <v>0</v>
      </c>
      <c r="U133">
        <v>133</v>
      </c>
      <c r="V133">
        <f t="shared" si="51"/>
        <v>132</v>
      </c>
      <c r="W133">
        <f t="shared" si="52"/>
        <v>1.2291710288242903</v>
      </c>
      <c r="X133">
        <f t="shared" si="53"/>
        <v>6.4805860110755301E-2</v>
      </c>
    </row>
    <row r="134" spans="1:24">
      <c r="A134">
        <v>134</v>
      </c>
      <c r="B134">
        <f t="shared" si="36"/>
        <v>133</v>
      </c>
      <c r="C134">
        <f t="shared" si="37"/>
        <v>0.21674453607998689</v>
      </c>
      <c r="D134">
        <f t="shared" si="38"/>
        <v>1.9572645941803399</v>
      </c>
      <c r="E134">
        <v>134</v>
      </c>
      <c r="F134">
        <f t="shared" si="39"/>
        <v>133</v>
      </c>
      <c r="G134">
        <f t="shared" si="40"/>
        <v>0.2564776429075209</v>
      </c>
      <c r="H134">
        <f t="shared" si="41"/>
        <v>1.89312269655345</v>
      </c>
      <c r="I134">
        <v>134</v>
      </c>
      <c r="J134">
        <f t="shared" si="42"/>
        <v>133</v>
      </c>
      <c r="K134">
        <f t="shared" si="43"/>
        <v>1.3553261618789905</v>
      </c>
      <c r="L134">
        <f t="shared" si="44"/>
        <v>1.73354968324846</v>
      </c>
      <c r="M134">
        <v>134</v>
      </c>
      <c r="N134">
        <f t="shared" si="45"/>
        <v>133</v>
      </c>
      <c r="O134">
        <f t="shared" si="46"/>
        <v>0.347500384566376</v>
      </c>
      <c r="P134">
        <f t="shared" si="47"/>
        <v>0.74618298195866595</v>
      </c>
      <c r="Q134">
        <v>134</v>
      </c>
      <c r="R134">
        <f t="shared" si="48"/>
        <v>133</v>
      </c>
      <c r="S134">
        <f t="shared" si="49"/>
        <v>1.1902718168812532</v>
      </c>
      <c r="T134">
        <f t="shared" si="50"/>
        <v>1</v>
      </c>
      <c r="U134">
        <v>134</v>
      </c>
      <c r="V134">
        <f t="shared" si="51"/>
        <v>133</v>
      </c>
      <c r="W134">
        <f t="shared" si="52"/>
        <v>1.2304162194963626</v>
      </c>
      <c r="X134">
        <f t="shared" si="53"/>
        <v>0.93519413988924505</v>
      </c>
    </row>
    <row r="135" spans="1:24">
      <c r="A135">
        <v>135</v>
      </c>
      <c r="B135">
        <f t="shared" si="36"/>
        <v>134</v>
      </c>
      <c r="C135">
        <f t="shared" si="37"/>
        <v>0.21805287540525248</v>
      </c>
      <c r="D135">
        <f t="shared" si="38"/>
        <v>1.0427354058196601</v>
      </c>
      <c r="E135">
        <v>135</v>
      </c>
      <c r="F135">
        <f t="shared" si="39"/>
        <v>134</v>
      </c>
      <c r="G135">
        <f t="shared" si="40"/>
        <v>0.25760245748993416</v>
      </c>
      <c r="H135">
        <f t="shared" si="41"/>
        <v>1.10687730344655</v>
      </c>
      <c r="I135">
        <v>135</v>
      </c>
      <c r="J135">
        <f t="shared" si="42"/>
        <v>134</v>
      </c>
      <c r="K135">
        <f t="shared" si="43"/>
        <v>1.355994401316039</v>
      </c>
      <c r="L135">
        <f t="shared" si="44"/>
        <v>1.26645031675154</v>
      </c>
      <c r="M135">
        <v>135</v>
      </c>
      <c r="N135">
        <f t="shared" si="45"/>
        <v>134</v>
      </c>
      <c r="O135">
        <f t="shared" si="46"/>
        <v>0.34820477078084999</v>
      </c>
      <c r="P135">
        <f t="shared" si="47"/>
        <v>0.253817018041334</v>
      </c>
      <c r="Q135">
        <v>135</v>
      </c>
      <c r="R135">
        <f t="shared" si="48"/>
        <v>134</v>
      </c>
      <c r="S135">
        <f t="shared" si="49"/>
        <v>1.1917024320457739</v>
      </c>
      <c r="T135">
        <f t="shared" si="50"/>
        <v>0</v>
      </c>
      <c r="U135">
        <v>135</v>
      </c>
      <c r="V135">
        <f t="shared" si="51"/>
        <v>134</v>
      </c>
      <c r="W135">
        <f t="shared" si="52"/>
        <v>1.2316614101684347</v>
      </c>
      <c r="X135">
        <f t="shared" si="53"/>
        <v>6.4805860110755301E-2</v>
      </c>
    </row>
    <row r="136" spans="1:24">
      <c r="A136">
        <v>136</v>
      </c>
      <c r="B136">
        <f t="shared" si="36"/>
        <v>135</v>
      </c>
      <c r="C136">
        <f t="shared" si="37"/>
        <v>0.21936121473051809</v>
      </c>
      <c r="D136">
        <f t="shared" si="38"/>
        <v>1.9572645941803399</v>
      </c>
      <c r="E136">
        <v>136</v>
      </c>
      <c r="F136">
        <f t="shared" si="39"/>
        <v>135</v>
      </c>
      <c r="G136">
        <f t="shared" si="40"/>
        <v>0.25872727207234747</v>
      </c>
      <c r="H136">
        <f t="shared" si="41"/>
        <v>1.89312269655345</v>
      </c>
      <c r="I136">
        <v>136</v>
      </c>
      <c r="J136">
        <f t="shared" si="42"/>
        <v>135</v>
      </c>
      <c r="K136">
        <f t="shared" si="43"/>
        <v>1.3566626407530875</v>
      </c>
      <c r="L136">
        <f t="shared" si="44"/>
        <v>1.73354968324846</v>
      </c>
      <c r="M136">
        <v>136</v>
      </c>
      <c r="N136">
        <f t="shared" si="45"/>
        <v>135</v>
      </c>
      <c r="O136">
        <f t="shared" si="46"/>
        <v>0.34890915699532399</v>
      </c>
      <c r="P136">
        <f t="shared" si="47"/>
        <v>0.74618298195866595</v>
      </c>
      <c r="Q136">
        <v>136</v>
      </c>
      <c r="R136">
        <f t="shared" si="48"/>
        <v>135</v>
      </c>
      <c r="S136">
        <f t="shared" si="49"/>
        <v>1.1931330472102946</v>
      </c>
      <c r="T136">
        <f t="shared" si="50"/>
        <v>1</v>
      </c>
      <c r="U136">
        <v>136</v>
      </c>
      <c r="V136">
        <f t="shared" si="51"/>
        <v>135</v>
      </c>
      <c r="W136">
        <f t="shared" si="52"/>
        <v>1.232906600840507</v>
      </c>
      <c r="X136">
        <f t="shared" si="53"/>
        <v>0.93519413988924505</v>
      </c>
    </row>
    <row r="137" spans="1:24">
      <c r="A137">
        <v>137</v>
      </c>
      <c r="B137">
        <f t="shared" si="36"/>
        <v>136</v>
      </c>
      <c r="C137">
        <f t="shared" si="37"/>
        <v>0.2206695540557837</v>
      </c>
      <c r="D137">
        <f t="shared" si="38"/>
        <v>1.0427354058196601</v>
      </c>
      <c r="E137">
        <v>137</v>
      </c>
      <c r="F137">
        <f t="shared" si="39"/>
        <v>136</v>
      </c>
      <c r="G137">
        <f t="shared" si="40"/>
        <v>0.25985208665476078</v>
      </c>
      <c r="H137">
        <f t="shared" si="41"/>
        <v>1.10687730344655</v>
      </c>
      <c r="I137">
        <v>137</v>
      </c>
      <c r="J137">
        <f t="shared" si="42"/>
        <v>136</v>
      </c>
      <c r="K137">
        <f t="shared" si="43"/>
        <v>1.357330880190136</v>
      </c>
      <c r="L137">
        <f t="shared" si="44"/>
        <v>1.26645031675154</v>
      </c>
      <c r="M137">
        <v>137</v>
      </c>
      <c r="N137">
        <f t="shared" si="45"/>
        <v>136</v>
      </c>
      <c r="O137">
        <f t="shared" si="46"/>
        <v>0.34961354320979798</v>
      </c>
      <c r="P137">
        <f t="shared" si="47"/>
        <v>0.253817018041334</v>
      </c>
      <c r="Q137">
        <v>137</v>
      </c>
      <c r="R137">
        <f t="shared" si="48"/>
        <v>136</v>
      </c>
      <c r="S137">
        <f t="shared" si="49"/>
        <v>1.1945636623748153</v>
      </c>
      <c r="T137">
        <f t="shared" si="50"/>
        <v>0</v>
      </c>
      <c r="U137">
        <v>137</v>
      </c>
      <c r="V137">
        <f t="shared" si="51"/>
        <v>136</v>
      </c>
      <c r="W137">
        <f t="shared" si="52"/>
        <v>1.2341517915125793</v>
      </c>
      <c r="X137">
        <f t="shared" si="53"/>
        <v>6.4805860110755301E-2</v>
      </c>
    </row>
    <row r="138" spans="1:24">
      <c r="A138">
        <v>138</v>
      </c>
      <c r="B138">
        <f t="shared" si="36"/>
        <v>137</v>
      </c>
      <c r="C138">
        <f t="shared" si="37"/>
        <v>0.22197789338104928</v>
      </c>
      <c r="D138">
        <f t="shared" si="38"/>
        <v>1.9572645941803399</v>
      </c>
      <c r="E138">
        <v>138</v>
      </c>
      <c r="F138">
        <f t="shared" si="39"/>
        <v>137</v>
      </c>
      <c r="G138">
        <f t="shared" si="40"/>
        <v>0.2609769012371741</v>
      </c>
      <c r="H138">
        <f t="shared" si="41"/>
        <v>1.89312269655345</v>
      </c>
      <c r="I138">
        <v>138</v>
      </c>
      <c r="J138">
        <f t="shared" si="42"/>
        <v>137</v>
      </c>
      <c r="K138">
        <f t="shared" si="43"/>
        <v>1.3579991196271846</v>
      </c>
      <c r="L138">
        <f t="shared" si="44"/>
        <v>1.73354968324846</v>
      </c>
      <c r="M138">
        <v>138</v>
      </c>
      <c r="N138">
        <f t="shared" si="45"/>
        <v>137</v>
      </c>
      <c r="O138">
        <f t="shared" si="46"/>
        <v>0.35031792942427198</v>
      </c>
      <c r="P138">
        <f t="shared" si="47"/>
        <v>0.74618298195866595</v>
      </c>
      <c r="Q138">
        <v>138</v>
      </c>
      <c r="R138">
        <f t="shared" si="48"/>
        <v>137</v>
      </c>
      <c r="S138">
        <f t="shared" si="49"/>
        <v>1.195994277539336</v>
      </c>
      <c r="T138">
        <f t="shared" si="50"/>
        <v>1</v>
      </c>
      <c r="U138">
        <v>138</v>
      </c>
      <c r="V138">
        <f t="shared" si="51"/>
        <v>137</v>
      </c>
      <c r="W138">
        <f t="shared" si="52"/>
        <v>1.2353969821846513</v>
      </c>
      <c r="X138">
        <f t="shared" si="53"/>
        <v>0.93519413988924505</v>
      </c>
    </row>
    <row r="139" spans="1:24">
      <c r="A139">
        <v>139</v>
      </c>
      <c r="B139">
        <f t="shared" si="36"/>
        <v>138</v>
      </c>
      <c r="C139">
        <f t="shared" si="37"/>
        <v>0.2232862327063149</v>
      </c>
      <c r="D139">
        <f t="shared" si="38"/>
        <v>1.0427354058196601</v>
      </c>
      <c r="E139">
        <v>139</v>
      </c>
      <c r="F139">
        <f t="shared" si="39"/>
        <v>138</v>
      </c>
      <c r="G139">
        <f t="shared" si="40"/>
        <v>0.26210171581958741</v>
      </c>
      <c r="H139">
        <f t="shared" si="41"/>
        <v>1.10687730344655</v>
      </c>
      <c r="I139">
        <v>139</v>
      </c>
      <c r="J139">
        <f t="shared" si="42"/>
        <v>138</v>
      </c>
      <c r="K139">
        <f t="shared" si="43"/>
        <v>1.3586673590642329</v>
      </c>
      <c r="L139">
        <f t="shared" si="44"/>
        <v>1.26645031675154</v>
      </c>
      <c r="M139">
        <v>139</v>
      </c>
      <c r="N139">
        <f t="shared" si="45"/>
        <v>138</v>
      </c>
      <c r="O139">
        <f t="shared" si="46"/>
        <v>0.35102231563874597</v>
      </c>
      <c r="P139">
        <f t="shared" si="47"/>
        <v>0.253817018041334</v>
      </c>
      <c r="Q139">
        <v>139</v>
      </c>
      <c r="R139">
        <f t="shared" si="48"/>
        <v>138</v>
      </c>
      <c r="S139">
        <f t="shared" si="49"/>
        <v>1.1974248927038567</v>
      </c>
      <c r="T139">
        <f t="shared" si="50"/>
        <v>0</v>
      </c>
      <c r="U139">
        <v>139</v>
      </c>
      <c r="V139">
        <f t="shared" si="51"/>
        <v>138</v>
      </c>
      <c r="W139">
        <f t="shared" si="52"/>
        <v>1.2366421728567236</v>
      </c>
      <c r="X139">
        <f t="shared" si="53"/>
        <v>6.4805860110755301E-2</v>
      </c>
    </row>
    <row r="140" spans="1:24">
      <c r="A140">
        <v>140</v>
      </c>
      <c r="B140">
        <f t="shared" si="36"/>
        <v>139</v>
      </c>
      <c r="C140">
        <f t="shared" si="37"/>
        <v>0.22459457203158048</v>
      </c>
      <c r="D140">
        <f t="shared" si="38"/>
        <v>1.9572645941803399</v>
      </c>
      <c r="E140">
        <v>140</v>
      </c>
      <c r="F140">
        <f t="shared" si="39"/>
        <v>139</v>
      </c>
      <c r="G140">
        <f t="shared" si="40"/>
        <v>0.26322653040200067</v>
      </c>
      <c r="H140">
        <f t="shared" si="41"/>
        <v>1.89312269655345</v>
      </c>
      <c r="I140">
        <v>140</v>
      </c>
      <c r="J140">
        <f t="shared" si="42"/>
        <v>139</v>
      </c>
      <c r="K140">
        <f t="shared" si="43"/>
        <v>1.3593355985012814</v>
      </c>
      <c r="L140">
        <f t="shared" si="44"/>
        <v>1.73354968324846</v>
      </c>
      <c r="M140">
        <v>140</v>
      </c>
      <c r="N140">
        <f t="shared" si="45"/>
        <v>139</v>
      </c>
      <c r="O140">
        <f t="shared" si="46"/>
        <v>0.35172670185321997</v>
      </c>
      <c r="P140">
        <f t="shared" si="47"/>
        <v>0.74618298195866595</v>
      </c>
      <c r="Q140">
        <v>140</v>
      </c>
      <c r="R140">
        <f t="shared" si="48"/>
        <v>139</v>
      </c>
      <c r="S140">
        <f t="shared" si="49"/>
        <v>1.1988555078683774</v>
      </c>
      <c r="T140">
        <f t="shared" si="50"/>
        <v>1</v>
      </c>
      <c r="U140">
        <v>140</v>
      </c>
      <c r="V140">
        <f t="shared" si="51"/>
        <v>139</v>
      </c>
      <c r="W140">
        <f t="shared" si="52"/>
        <v>1.2378873635287957</v>
      </c>
      <c r="X140">
        <f t="shared" si="53"/>
        <v>0.93519413988924505</v>
      </c>
    </row>
    <row r="141" spans="1:24">
      <c r="A141">
        <v>141</v>
      </c>
      <c r="B141">
        <f t="shared" si="36"/>
        <v>140</v>
      </c>
      <c r="C141">
        <f t="shared" si="37"/>
        <v>0.22590291135684609</v>
      </c>
      <c r="D141">
        <f t="shared" si="38"/>
        <v>1.0427354058196601</v>
      </c>
      <c r="E141">
        <v>141</v>
      </c>
      <c r="F141">
        <f t="shared" si="39"/>
        <v>140</v>
      </c>
      <c r="G141">
        <f t="shared" si="40"/>
        <v>0.26435134498441398</v>
      </c>
      <c r="H141">
        <f t="shared" si="41"/>
        <v>1.10687730344655</v>
      </c>
      <c r="I141">
        <v>141</v>
      </c>
      <c r="J141">
        <f t="shared" si="42"/>
        <v>140</v>
      </c>
      <c r="K141">
        <f t="shared" si="43"/>
        <v>1.3600038379383299</v>
      </c>
      <c r="L141">
        <f t="shared" si="44"/>
        <v>1.26645031675154</v>
      </c>
      <c r="M141">
        <v>141</v>
      </c>
      <c r="N141">
        <f t="shared" si="45"/>
        <v>140</v>
      </c>
      <c r="O141">
        <f t="shared" si="46"/>
        <v>0.35243108806769397</v>
      </c>
      <c r="P141">
        <f t="shared" si="47"/>
        <v>0.253817018041334</v>
      </c>
      <c r="Q141">
        <v>141</v>
      </c>
      <c r="R141">
        <f t="shared" si="48"/>
        <v>140</v>
      </c>
      <c r="S141">
        <f t="shared" si="49"/>
        <v>1.2002861230328981</v>
      </c>
      <c r="T141">
        <f t="shared" si="50"/>
        <v>0</v>
      </c>
      <c r="U141">
        <v>141</v>
      </c>
      <c r="V141">
        <f t="shared" si="51"/>
        <v>140</v>
      </c>
      <c r="W141">
        <f t="shared" si="52"/>
        <v>1.239132554200868</v>
      </c>
      <c r="X141">
        <f t="shared" si="53"/>
        <v>6.4805860110755301E-2</v>
      </c>
    </row>
    <row r="142" spans="1:24">
      <c r="A142">
        <v>142</v>
      </c>
      <c r="B142">
        <f t="shared" si="36"/>
        <v>141</v>
      </c>
      <c r="C142">
        <f t="shared" si="37"/>
        <v>0.2272112506821117</v>
      </c>
      <c r="D142">
        <f t="shared" si="38"/>
        <v>1.9572645941803399</v>
      </c>
      <c r="E142">
        <v>142</v>
      </c>
      <c r="F142">
        <f t="shared" si="39"/>
        <v>141</v>
      </c>
      <c r="G142">
        <f t="shared" si="40"/>
        <v>0.2654761595668273</v>
      </c>
      <c r="H142">
        <f t="shared" si="41"/>
        <v>1.89312269655345</v>
      </c>
      <c r="I142">
        <v>142</v>
      </c>
      <c r="J142">
        <f t="shared" si="42"/>
        <v>141</v>
      </c>
      <c r="K142">
        <f t="shared" si="43"/>
        <v>1.3606720773753784</v>
      </c>
      <c r="L142">
        <f t="shared" si="44"/>
        <v>1.73354968324846</v>
      </c>
      <c r="M142">
        <v>142</v>
      </c>
      <c r="N142">
        <f t="shared" si="45"/>
        <v>141</v>
      </c>
      <c r="O142">
        <f t="shared" si="46"/>
        <v>0.35313547428216796</v>
      </c>
      <c r="P142">
        <f t="shared" si="47"/>
        <v>0.74618298195866595</v>
      </c>
      <c r="Q142">
        <v>142</v>
      </c>
      <c r="R142">
        <f t="shared" si="48"/>
        <v>141</v>
      </c>
      <c r="S142">
        <f t="shared" si="49"/>
        <v>1.2017167381974188</v>
      </c>
      <c r="T142">
        <f t="shared" si="50"/>
        <v>1</v>
      </c>
      <c r="U142">
        <v>142</v>
      </c>
      <c r="V142">
        <f t="shared" si="51"/>
        <v>141</v>
      </c>
      <c r="W142">
        <f t="shared" si="52"/>
        <v>1.2403777448729401</v>
      </c>
      <c r="X142">
        <f t="shared" si="53"/>
        <v>0.93519413988924505</v>
      </c>
    </row>
    <row r="143" spans="1:24">
      <c r="A143">
        <v>143</v>
      </c>
      <c r="B143">
        <f t="shared" si="36"/>
        <v>142</v>
      </c>
      <c r="C143">
        <f t="shared" si="37"/>
        <v>0.22851959000737729</v>
      </c>
      <c r="D143">
        <f t="shared" si="38"/>
        <v>1.0427354058196601</v>
      </c>
      <c r="E143">
        <v>143</v>
      </c>
      <c r="F143">
        <f t="shared" si="39"/>
        <v>142</v>
      </c>
      <c r="G143">
        <f t="shared" si="40"/>
        <v>0.26660097414924055</v>
      </c>
      <c r="H143">
        <f t="shared" si="41"/>
        <v>1.10687730344655</v>
      </c>
      <c r="I143">
        <v>143</v>
      </c>
      <c r="J143">
        <f t="shared" si="42"/>
        <v>142</v>
      </c>
      <c r="K143">
        <f t="shared" si="43"/>
        <v>1.361340316812427</v>
      </c>
      <c r="L143">
        <f t="shared" si="44"/>
        <v>1.26645031675154</v>
      </c>
      <c r="M143">
        <v>143</v>
      </c>
      <c r="N143">
        <f t="shared" si="45"/>
        <v>142</v>
      </c>
      <c r="O143">
        <f t="shared" si="46"/>
        <v>0.35383986049664201</v>
      </c>
      <c r="P143">
        <f t="shared" si="47"/>
        <v>0.253817018041334</v>
      </c>
      <c r="Q143">
        <v>143</v>
      </c>
      <c r="R143">
        <f t="shared" si="48"/>
        <v>142</v>
      </c>
      <c r="S143">
        <f t="shared" si="49"/>
        <v>1.2031473533619395</v>
      </c>
      <c r="T143">
        <f t="shared" si="50"/>
        <v>0</v>
      </c>
      <c r="U143">
        <v>143</v>
      </c>
      <c r="V143">
        <f t="shared" si="51"/>
        <v>142</v>
      </c>
      <c r="W143">
        <f t="shared" si="52"/>
        <v>1.2416229355450124</v>
      </c>
      <c r="X143">
        <f t="shared" si="53"/>
        <v>6.4805860110755301E-2</v>
      </c>
    </row>
    <row r="144" spans="1:24">
      <c r="A144">
        <v>144</v>
      </c>
      <c r="B144">
        <f t="shared" si="36"/>
        <v>143</v>
      </c>
      <c r="C144">
        <f t="shared" si="37"/>
        <v>0.2298279293326429</v>
      </c>
      <c r="D144">
        <f t="shared" si="38"/>
        <v>1.9572645941803399</v>
      </c>
      <c r="E144">
        <v>144</v>
      </c>
      <c r="F144">
        <f t="shared" si="39"/>
        <v>143</v>
      </c>
      <c r="G144">
        <f t="shared" si="40"/>
        <v>0.26772578873165387</v>
      </c>
      <c r="H144">
        <f t="shared" si="41"/>
        <v>1.89312269655345</v>
      </c>
      <c r="I144">
        <v>144</v>
      </c>
      <c r="J144">
        <f t="shared" si="42"/>
        <v>143</v>
      </c>
      <c r="K144">
        <f t="shared" si="43"/>
        <v>1.3620085562494755</v>
      </c>
      <c r="L144">
        <f t="shared" si="44"/>
        <v>1.73354968324846</v>
      </c>
      <c r="M144">
        <v>144</v>
      </c>
      <c r="N144">
        <f t="shared" si="45"/>
        <v>143</v>
      </c>
      <c r="O144">
        <f t="shared" si="46"/>
        <v>0.35454424671111601</v>
      </c>
      <c r="P144">
        <f t="shared" si="47"/>
        <v>0.74618298195866595</v>
      </c>
      <c r="Q144">
        <v>144</v>
      </c>
      <c r="R144">
        <f t="shared" si="48"/>
        <v>143</v>
      </c>
      <c r="S144">
        <f t="shared" si="49"/>
        <v>1.2045779685264602</v>
      </c>
      <c r="T144">
        <f t="shared" si="50"/>
        <v>1</v>
      </c>
      <c r="U144">
        <v>144</v>
      </c>
      <c r="V144">
        <f t="shared" si="51"/>
        <v>143</v>
      </c>
      <c r="W144">
        <f t="shared" si="52"/>
        <v>1.2428681262170844</v>
      </c>
      <c r="X144">
        <f t="shared" si="53"/>
        <v>0.93519413988924505</v>
      </c>
    </row>
    <row r="145" spans="1:24">
      <c r="A145">
        <v>145</v>
      </c>
      <c r="B145">
        <f t="shared" si="36"/>
        <v>144</v>
      </c>
      <c r="C145">
        <f t="shared" si="37"/>
        <v>0.23113626865790848</v>
      </c>
      <c r="D145">
        <f t="shared" si="38"/>
        <v>1.0427354058196601</v>
      </c>
      <c r="E145">
        <v>145</v>
      </c>
      <c r="F145">
        <f t="shared" si="39"/>
        <v>144</v>
      </c>
      <c r="G145">
        <f t="shared" si="40"/>
        <v>0.26885060331406718</v>
      </c>
      <c r="H145">
        <f t="shared" si="41"/>
        <v>1.10687730344655</v>
      </c>
      <c r="I145">
        <v>145</v>
      </c>
      <c r="J145">
        <f t="shared" si="42"/>
        <v>144</v>
      </c>
      <c r="K145">
        <f t="shared" si="43"/>
        <v>1.362676795686524</v>
      </c>
      <c r="L145">
        <f t="shared" si="44"/>
        <v>1.26645031675154</v>
      </c>
      <c r="M145">
        <v>145</v>
      </c>
      <c r="N145">
        <f t="shared" si="45"/>
        <v>144</v>
      </c>
      <c r="O145">
        <f t="shared" si="46"/>
        <v>0.35524863292559</v>
      </c>
      <c r="P145">
        <f t="shared" si="47"/>
        <v>0.253817018041334</v>
      </c>
      <c r="Q145">
        <v>145</v>
      </c>
      <c r="R145">
        <f t="shared" si="48"/>
        <v>144</v>
      </c>
      <c r="S145">
        <f t="shared" si="49"/>
        <v>1.2060085836909809</v>
      </c>
      <c r="T145">
        <f t="shared" si="50"/>
        <v>0</v>
      </c>
      <c r="U145">
        <v>145</v>
      </c>
      <c r="V145">
        <f t="shared" si="51"/>
        <v>144</v>
      </c>
      <c r="W145">
        <f t="shared" si="52"/>
        <v>1.2441133168891567</v>
      </c>
      <c r="X145">
        <f t="shared" si="53"/>
        <v>6.4805860110755301E-2</v>
      </c>
    </row>
    <row r="146" spans="1:24">
      <c r="A146">
        <v>146</v>
      </c>
      <c r="B146">
        <f t="shared" si="36"/>
        <v>145</v>
      </c>
      <c r="C146">
        <f t="shared" si="37"/>
        <v>0.2324446079831741</v>
      </c>
      <c r="D146">
        <f t="shared" si="38"/>
        <v>1.9572645941803399</v>
      </c>
      <c r="E146">
        <v>146</v>
      </c>
      <c r="F146">
        <f t="shared" si="39"/>
        <v>145</v>
      </c>
      <c r="G146">
        <f t="shared" si="40"/>
        <v>0.2699754178964805</v>
      </c>
      <c r="H146">
        <f t="shared" si="41"/>
        <v>1.89312269655345</v>
      </c>
      <c r="I146">
        <v>146</v>
      </c>
      <c r="J146">
        <f t="shared" si="42"/>
        <v>145</v>
      </c>
      <c r="K146">
        <f t="shared" si="43"/>
        <v>1.3633450351235725</v>
      </c>
      <c r="L146">
        <f t="shared" si="44"/>
        <v>1.73354968324846</v>
      </c>
      <c r="M146">
        <v>146</v>
      </c>
      <c r="N146">
        <f t="shared" si="45"/>
        <v>145</v>
      </c>
      <c r="O146">
        <f t="shared" si="46"/>
        <v>0.355953019140064</v>
      </c>
      <c r="P146">
        <f t="shared" si="47"/>
        <v>0.74618298195866595</v>
      </c>
      <c r="Q146">
        <v>146</v>
      </c>
      <c r="R146">
        <f t="shared" si="48"/>
        <v>145</v>
      </c>
      <c r="S146">
        <f t="shared" si="49"/>
        <v>1.2074391988555015</v>
      </c>
      <c r="T146">
        <f t="shared" si="50"/>
        <v>1</v>
      </c>
      <c r="U146">
        <v>146</v>
      </c>
      <c r="V146">
        <f t="shared" si="51"/>
        <v>145</v>
      </c>
      <c r="W146">
        <f t="shared" si="52"/>
        <v>1.245358507561229</v>
      </c>
      <c r="X146">
        <f t="shared" si="53"/>
        <v>0.93519413988924505</v>
      </c>
    </row>
    <row r="147" spans="1:24">
      <c r="A147">
        <v>147</v>
      </c>
      <c r="B147">
        <f t="shared" si="36"/>
        <v>146</v>
      </c>
      <c r="C147">
        <f t="shared" si="37"/>
        <v>0.23375294730843968</v>
      </c>
      <c r="D147">
        <f t="shared" si="38"/>
        <v>1.0427354058196601</v>
      </c>
      <c r="E147">
        <v>147</v>
      </c>
      <c r="F147">
        <f t="shared" si="39"/>
        <v>146</v>
      </c>
      <c r="G147">
        <f t="shared" si="40"/>
        <v>0.27110023247889381</v>
      </c>
      <c r="H147">
        <f t="shared" si="41"/>
        <v>1.10687730344655</v>
      </c>
      <c r="I147">
        <v>147</v>
      </c>
      <c r="J147">
        <f t="shared" si="42"/>
        <v>146</v>
      </c>
      <c r="K147">
        <f t="shared" si="43"/>
        <v>1.364013274560621</v>
      </c>
      <c r="L147">
        <f t="shared" si="44"/>
        <v>1.26645031675154</v>
      </c>
      <c r="M147">
        <v>147</v>
      </c>
      <c r="N147">
        <f t="shared" si="45"/>
        <v>146</v>
      </c>
      <c r="O147">
        <f t="shared" si="46"/>
        <v>0.35665740535453799</v>
      </c>
      <c r="P147">
        <f t="shared" si="47"/>
        <v>0.253817018041334</v>
      </c>
      <c r="Q147">
        <v>147</v>
      </c>
      <c r="R147">
        <f t="shared" si="48"/>
        <v>146</v>
      </c>
      <c r="S147">
        <f t="shared" si="49"/>
        <v>1.2088698140200222</v>
      </c>
      <c r="T147">
        <f t="shared" si="50"/>
        <v>0</v>
      </c>
      <c r="U147">
        <v>147</v>
      </c>
      <c r="V147">
        <f t="shared" si="51"/>
        <v>146</v>
      </c>
      <c r="W147">
        <f t="shared" si="52"/>
        <v>1.2466036982333011</v>
      </c>
      <c r="X147">
        <f t="shared" si="53"/>
        <v>6.4805860110755301E-2</v>
      </c>
    </row>
    <row r="148" spans="1:24">
      <c r="A148">
        <v>148</v>
      </c>
      <c r="B148">
        <f t="shared" si="36"/>
        <v>147</v>
      </c>
      <c r="C148">
        <f t="shared" si="37"/>
        <v>0.23506128663370529</v>
      </c>
      <c r="D148">
        <f t="shared" si="38"/>
        <v>1.9572645941803399</v>
      </c>
      <c r="E148">
        <v>148</v>
      </c>
      <c r="F148">
        <f t="shared" si="39"/>
        <v>147</v>
      </c>
      <c r="G148">
        <f t="shared" si="40"/>
        <v>0.27222504706130707</v>
      </c>
      <c r="H148">
        <f t="shared" si="41"/>
        <v>1.89312269655345</v>
      </c>
      <c r="I148">
        <v>148</v>
      </c>
      <c r="J148">
        <f t="shared" si="42"/>
        <v>147</v>
      </c>
      <c r="K148">
        <f t="shared" si="43"/>
        <v>1.3646815139976693</v>
      </c>
      <c r="L148">
        <f t="shared" si="44"/>
        <v>1.73354968324846</v>
      </c>
      <c r="M148">
        <v>148</v>
      </c>
      <c r="N148">
        <f t="shared" si="45"/>
        <v>147</v>
      </c>
      <c r="O148">
        <f t="shared" si="46"/>
        <v>0.35736179156901199</v>
      </c>
      <c r="P148">
        <f t="shared" si="47"/>
        <v>0.74618298195866595</v>
      </c>
      <c r="Q148">
        <v>148</v>
      </c>
      <c r="R148">
        <f t="shared" si="48"/>
        <v>147</v>
      </c>
      <c r="S148">
        <f t="shared" si="49"/>
        <v>1.2103004291845429</v>
      </c>
      <c r="T148">
        <f t="shared" si="50"/>
        <v>1</v>
      </c>
      <c r="U148">
        <v>148</v>
      </c>
      <c r="V148">
        <f t="shared" si="51"/>
        <v>147</v>
      </c>
      <c r="W148">
        <f t="shared" si="52"/>
        <v>1.2478488889053734</v>
      </c>
      <c r="X148">
        <f t="shared" si="53"/>
        <v>0.93519413988924505</v>
      </c>
    </row>
    <row r="149" spans="1:24">
      <c r="A149">
        <v>149</v>
      </c>
      <c r="B149">
        <f t="shared" si="36"/>
        <v>148</v>
      </c>
      <c r="C149">
        <f t="shared" si="37"/>
        <v>0.2363696259589709</v>
      </c>
      <c r="D149">
        <f t="shared" si="38"/>
        <v>1.0427354058196601</v>
      </c>
      <c r="E149">
        <v>149</v>
      </c>
      <c r="F149">
        <f t="shared" si="39"/>
        <v>148</v>
      </c>
      <c r="G149">
        <f t="shared" si="40"/>
        <v>0.27334986164372038</v>
      </c>
      <c r="H149">
        <f t="shared" si="41"/>
        <v>1.10687730344655</v>
      </c>
      <c r="I149">
        <v>149</v>
      </c>
      <c r="J149">
        <f t="shared" si="42"/>
        <v>148</v>
      </c>
      <c r="K149">
        <f t="shared" si="43"/>
        <v>1.3653497534347179</v>
      </c>
      <c r="L149">
        <f t="shared" si="44"/>
        <v>1.26645031675154</v>
      </c>
      <c r="M149">
        <v>149</v>
      </c>
      <c r="N149">
        <f t="shared" si="45"/>
        <v>148</v>
      </c>
      <c r="O149">
        <f t="shared" si="46"/>
        <v>0.35806617778348598</v>
      </c>
      <c r="P149">
        <f t="shared" si="47"/>
        <v>0.253817018041334</v>
      </c>
      <c r="Q149">
        <v>149</v>
      </c>
      <c r="R149">
        <f t="shared" si="48"/>
        <v>148</v>
      </c>
      <c r="S149">
        <f t="shared" si="49"/>
        <v>1.2117310443490636</v>
      </c>
      <c r="T149">
        <f t="shared" si="50"/>
        <v>0</v>
      </c>
      <c r="U149">
        <v>149</v>
      </c>
      <c r="V149">
        <f t="shared" si="51"/>
        <v>148</v>
      </c>
      <c r="W149">
        <f t="shared" si="52"/>
        <v>1.2490940795774454</v>
      </c>
      <c r="X149">
        <f t="shared" si="53"/>
        <v>6.4805860110755301E-2</v>
      </c>
    </row>
    <row r="150" spans="1:24">
      <c r="A150">
        <v>150</v>
      </c>
      <c r="B150">
        <f t="shared" si="36"/>
        <v>149</v>
      </c>
      <c r="C150">
        <f t="shared" si="37"/>
        <v>0.23767796528423649</v>
      </c>
      <c r="D150">
        <f t="shared" si="38"/>
        <v>1.9572645941803399</v>
      </c>
      <c r="E150">
        <v>150</v>
      </c>
      <c r="F150">
        <f t="shared" si="39"/>
        <v>149</v>
      </c>
      <c r="G150">
        <f t="shared" si="40"/>
        <v>0.2744746762261337</v>
      </c>
      <c r="H150">
        <f t="shared" si="41"/>
        <v>1.89312269655345</v>
      </c>
      <c r="I150">
        <v>150</v>
      </c>
      <c r="J150">
        <f t="shared" si="42"/>
        <v>149</v>
      </c>
      <c r="K150">
        <f t="shared" si="43"/>
        <v>1.3660179928717664</v>
      </c>
      <c r="L150">
        <f t="shared" si="44"/>
        <v>1.73354968324846</v>
      </c>
      <c r="M150">
        <v>150</v>
      </c>
      <c r="N150">
        <f t="shared" si="45"/>
        <v>149</v>
      </c>
      <c r="O150">
        <f t="shared" si="46"/>
        <v>0.35877056399795998</v>
      </c>
      <c r="P150">
        <f t="shared" si="47"/>
        <v>0.74618298195866595</v>
      </c>
      <c r="Q150">
        <v>150</v>
      </c>
      <c r="R150">
        <f t="shared" si="48"/>
        <v>149</v>
      </c>
      <c r="S150">
        <f t="shared" si="49"/>
        <v>1.2131616595135843</v>
      </c>
      <c r="T150">
        <f t="shared" si="50"/>
        <v>1</v>
      </c>
      <c r="U150">
        <v>150</v>
      </c>
      <c r="V150">
        <f t="shared" si="51"/>
        <v>149</v>
      </c>
      <c r="W150">
        <f t="shared" si="52"/>
        <v>1.2503392702495177</v>
      </c>
      <c r="X150">
        <f t="shared" si="53"/>
        <v>0.93519413988924505</v>
      </c>
    </row>
    <row r="151" spans="1:24">
      <c r="A151">
        <v>151</v>
      </c>
      <c r="B151">
        <f t="shared" si="36"/>
        <v>150</v>
      </c>
      <c r="C151">
        <f t="shared" si="37"/>
        <v>0.2389863046095021</v>
      </c>
      <c r="D151">
        <f t="shared" si="38"/>
        <v>1.0427354058196601</v>
      </c>
      <c r="E151">
        <v>151</v>
      </c>
      <c r="F151">
        <f t="shared" si="39"/>
        <v>150</v>
      </c>
      <c r="G151">
        <f t="shared" si="40"/>
        <v>0.27559949080854695</v>
      </c>
      <c r="H151">
        <f t="shared" si="41"/>
        <v>1.10687730344655</v>
      </c>
      <c r="I151">
        <v>151</v>
      </c>
      <c r="J151">
        <f t="shared" si="42"/>
        <v>150</v>
      </c>
      <c r="K151">
        <f t="shared" si="43"/>
        <v>1.3666862323088149</v>
      </c>
      <c r="L151">
        <f t="shared" si="44"/>
        <v>1.26645031675154</v>
      </c>
      <c r="M151">
        <v>151</v>
      </c>
      <c r="N151">
        <f t="shared" si="45"/>
        <v>150</v>
      </c>
      <c r="O151">
        <f t="shared" si="46"/>
        <v>0.35947495021243397</v>
      </c>
      <c r="P151">
        <f t="shared" si="47"/>
        <v>0.253817018041334</v>
      </c>
      <c r="Q151">
        <v>151</v>
      </c>
      <c r="R151">
        <f t="shared" si="48"/>
        <v>150</v>
      </c>
      <c r="S151">
        <f t="shared" si="49"/>
        <v>1.214592274678105</v>
      </c>
      <c r="T151">
        <f t="shared" si="50"/>
        <v>0</v>
      </c>
      <c r="U151">
        <v>151</v>
      </c>
      <c r="V151">
        <f t="shared" si="51"/>
        <v>150</v>
      </c>
      <c r="W151">
        <f t="shared" si="52"/>
        <v>1.25158446092159</v>
      </c>
      <c r="X151">
        <f t="shared" si="53"/>
        <v>6.4805860110755301E-2</v>
      </c>
    </row>
    <row r="152" spans="1:24">
      <c r="A152">
        <v>152</v>
      </c>
      <c r="B152">
        <f t="shared" si="36"/>
        <v>151</v>
      </c>
      <c r="C152">
        <f t="shared" si="37"/>
        <v>0.24029464393476768</v>
      </c>
      <c r="D152">
        <f t="shared" si="38"/>
        <v>1.9572645941803399</v>
      </c>
      <c r="E152">
        <v>152</v>
      </c>
      <c r="F152">
        <f t="shared" si="39"/>
        <v>151</v>
      </c>
      <c r="G152">
        <f t="shared" si="40"/>
        <v>0.27672430539096027</v>
      </c>
      <c r="H152">
        <f t="shared" si="41"/>
        <v>1.89312269655345</v>
      </c>
      <c r="I152">
        <v>152</v>
      </c>
      <c r="J152">
        <f t="shared" si="42"/>
        <v>151</v>
      </c>
      <c r="K152">
        <f t="shared" si="43"/>
        <v>1.3673544717458634</v>
      </c>
      <c r="L152">
        <f t="shared" si="44"/>
        <v>1.73354968324846</v>
      </c>
      <c r="M152">
        <v>152</v>
      </c>
      <c r="N152">
        <f t="shared" si="45"/>
        <v>151</v>
      </c>
      <c r="O152">
        <f t="shared" si="46"/>
        <v>0.36017933642690803</v>
      </c>
      <c r="P152">
        <f t="shared" si="47"/>
        <v>0.74618298195866595</v>
      </c>
      <c r="Q152">
        <v>152</v>
      </c>
      <c r="R152">
        <f t="shared" si="48"/>
        <v>151</v>
      </c>
      <c r="S152">
        <f t="shared" si="49"/>
        <v>1.2160228898426257</v>
      </c>
      <c r="T152">
        <f t="shared" si="50"/>
        <v>1</v>
      </c>
      <c r="U152">
        <v>152</v>
      </c>
      <c r="V152">
        <f t="shared" si="51"/>
        <v>151</v>
      </c>
      <c r="W152">
        <f t="shared" si="52"/>
        <v>1.2528296515936621</v>
      </c>
      <c r="X152">
        <f t="shared" si="53"/>
        <v>0.93519413988924505</v>
      </c>
    </row>
    <row r="153" spans="1:24">
      <c r="A153">
        <v>153</v>
      </c>
      <c r="B153">
        <f t="shared" si="36"/>
        <v>152</v>
      </c>
      <c r="C153">
        <f t="shared" si="37"/>
        <v>0.24160298326003329</v>
      </c>
      <c r="D153">
        <f t="shared" si="38"/>
        <v>1.0427354058196601</v>
      </c>
      <c r="E153">
        <v>153</v>
      </c>
      <c r="F153">
        <f t="shared" si="39"/>
        <v>152</v>
      </c>
      <c r="G153">
        <f t="shared" si="40"/>
        <v>0.27784911997337358</v>
      </c>
      <c r="H153">
        <f t="shared" si="41"/>
        <v>1.10687730344655</v>
      </c>
      <c r="I153">
        <v>153</v>
      </c>
      <c r="J153">
        <f t="shared" si="42"/>
        <v>152</v>
      </c>
      <c r="K153">
        <f t="shared" si="43"/>
        <v>1.368022711182912</v>
      </c>
      <c r="L153">
        <f t="shared" si="44"/>
        <v>1.26645031675154</v>
      </c>
      <c r="M153">
        <v>153</v>
      </c>
      <c r="N153">
        <f t="shared" si="45"/>
        <v>152</v>
      </c>
      <c r="O153">
        <f t="shared" si="46"/>
        <v>0.36088372264138202</v>
      </c>
      <c r="P153">
        <f t="shared" si="47"/>
        <v>0.253817018041334</v>
      </c>
      <c r="Q153">
        <v>153</v>
      </c>
      <c r="R153">
        <f t="shared" si="48"/>
        <v>152</v>
      </c>
      <c r="S153">
        <f t="shared" si="49"/>
        <v>1.2174535050071464</v>
      </c>
      <c r="T153">
        <f t="shared" si="50"/>
        <v>0</v>
      </c>
      <c r="U153">
        <v>153</v>
      </c>
      <c r="V153">
        <f t="shared" si="51"/>
        <v>152</v>
      </c>
      <c r="W153">
        <f t="shared" si="52"/>
        <v>1.2540748422657344</v>
      </c>
      <c r="X153">
        <f t="shared" si="53"/>
        <v>6.4805860110755301E-2</v>
      </c>
    </row>
    <row r="154" spans="1:24">
      <c r="A154">
        <v>154</v>
      </c>
      <c r="B154">
        <f t="shared" si="36"/>
        <v>153</v>
      </c>
      <c r="C154">
        <f t="shared" si="37"/>
        <v>0.24291132258529888</v>
      </c>
      <c r="D154">
        <f t="shared" si="38"/>
        <v>1.9572645941803399</v>
      </c>
      <c r="E154">
        <v>154</v>
      </c>
      <c r="F154">
        <f t="shared" si="39"/>
        <v>153</v>
      </c>
      <c r="G154">
        <f t="shared" si="40"/>
        <v>0.2789739345557869</v>
      </c>
      <c r="H154">
        <f t="shared" si="41"/>
        <v>1.89312269655345</v>
      </c>
      <c r="I154">
        <v>154</v>
      </c>
      <c r="J154">
        <f t="shared" si="42"/>
        <v>153</v>
      </c>
      <c r="K154">
        <f t="shared" si="43"/>
        <v>1.3686909506199605</v>
      </c>
      <c r="L154">
        <f t="shared" si="44"/>
        <v>1.73354968324846</v>
      </c>
      <c r="M154">
        <v>154</v>
      </c>
      <c r="N154">
        <f t="shared" si="45"/>
        <v>153</v>
      </c>
      <c r="O154">
        <f t="shared" si="46"/>
        <v>0.36158810885585602</v>
      </c>
      <c r="P154">
        <f t="shared" si="47"/>
        <v>0.74618298195866595</v>
      </c>
      <c r="Q154">
        <v>154</v>
      </c>
      <c r="R154">
        <f t="shared" si="48"/>
        <v>153</v>
      </c>
      <c r="S154">
        <f t="shared" si="49"/>
        <v>1.2188841201716671</v>
      </c>
      <c r="T154">
        <f t="shared" si="50"/>
        <v>1</v>
      </c>
      <c r="U154">
        <v>154</v>
      </c>
      <c r="V154">
        <f t="shared" si="51"/>
        <v>153</v>
      </c>
      <c r="W154">
        <f t="shared" si="52"/>
        <v>1.2553200329378065</v>
      </c>
      <c r="X154">
        <f t="shared" si="53"/>
        <v>0.93519413988924505</v>
      </c>
    </row>
    <row r="155" spans="1:24">
      <c r="A155">
        <v>155</v>
      </c>
      <c r="B155">
        <f t="shared" si="36"/>
        <v>154</v>
      </c>
      <c r="C155">
        <f t="shared" si="37"/>
        <v>0.24421966191056449</v>
      </c>
      <c r="D155">
        <f t="shared" si="38"/>
        <v>1.0427354058196601</v>
      </c>
      <c r="E155">
        <v>155</v>
      </c>
      <c r="F155">
        <f t="shared" si="39"/>
        <v>154</v>
      </c>
      <c r="G155">
        <f t="shared" si="40"/>
        <v>0.28009874913820021</v>
      </c>
      <c r="H155">
        <f t="shared" si="41"/>
        <v>1.10687730344655</v>
      </c>
      <c r="I155">
        <v>155</v>
      </c>
      <c r="J155">
        <f t="shared" si="42"/>
        <v>154</v>
      </c>
      <c r="K155">
        <f t="shared" si="43"/>
        <v>1.369359190057009</v>
      </c>
      <c r="L155">
        <f t="shared" si="44"/>
        <v>1.26645031675154</v>
      </c>
      <c r="M155">
        <v>155</v>
      </c>
      <c r="N155">
        <f t="shared" si="45"/>
        <v>154</v>
      </c>
      <c r="O155">
        <f t="shared" si="46"/>
        <v>0.36229249507033001</v>
      </c>
      <c r="P155">
        <f t="shared" si="47"/>
        <v>0.253817018041334</v>
      </c>
      <c r="Q155">
        <v>155</v>
      </c>
      <c r="R155">
        <f t="shared" si="48"/>
        <v>154</v>
      </c>
      <c r="S155">
        <f t="shared" si="49"/>
        <v>1.2203147353361878</v>
      </c>
      <c r="T155">
        <f t="shared" si="50"/>
        <v>0</v>
      </c>
      <c r="U155">
        <v>155</v>
      </c>
      <c r="V155">
        <f t="shared" si="51"/>
        <v>154</v>
      </c>
      <c r="W155">
        <f t="shared" si="52"/>
        <v>1.2565652236098788</v>
      </c>
      <c r="X155">
        <f t="shared" si="53"/>
        <v>6.4805860110755301E-2</v>
      </c>
    </row>
    <row r="156" spans="1:24">
      <c r="A156">
        <v>156</v>
      </c>
      <c r="B156">
        <f t="shared" si="36"/>
        <v>155</v>
      </c>
      <c r="C156">
        <f t="shared" si="37"/>
        <v>0.2455280012358301</v>
      </c>
      <c r="D156">
        <f t="shared" si="38"/>
        <v>1.9572645941803399</v>
      </c>
      <c r="E156">
        <v>156</v>
      </c>
      <c r="F156">
        <f t="shared" si="39"/>
        <v>155</v>
      </c>
      <c r="G156">
        <f t="shared" si="40"/>
        <v>0.28122356372061347</v>
      </c>
      <c r="H156">
        <f t="shared" si="41"/>
        <v>1.89312269655345</v>
      </c>
      <c r="I156">
        <v>156</v>
      </c>
      <c r="J156">
        <f t="shared" si="42"/>
        <v>155</v>
      </c>
      <c r="K156">
        <f t="shared" si="43"/>
        <v>1.3700274294940575</v>
      </c>
      <c r="L156">
        <f t="shared" si="44"/>
        <v>1.73354968324846</v>
      </c>
      <c r="M156">
        <v>156</v>
      </c>
      <c r="N156">
        <f t="shared" si="45"/>
        <v>155</v>
      </c>
      <c r="O156">
        <f t="shared" si="46"/>
        <v>0.36299688128480401</v>
      </c>
      <c r="P156">
        <f t="shared" si="47"/>
        <v>0.74618298195866595</v>
      </c>
      <c r="Q156">
        <v>156</v>
      </c>
      <c r="R156">
        <f t="shared" si="48"/>
        <v>155</v>
      </c>
      <c r="S156">
        <f t="shared" si="49"/>
        <v>1.2217453505007085</v>
      </c>
      <c r="T156">
        <f t="shared" si="50"/>
        <v>1</v>
      </c>
      <c r="U156">
        <v>156</v>
      </c>
      <c r="V156">
        <f t="shared" si="51"/>
        <v>155</v>
      </c>
      <c r="W156">
        <f t="shared" si="52"/>
        <v>1.2578104142819511</v>
      </c>
      <c r="X156">
        <f t="shared" si="53"/>
        <v>0.93519413988924505</v>
      </c>
    </row>
    <row r="157" spans="1:24">
      <c r="A157">
        <v>157</v>
      </c>
      <c r="B157">
        <f t="shared" si="36"/>
        <v>156</v>
      </c>
      <c r="C157">
        <f t="shared" si="37"/>
        <v>0.24683634056109569</v>
      </c>
      <c r="D157">
        <f t="shared" si="38"/>
        <v>1.0427354058196601</v>
      </c>
      <c r="E157">
        <v>157</v>
      </c>
      <c r="F157">
        <f t="shared" si="39"/>
        <v>156</v>
      </c>
      <c r="G157">
        <f t="shared" si="40"/>
        <v>0.28234837830302678</v>
      </c>
      <c r="H157">
        <f t="shared" si="41"/>
        <v>1.10687730344655</v>
      </c>
      <c r="I157">
        <v>157</v>
      </c>
      <c r="J157">
        <f t="shared" si="42"/>
        <v>156</v>
      </c>
      <c r="K157">
        <f t="shared" si="43"/>
        <v>1.3706956689311061</v>
      </c>
      <c r="L157">
        <f t="shared" si="44"/>
        <v>1.26645031675154</v>
      </c>
      <c r="M157">
        <v>157</v>
      </c>
      <c r="N157">
        <f t="shared" si="45"/>
        <v>156</v>
      </c>
      <c r="O157">
        <f t="shared" si="46"/>
        <v>0.363701267499278</v>
      </c>
      <c r="P157">
        <f t="shared" si="47"/>
        <v>0.253817018041334</v>
      </c>
      <c r="Q157">
        <v>157</v>
      </c>
      <c r="R157">
        <f t="shared" si="48"/>
        <v>156</v>
      </c>
      <c r="S157">
        <f t="shared" si="49"/>
        <v>1.2231759656652292</v>
      </c>
      <c r="T157">
        <f t="shared" si="50"/>
        <v>0</v>
      </c>
      <c r="U157">
        <v>157</v>
      </c>
      <c r="V157">
        <f t="shared" si="51"/>
        <v>156</v>
      </c>
      <c r="W157">
        <f t="shared" si="52"/>
        <v>1.2590556049540231</v>
      </c>
      <c r="X157">
        <f t="shared" si="53"/>
        <v>6.4805860110755301E-2</v>
      </c>
    </row>
    <row r="158" spans="1:24">
      <c r="A158">
        <v>158</v>
      </c>
      <c r="B158">
        <f t="shared" si="36"/>
        <v>157</v>
      </c>
      <c r="C158">
        <f t="shared" si="37"/>
        <v>0.2481446798863613</v>
      </c>
      <c r="D158">
        <f t="shared" si="38"/>
        <v>1.9572645941803399</v>
      </c>
      <c r="E158">
        <v>158</v>
      </c>
      <c r="F158">
        <f t="shared" si="39"/>
        <v>157</v>
      </c>
      <c r="G158">
        <f t="shared" si="40"/>
        <v>0.2834731928854401</v>
      </c>
      <c r="H158">
        <f t="shared" si="41"/>
        <v>1.89312269655345</v>
      </c>
      <c r="I158">
        <v>158</v>
      </c>
      <c r="J158">
        <f t="shared" si="42"/>
        <v>157</v>
      </c>
      <c r="K158">
        <f t="shared" si="43"/>
        <v>1.3713639083681544</v>
      </c>
      <c r="L158">
        <f t="shared" si="44"/>
        <v>1.73354968324846</v>
      </c>
      <c r="M158">
        <v>158</v>
      </c>
      <c r="N158">
        <f t="shared" si="45"/>
        <v>157</v>
      </c>
      <c r="O158">
        <f t="shared" si="46"/>
        <v>0.364405653713752</v>
      </c>
      <c r="P158">
        <f t="shared" si="47"/>
        <v>0.74618298195866595</v>
      </c>
      <c r="Q158">
        <v>158</v>
      </c>
      <c r="R158">
        <f t="shared" si="48"/>
        <v>157</v>
      </c>
      <c r="S158">
        <f t="shared" si="49"/>
        <v>1.2246065808297499</v>
      </c>
      <c r="T158">
        <f t="shared" si="50"/>
        <v>1</v>
      </c>
      <c r="U158">
        <v>158</v>
      </c>
      <c r="V158">
        <f t="shared" si="51"/>
        <v>157</v>
      </c>
      <c r="W158">
        <f t="shared" si="52"/>
        <v>1.2603007956260954</v>
      </c>
      <c r="X158">
        <f t="shared" si="53"/>
        <v>0.93519413988924505</v>
      </c>
    </row>
    <row r="159" spans="1:24">
      <c r="A159">
        <v>159</v>
      </c>
      <c r="B159">
        <f t="shared" si="36"/>
        <v>158</v>
      </c>
      <c r="C159">
        <f t="shared" si="37"/>
        <v>0.24945301921162688</v>
      </c>
      <c r="D159">
        <f t="shared" si="38"/>
        <v>1.0427354058196601</v>
      </c>
      <c r="E159">
        <v>159</v>
      </c>
      <c r="F159">
        <f t="shared" si="39"/>
        <v>158</v>
      </c>
      <c r="G159">
        <f t="shared" si="40"/>
        <v>0.28459800746785335</v>
      </c>
      <c r="H159">
        <f t="shared" si="41"/>
        <v>1.10687730344655</v>
      </c>
      <c r="I159">
        <v>159</v>
      </c>
      <c r="J159">
        <f t="shared" si="42"/>
        <v>158</v>
      </c>
      <c r="K159">
        <f t="shared" si="43"/>
        <v>1.3720321478052029</v>
      </c>
      <c r="L159">
        <f t="shared" si="44"/>
        <v>1.26645031675154</v>
      </c>
      <c r="M159">
        <v>159</v>
      </c>
      <c r="N159">
        <f t="shared" si="45"/>
        <v>158</v>
      </c>
      <c r="O159">
        <f t="shared" si="46"/>
        <v>0.36511003992822599</v>
      </c>
      <c r="P159">
        <f t="shared" si="47"/>
        <v>0.253817018041334</v>
      </c>
      <c r="Q159">
        <v>159</v>
      </c>
      <c r="R159">
        <f t="shared" si="48"/>
        <v>158</v>
      </c>
      <c r="S159">
        <f t="shared" si="49"/>
        <v>1.2260371959942706</v>
      </c>
      <c r="T159">
        <f t="shared" si="50"/>
        <v>0</v>
      </c>
      <c r="U159">
        <v>159</v>
      </c>
      <c r="V159">
        <f t="shared" si="51"/>
        <v>158</v>
      </c>
      <c r="W159">
        <f t="shared" si="52"/>
        <v>1.2615459862981675</v>
      </c>
      <c r="X159">
        <f t="shared" si="53"/>
        <v>6.4805860110755301E-2</v>
      </c>
    </row>
    <row r="160" spans="1:24">
      <c r="A160">
        <v>160</v>
      </c>
      <c r="B160">
        <f t="shared" si="36"/>
        <v>159</v>
      </c>
      <c r="C160">
        <f t="shared" si="37"/>
        <v>0.25076135853689252</v>
      </c>
      <c r="D160">
        <f t="shared" si="38"/>
        <v>1.9572645941803399</v>
      </c>
      <c r="E160">
        <v>160</v>
      </c>
      <c r="F160">
        <f t="shared" si="39"/>
        <v>159</v>
      </c>
      <c r="G160">
        <f t="shared" si="40"/>
        <v>0.28572282205026667</v>
      </c>
      <c r="H160">
        <f t="shared" si="41"/>
        <v>1.89312269655345</v>
      </c>
      <c r="I160">
        <v>160</v>
      </c>
      <c r="J160">
        <f t="shared" si="42"/>
        <v>159</v>
      </c>
      <c r="K160">
        <f t="shared" si="43"/>
        <v>1.3727003872422514</v>
      </c>
      <c r="L160">
        <f t="shared" si="44"/>
        <v>1.73354968324846</v>
      </c>
      <c r="M160">
        <v>160</v>
      </c>
      <c r="N160">
        <f t="shared" si="45"/>
        <v>159</v>
      </c>
      <c r="O160">
        <f t="shared" si="46"/>
        <v>0.36581442614269999</v>
      </c>
      <c r="P160">
        <f t="shared" si="47"/>
        <v>0.74618298195866595</v>
      </c>
      <c r="Q160">
        <v>160</v>
      </c>
      <c r="R160">
        <f t="shared" si="48"/>
        <v>159</v>
      </c>
      <c r="S160">
        <f t="shared" si="49"/>
        <v>1.2274678111587913</v>
      </c>
      <c r="T160">
        <f t="shared" si="50"/>
        <v>1</v>
      </c>
      <c r="U160">
        <v>160</v>
      </c>
      <c r="V160">
        <f t="shared" si="51"/>
        <v>159</v>
      </c>
      <c r="W160">
        <f t="shared" si="52"/>
        <v>1.2627911769702398</v>
      </c>
      <c r="X160">
        <f t="shared" si="53"/>
        <v>0.93519413988924505</v>
      </c>
    </row>
    <row r="161" spans="1:24">
      <c r="A161">
        <v>161</v>
      </c>
      <c r="B161">
        <f t="shared" si="36"/>
        <v>160</v>
      </c>
      <c r="C161">
        <f t="shared" si="37"/>
        <v>0.2520696978621581</v>
      </c>
      <c r="D161">
        <f t="shared" si="38"/>
        <v>1.0427354058196601</v>
      </c>
      <c r="E161">
        <v>161</v>
      </c>
      <c r="F161">
        <f t="shared" si="39"/>
        <v>160</v>
      </c>
      <c r="G161">
        <f t="shared" si="40"/>
        <v>0.28684763663267998</v>
      </c>
      <c r="H161">
        <f t="shared" si="41"/>
        <v>1.10687730344655</v>
      </c>
      <c r="I161">
        <v>161</v>
      </c>
      <c r="J161">
        <f t="shared" si="42"/>
        <v>160</v>
      </c>
      <c r="K161">
        <f t="shared" si="43"/>
        <v>1.3733686266792999</v>
      </c>
      <c r="L161">
        <f t="shared" si="44"/>
        <v>1.26645031675154</v>
      </c>
      <c r="M161">
        <v>161</v>
      </c>
      <c r="N161">
        <f t="shared" si="45"/>
        <v>160</v>
      </c>
      <c r="O161">
        <f t="shared" si="46"/>
        <v>0.36651881235717398</v>
      </c>
      <c r="P161">
        <f t="shared" si="47"/>
        <v>0.253817018041334</v>
      </c>
      <c r="Q161">
        <v>161</v>
      </c>
      <c r="R161">
        <f t="shared" si="48"/>
        <v>160</v>
      </c>
      <c r="S161">
        <f t="shared" si="49"/>
        <v>1.228898426323312</v>
      </c>
      <c r="T161">
        <f t="shared" si="50"/>
        <v>0</v>
      </c>
      <c r="U161">
        <v>161</v>
      </c>
      <c r="V161">
        <f t="shared" si="51"/>
        <v>160</v>
      </c>
      <c r="W161">
        <f t="shared" si="52"/>
        <v>1.2640363676423119</v>
      </c>
      <c r="X161">
        <f t="shared" si="53"/>
        <v>6.4805860110755301E-2</v>
      </c>
    </row>
    <row r="162" spans="1:24">
      <c r="A162">
        <v>162</v>
      </c>
      <c r="B162">
        <f t="shared" si="36"/>
        <v>161</v>
      </c>
      <c r="C162">
        <f t="shared" si="37"/>
        <v>0.25337803718742369</v>
      </c>
      <c r="D162">
        <f t="shared" si="38"/>
        <v>1.9572645941803399</v>
      </c>
      <c r="E162">
        <v>162</v>
      </c>
      <c r="F162">
        <f t="shared" si="39"/>
        <v>161</v>
      </c>
      <c r="G162">
        <f t="shared" si="40"/>
        <v>0.28797245121509329</v>
      </c>
      <c r="H162">
        <f t="shared" si="41"/>
        <v>1.89312269655345</v>
      </c>
      <c r="I162">
        <v>162</v>
      </c>
      <c r="J162">
        <f t="shared" si="42"/>
        <v>161</v>
      </c>
      <c r="K162">
        <f t="shared" si="43"/>
        <v>1.3740368661163485</v>
      </c>
      <c r="L162">
        <f t="shared" si="44"/>
        <v>1.73354968324846</v>
      </c>
      <c r="M162">
        <v>162</v>
      </c>
      <c r="N162">
        <f t="shared" si="45"/>
        <v>161</v>
      </c>
      <c r="O162">
        <f t="shared" si="46"/>
        <v>0.36722319857164798</v>
      </c>
      <c r="P162">
        <f t="shared" si="47"/>
        <v>0.74618298195866595</v>
      </c>
      <c r="Q162">
        <v>162</v>
      </c>
      <c r="R162">
        <f t="shared" si="48"/>
        <v>161</v>
      </c>
      <c r="S162">
        <f t="shared" si="49"/>
        <v>1.2303290414878327</v>
      </c>
      <c r="T162">
        <f t="shared" si="50"/>
        <v>1</v>
      </c>
      <c r="U162">
        <v>162</v>
      </c>
      <c r="V162">
        <f t="shared" si="51"/>
        <v>161</v>
      </c>
      <c r="W162">
        <f t="shared" si="52"/>
        <v>1.2652815583143842</v>
      </c>
      <c r="X162">
        <f t="shared" si="53"/>
        <v>0.93519413988924505</v>
      </c>
    </row>
    <row r="163" spans="1:24">
      <c r="A163">
        <v>163</v>
      </c>
      <c r="B163">
        <f t="shared" si="36"/>
        <v>162</v>
      </c>
      <c r="C163">
        <f t="shared" si="37"/>
        <v>0.25468637651268933</v>
      </c>
      <c r="D163">
        <f t="shared" si="38"/>
        <v>1.0427354058196601</v>
      </c>
      <c r="E163">
        <v>163</v>
      </c>
      <c r="F163">
        <f t="shared" si="39"/>
        <v>162</v>
      </c>
      <c r="G163">
        <f t="shared" si="40"/>
        <v>0.28909726579750661</v>
      </c>
      <c r="H163">
        <f t="shared" si="41"/>
        <v>1.10687730344655</v>
      </c>
      <c r="I163">
        <v>163</v>
      </c>
      <c r="J163">
        <f t="shared" si="42"/>
        <v>162</v>
      </c>
      <c r="K163">
        <f t="shared" si="43"/>
        <v>1.374705105553397</v>
      </c>
      <c r="L163">
        <f t="shared" si="44"/>
        <v>1.26645031675154</v>
      </c>
      <c r="M163">
        <v>163</v>
      </c>
      <c r="N163">
        <f t="shared" si="45"/>
        <v>162</v>
      </c>
      <c r="O163">
        <f t="shared" si="46"/>
        <v>0.36792758478612198</v>
      </c>
      <c r="P163">
        <f t="shared" si="47"/>
        <v>0.253817018041334</v>
      </c>
      <c r="Q163">
        <v>163</v>
      </c>
      <c r="R163">
        <f t="shared" si="48"/>
        <v>162</v>
      </c>
      <c r="S163">
        <f t="shared" si="49"/>
        <v>1.2317596566523534</v>
      </c>
      <c r="T163">
        <f t="shared" si="50"/>
        <v>0</v>
      </c>
      <c r="U163">
        <v>163</v>
      </c>
      <c r="V163">
        <f t="shared" si="51"/>
        <v>162</v>
      </c>
      <c r="W163">
        <f t="shared" si="52"/>
        <v>1.2665267489864562</v>
      </c>
      <c r="X163">
        <f t="shared" si="53"/>
        <v>6.4805860110755301E-2</v>
      </c>
    </row>
    <row r="164" spans="1:24">
      <c r="A164">
        <v>164</v>
      </c>
      <c r="B164">
        <f t="shared" si="36"/>
        <v>163</v>
      </c>
      <c r="C164">
        <f t="shared" si="37"/>
        <v>0.25599471583795491</v>
      </c>
      <c r="D164">
        <f t="shared" si="38"/>
        <v>1.9572645941803399</v>
      </c>
      <c r="E164">
        <v>164</v>
      </c>
      <c r="F164">
        <f t="shared" si="39"/>
        <v>163</v>
      </c>
      <c r="G164">
        <f t="shared" si="40"/>
        <v>0.29022208037991987</v>
      </c>
      <c r="H164">
        <f t="shared" si="41"/>
        <v>1.89312269655345</v>
      </c>
      <c r="I164">
        <v>164</v>
      </c>
      <c r="J164">
        <f t="shared" si="42"/>
        <v>163</v>
      </c>
      <c r="K164">
        <f t="shared" si="43"/>
        <v>1.3753733449904455</v>
      </c>
      <c r="L164">
        <f t="shared" si="44"/>
        <v>1.73354968324846</v>
      </c>
      <c r="M164">
        <v>164</v>
      </c>
      <c r="N164">
        <f t="shared" si="45"/>
        <v>163</v>
      </c>
      <c r="O164">
        <f t="shared" si="46"/>
        <v>0.36863197100059597</v>
      </c>
      <c r="P164">
        <f t="shared" si="47"/>
        <v>0.74618298195866595</v>
      </c>
      <c r="Q164">
        <v>164</v>
      </c>
      <c r="R164">
        <f t="shared" si="48"/>
        <v>163</v>
      </c>
      <c r="S164">
        <f t="shared" si="49"/>
        <v>1.2331902718168741</v>
      </c>
      <c r="T164">
        <f t="shared" si="50"/>
        <v>1</v>
      </c>
      <c r="U164">
        <v>164</v>
      </c>
      <c r="V164">
        <f t="shared" si="51"/>
        <v>163</v>
      </c>
      <c r="W164">
        <f t="shared" si="52"/>
        <v>1.2677719396585285</v>
      </c>
      <c r="X164">
        <f t="shared" si="53"/>
        <v>0.93519413988924505</v>
      </c>
    </row>
    <row r="165" spans="1:24">
      <c r="A165">
        <v>165</v>
      </c>
      <c r="B165">
        <f t="shared" si="36"/>
        <v>164</v>
      </c>
      <c r="C165">
        <f t="shared" si="37"/>
        <v>0.2573030551632205</v>
      </c>
      <c r="D165">
        <f t="shared" si="38"/>
        <v>1.0427354058196601</v>
      </c>
      <c r="E165">
        <v>165</v>
      </c>
      <c r="F165">
        <f t="shared" si="39"/>
        <v>164</v>
      </c>
      <c r="G165">
        <f t="shared" si="40"/>
        <v>0.29134689496233318</v>
      </c>
      <c r="H165">
        <f t="shared" si="41"/>
        <v>1.10687730344655</v>
      </c>
      <c r="I165">
        <v>165</v>
      </c>
      <c r="J165">
        <f t="shared" si="42"/>
        <v>164</v>
      </c>
      <c r="K165">
        <f t="shared" si="43"/>
        <v>1.376041584427494</v>
      </c>
      <c r="L165">
        <f t="shared" si="44"/>
        <v>1.26645031675154</v>
      </c>
      <c r="M165">
        <v>165</v>
      </c>
      <c r="N165">
        <f t="shared" si="45"/>
        <v>164</v>
      </c>
      <c r="O165">
        <f t="shared" si="46"/>
        <v>0.36933635721506997</v>
      </c>
      <c r="P165">
        <f t="shared" si="47"/>
        <v>0.253817018041334</v>
      </c>
      <c r="Q165">
        <v>165</v>
      </c>
      <c r="R165">
        <f t="shared" si="48"/>
        <v>164</v>
      </c>
      <c r="S165">
        <f t="shared" si="49"/>
        <v>1.2346208869813948</v>
      </c>
      <c r="T165">
        <f t="shared" si="50"/>
        <v>0</v>
      </c>
      <c r="U165">
        <v>165</v>
      </c>
      <c r="V165">
        <f t="shared" si="51"/>
        <v>164</v>
      </c>
      <c r="W165">
        <f t="shared" si="52"/>
        <v>1.2690171303306008</v>
      </c>
      <c r="X165">
        <f t="shared" si="53"/>
        <v>6.4805860110755301E-2</v>
      </c>
    </row>
    <row r="166" spans="1:24">
      <c r="A166">
        <v>166</v>
      </c>
      <c r="B166">
        <f t="shared" si="36"/>
        <v>165</v>
      </c>
      <c r="C166">
        <f t="shared" si="37"/>
        <v>0.25861139448848608</v>
      </c>
      <c r="D166">
        <f t="shared" si="38"/>
        <v>1.9572645941803399</v>
      </c>
      <c r="E166">
        <v>166</v>
      </c>
      <c r="F166">
        <f t="shared" si="39"/>
        <v>165</v>
      </c>
      <c r="G166">
        <f t="shared" si="40"/>
        <v>0.29247170954474649</v>
      </c>
      <c r="H166">
        <f t="shared" si="41"/>
        <v>1.89312269655345</v>
      </c>
      <c r="I166">
        <v>166</v>
      </c>
      <c r="J166">
        <f t="shared" si="42"/>
        <v>165</v>
      </c>
      <c r="K166">
        <f t="shared" si="43"/>
        <v>1.3767098238645425</v>
      </c>
      <c r="L166">
        <f t="shared" si="44"/>
        <v>1.73354968324846</v>
      </c>
      <c r="M166">
        <v>166</v>
      </c>
      <c r="N166">
        <f t="shared" si="45"/>
        <v>165</v>
      </c>
      <c r="O166">
        <f t="shared" si="46"/>
        <v>0.37004074342954396</v>
      </c>
      <c r="P166">
        <f t="shared" si="47"/>
        <v>0.74618298195866595</v>
      </c>
      <c r="Q166">
        <v>166</v>
      </c>
      <c r="R166">
        <f t="shared" si="48"/>
        <v>165</v>
      </c>
      <c r="S166">
        <f t="shared" si="49"/>
        <v>1.2360515021459155</v>
      </c>
      <c r="T166">
        <f t="shared" si="50"/>
        <v>1</v>
      </c>
      <c r="U166">
        <v>166</v>
      </c>
      <c r="V166">
        <f t="shared" si="51"/>
        <v>165</v>
      </c>
      <c r="W166">
        <f t="shared" si="52"/>
        <v>1.2702623210026729</v>
      </c>
      <c r="X166">
        <f t="shared" si="53"/>
        <v>0.93519413988924505</v>
      </c>
    </row>
    <row r="167" spans="1:24">
      <c r="A167">
        <v>167</v>
      </c>
      <c r="B167">
        <f t="shared" si="36"/>
        <v>166</v>
      </c>
      <c r="C167">
        <f t="shared" si="37"/>
        <v>0.25991973381375172</v>
      </c>
      <c r="D167">
        <f t="shared" si="38"/>
        <v>1.0427354058196601</v>
      </c>
      <c r="E167">
        <v>167</v>
      </c>
      <c r="F167">
        <f t="shared" si="39"/>
        <v>166</v>
      </c>
      <c r="G167">
        <f t="shared" si="40"/>
        <v>0.29359652412715975</v>
      </c>
      <c r="H167">
        <f t="shared" si="41"/>
        <v>1.10687730344655</v>
      </c>
      <c r="I167">
        <v>167</v>
      </c>
      <c r="J167">
        <f t="shared" si="42"/>
        <v>166</v>
      </c>
      <c r="K167">
        <f t="shared" si="43"/>
        <v>1.3773780633015908</v>
      </c>
      <c r="L167">
        <f t="shared" si="44"/>
        <v>1.26645031675154</v>
      </c>
      <c r="M167">
        <v>167</v>
      </c>
      <c r="N167">
        <f t="shared" si="45"/>
        <v>166</v>
      </c>
      <c r="O167">
        <f t="shared" si="46"/>
        <v>0.37074512964401796</v>
      </c>
      <c r="P167">
        <f t="shared" si="47"/>
        <v>0.253817018041334</v>
      </c>
      <c r="Q167">
        <v>167</v>
      </c>
      <c r="R167">
        <f t="shared" si="48"/>
        <v>166</v>
      </c>
      <c r="S167">
        <f t="shared" si="49"/>
        <v>1.2374821173104362</v>
      </c>
      <c r="T167">
        <f t="shared" si="50"/>
        <v>0</v>
      </c>
      <c r="U167">
        <v>167</v>
      </c>
      <c r="V167">
        <f t="shared" si="51"/>
        <v>166</v>
      </c>
      <c r="W167">
        <f t="shared" si="52"/>
        <v>1.2715075116747452</v>
      </c>
      <c r="X167">
        <f t="shared" si="53"/>
        <v>6.4805860110755301E-2</v>
      </c>
    </row>
    <row r="168" spans="1:24">
      <c r="A168">
        <v>168</v>
      </c>
      <c r="B168">
        <f t="shared" si="36"/>
        <v>167</v>
      </c>
      <c r="C168">
        <f t="shared" si="37"/>
        <v>0.2612280731390173</v>
      </c>
      <c r="D168">
        <f t="shared" si="38"/>
        <v>1.9572645941803399</v>
      </c>
      <c r="E168">
        <v>168</v>
      </c>
      <c r="F168">
        <f t="shared" si="39"/>
        <v>167</v>
      </c>
      <c r="G168">
        <f t="shared" si="40"/>
        <v>0.29472133870957307</v>
      </c>
      <c r="H168">
        <f t="shared" si="41"/>
        <v>1.89312269655345</v>
      </c>
      <c r="I168">
        <v>168</v>
      </c>
      <c r="J168">
        <f t="shared" si="42"/>
        <v>167</v>
      </c>
      <c r="K168">
        <f t="shared" si="43"/>
        <v>1.3780463027386394</v>
      </c>
      <c r="L168">
        <f t="shared" si="44"/>
        <v>1.73354968324846</v>
      </c>
      <c r="M168">
        <v>168</v>
      </c>
      <c r="N168">
        <f t="shared" si="45"/>
        <v>167</v>
      </c>
      <c r="O168">
        <f t="shared" si="46"/>
        <v>0.37144951585849201</v>
      </c>
      <c r="P168">
        <f t="shared" si="47"/>
        <v>0.74618298195866595</v>
      </c>
      <c r="Q168">
        <v>168</v>
      </c>
      <c r="R168">
        <f t="shared" si="48"/>
        <v>167</v>
      </c>
      <c r="S168">
        <f t="shared" si="49"/>
        <v>1.2389127324749569</v>
      </c>
      <c r="T168">
        <f t="shared" si="50"/>
        <v>1</v>
      </c>
      <c r="U168">
        <v>168</v>
      </c>
      <c r="V168">
        <f t="shared" si="51"/>
        <v>167</v>
      </c>
      <c r="W168">
        <f t="shared" si="52"/>
        <v>1.2727527023468173</v>
      </c>
      <c r="X168">
        <f t="shared" si="53"/>
        <v>0.93519413988924505</v>
      </c>
    </row>
    <row r="169" spans="1:24">
      <c r="A169">
        <v>169</v>
      </c>
      <c r="B169">
        <f t="shared" si="36"/>
        <v>168</v>
      </c>
      <c r="C169">
        <f t="shared" si="37"/>
        <v>0.26253641246428289</v>
      </c>
      <c r="D169">
        <f t="shared" si="38"/>
        <v>1.0427354058196601</v>
      </c>
      <c r="E169">
        <v>169</v>
      </c>
      <c r="F169">
        <f t="shared" si="39"/>
        <v>168</v>
      </c>
      <c r="G169">
        <f t="shared" si="40"/>
        <v>0.29584615329198638</v>
      </c>
      <c r="H169">
        <f t="shared" si="41"/>
        <v>1.10687730344655</v>
      </c>
      <c r="I169">
        <v>169</v>
      </c>
      <c r="J169">
        <f t="shared" si="42"/>
        <v>168</v>
      </c>
      <c r="K169">
        <f t="shared" si="43"/>
        <v>1.3787145421756879</v>
      </c>
      <c r="L169">
        <f t="shared" si="44"/>
        <v>1.26645031675154</v>
      </c>
      <c r="M169">
        <v>169</v>
      </c>
      <c r="N169">
        <f t="shared" si="45"/>
        <v>168</v>
      </c>
      <c r="O169">
        <f t="shared" si="46"/>
        <v>0.372153902072966</v>
      </c>
      <c r="P169">
        <f t="shared" si="47"/>
        <v>0.253817018041334</v>
      </c>
      <c r="Q169">
        <v>169</v>
      </c>
      <c r="R169">
        <f t="shared" si="48"/>
        <v>168</v>
      </c>
      <c r="S169">
        <f t="shared" si="49"/>
        <v>1.2403433476394776</v>
      </c>
      <c r="T169">
        <f t="shared" si="50"/>
        <v>0</v>
      </c>
      <c r="U169">
        <v>169</v>
      </c>
      <c r="V169">
        <f t="shared" si="51"/>
        <v>168</v>
      </c>
      <c r="W169">
        <f t="shared" si="52"/>
        <v>1.2739978930188895</v>
      </c>
      <c r="X169">
        <f t="shared" si="53"/>
        <v>6.4805860110755301E-2</v>
      </c>
    </row>
    <row r="170" spans="1:24">
      <c r="A170">
        <v>170</v>
      </c>
      <c r="B170">
        <f t="shared" si="36"/>
        <v>169</v>
      </c>
      <c r="C170">
        <f t="shared" si="37"/>
        <v>0.26384475178954853</v>
      </c>
      <c r="D170">
        <f t="shared" si="38"/>
        <v>1.9572645941803399</v>
      </c>
      <c r="E170">
        <v>170</v>
      </c>
      <c r="F170">
        <f t="shared" si="39"/>
        <v>169</v>
      </c>
      <c r="G170">
        <f t="shared" si="40"/>
        <v>0.29697096787439969</v>
      </c>
      <c r="H170">
        <f t="shared" si="41"/>
        <v>1.89312269655345</v>
      </c>
      <c r="I170">
        <v>170</v>
      </c>
      <c r="J170">
        <f t="shared" si="42"/>
        <v>169</v>
      </c>
      <c r="K170">
        <f t="shared" si="43"/>
        <v>1.3793827816127364</v>
      </c>
      <c r="L170">
        <f t="shared" si="44"/>
        <v>1.73354968324846</v>
      </c>
      <c r="M170">
        <v>170</v>
      </c>
      <c r="N170">
        <f t="shared" si="45"/>
        <v>169</v>
      </c>
      <c r="O170">
        <f t="shared" si="46"/>
        <v>0.37285828828744</v>
      </c>
      <c r="P170">
        <f t="shared" si="47"/>
        <v>0.74618298195866595</v>
      </c>
      <c r="Q170">
        <v>170</v>
      </c>
      <c r="R170">
        <f t="shared" si="48"/>
        <v>169</v>
      </c>
      <c r="S170">
        <f t="shared" si="49"/>
        <v>1.2417739628039983</v>
      </c>
      <c r="T170">
        <f t="shared" si="50"/>
        <v>1</v>
      </c>
      <c r="U170">
        <v>170</v>
      </c>
      <c r="V170">
        <f t="shared" si="51"/>
        <v>169</v>
      </c>
      <c r="W170">
        <f t="shared" si="52"/>
        <v>1.2752430836909618</v>
      </c>
      <c r="X170">
        <f t="shared" si="53"/>
        <v>0.93519413988924505</v>
      </c>
    </row>
    <row r="171" spans="1:24">
      <c r="A171">
        <v>171</v>
      </c>
      <c r="B171">
        <f t="shared" si="36"/>
        <v>170</v>
      </c>
      <c r="C171">
        <f t="shared" si="37"/>
        <v>0.26515309111481411</v>
      </c>
      <c r="D171">
        <f t="shared" si="38"/>
        <v>1.0427354058196601</v>
      </c>
      <c r="E171">
        <v>171</v>
      </c>
      <c r="F171">
        <f t="shared" si="39"/>
        <v>170</v>
      </c>
      <c r="G171">
        <f t="shared" si="40"/>
        <v>0.29809578245681301</v>
      </c>
      <c r="H171">
        <f t="shared" si="41"/>
        <v>1.10687730344655</v>
      </c>
      <c r="I171">
        <v>171</v>
      </c>
      <c r="J171">
        <f t="shared" si="42"/>
        <v>170</v>
      </c>
      <c r="K171">
        <f t="shared" si="43"/>
        <v>1.3800510210497849</v>
      </c>
      <c r="L171">
        <f t="shared" si="44"/>
        <v>1.26645031675154</v>
      </c>
      <c r="M171">
        <v>171</v>
      </c>
      <c r="N171">
        <f t="shared" si="45"/>
        <v>170</v>
      </c>
      <c r="O171">
        <f t="shared" si="46"/>
        <v>0.37356267450191399</v>
      </c>
      <c r="P171">
        <f t="shared" si="47"/>
        <v>0.253817018041334</v>
      </c>
      <c r="Q171">
        <v>171</v>
      </c>
      <c r="R171">
        <f t="shared" si="48"/>
        <v>170</v>
      </c>
      <c r="S171">
        <f t="shared" si="49"/>
        <v>1.243204577968519</v>
      </c>
      <c r="T171">
        <f t="shared" si="50"/>
        <v>0</v>
      </c>
      <c r="U171">
        <v>171</v>
      </c>
      <c r="V171">
        <f t="shared" si="51"/>
        <v>170</v>
      </c>
      <c r="W171">
        <f t="shared" si="52"/>
        <v>1.2764882743630339</v>
      </c>
      <c r="X171">
        <f t="shared" si="53"/>
        <v>6.4805860110755301E-2</v>
      </c>
    </row>
    <row r="172" spans="1:24">
      <c r="A172">
        <v>172</v>
      </c>
      <c r="B172">
        <f t="shared" si="36"/>
        <v>171</v>
      </c>
      <c r="C172">
        <f t="shared" si="37"/>
        <v>0.26646143044007969</v>
      </c>
      <c r="D172">
        <f t="shared" si="38"/>
        <v>1.9572645941803399</v>
      </c>
      <c r="E172">
        <v>172</v>
      </c>
      <c r="F172">
        <f t="shared" si="39"/>
        <v>171</v>
      </c>
      <c r="G172">
        <f t="shared" si="40"/>
        <v>0.29922059703922627</v>
      </c>
      <c r="H172">
        <f t="shared" si="41"/>
        <v>1.89312269655345</v>
      </c>
      <c r="I172">
        <v>172</v>
      </c>
      <c r="J172">
        <f t="shared" si="42"/>
        <v>171</v>
      </c>
      <c r="K172">
        <f t="shared" si="43"/>
        <v>1.3807192604868335</v>
      </c>
      <c r="L172">
        <f t="shared" si="44"/>
        <v>1.73354968324846</v>
      </c>
      <c r="M172">
        <v>172</v>
      </c>
      <c r="N172">
        <f t="shared" si="45"/>
        <v>171</v>
      </c>
      <c r="O172">
        <f t="shared" si="46"/>
        <v>0.37426706071638799</v>
      </c>
      <c r="P172">
        <f t="shared" si="47"/>
        <v>0.74618298195866595</v>
      </c>
      <c r="Q172">
        <v>172</v>
      </c>
      <c r="R172">
        <f t="shared" si="48"/>
        <v>171</v>
      </c>
      <c r="S172">
        <f t="shared" si="49"/>
        <v>1.2446351931330397</v>
      </c>
      <c r="T172">
        <f t="shared" si="50"/>
        <v>1</v>
      </c>
      <c r="U172">
        <v>172</v>
      </c>
      <c r="V172">
        <f t="shared" si="51"/>
        <v>171</v>
      </c>
      <c r="W172">
        <f t="shared" si="52"/>
        <v>1.2777334650351062</v>
      </c>
      <c r="X172">
        <f t="shared" si="53"/>
        <v>0.93519413988924505</v>
      </c>
    </row>
    <row r="173" spans="1:24">
      <c r="A173">
        <v>173</v>
      </c>
      <c r="B173">
        <f t="shared" si="36"/>
        <v>172</v>
      </c>
      <c r="C173">
        <f t="shared" si="37"/>
        <v>0.26776976976534528</v>
      </c>
      <c r="D173">
        <f t="shared" si="38"/>
        <v>1.0427354058196601</v>
      </c>
      <c r="E173">
        <v>173</v>
      </c>
      <c r="F173">
        <f t="shared" si="39"/>
        <v>172</v>
      </c>
      <c r="G173">
        <f t="shared" si="40"/>
        <v>0.30034541162163958</v>
      </c>
      <c r="H173">
        <f t="shared" si="41"/>
        <v>1.10687730344655</v>
      </c>
      <c r="I173">
        <v>173</v>
      </c>
      <c r="J173">
        <f t="shared" si="42"/>
        <v>172</v>
      </c>
      <c r="K173">
        <f t="shared" si="43"/>
        <v>1.381387499923882</v>
      </c>
      <c r="L173">
        <f t="shared" si="44"/>
        <v>1.26645031675154</v>
      </c>
      <c r="M173">
        <v>173</v>
      </c>
      <c r="N173">
        <f t="shared" si="45"/>
        <v>172</v>
      </c>
      <c r="O173">
        <f t="shared" si="46"/>
        <v>0.37497144693086198</v>
      </c>
      <c r="P173">
        <f t="shared" si="47"/>
        <v>0.253817018041334</v>
      </c>
      <c r="Q173">
        <v>173</v>
      </c>
      <c r="R173">
        <f t="shared" si="48"/>
        <v>172</v>
      </c>
      <c r="S173">
        <f t="shared" si="49"/>
        <v>1.2460658082975604</v>
      </c>
      <c r="T173">
        <f t="shared" si="50"/>
        <v>0</v>
      </c>
      <c r="U173">
        <v>173</v>
      </c>
      <c r="V173">
        <f t="shared" si="51"/>
        <v>172</v>
      </c>
      <c r="W173">
        <f t="shared" si="52"/>
        <v>1.2789786557071783</v>
      </c>
      <c r="X173">
        <f t="shared" si="53"/>
        <v>6.4805860110755301E-2</v>
      </c>
    </row>
    <row r="174" spans="1:24">
      <c r="A174">
        <v>174</v>
      </c>
      <c r="B174">
        <f t="shared" si="36"/>
        <v>173</v>
      </c>
      <c r="C174">
        <f t="shared" si="37"/>
        <v>0.26907810909061092</v>
      </c>
      <c r="D174">
        <f t="shared" si="38"/>
        <v>1.9572645941803399</v>
      </c>
      <c r="E174">
        <v>174</v>
      </c>
      <c r="F174">
        <f t="shared" si="39"/>
        <v>173</v>
      </c>
      <c r="G174">
        <f t="shared" si="40"/>
        <v>0.30147022620405289</v>
      </c>
      <c r="H174">
        <f t="shared" si="41"/>
        <v>1.89312269655345</v>
      </c>
      <c r="I174">
        <v>174</v>
      </c>
      <c r="J174">
        <f t="shared" si="42"/>
        <v>173</v>
      </c>
      <c r="K174">
        <f t="shared" si="43"/>
        <v>1.3820557393609305</v>
      </c>
      <c r="L174">
        <f t="shared" si="44"/>
        <v>1.73354968324846</v>
      </c>
      <c r="M174">
        <v>174</v>
      </c>
      <c r="N174">
        <f t="shared" si="45"/>
        <v>173</v>
      </c>
      <c r="O174">
        <f t="shared" si="46"/>
        <v>0.37567583314533598</v>
      </c>
      <c r="P174">
        <f t="shared" si="47"/>
        <v>0.74618298195866595</v>
      </c>
      <c r="Q174">
        <v>174</v>
      </c>
      <c r="R174">
        <f t="shared" si="48"/>
        <v>173</v>
      </c>
      <c r="S174">
        <f t="shared" si="49"/>
        <v>1.2474964234620811</v>
      </c>
      <c r="T174">
        <f t="shared" si="50"/>
        <v>1</v>
      </c>
      <c r="U174">
        <v>174</v>
      </c>
      <c r="V174">
        <f t="shared" si="51"/>
        <v>173</v>
      </c>
      <c r="W174">
        <f t="shared" si="52"/>
        <v>1.2802238463792506</v>
      </c>
      <c r="X174">
        <f t="shared" si="53"/>
        <v>0.93519413988924505</v>
      </c>
    </row>
    <row r="175" spans="1:24">
      <c r="A175">
        <v>175</v>
      </c>
      <c r="B175">
        <f t="shared" si="36"/>
        <v>174</v>
      </c>
      <c r="C175">
        <f t="shared" si="37"/>
        <v>0.2703864484158765</v>
      </c>
      <c r="D175">
        <f t="shared" si="38"/>
        <v>1.0427354058196601</v>
      </c>
      <c r="E175">
        <v>175</v>
      </c>
      <c r="F175">
        <f t="shared" si="39"/>
        <v>174</v>
      </c>
      <c r="G175">
        <f t="shared" si="40"/>
        <v>0.30259504078646615</v>
      </c>
      <c r="H175">
        <f t="shared" si="41"/>
        <v>1.10687730344655</v>
      </c>
      <c r="I175">
        <v>175</v>
      </c>
      <c r="J175">
        <f t="shared" si="42"/>
        <v>174</v>
      </c>
      <c r="K175">
        <f t="shared" si="43"/>
        <v>1.382723978797979</v>
      </c>
      <c r="L175">
        <f t="shared" si="44"/>
        <v>1.26645031675154</v>
      </c>
      <c r="M175">
        <v>175</v>
      </c>
      <c r="N175">
        <f t="shared" si="45"/>
        <v>174</v>
      </c>
      <c r="O175">
        <f t="shared" si="46"/>
        <v>0.37638021935980998</v>
      </c>
      <c r="P175">
        <f t="shared" si="47"/>
        <v>0.253817018041334</v>
      </c>
      <c r="Q175">
        <v>175</v>
      </c>
      <c r="R175">
        <f t="shared" si="48"/>
        <v>174</v>
      </c>
      <c r="S175">
        <f t="shared" si="49"/>
        <v>1.2489270386266018</v>
      </c>
      <c r="T175">
        <f t="shared" si="50"/>
        <v>0</v>
      </c>
      <c r="U175">
        <v>175</v>
      </c>
      <c r="V175">
        <f t="shared" si="51"/>
        <v>174</v>
      </c>
      <c r="W175">
        <f t="shared" si="52"/>
        <v>1.2814690370513226</v>
      </c>
      <c r="X175">
        <f t="shared" si="53"/>
        <v>6.4805860110755301E-2</v>
      </c>
    </row>
    <row r="176" spans="1:24">
      <c r="A176">
        <v>176</v>
      </c>
      <c r="B176">
        <f t="shared" si="36"/>
        <v>175</v>
      </c>
      <c r="C176">
        <f t="shared" si="37"/>
        <v>0.27169478774114209</v>
      </c>
      <c r="D176">
        <f t="shared" si="38"/>
        <v>1.9572645941803399</v>
      </c>
      <c r="E176">
        <v>176</v>
      </c>
      <c r="F176">
        <f t="shared" si="39"/>
        <v>175</v>
      </c>
      <c r="G176">
        <f t="shared" si="40"/>
        <v>0.30371985536887947</v>
      </c>
      <c r="H176">
        <f t="shared" si="41"/>
        <v>1.89312269655345</v>
      </c>
      <c r="I176">
        <v>176</v>
      </c>
      <c r="J176">
        <f t="shared" si="42"/>
        <v>175</v>
      </c>
      <c r="K176">
        <f t="shared" si="43"/>
        <v>1.3833922182350276</v>
      </c>
      <c r="L176">
        <f t="shared" si="44"/>
        <v>1.73354968324846</v>
      </c>
      <c r="M176">
        <v>176</v>
      </c>
      <c r="N176">
        <f t="shared" si="45"/>
        <v>175</v>
      </c>
      <c r="O176">
        <f t="shared" si="46"/>
        <v>0.37708460557428397</v>
      </c>
      <c r="P176">
        <f t="shared" si="47"/>
        <v>0.74618298195866595</v>
      </c>
      <c r="Q176">
        <v>176</v>
      </c>
      <c r="R176">
        <f t="shared" si="48"/>
        <v>175</v>
      </c>
      <c r="S176">
        <f t="shared" si="49"/>
        <v>1.2503576537911225</v>
      </c>
      <c r="T176">
        <f t="shared" si="50"/>
        <v>1</v>
      </c>
      <c r="U176">
        <v>176</v>
      </c>
      <c r="V176">
        <f t="shared" si="51"/>
        <v>175</v>
      </c>
      <c r="W176">
        <f t="shared" si="52"/>
        <v>1.2827142277233949</v>
      </c>
      <c r="X176">
        <f t="shared" si="53"/>
        <v>0.93519413988924505</v>
      </c>
    </row>
    <row r="177" spans="1:24">
      <c r="A177">
        <v>177</v>
      </c>
      <c r="B177">
        <f t="shared" si="36"/>
        <v>176</v>
      </c>
      <c r="C177">
        <f t="shared" si="37"/>
        <v>0.27300312706640772</v>
      </c>
      <c r="D177">
        <f t="shared" si="38"/>
        <v>1.0427354058196601</v>
      </c>
      <c r="E177">
        <v>177</v>
      </c>
      <c r="F177">
        <f t="shared" si="39"/>
        <v>176</v>
      </c>
      <c r="G177">
        <f t="shared" si="40"/>
        <v>0.30484466995129278</v>
      </c>
      <c r="H177">
        <f t="shared" si="41"/>
        <v>1.10687730344655</v>
      </c>
      <c r="I177">
        <v>177</v>
      </c>
      <c r="J177">
        <f t="shared" si="42"/>
        <v>176</v>
      </c>
      <c r="K177">
        <f t="shared" si="43"/>
        <v>1.3840604576720759</v>
      </c>
      <c r="L177">
        <f t="shared" si="44"/>
        <v>1.26645031675154</v>
      </c>
      <c r="M177">
        <v>177</v>
      </c>
      <c r="N177">
        <f t="shared" si="45"/>
        <v>176</v>
      </c>
      <c r="O177">
        <f t="shared" si="46"/>
        <v>0.37778899178875802</v>
      </c>
      <c r="P177">
        <f t="shared" si="47"/>
        <v>0.253817018041334</v>
      </c>
      <c r="Q177">
        <v>177</v>
      </c>
      <c r="R177">
        <f t="shared" si="48"/>
        <v>176</v>
      </c>
      <c r="S177">
        <f t="shared" si="49"/>
        <v>1.2517882689556432</v>
      </c>
      <c r="T177">
        <f t="shared" si="50"/>
        <v>0</v>
      </c>
      <c r="U177">
        <v>177</v>
      </c>
      <c r="V177">
        <f t="shared" si="51"/>
        <v>176</v>
      </c>
      <c r="W177">
        <f t="shared" si="52"/>
        <v>1.2839594183954672</v>
      </c>
      <c r="X177">
        <f t="shared" si="53"/>
        <v>6.4805860110755301E-2</v>
      </c>
    </row>
    <row r="178" spans="1:24">
      <c r="A178">
        <v>178</v>
      </c>
      <c r="B178">
        <f t="shared" si="36"/>
        <v>177</v>
      </c>
      <c r="C178">
        <f t="shared" si="37"/>
        <v>0.27431146639167331</v>
      </c>
      <c r="D178">
        <f t="shared" si="38"/>
        <v>1.9572645941803399</v>
      </c>
      <c r="E178">
        <v>178</v>
      </c>
      <c r="F178">
        <f t="shared" si="39"/>
        <v>177</v>
      </c>
      <c r="G178">
        <f t="shared" si="40"/>
        <v>0.30596948453370609</v>
      </c>
      <c r="H178">
        <f t="shared" si="41"/>
        <v>1.89312269655345</v>
      </c>
      <c r="I178">
        <v>178</v>
      </c>
      <c r="J178">
        <f t="shared" si="42"/>
        <v>177</v>
      </c>
      <c r="K178">
        <f t="shared" si="43"/>
        <v>1.3847286971091244</v>
      </c>
      <c r="L178">
        <f t="shared" si="44"/>
        <v>1.73354968324846</v>
      </c>
      <c r="M178">
        <v>178</v>
      </c>
      <c r="N178">
        <f t="shared" si="45"/>
        <v>177</v>
      </c>
      <c r="O178">
        <f t="shared" si="46"/>
        <v>0.37849337800323202</v>
      </c>
      <c r="P178">
        <f t="shared" si="47"/>
        <v>0.74618298195866595</v>
      </c>
      <c r="Q178">
        <v>178</v>
      </c>
      <c r="R178">
        <f t="shared" si="48"/>
        <v>177</v>
      </c>
      <c r="S178">
        <f t="shared" si="49"/>
        <v>1.2532188841201639</v>
      </c>
      <c r="T178">
        <f t="shared" si="50"/>
        <v>1</v>
      </c>
      <c r="U178">
        <v>178</v>
      </c>
      <c r="V178">
        <f t="shared" si="51"/>
        <v>177</v>
      </c>
      <c r="W178">
        <f t="shared" si="52"/>
        <v>1.2852046090675393</v>
      </c>
      <c r="X178">
        <f t="shared" si="53"/>
        <v>0.93519413988924505</v>
      </c>
    </row>
    <row r="179" spans="1:24">
      <c r="A179">
        <v>179</v>
      </c>
      <c r="B179">
        <f t="shared" si="36"/>
        <v>178</v>
      </c>
      <c r="C179">
        <f t="shared" si="37"/>
        <v>0.27561980571693889</v>
      </c>
      <c r="D179">
        <f t="shared" si="38"/>
        <v>1.0427354058196601</v>
      </c>
      <c r="E179">
        <v>179</v>
      </c>
      <c r="F179">
        <f t="shared" si="39"/>
        <v>178</v>
      </c>
      <c r="G179">
        <f t="shared" si="40"/>
        <v>0.30709429911611941</v>
      </c>
      <c r="H179">
        <f t="shared" si="41"/>
        <v>1.10687730344655</v>
      </c>
      <c r="I179">
        <v>179</v>
      </c>
      <c r="J179">
        <f t="shared" si="42"/>
        <v>178</v>
      </c>
      <c r="K179">
        <f t="shared" si="43"/>
        <v>1.3853969365461729</v>
      </c>
      <c r="L179">
        <f t="shared" si="44"/>
        <v>1.26645031675154</v>
      </c>
      <c r="M179">
        <v>179</v>
      </c>
      <c r="N179">
        <f t="shared" si="45"/>
        <v>178</v>
      </c>
      <c r="O179">
        <f t="shared" si="46"/>
        <v>0.37919776421770601</v>
      </c>
      <c r="P179">
        <f t="shared" si="47"/>
        <v>0.253817018041334</v>
      </c>
      <c r="Q179">
        <v>179</v>
      </c>
      <c r="R179">
        <f t="shared" si="48"/>
        <v>178</v>
      </c>
      <c r="S179">
        <f t="shared" si="49"/>
        <v>1.2546494992846846</v>
      </c>
      <c r="T179">
        <f t="shared" si="50"/>
        <v>0</v>
      </c>
      <c r="U179">
        <v>179</v>
      </c>
      <c r="V179">
        <f t="shared" si="51"/>
        <v>178</v>
      </c>
      <c r="W179">
        <f t="shared" si="52"/>
        <v>1.2864497997396116</v>
      </c>
      <c r="X179">
        <f t="shared" si="53"/>
        <v>6.4805860110755301E-2</v>
      </c>
    </row>
    <row r="180" spans="1:24">
      <c r="A180">
        <v>180</v>
      </c>
      <c r="B180">
        <f t="shared" si="36"/>
        <v>179</v>
      </c>
      <c r="C180">
        <f t="shared" si="37"/>
        <v>0.27692814504220448</v>
      </c>
      <c r="D180">
        <f t="shared" si="38"/>
        <v>1.9572645941803399</v>
      </c>
      <c r="E180">
        <v>180</v>
      </c>
      <c r="F180">
        <f t="shared" si="39"/>
        <v>179</v>
      </c>
      <c r="G180">
        <f t="shared" si="40"/>
        <v>0.30821911369853267</v>
      </c>
      <c r="H180">
        <f t="shared" si="41"/>
        <v>1.89312269655345</v>
      </c>
      <c r="I180">
        <v>180</v>
      </c>
      <c r="J180">
        <f t="shared" si="42"/>
        <v>179</v>
      </c>
      <c r="K180">
        <f t="shared" si="43"/>
        <v>1.3860651759832214</v>
      </c>
      <c r="L180">
        <f t="shared" si="44"/>
        <v>1.73354968324846</v>
      </c>
      <c r="M180">
        <v>180</v>
      </c>
      <c r="N180">
        <f t="shared" si="45"/>
        <v>179</v>
      </c>
      <c r="O180">
        <f t="shared" si="46"/>
        <v>0.37990215043218001</v>
      </c>
      <c r="P180">
        <f t="shared" si="47"/>
        <v>0.74618298195866595</v>
      </c>
      <c r="Q180">
        <v>180</v>
      </c>
      <c r="R180">
        <f t="shared" si="48"/>
        <v>179</v>
      </c>
      <c r="S180">
        <f t="shared" si="49"/>
        <v>1.2560801144492053</v>
      </c>
      <c r="T180">
        <f t="shared" si="50"/>
        <v>1</v>
      </c>
      <c r="U180">
        <v>180</v>
      </c>
      <c r="V180">
        <f t="shared" si="51"/>
        <v>179</v>
      </c>
      <c r="W180">
        <f t="shared" si="52"/>
        <v>1.2876949904116837</v>
      </c>
      <c r="X180">
        <f t="shared" si="53"/>
        <v>0.93519413988924505</v>
      </c>
    </row>
    <row r="181" spans="1:24">
      <c r="A181">
        <v>181</v>
      </c>
      <c r="B181">
        <f t="shared" si="36"/>
        <v>180</v>
      </c>
      <c r="C181">
        <f t="shared" si="37"/>
        <v>0.27823648436747012</v>
      </c>
      <c r="D181">
        <f t="shared" si="38"/>
        <v>1.0427354058196601</v>
      </c>
      <c r="E181">
        <v>181</v>
      </c>
      <c r="F181">
        <f t="shared" si="39"/>
        <v>180</v>
      </c>
      <c r="G181">
        <f t="shared" si="40"/>
        <v>0.30934392828094598</v>
      </c>
      <c r="H181">
        <f t="shared" si="41"/>
        <v>1.10687730344655</v>
      </c>
      <c r="I181">
        <v>181</v>
      </c>
      <c r="J181">
        <f t="shared" si="42"/>
        <v>180</v>
      </c>
      <c r="K181">
        <f t="shared" si="43"/>
        <v>1.38673341542027</v>
      </c>
      <c r="L181">
        <f t="shared" si="44"/>
        <v>1.26645031675154</v>
      </c>
      <c r="M181">
        <v>181</v>
      </c>
      <c r="N181">
        <f t="shared" si="45"/>
        <v>180</v>
      </c>
      <c r="O181">
        <f t="shared" si="46"/>
        <v>0.380606536646654</v>
      </c>
      <c r="P181">
        <f t="shared" si="47"/>
        <v>0.253817018041334</v>
      </c>
      <c r="Q181">
        <v>181</v>
      </c>
      <c r="R181">
        <f t="shared" si="48"/>
        <v>180</v>
      </c>
      <c r="S181">
        <f t="shared" si="49"/>
        <v>1.257510729613726</v>
      </c>
      <c r="T181">
        <f t="shared" si="50"/>
        <v>0</v>
      </c>
      <c r="U181">
        <v>181</v>
      </c>
      <c r="V181">
        <f t="shared" si="51"/>
        <v>180</v>
      </c>
      <c r="W181">
        <f t="shared" si="52"/>
        <v>1.288940181083756</v>
      </c>
      <c r="X181">
        <f t="shared" si="53"/>
        <v>6.4805860110755301E-2</v>
      </c>
    </row>
    <row r="182" spans="1:24">
      <c r="A182">
        <v>182</v>
      </c>
      <c r="B182">
        <f t="shared" si="36"/>
        <v>181</v>
      </c>
      <c r="C182">
        <f t="shared" si="37"/>
        <v>0.2795448236927357</v>
      </c>
      <c r="D182">
        <f t="shared" si="38"/>
        <v>1.9572645941803399</v>
      </c>
      <c r="E182">
        <v>182</v>
      </c>
      <c r="F182">
        <f t="shared" si="39"/>
        <v>181</v>
      </c>
      <c r="G182">
        <f t="shared" si="40"/>
        <v>0.31046874286335929</v>
      </c>
      <c r="H182">
        <f t="shared" si="41"/>
        <v>1.89312269655345</v>
      </c>
      <c r="I182">
        <v>182</v>
      </c>
      <c r="J182">
        <f t="shared" si="42"/>
        <v>181</v>
      </c>
      <c r="K182">
        <f t="shared" si="43"/>
        <v>1.3874016548573185</v>
      </c>
      <c r="L182">
        <f t="shared" si="44"/>
        <v>1.73354968324846</v>
      </c>
      <c r="M182">
        <v>182</v>
      </c>
      <c r="N182">
        <f t="shared" si="45"/>
        <v>181</v>
      </c>
      <c r="O182">
        <f t="shared" si="46"/>
        <v>0.381310922861128</v>
      </c>
      <c r="P182">
        <f t="shared" si="47"/>
        <v>0.74618298195866595</v>
      </c>
      <c r="Q182">
        <v>182</v>
      </c>
      <c r="R182">
        <f t="shared" si="48"/>
        <v>181</v>
      </c>
      <c r="S182">
        <f t="shared" si="49"/>
        <v>1.2589413447782467</v>
      </c>
      <c r="T182">
        <f t="shared" si="50"/>
        <v>1</v>
      </c>
      <c r="U182">
        <v>182</v>
      </c>
      <c r="V182">
        <f t="shared" si="51"/>
        <v>181</v>
      </c>
      <c r="W182">
        <f t="shared" si="52"/>
        <v>1.290185371755828</v>
      </c>
      <c r="X182">
        <f t="shared" si="53"/>
        <v>0.93519413988924505</v>
      </c>
    </row>
    <row r="183" spans="1:24">
      <c r="A183">
        <v>183</v>
      </c>
      <c r="B183">
        <f t="shared" si="36"/>
        <v>182</v>
      </c>
      <c r="C183">
        <f t="shared" si="37"/>
        <v>0.28085316301800128</v>
      </c>
      <c r="D183">
        <f t="shared" si="38"/>
        <v>1.0427354058196601</v>
      </c>
      <c r="E183">
        <v>183</v>
      </c>
      <c r="F183">
        <f t="shared" si="39"/>
        <v>182</v>
      </c>
      <c r="G183">
        <f t="shared" si="40"/>
        <v>0.31159355744577255</v>
      </c>
      <c r="H183">
        <f t="shared" si="41"/>
        <v>1.10687730344655</v>
      </c>
      <c r="I183">
        <v>183</v>
      </c>
      <c r="J183">
        <f t="shared" si="42"/>
        <v>182</v>
      </c>
      <c r="K183">
        <f t="shared" si="43"/>
        <v>1.388069894294367</v>
      </c>
      <c r="L183">
        <f t="shared" si="44"/>
        <v>1.26645031675154</v>
      </c>
      <c r="M183">
        <v>183</v>
      </c>
      <c r="N183">
        <f t="shared" si="45"/>
        <v>182</v>
      </c>
      <c r="O183">
        <f t="shared" si="46"/>
        <v>0.38201530907560199</v>
      </c>
      <c r="P183">
        <f t="shared" si="47"/>
        <v>0.253817018041334</v>
      </c>
      <c r="Q183">
        <v>183</v>
      </c>
      <c r="R183">
        <f t="shared" si="48"/>
        <v>182</v>
      </c>
      <c r="S183">
        <f t="shared" si="49"/>
        <v>1.2603719599427674</v>
      </c>
      <c r="T183">
        <f t="shared" si="50"/>
        <v>0</v>
      </c>
      <c r="U183">
        <v>183</v>
      </c>
      <c r="V183">
        <f t="shared" si="51"/>
        <v>182</v>
      </c>
      <c r="W183">
        <f t="shared" si="52"/>
        <v>1.2914305624279003</v>
      </c>
      <c r="X183">
        <f t="shared" si="53"/>
        <v>6.4805860110755301E-2</v>
      </c>
    </row>
    <row r="184" spans="1:24">
      <c r="A184">
        <v>184</v>
      </c>
      <c r="B184">
        <f t="shared" si="36"/>
        <v>183</v>
      </c>
      <c r="C184">
        <f t="shared" si="37"/>
        <v>0.28216150234326692</v>
      </c>
      <c r="D184">
        <f t="shared" si="38"/>
        <v>1.9572645941803399</v>
      </c>
      <c r="E184">
        <v>184</v>
      </c>
      <c r="F184">
        <f t="shared" si="39"/>
        <v>183</v>
      </c>
      <c r="G184">
        <f t="shared" si="40"/>
        <v>0.31271837202818586</v>
      </c>
      <c r="H184">
        <f t="shared" si="41"/>
        <v>1.89312269655345</v>
      </c>
      <c r="I184">
        <v>184</v>
      </c>
      <c r="J184">
        <f t="shared" si="42"/>
        <v>183</v>
      </c>
      <c r="K184">
        <f t="shared" si="43"/>
        <v>1.3887381337314155</v>
      </c>
      <c r="L184">
        <f t="shared" si="44"/>
        <v>1.73354968324846</v>
      </c>
      <c r="M184">
        <v>184</v>
      </c>
      <c r="N184">
        <f t="shared" si="45"/>
        <v>183</v>
      </c>
      <c r="O184">
        <f t="shared" si="46"/>
        <v>0.38271969529007599</v>
      </c>
      <c r="P184">
        <f t="shared" si="47"/>
        <v>0.74618298195866595</v>
      </c>
      <c r="Q184">
        <v>184</v>
      </c>
      <c r="R184">
        <f t="shared" si="48"/>
        <v>183</v>
      </c>
      <c r="S184">
        <f t="shared" si="49"/>
        <v>1.2618025751072881</v>
      </c>
      <c r="T184">
        <f t="shared" si="50"/>
        <v>1</v>
      </c>
      <c r="U184">
        <v>184</v>
      </c>
      <c r="V184">
        <f t="shared" si="51"/>
        <v>183</v>
      </c>
      <c r="W184">
        <f t="shared" si="52"/>
        <v>1.2926757530999726</v>
      </c>
      <c r="X184">
        <f t="shared" si="53"/>
        <v>0.93519413988924505</v>
      </c>
    </row>
    <row r="185" spans="1:24">
      <c r="A185">
        <v>185</v>
      </c>
      <c r="B185">
        <f t="shared" si="36"/>
        <v>184</v>
      </c>
      <c r="C185">
        <f t="shared" si="37"/>
        <v>0.28346984166853251</v>
      </c>
      <c r="D185">
        <f t="shared" si="38"/>
        <v>1.0427354058196601</v>
      </c>
      <c r="E185">
        <v>185</v>
      </c>
      <c r="F185">
        <f t="shared" si="39"/>
        <v>184</v>
      </c>
      <c r="G185">
        <f t="shared" si="40"/>
        <v>0.31384318661059918</v>
      </c>
      <c r="H185">
        <f t="shared" si="41"/>
        <v>1.10687730344655</v>
      </c>
      <c r="I185">
        <v>185</v>
      </c>
      <c r="J185">
        <f t="shared" si="42"/>
        <v>184</v>
      </c>
      <c r="K185">
        <f t="shared" si="43"/>
        <v>1.389406373168464</v>
      </c>
      <c r="L185">
        <f t="shared" si="44"/>
        <v>1.26645031675154</v>
      </c>
      <c r="M185">
        <v>185</v>
      </c>
      <c r="N185">
        <f t="shared" si="45"/>
        <v>184</v>
      </c>
      <c r="O185">
        <f t="shared" si="46"/>
        <v>0.38342408150454999</v>
      </c>
      <c r="P185">
        <f t="shared" si="47"/>
        <v>0.253817018041334</v>
      </c>
      <c r="Q185">
        <v>185</v>
      </c>
      <c r="R185">
        <f t="shared" si="48"/>
        <v>184</v>
      </c>
      <c r="S185">
        <f t="shared" si="49"/>
        <v>1.2632331902718088</v>
      </c>
      <c r="T185">
        <f t="shared" si="50"/>
        <v>0</v>
      </c>
      <c r="U185">
        <v>185</v>
      </c>
      <c r="V185">
        <f t="shared" si="51"/>
        <v>184</v>
      </c>
      <c r="W185">
        <f t="shared" si="52"/>
        <v>1.2939209437720447</v>
      </c>
      <c r="X185">
        <f t="shared" si="53"/>
        <v>6.4805860110755301E-2</v>
      </c>
    </row>
    <row r="186" spans="1:24">
      <c r="A186">
        <v>186</v>
      </c>
      <c r="B186">
        <f t="shared" si="36"/>
        <v>185</v>
      </c>
      <c r="C186">
        <f t="shared" si="37"/>
        <v>0.28477818099379809</v>
      </c>
      <c r="D186">
        <f t="shared" si="38"/>
        <v>1.9572645941803399</v>
      </c>
      <c r="E186">
        <v>186</v>
      </c>
      <c r="F186">
        <f t="shared" si="39"/>
        <v>185</v>
      </c>
      <c r="G186">
        <f t="shared" si="40"/>
        <v>0.31496800119301249</v>
      </c>
      <c r="H186">
        <f t="shared" si="41"/>
        <v>1.89312269655345</v>
      </c>
      <c r="I186">
        <v>186</v>
      </c>
      <c r="J186">
        <f t="shared" si="42"/>
        <v>185</v>
      </c>
      <c r="K186">
        <f t="shared" si="43"/>
        <v>1.3900746126055123</v>
      </c>
      <c r="L186">
        <f t="shared" si="44"/>
        <v>1.73354968324846</v>
      </c>
      <c r="M186">
        <v>186</v>
      </c>
      <c r="N186">
        <f t="shared" si="45"/>
        <v>185</v>
      </c>
      <c r="O186">
        <f t="shared" si="46"/>
        <v>0.38412846771902398</v>
      </c>
      <c r="P186">
        <f t="shared" si="47"/>
        <v>0.74618298195866595</v>
      </c>
      <c r="Q186">
        <v>186</v>
      </c>
      <c r="R186">
        <f t="shared" si="48"/>
        <v>185</v>
      </c>
      <c r="S186">
        <f t="shared" si="49"/>
        <v>1.2646638054363295</v>
      </c>
      <c r="T186">
        <f t="shared" si="50"/>
        <v>1</v>
      </c>
      <c r="U186">
        <v>186</v>
      </c>
      <c r="V186">
        <f t="shared" si="51"/>
        <v>185</v>
      </c>
      <c r="W186">
        <f t="shared" si="52"/>
        <v>1.295166134444117</v>
      </c>
      <c r="X186">
        <f t="shared" si="53"/>
        <v>0.93519413988924505</v>
      </c>
    </row>
    <row r="187" spans="1:24">
      <c r="A187">
        <v>187</v>
      </c>
      <c r="B187">
        <f t="shared" si="36"/>
        <v>186</v>
      </c>
      <c r="C187">
        <f t="shared" si="37"/>
        <v>0.28608652031906373</v>
      </c>
      <c r="D187">
        <f t="shared" si="38"/>
        <v>1.0427354058196601</v>
      </c>
      <c r="E187">
        <v>187</v>
      </c>
      <c r="F187">
        <f t="shared" si="39"/>
        <v>186</v>
      </c>
      <c r="G187">
        <f t="shared" si="40"/>
        <v>0.31609281577542581</v>
      </c>
      <c r="H187">
        <f t="shared" si="41"/>
        <v>1.10687730344655</v>
      </c>
      <c r="I187">
        <v>187</v>
      </c>
      <c r="J187">
        <f t="shared" si="42"/>
        <v>186</v>
      </c>
      <c r="K187">
        <f t="shared" si="43"/>
        <v>1.3907428520425609</v>
      </c>
      <c r="L187">
        <f t="shared" si="44"/>
        <v>1.26645031675154</v>
      </c>
      <c r="M187">
        <v>187</v>
      </c>
      <c r="N187">
        <f t="shared" si="45"/>
        <v>186</v>
      </c>
      <c r="O187">
        <f t="shared" si="46"/>
        <v>0.38483285393349798</v>
      </c>
      <c r="P187">
        <f t="shared" si="47"/>
        <v>0.253817018041334</v>
      </c>
      <c r="Q187">
        <v>187</v>
      </c>
      <c r="R187">
        <f t="shared" si="48"/>
        <v>186</v>
      </c>
      <c r="S187">
        <f t="shared" si="49"/>
        <v>1.2660944206008502</v>
      </c>
      <c r="T187">
        <f t="shared" si="50"/>
        <v>0</v>
      </c>
      <c r="U187">
        <v>187</v>
      </c>
      <c r="V187">
        <f t="shared" si="51"/>
        <v>186</v>
      </c>
      <c r="W187">
        <f t="shared" si="52"/>
        <v>1.2964113251161891</v>
      </c>
      <c r="X187">
        <f t="shared" si="53"/>
        <v>6.4805860110755301E-2</v>
      </c>
    </row>
    <row r="188" spans="1:24">
      <c r="A188">
        <v>188</v>
      </c>
      <c r="B188">
        <f t="shared" si="36"/>
        <v>187</v>
      </c>
      <c r="C188">
        <f t="shared" si="37"/>
        <v>0.28739485964432931</v>
      </c>
      <c r="D188">
        <f t="shared" si="38"/>
        <v>1.9572645941803399</v>
      </c>
      <c r="E188">
        <v>188</v>
      </c>
      <c r="F188">
        <f t="shared" si="39"/>
        <v>187</v>
      </c>
      <c r="G188">
        <f t="shared" si="40"/>
        <v>0.31721763035783906</v>
      </c>
      <c r="H188">
        <f t="shared" si="41"/>
        <v>1.89312269655345</v>
      </c>
      <c r="I188">
        <v>188</v>
      </c>
      <c r="J188">
        <f t="shared" si="42"/>
        <v>187</v>
      </c>
      <c r="K188">
        <f t="shared" si="43"/>
        <v>1.3914110914796094</v>
      </c>
      <c r="L188">
        <f t="shared" si="44"/>
        <v>1.73354968324846</v>
      </c>
      <c r="M188">
        <v>188</v>
      </c>
      <c r="N188">
        <f t="shared" si="45"/>
        <v>187</v>
      </c>
      <c r="O188">
        <f t="shared" si="46"/>
        <v>0.38553724014797197</v>
      </c>
      <c r="P188">
        <f t="shared" si="47"/>
        <v>0.74618298195866595</v>
      </c>
      <c r="Q188">
        <v>188</v>
      </c>
      <c r="R188">
        <f t="shared" si="48"/>
        <v>187</v>
      </c>
      <c r="S188">
        <f t="shared" si="49"/>
        <v>1.2675250357653709</v>
      </c>
      <c r="T188">
        <f t="shared" si="50"/>
        <v>1</v>
      </c>
      <c r="U188">
        <v>188</v>
      </c>
      <c r="V188">
        <f t="shared" si="51"/>
        <v>187</v>
      </c>
      <c r="W188">
        <f t="shared" si="52"/>
        <v>1.2976565157882614</v>
      </c>
      <c r="X188">
        <f t="shared" si="53"/>
        <v>0.93519413988924505</v>
      </c>
    </row>
    <row r="189" spans="1:24">
      <c r="A189">
        <v>189</v>
      </c>
      <c r="B189">
        <f t="shared" si="36"/>
        <v>188</v>
      </c>
      <c r="C189">
        <f t="shared" si="37"/>
        <v>0.2887031989695949</v>
      </c>
      <c r="D189">
        <f t="shared" si="38"/>
        <v>1.0427354058196601</v>
      </c>
      <c r="E189">
        <v>189</v>
      </c>
      <c r="F189">
        <f t="shared" si="39"/>
        <v>188</v>
      </c>
      <c r="G189">
        <f t="shared" si="40"/>
        <v>0.31834244494025238</v>
      </c>
      <c r="H189">
        <f t="shared" si="41"/>
        <v>1.10687730344655</v>
      </c>
      <c r="I189">
        <v>189</v>
      </c>
      <c r="J189">
        <f t="shared" si="42"/>
        <v>188</v>
      </c>
      <c r="K189">
        <f t="shared" si="43"/>
        <v>1.3920793309166579</v>
      </c>
      <c r="L189">
        <f t="shared" si="44"/>
        <v>1.26645031675154</v>
      </c>
      <c r="M189">
        <v>189</v>
      </c>
      <c r="N189">
        <f t="shared" si="45"/>
        <v>188</v>
      </c>
      <c r="O189">
        <f t="shared" si="46"/>
        <v>0.38624162636244597</v>
      </c>
      <c r="P189">
        <f t="shared" si="47"/>
        <v>0.253817018041334</v>
      </c>
      <c r="Q189">
        <v>189</v>
      </c>
      <c r="R189">
        <f t="shared" si="48"/>
        <v>188</v>
      </c>
      <c r="S189">
        <f t="shared" si="49"/>
        <v>1.2689556509298916</v>
      </c>
      <c r="T189">
        <f t="shared" si="50"/>
        <v>0</v>
      </c>
      <c r="U189">
        <v>189</v>
      </c>
      <c r="V189">
        <f t="shared" si="51"/>
        <v>188</v>
      </c>
      <c r="W189">
        <f t="shared" si="52"/>
        <v>1.2989017064603336</v>
      </c>
      <c r="X189">
        <f t="shared" si="53"/>
        <v>6.4805860110755301E-2</v>
      </c>
    </row>
    <row r="190" spans="1:24">
      <c r="A190">
        <v>190</v>
      </c>
      <c r="B190">
        <f t="shared" si="36"/>
        <v>189</v>
      </c>
      <c r="C190">
        <f t="shared" si="37"/>
        <v>0.29001153829486048</v>
      </c>
      <c r="D190">
        <f t="shared" si="38"/>
        <v>1.9572645941803399</v>
      </c>
      <c r="E190">
        <v>190</v>
      </c>
      <c r="F190">
        <f t="shared" si="39"/>
        <v>189</v>
      </c>
      <c r="G190">
        <f t="shared" si="40"/>
        <v>0.31946725952266569</v>
      </c>
      <c r="H190">
        <f t="shared" si="41"/>
        <v>1.89312269655345</v>
      </c>
      <c r="I190">
        <v>190</v>
      </c>
      <c r="J190">
        <f t="shared" si="42"/>
        <v>189</v>
      </c>
      <c r="K190">
        <f t="shared" si="43"/>
        <v>1.3927475703537064</v>
      </c>
      <c r="L190">
        <f t="shared" si="44"/>
        <v>1.73354968324846</v>
      </c>
      <c r="M190">
        <v>190</v>
      </c>
      <c r="N190">
        <f t="shared" si="45"/>
        <v>189</v>
      </c>
      <c r="O190">
        <f t="shared" si="46"/>
        <v>0.38694601257691996</v>
      </c>
      <c r="P190">
        <f t="shared" si="47"/>
        <v>0.74618298195866595</v>
      </c>
      <c r="Q190">
        <v>190</v>
      </c>
      <c r="R190">
        <f t="shared" si="48"/>
        <v>189</v>
      </c>
      <c r="S190">
        <f t="shared" si="49"/>
        <v>1.2703862660944123</v>
      </c>
      <c r="T190">
        <f t="shared" si="50"/>
        <v>1</v>
      </c>
      <c r="U190">
        <v>190</v>
      </c>
      <c r="V190">
        <f t="shared" si="51"/>
        <v>189</v>
      </c>
      <c r="W190">
        <f t="shared" si="52"/>
        <v>1.3001468971324057</v>
      </c>
      <c r="X190">
        <f t="shared" si="53"/>
        <v>0.93519413988924505</v>
      </c>
    </row>
    <row r="191" spans="1:24">
      <c r="A191">
        <v>191</v>
      </c>
      <c r="B191">
        <f t="shared" si="36"/>
        <v>190</v>
      </c>
      <c r="C191">
        <f t="shared" si="37"/>
        <v>0.29131987762012612</v>
      </c>
      <c r="D191">
        <f t="shared" si="38"/>
        <v>1.0427354058196601</v>
      </c>
      <c r="E191">
        <v>191</v>
      </c>
      <c r="F191">
        <f t="shared" si="39"/>
        <v>190</v>
      </c>
      <c r="G191">
        <f t="shared" si="40"/>
        <v>0.32059207410507895</v>
      </c>
      <c r="H191">
        <f t="shared" si="41"/>
        <v>1.10687730344655</v>
      </c>
      <c r="I191">
        <v>191</v>
      </c>
      <c r="J191">
        <f t="shared" si="42"/>
        <v>190</v>
      </c>
      <c r="K191">
        <f t="shared" si="43"/>
        <v>1.393415809790755</v>
      </c>
      <c r="L191">
        <f t="shared" si="44"/>
        <v>1.26645031675154</v>
      </c>
      <c r="M191">
        <v>191</v>
      </c>
      <c r="N191">
        <f t="shared" si="45"/>
        <v>190</v>
      </c>
      <c r="O191">
        <f t="shared" si="46"/>
        <v>0.38765039879139396</v>
      </c>
      <c r="P191">
        <f t="shared" si="47"/>
        <v>0.253817018041334</v>
      </c>
      <c r="Q191">
        <v>191</v>
      </c>
      <c r="R191">
        <f t="shared" si="48"/>
        <v>190</v>
      </c>
      <c r="S191">
        <f t="shared" si="49"/>
        <v>1.271816881258933</v>
      </c>
      <c r="T191">
        <f t="shared" si="50"/>
        <v>0</v>
      </c>
      <c r="U191">
        <v>191</v>
      </c>
      <c r="V191">
        <f t="shared" si="51"/>
        <v>190</v>
      </c>
      <c r="W191">
        <f t="shared" si="52"/>
        <v>1.301392087804478</v>
      </c>
      <c r="X191">
        <f t="shared" si="53"/>
        <v>6.4805860110755301E-2</v>
      </c>
    </row>
    <row r="192" spans="1:24">
      <c r="A192">
        <v>192</v>
      </c>
      <c r="B192">
        <f t="shared" si="36"/>
        <v>191</v>
      </c>
      <c r="C192">
        <f t="shared" si="37"/>
        <v>0.29262821694539171</v>
      </c>
      <c r="D192">
        <f t="shared" si="38"/>
        <v>1.9572645941803399</v>
      </c>
      <c r="E192">
        <v>192</v>
      </c>
      <c r="F192">
        <f t="shared" si="39"/>
        <v>191</v>
      </c>
      <c r="G192">
        <f t="shared" si="40"/>
        <v>0.32171688868749226</v>
      </c>
      <c r="H192">
        <f t="shared" si="41"/>
        <v>1.89312269655345</v>
      </c>
      <c r="I192">
        <v>192</v>
      </c>
      <c r="J192">
        <f t="shared" si="42"/>
        <v>191</v>
      </c>
      <c r="K192">
        <f t="shared" si="43"/>
        <v>1.3940840492278035</v>
      </c>
      <c r="L192">
        <f t="shared" si="44"/>
        <v>1.73354968324846</v>
      </c>
      <c r="M192">
        <v>192</v>
      </c>
      <c r="N192">
        <f t="shared" si="45"/>
        <v>191</v>
      </c>
      <c r="O192">
        <f t="shared" si="46"/>
        <v>0.38835478500586795</v>
      </c>
      <c r="P192">
        <f t="shared" si="47"/>
        <v>0.74618298195866595</v>
      </c>
      <c r="Q192">
        <v>192</v>
      </c>
      <c r="R192">
        <f t="shared" si="48"/>
        <v>191</v>
      </c>
      <c r="S192">
        <f t="shared" si="49"/>
        <v>1.2732474964234537</v>
      </c>
      <c r="T192">
        <f t="shared" si="50"/>
        <v>1</v>
      </c>
      <c r="U192">
        <v>192</v>
      </c>
      <c r="V192">
        <f t="shared" si="51"/>
        <v>191</v>
      </c>
      <c r="W192">
        <f t="shared" si="52"/>
        <v>1.3026372784765501</v>
      </c>
      <c r="X192">
        <f t="shared" si="53"/>
        <v>0.93519413988924505</v>
      </c>
    </row>
    <row r="193" spans="1:24">
      <c r="A193">
        <v>193</v>
      </c>
      <c r="B193">
        <f t="shared" ref="B193:B256" si="54">(A193-1)</f>
        <v>192</v>
      </c>
      <c r="C193">
        <f t="shared" ref="C193:C256" si="55">0.0427354058196621+B193*0.0013083393252656</f>
        <v>0.29393655627065735</v>
      </c>
      <c r="D193">
        <f t="shared" ref="D193:D256" si="56">IF(B193/2-INT(B193/2)&lt;0.1,1.04273540581966,1.95726459418034)</f>
        <v>1.0427354058196601</v>
      </c>
      <c r="E193">
        <v>193</v>
      </c>
      <c r="F193">
        <f t="shared" ref="F193:F256" si="57">(E193-1)</f>
        <v>192</v>
      </c>
      <c r="G193">
        <f t="shared" ref="G193:G256" si="58">0.106877303446552+F193*0.0011248145824133</f>
        <v>0.32284170326990558</v>
      </c>
      <c r="H193">
        <f t="shared" ref="H193:H256" si="59">IF(F193/2-INT(F193/2)&lt;0.1,1.10687730344655,1.89312269655345)</f>
        <v>1.10687730344655</v>
      </c>
      <c r="I193">
        <v>193</v>
      </c>
      <c r="J193">
        <f t="shared" ref="J193:J256" si="60">(I193-1)</f>
        <v>192</v>
      </c>
      <c r="K193">
        <f t="shared" ref="K193:K256" si="61">1.26645031675154+J193*0.0006682394370485</f>
        <v>1.394752288664852</v>
      </c>
      <c r="L193">
        <f t="shared" ref="L193:L256" si="62">IF(J193/2-INT(J193/2)&lt;0.1,1.26645031675154,1.73354968324846)</f>
        <v>1.26645031675154</v>
      </c>
      <c r="M193">
        <v>193</v>
      </c>
      <c r="N193">
        <f t="shared" ref="N193:N256" si="63">(M193-1)</f>
        <v>192</v>
      </c>
      <c r="O193">
        <f t="shared" ref="O193:O256" si="64">0.253817018041334+N193*0.000704386214474</f>
        <v>0.389059171220342</v>
      </c>
      <c r="P193">
        <f t="shared" ref="P193:P256" si="65">IF(N193/2-INT(N193/2)&lt;0.1,0.253817018041334,0.746182981958666)</f>
        <v>0.253817018041334</v>
      </c>
      <c r="Q193">
        <v>193</v>
      </c>
      <c r="R193">
        <f t="shared" ref="R193:R256" si="66">(Q193-1)</f>
        <v>192</v>
      </c>
      <c r="S193">
        <f t="shared" ref="S193:S256" si="67">1+R193*0.0014306151645207</f>
        <v>1.2746781115879744</v>
      </c>
      <c r="T193">
        <f t="shared" ref="T193:T256" si="68">IF(R193/2-INT(R193/2)&lt;0.1,0,1)</f>
        <v>0</v>
      </c>
      <c r="U193">
        <v>193</v>
      </c>
      <c r="V193">
        <f t="shared" ref="V193:V256" si="69">(U193-1)</f>
        <v>192</v>
      </c>
      <c r="W193">
        <f t="shared" ref="W193:W256" si="70">1.06480586011076+V193*0.0012451906720722</f>
        <v>1.3038824691486224</v>
      </c>
      <c r="X193">
        <f t="shared" ref="X193:X256" si="71">IF(V193/2-INT(V193/2)&lt;0.1,0.0648058601107553,0.935194139889245)</f>
        <v>6.4805860110755301E-2</v>
      </c>
    </row>
    <row r="194" spans="1:24">
      <c r="A194">
        <v>194</v>
      </c>
      <c r="B194">
        <f t="shared" si="54"/>
        <v>193</v>
      </c>
      <c r="C194">
        <f t="shared" si="55"/>
        <v>0.29524489559592293</v>
      </c>
      <c r="D194">
        <f t="shared" si="56"/>
        <v>1.9572645941803399</v>
      </c>
      <c r="E194">
        <v>194</v>
      </c>
      <c r="F194">
        <f t="shared" si="57"/>
        <v>193</v>
      </c>
      <c r="G194">
        <f t="shared" si="58"/>
        <v>0.32396651785231889</v>
      </c>
      <c r="H194">
        <f t="shared" si="59"/>
        <v>1.89312269655345</v>
      </c>
      <c r="I194">
        <v>194</v>
      </c>
      <c r="J194">
        <f t="shared" si="60"/>
        <v>193</v>
      </c>
      <c r="K194">
        <f t="shared" si="61"/>
        <v>1.3954205281019005</v>
      </c>
      <c r="L194">
        <f t="shared" si="62"/>
        <v>1.73354968324846</v>
      </c>
      <c r="M194">
        <v>194</v>
      </c>
      <c r="N194">
        <f t="shared" si="63"/>
        <v>193</v>
      </c>
      <c r="O194">
        <f t="shared" si="64"/>
        <v>0.389763557434816</v>
      </c>
      <c r="P194">
        <f t="shared" si="65"/>
        <v>0.74618298195866595</v>
      </c>
      <c r="Q194">
        <v>194</v>
      </c>
      <c r="R194">
        <f t="shared" si="66"/>
        <v>193</v>
      </c>
      <c r="S194">
        <f t="shared" si="67"/>
        <v>1.2761087267524951</v>
      </c>
      <c r="T194">
        <f t="shared" si="68"/>
        <v>1</v>
      </c>
      <c r="U194">
        <v>194</v>
      </c>
      <c r="V194">
        <f t="shared" si="69"/>
        <v>193</v>
      </c>
      <c r="W194">
        <f t="shared" si="70"/>
        <v>1.3051276598206945</v>
      </c>
      <c r="X194">
        <f t="shared" si="71"/>
        <v>0.93519413988924505</v>
      </c>
    </row>
    <row r="195" spans="1:24">
      <c r="A195">
        <v>195</v>
      </c>
      <c r="B195">
        <f t="shared" si="54"/>
        <v>194</v>
      </c>
      <c r="C195">
        <f t="shared" si="55"/>
        <v>0.29655323492118851</v>
      </c>
      <c r="D195">
        <f t="shared" si="56"/>
        <v>1.0427354058196601</v>
      </c>
      <c r="E195">
        <v>195</v>
      </c>
      <c r="F195">
        <f t="shared" si="57"/>
        <v>194</v>
      </c>
      <c r="G195">
        <f t="shared" si="58"/>
        <v>0.32509133243473221</v>
      </c>
      <c r="H195">
        <f t="shared" si="59"/>
        <v>1.10687730344655</v>
      </c>
      <c r="I195">
        <v>195</v>
      </c>
      <c r="J195">
        <f t="shared" si="60"/>
        <v>194</v>
      </c>
      <c r="K195">
        <f t="shared" si="61"/>
        <v>1.3960887675389491</v>
      </c>
      <c r="L195">
        <f t="shared" si="62"/>
        <v>1.26645031675154</v>
      </c>
      <c r="M195">
        <v>195</v>
      </c>
      <c r="N195">
        <f t="shared" si="63"/>
        <v>194</v>
      </c>
      <c r="O195">
        <f t="shared" si="64"/>
        <v>0.39046794364928999</v>
      </c>
      <c r="P195">
        <f t="shared" si="65"/>
        <v>0.253817018041334</v>
      </c>
      <c r="Q195">
        <v>195</v>
      </c>
      <c r="R195">
        <f t="shared" si="66"/>
        <v>194</v>
      </c>
      <c r="S195">
        <f t="shared" si="67"/>
        <v>1.2775393419170158</v>
      </c>
      <c r="T195">
        <f t="shared" si="68"/>
        <v>0</v>
      </c>
      <c r="U195">
        <v>195</v>
      </c>
      <c r="V195">
        <f t="shared" si="69"/>
        <v>194</v>
      </c>
      <c r="W195">
        <f t="shared" si="70"/>
        <v>1.3063728504927667</v>
      </c>
      <c r="X195">
        <f t="shared" si="71"/>
        <v>6.4805860110755301E-2</v>
      </c>
    </row>
    <row r="196" spans="1:24">
      <c r="A196">
        <v>196</v>
      </c>
      <c r="B196">
        <f t="shared" si="54"/>
        <v>195</v>
      </c>
      <c r="C196">
        <f t="shared" si="55"/>
        <v>0.2978615742464541</v>
      </c>
      <c r="D196">
        <f t="shared" si="56"/>
        <v>1.9572645941803399</v>
      </c>
      <c r="E196">
        <v>196</v>
      </c>
      <c r="F196">
        <f t="shared" si="57"/>
        <v>195</v>
      </c>
      <c r="G196">
        <f t="shared" si="58"/>
        <v>0.32621614701714546</v>
      </c>
      <c r="H196">
        <f t="shared" si="59"/>
        <v>1.89312269655345</v>
      </c>
      <c r="I196">
        <v>196</v>
      </c>
      <c r="J196">
        <f t="shared" si="60"/>
        <v>195</v>
      </c>
      <c r="K196">
        <f t="shared" si="61"/>
        <v>1.3967570069759974</v>
      </c>
      <c r="L196">
        <f t="shared" si="62"/>
        <v>1.73354968324846</v>
      </c>
      <c r="M196">
        <v>196</v>
      </c>
      <c r="N196">
        <f t="shared" si="63"/>
        <v>195</v>
      </c>
      <c r="O196">
        <f t="shared" si="64"/>
        <v>0.39117232986376399</v>
      </c>
      <c r="P196">
        <f t="shared" si="65"/>
        <v>0.74618298195866595</v>
      </c>
      <c r="Q196">
        <v>196</v>
      </c>
      <c r="R196">
        <f t="shared" si="66"/>
        <v>195</v>
      </c>
      <c r="S196">
        <f t="shared" si="67"/>
        <v>1.2789699570815365</v>
      </c>
      <c r="T196">
        <f t="shared" si="68"/>
        <v>1</v>
      </c>
      <c r="U196">
        <v>196</v>
      </c>
      <c r="V196">
        <f t="shared" si="69"/>
        <v>195</v>
      </c>
      <c r="W196">
        <f t="shared" si="70"/>
        <v>1.3076180411648388</v>
      </c>
      <c r="X196">
        <f t="shared" si="71"/>
        <v>0.93519413988924505</v>
      </c>
    </row>
    <row r="197" spans="1:24">
      <c r="A197">
        <v>197</v>
      </c>
      <c r="B197">
        <f t="shared" si="54"/>
        <v>196</v>
      </c>
      <c r="C197">
        <f t="shared" si="55"/>
        <v>0.29916991357171974</v>
      </c>
      <c r="D197">
        <f t="shared" si="56"/>
        <v>1.0427354058196601</v>
      </c>
      <c r="E197">
        <v>197</v>
      </c>
      <c r="F197">
        <f t="shared" si="57"/>
        <v>196</v>
      </c>
      <c r="G197">
        <f t="shared" si="58"/>
        <v>0.32734096159955878</v>
      </c>
      <c r="H197">
        <f t="shared" si="59"/>
        <v>1.10687730344655</v>
      </c>
      <c r="I197">
        <v>197</v>
      </c>
      <c r="J197">
        <f t="shared" si="60"/>
        <v>196</v>
      </c>
      <c r="K197">
        <f t="shared" si="61"/>
        <v>1.3974252464130459</v>
      </c>
      <c r="L197">
        <f t="shared" si="62"/>
        <v>1.26645031675154</v>
      </c>
      <c r="M197">
        <v>197</v>
      </c>
      <c r="N197">
        <f t="shared" si="63"/>
        <v>196</v>
      </c>
      <c r="O197">
        <f t="shared" si="64"/>
        <v>0.39187671607823799</v>
      </c>
      <c r="P197">
        <f t="shared" si="65"/>
        <v>0.253817018041334</v>
      </c>
      <c r="Q197">
        <v>197</v>
      </c>
      <c r="R197">
        <f t="shared" si="66"/>
        <v>196</v>
      </c>
      <c r="S197">
        <f t="shared" si="67"/>
        <v>1.2804005722460572</v>
      </c>
      <c r="T197">
        <f t="shared" si="68"/>
        <v>0</v>
      </c>
      <c r="U197">
        <v>197</v>
      </c>
      <c r="V197">
        <f t="shared" si="69"/>
        <v>196</v>
      </c>
      <c r="W197">
        <f t="shared" si="70"/>
        <v>1.3088632318369111</v>
      </c>
      <c r="X197">
        <f t="shared" si="71"/>
        <v>6.4805860110755301E-2</v>
      </c>
    </row>
    <row r="198" spans="1:24">
      <c r="A198">
        <v>198</v>
      </c>
      <c r="B198">
        <f t="shared" si="54"/>
        <v>197</v>
      </c>
      <c r="C198">
        <f t="shared" si="55"/>
        <v>0.30047825289698532</v>
      </c>
      <c r="D198">
        <f t="shared" si="56"/>
        <v>1.9572645941803399</v>
      </c>
      <c r="E198">
        <v>198</v>
      </c>
      <c r="F198">
        <f t="shared" si="57"/>
        <v>197</v>
      </c>
      <c r="G198">
        <f t="shared" si="58"/>
        <v>0.32846577618197209</v>
      </c>
      <c r="H198">
        <f t="shared" si="59"/>
        <v>1.89312269655345</v>
      </c>
      <c r="I198">
        <v>198</v>
      </c>
      <c r="J198">
        <f t="shared" si="60"/>
        <v>197</v>
      </c>
      <c r="K198">
        <f t="shared" si="61"/>
        <v>1.3980934858500944</v>
      </c>
      <c r="L198">
        <f t="shared" si="62"/>
        <v>1.73354968324846</v>
      </c>
      <c r="M198">
        <v>198</v>
      </c>
      <c r="N198">
        <f t="shared" si="63"/>
        <v>197</v>
      </c>
      <c r="O198">
        <f t="shared" si="64"/>
        <v>0.39258110229271198</v>
      </c>
      <c r="P198">
        <f t="shared" si="65"/>
        <v>0.74618298195866595</v>
      </c>
      <c r="Q198">
        <v>198</v>
      </c>
      <c r="R198">
        <f t="shared" si="66"/>
        <v>197</v>
      </c>
      <c r="S198">
        <f t="shared" si="67"/>
        <v>1.2818311874105779</v>
      </c>
      <c r="T198">
        <f t="shared" si="68"/>
        <v>1</v>
      </c>
      <c r="U198">
        <v>198</v>
      </c>
      <c r="V198">
        <f t="shared" si="69"/>
        <v>197</v>
      </c>
      <c r="W198">
        <f t="shared" si="70"/>
        <v>1.3101084225089834</v>
      </c>
      <c r="X198">
        <f t="shared" si="71"/>
        <v>0.93519413988924505</v>
      </c>
    </row>
    <row r="199" spans="1:24">
      <c r="A199">
        <v>199</v>
      </c>
      <c r="B199">
        <f t="shared" si="54"/>
        <v>198</v>
      </c>
      <c r="C199">
        <f t="shared" si="55"/>
        <v>0.3017865922222509</v>
      </c>
      <c r="D199">
        <f t="shared" si="56"/>
        <v>1.0427354058196601</v>
      </c>
      <c r="E199">
        <v>199</v>
      </c>
      <c r="F199">
        <f t="shared" si="57"/>
        <v>198</v>
      </c>
      <c r="G199">
        <f t="shared" si="58"/>
        <v>0.32959059076438535</v>
      </c>
      <c r="H199">
        <f t="shared" si="59"/>
        <v>1.10687730344655</v>
      </c>
      <c r="I199">
        <v>199</v>
      </c>
      <c r="J199">
        <f t="shared" si="60"/>
        <v>198</v>
      </c>
      <c r="K199">
        <f t="shared" si="61"/>
        <v>1.3987617252871429</v>
      </c>
      <c r="L199">
        <f t="shared" si="62"/>
        <v>1.26645031675154</v>
      </c>
      <c r="M199">
        <v>199</v>
      </c>
      <c r="N199">
        <f t="shared" si="63"/>
        <v>198</v>
      </c>
      <c r="O199">
        <f t="shared" si="64"/>
        <v>0.39328548850718598</v>
      </c>
      <c r="P199">
        <f t="shared" si="65"/>
        <v>0.253817018041334</v>
      </c>
      <c r="Q199">
        <v>199</v>
      </c>
      <c r="R199">
        <f t="shared" si="66"/>
        <v>198</v>
      </c>
      <c r="S199">
        <f t="shared" si="67"/>
        <v>1.2832618025750986</v>
      </c>
      <c r="T199">
        <f t="shared" si="68"/>
        <v>0</v>
      </c>
      <c r="U199">
        <v>199</v>
      </c>
      <c r="V199">
        <f t="shared" si="69"/>
        <v>198</v>
      </c>
      <c r="W199">
        <f t="shared" si="70"/>
        <v>1.3113536131810555</v>
      </c>
      <c r="X199">
        <f t="shared" si="71"/>
        <v>6.4805860110755301E-2</v>
      </c>
    </row>
    <row r="200" spans="1:24">
      <c r="A200">
        <v>200</v>
      </c>
      <c r="B200">
        <f t="shared" si="54"/>
        <v>199</v>
      </c>
      <c r="C200">
        <f t="shared" si="55"/>
        <v>0.30309493154751654</v>
      </c>
      <c r="D200">
        <f t="shared" si="56"/>
        <v>1.9572645941803399</v>
      </c>
      <c r="E200">
        <v>200</v>
      </c>
      <c r="F200">
        <f t="shared" si="57"/>
        <v>199</v>
      </c>
      <c r="G200">
        <f t="shared" si="58"/>
        <v>0.33071540534679866</v>
      </c>
      <c r="H200">
        <f t="shared" si="59"/>
        <v>1.89312269655345</v>
      </c>
      <c r="I200">
        <v>200</v>
      </c>
      <c r="J200">
        <f t="shared" si="60"/>
        <v>199</v>
      </c>
      <c r="K200">
        <f t="shared" si="61"/>
        <v>1.3994299647241915</v>
      </c>
      <c r="L200">
        <f t="shared" si="62"/>
        <v>1.73354968324846</v>
      </c>
      <c r="M200">
        <v>200</v>
      </c>
      <c r="N200">
        <f t="shared" si="63"/>
        <v>199</v>
      </c>
      <c r="O200">
        <f t="shared" si="64"/>
        <v>0.39398987472166003</v>
      </c>
      <c r="P200">
        <f t="shared" si="65"/>
        <v>0.74618298195866595</v>
      </c>
      <c r="Q200">
        <v>200</v>
      </c>
      <c r="R200">
        <f t="shared" si="66"/>
        <v>199</v>
      </c>
      <c r="S200">
        <f t="shared" si="67"/>
        <v>1.2846924177396193</v>
      </c>
      <c r="T200">
        <f t="shared" si="68"/>
        <v>1</v>
      </c>
      <c r="U200">
        <v>200</v>
      </c>
      <c r="V200">
        <f t="shared" si="69"/>
        <v>199</v>
      </c>
      <c r="W200">
        <f t="shared" si="70"/>
        <v>1.3125988038531278</v>
      </c>
      <c r="X200">
        <f t="shared" si="71"/>
        <v>0.93519413988924505</v>
      </c>
    </row>
    <row r="201" spans="1:24">
      <c r="A201">
        <v>201</v>
      </c>
      <c r="B201">
        <f t="shared" si="54"/>
        <v>200</v>
      </c>
      <c r="C201">
        <f t="shared" si="55"/>
        <v>0.30440327087278213</v>
      </c>
      <c r="D201">
        <f t="shared" si="56"/>
        <v>1.0427354058196601</v>
      </c>
      <c r="E201">
        <v>201</v>
      </c>
      <c r="F201">
        <f t="shared" si="57"/>
        <v>200</v>
      </c>
      <c r="G201">
        <f t="shared" si="58"/>
        <v>0.33184021992921198</v>
      </c>
      <c r="H201">
        <f t="shared" si="59"/>
        <v>1.10687730344655</v>
      </c>
      <c r="I201">
        <v>201</v>
      </c>
      <c r="J201">
        <f t="shared" si="60"/>
        <v>200</v>
      </c>
      <c r="K201">
        <f t="shared" si="61"/>
        <v>1.40009820416124</v>
      </c>
      <c r="L201">
        <f t="shared" si="62"/>
        <v>1.26645031675154</v>
      </c>
      <c r="M201">
        <v>201</v>
      </c>
      <c r="N201">
        <f t="shared" si="63"/>
        <v>200</v>
      </c>
      <c r="O201">
        <f t="shared" si="64"/>
        <v>0.39469426093613402</v>
      </c>
      <c r="P201">
        <f t="shared" si="65"/>
        <v>0.253817018041334</v>
      </c>
      <c r="Q201">
        <v>201</v>
      </c>
      <c r="R201">
        <f t="shared" si="66"/>
        <v>200</v>
      </c>
      <c r="S201">
        <f t="shared" si="67"/>
        <v>1.28612303290414</v>
      </c>
      <c r="T201">
        <f t="shared" si="68"/>
        <v>0</v>
      </c>
      <c r="U201">
        <v>201</v>
      </c>
      <c r="V201">
        <f t="shared" si="69"/>
        <v>200</v>
      </c>
      <c r="W201">
        <f t="shared" si="70"/>
        <v>1.3138439945251998</v>
      </c>
      <c r="X201">
        <f t="shared" si="71"/>
        <v>6.4805860110755301E-2</v>
      </c>
    </row>
    <row r="202" spans="1:24">
      <c r="A202">
        <v>202</v>
      </c>
      <c r="B202">
        <f t="shared" si="54"/>
        <v>201</v>
      </c>
      <c r="C202">
        <f t="shared" si="55"/>
        <v>0.30571161019804771</v>
      </c>
      <c r="D202">
        <f t="shared" si="56"/>
        <v>1.9572645941803399</v>
      </c>
      <c r="E202">
        <v>202</v>
      </c>
      <c r="F202">
        <f t="shared" si="57"/>
        <v>201</v>
      </c>
      <c r="G202">
        <f t="shared" si="58"/>
        <v>0.33296503451162529</v>
      </c>
      <c r="H202">
        <f t="shared" si="59"/>
        <v>1.89312269655345</v>
      </c>
      <c r="I202">
        <v>202</v>
      </c>
      <c r="J202">
        <f t="shared" si="60"/>
        <v>201</v>
      </c>
      <c r="K202">
        <f t="shared" si="61"/>
        <v>1.4007664435982885</v>
      </c>
      <c r="L202">
        <f t="shared" si="62"/>
        <v>1.73354968324846</v>
      </c>
      <c r="M202">
        <v>202</v>
      </c>
      <c r="N202">
        <f t="shared" si="63"/>
        <v>201</v>
      </c>
      <c r="O202">
        <f t="shared" si="64"/>
        <v>0.39539864715060802</v>
      </c>
      <c r="P202">
        <f t="shared" si="65"/>
        <v>0.74618298195866595</v>
      </c>
      <c r="Q202">
        <v>202</v>
      </c>
      <c r="R202">
        <f t="shared" si="66"/>
        <v>201</v>
      </c>
      <c r="S202">
        <f t="shared" si="67"/>
        <v>1.2875536480686607</v>
      </c>
      <c r="T202">
        <f t="shared" si="68"/>
        <v>1</v>
      </c>
      <c r="U202">
        <v>202</v>
      </c>
      <c r="V202">
        <f t="shared" si="69"/>
        <v>201</v>
      </c>
      <c r="W202">
        <f t="shared" si="70"/>
        <v>1.3150891851972721</v>
      </c>
      <c r="X202">
        <f t="shared" si="71"/>
        <v>0.93519413988924505</v>
      </c>
    </row>
    <row r="203" spans="1:24">
      <c r="A203">
        <v>203</v>
      </c>
      <c r="B203">
        <f t="shared" si="54"/>
        <v>202</v>
      </c>
      <c r="C203">
        <f t="shared" si="55"/>
        <v>0.3070199495233133</v>
      </c>
      <c r="D203">
        <f t="shared" si="56"/>
        <v>1.0427354058196601</v>
      </c>
      <c r="E203">
        <v>203</v>
      </c>
      <c r="F203">
        <f t="shared" si="57"/>
        <v>202</v>
      </c>
      <c r="G203">
        <f t="shared" si="58"/>
        <v>0.3340898490940386</v>
      </c>
      <c r="H203">
        <f t="shared" si="59"/>
        <v>1.10687730344655</v>
      </c>
      <c r="I203">
        <v>203</v>
      </c>
      <c r="J203">
        <f t="shared" si="60"/>
        <v>202</v>
      </c>
      <c r="K203">
        <f t="shared" si="61"/>
        <v>1.401434683035337</v>
      </c>
      <c r="L203">
        <f t="shared" si="62"/>
        <v>1.26645031675154</v>
      </c>
      <c r="M203">
        <v>203</v>
      </c>
      <c r="N203">
        <f t="shared" si="63"/>
        <v>202</v>
      </c>
      <c r="O203">
        <f t="shared" si="64"/>
        <v>0.39610303336508201</v>
      </c>
      <c r="P203">
        <f t="shared" si="65"/>
        <v>0.253817018041334</v>
      </c>
      <c r="Q203">
        <v>203</v>
      </c>
      <c r="R203">
        <f t="shared" si="66"/>
        <v>202</v>
      </c>
      <c r="S203">
        <f t="shared" si="67"/>
        <v>1.2889842632331814</v>
      </c>
      <c r="T203">
        <f t="shared" si="68"/>
        <v>0</v>
      </c>
      <c r="U203">
        <v>203</v>
      </c>
      <c r="V203">
        <f t="shared" si="69"/>
        <v>202</v>
      </c>
      <c r="W203">
        <f t="shared" si="70"/>
        <v>1.3163343758693444</v>
      </c>
      <c r="X203">
        <f t="shared" si="71"/>
        <v>6.4805860110755301E-2</v>
      </c>
    </row>
    <row r="204" spans="1:24">
      <c r="A204">
        <v>204</v>
      </c>
      <c r="B204">
        <f t="shared" si="54"/>
        <v>203</v>
      </c>
      <c r="C204">
        <f t="shared" si="55"/>
        <v>0.30832828884857894</v>
      </c>
      <c r="D204">
        <f t="shared" si="56"/>
        <v>1.9572645941803399</v>
      </c>
      <c r="E204">
        <v>204</v>
      </c>
      <c r="F204">
        <f t="shared" si="57"/>
        <v>203</v>
      </c>
      <c r="G204">
        <f t="shared" si="58"/>
        <v>0.33521466367645186</v>
      </c>
      <c r="H204">
        <f t="shared" si="59"/>
        <v>1.89312269655345</v>
      </c>
      <c r="I204">
        <v>204</v>
      </c>
      <c r="J204">
        <f t="shared" si="60"/>
        <v>203</v>
      </c>
      <c r="K204">
        <f t="shared" si="61"/>
        <v>1.4021029224723855</v>
      </c>
      <c r="L204">
        <f t="shared" si="62"/>
        <v>1.73354968324846</v>
      </c>
      <c r="M204">
        <v>204</v>
      </c>
      <c r="N204">
        <f t="shared" si="63"/>
        <v>203</v>
      </c>
      <c r="O204">
        <f t="shared" si="64"/>
        <v>0.39680741957955601</v>
      </c>
      <c r="P204">
        <f t="shared" si="65"/>
        <v>0.74618298195866595</v>
      </c>
      <c r="Q204">
        <v>204</v>
      </c>
      <c r="R204">
        <f t="shared" si="66"/>
        <v>203</v>
      </c>
      <c r="S204">
        <f t="shared" si="67"/>
        <v>1.2904148783977021</v>
      </c>
      <c r="T204">
        <f t="shared" si="68"/>
        <v>1</v>
      </c>
      <c r="U204">
        <v>204</v>
      </c>
      <c r="V204">
        <f t="shared" si="69"/>
        <v>203</v>
      </c>
      <c r="W204">
        <f t="shared" si="70"/>
        <v>1.3175795665414165</v>
      </c>
      <c r="X204">
        <f t="shared" si="71"/>
        <v>0.93519413988924505</v>
      </c>
    </row>
    <row r="205" spans="1:24">
      <c r="A205">
        <v>205</v>
      </c>
      <c r="B205">
        <f t="shared" si="54"/>
        <v>204</v>
      </c>
      <c r="C205">
        <f t="shared" si="55"/>
        <v>0.30963662817384452</v>
      </c>
      <c r="D205">
        <f t="shared" si="56"/>
        <v>1.0427354058196601</v>
      </c>
      <c r="E205">
        <v>205</v>
      </c>
      <c r="F205">
        <f t="shared" si="57"/>
        <v>204</v>
      </c>
      <c r="G205">
        <f t="shared" si="58"/>
        <v>0.33633947825886518</v>
      </c>
      <c r="H205">
        <f t="shared" si="59"/>
        <v>1.10687730344655</v>
      </c>
      <c r="I205">
        <v>205</v>
      </c>
      <c r="J205">
        <f t="shared" si="60"/>
        <v>204</v>
      </c>
      <c r="K205">
        <f t="shared" si="61"/>
        <v>1.4027711619094339</v>
      </c>
      <c r="L205">
        <f t="shared" si="62"/>
        <v>1.26645031675154</v>
      </c>
      <c r="M205">
        <v>205</v>
      </c>
      <c r="N205">
        <f t="shared" si="63"/>
        <v>204</v>
      </c>
      <c r="O205">
        <f t="shared" si="64"/>
        <v>0.39751180579403</v>
      </c>
      <c r="P205">
        <f t="shared" si="65"/>
        <v>0.253817018041334</v>
      </c>
      <c r="Q205">
        <v>205</v>
      </c>
      <c r="R205">
        <f t="shared" si="66"/>
        <v>204</v>
      </c>
      <c r="S205">
        <f t="shared" si="67"/>
        <v>1.2918454935622228</v>
      </c>
      <c r="T205">
        <f t="shared" si="68"/>
        <v>0</v>
      </c>
      <c r="U205">
        <v>205</v>
      </c>
      <c r="V205">
        <f t="shared" si="69"/>
        <v>204</v>
      </c>
      <c r="W205">
        <f t="shared" si="70"/>
        <v>1.3188247572134888</v>
      </c>
      <c r="X205">
        <f t="shared" si="71"/>
        <v>6.4805860110755301E-2</v>
      </c>
    </row>
    <row r="206" spans="1:24">
      <c r="A206">
        <v>206</v>
      </c>
      <c r="B206">
        <f t="shared" si="54"/>
        <v>205</v>
      </c>
      <c r="C206">
        <f t="shared" si="55"/>
        <v>0.3109449674991101</v>
      </c>
      <c r="D206">
        <f t="shared" si="56"/>
        <v>1.9572645941803399</v>
      </c>
      <c r="E206">
        <v>206</v>
      </c>
      <c r="F206">
        <f t="shared" si="57"/>
        <v>205</v>
      </c>
      <c r="G206">
        <f t="shared" si="58"/>
        <v>0.33746429284127849</v>
      </c>
      <c r="H206">
        <f t="shared" si="59"/>
        <v>1.89312269655345</v>
      </c>
      <c r="I206">
        <v>206</v>
      </c>
      <c r="J206">
        <f t="shared" si="60"/>
        <v>205</v>
      </c>
      <c r="K206">
        <f t="shared" si="61"/>
        <v>1.4034394013464824</v>
      </c>
      <c r="L206">
        <f t="shared" si="62"/>
        <v>1.73354968324846</v>
      </c>
      <c r="M206">
        <v>206</v>
      </c>
      <c r="N206">
        <f t="shared" si="63"/>
        <v>205</v>
      </c>
      <c r="O206">
        <f t="shared" si="64"/>
        <v>0.398216192008504</v>
      </c>
      <c r="P206">
        <f t="shared" si="65"/>
        <v>0.74618298195866595</v>
      </c>
      <c r="Q206">
        <v>206</v>
      </c>
      <c r="R206">
        <f t="shared" si="66"/>
        <v>205</v>
      </c>
      <c r="S206">
        <f t="shared" si="67"/>
        <v>1.2932761087267435</v>
      </c>
      <c r="T206">
        <f t="shared" si="68"/>
        <v>1</v>
      </c>
      <c r="U206">
        <v>206</v>
      </c>
      <c r="V206">
        <f t="shared" si="69"/>
        <v>205</v>
      </c>
      <c r="W206">
        <f t="shared" si="70"/>
        <v>1.3200699478855609</v>
      </c>
      <c r="X206">
        <f t="shared" si="71"/>
        <v>0.93519413988924505</v>
      </c>
    </row>
    <row r="207" spans="1:24">
      <c r="A207">
        <v>207</v>
      </c>
      <c r="B207">
        <f t="shared" si="54"/>
        <v>206</v>
      </c>
      <c r="C207">
        <f t="shared" si="55"/>
        <v>0.31225330682437574</v>
      </c>
      <c r="D207">
        <f t="shared" si="56"/>
        <v>1.0427354058196601</v>
      </c>
      <c r="E207">
        <v>207</v>
      </c>
      <c r="F207">
        <f t="shared" si="57"/>
        <v>206</v>
      </c>
      <c r="G207">
        <f t="shared" si="58"/>
        <v>0.33858910742369175</v>
      </c>
      <c r="H207">
        <f t="shared" si="59"/>
        <v>1.10687730344655</v>
      </c>
      <c r="I207">
        <v>207</v>
      </c>
      <c r="J207">
        <f t="shared" si="60"/>
        <v>206</v>
      </c>
      <c r="K207">
        <f t="shared" si="61"/>
        <v>1.4041076407835309</v>
      </c>
      <c r="L207">
        <f t="shared" si="62"/>
        <v>1.26645031675154</v>
      </c>
      <c r="M207">
        <v>207</v>
      </c>
      <c r="N207">
        <f t="shared" si="63"/>
        <v>206</v>
      </c>
      <c r="O207">
        <f t="shared" si="64"/>
        <v>0.398920578222978</v>
      </c>
      <c r="P207">
        <f t="shared" si="65"/>
        <v>0.253817018041334</v>
      </c>
      <c r="Q207">
        <v>207</v>
      </c>
      <c r="R207">
        <f t="shared" si="66"/>
        <v>206</v>
      </c>
      <c r="S207">
        <f t="shared" si="67"/>
        <v>1.2947067238912642</v>
      </c>
      <c r="T207">
        <f t="shared" si="68"/>
        <v>0</v>
      </c>
      <c r="U207">
        <v>207</v>
      </c>
      <c r="V207">
        <f t="shared" si="69"/>
        <v>206</v>
      </c>
      <c r="W207">
        <f t="shared" si="70"/>
        <v>1.3213151385576332</v>
      </c>
      <c r="X207">
        <f t="shared" si="71"/>
        <v>6.4805860110755301E-2</v>
      </c>
    </row>
    <row r="208" spans="1:24">
      <c r="A208">
        <v>208</v>
      </c>
      <c r="B208">
        <f t="shared" si="54"/>
        <v>207</v>
      </c>
      <c r="C208">
        <f t="shared" si="55"/>
        <v>0.31356164614964133</v>
      </c>
      <c r="D208">
        <f t="shared" si="56"/>
        <v>1.9572645941803399</v>
      </c>
      <c r="E208">
        <v>208</v>
      </c>
      <c r="F208">
        <f t="shared" si="57"/>
        <v>207</v>
      </c>
      <c r="G208">
        <f t="shared" si="58"/>
        <v>0.33971392200610506</v>
      </c>
      <c r="H208">
        <f t="shared" si="59"/>
        <v>1.89312269655345</v>
      </c>
      <c r="I208">
        <v>208</v>
      </c>
      <c r="J208">
        <f t="shared" si="60"/>
        <v>207</v>
      </c>
      <c r="K208">
        <f t="shared" si="61"/>
        <v>1.4047758802205794</v>
      </c>
      <c r="L208">
        <f t="shared" si="62"/>
        <v>1.73354968324846</v>
      </c>
      <c r="M208">
        <v>208</v>
      </c>
      <c r="N208">
        <f t="shared" si="63"/>
        <v>207</v>
      </c>
      <c r="O208">
        <f t="shared" si="64"/>
        <v>0.39962496443745199</v>
      </c>
      <c r="P208">
        <f t="shared" si="65"/>
        <v>0.74618298195866595</v>
      </c>
      <c r="Q208">
        <v>208</v>
      </c>
      <c r="R208">
        <f t="shared" si="66"/>
        <v>207</v>
      </c>
      <c r="S208">
        <f t="shared" si="67"/>
        <v>1.2961373390557849</v>
      </c>
      <c r="T208">
        <f t="shared" si="68"/>
        <v>1</v>
      </c>
      <c r="U208">
        <v>208</v>
      </c>
      <c r="V208">
        <f t="shared" si="69"/>
        <v>207</v>
      </c>
      <c r="W208">
        <f t="shared" si="70"/>
        <v>1.3225603292297055</v>
      </c>
      <c r="X208">
        <f t="shared" si="71"/>
        <v>0.93519413988924505</v>
      </c>
    </row>
    <row r="209" spans="1:24">
      <c r="A209">
        <v>209</v>
      </c>
      <c r="B209">
        <f t="shared" si="54"/>
        <v>208</v>
      </c>
      <c r="C209">
        <f t="shared" si="55"/>
        <v>0.31486998547490691</v>
      </c>
      <c r="D209">
        <f t="shared" si="56"/>
        <v>1.0427354058196601</v>
      </c>
      <c r="E209">
        <v>209</v>
      </c>
      <c r="F209">
        <f t="shared" si="57"/>
        <v>208</v>
      </c>
      <c r="G209">
        <f t="shared" si="58"/>
        <v>0.34083873658851838</v>
      </c>
      <c r="H209">
        <f t="shared" si="59"/>
        <v>1.10687730344655</v>
      </c>
      <c r="I209">
        <v>209</v>
      </c>
      <c r="J209">
        <f t="shared" si="60"/>
        <v>208</v>
      </c>
      <c r="K209">
        <f t="shared" si="61"/>
        <v>1.4054441196576279</v>
      </c>
      <c r="L209">
        <f t="shared" si="62"/>
        <v>1.26645031675154</v>
      </c>
      <c r="M209">
        <v>209</v>
      </c>
      <c r="N209">
        <f t="shared" si="63"/>
        <v>208</v>
      </c>
      <c r="O209">
        <f t="shared" si="64"/>
        <v>0.40032935065192599</v>
      </c>
      <c r="P209">
        <f t="shared" si="65"/>
        <v>0.253817018041334</v>
      </c>
      <c r="Q209">
        <v>209</v>
      </c>
      <c r="R209">
        <f t="shared" si="66"/>
        <v>208</v>
      </c>
      <c r="S209">
        <f t="shared" si="67"/>
        <v>1.2975679542203056</v>
      </c>
      <c r="T209">
        <f t="shared" si="68"/>
        <v>0</v>
      </c>
      <c r="U209">
        <v>209</v>
      </c>
      <c r="V209">
        <f t="shared" si="69"/>
        <v>208</v>
      </c>
      <c r="W209">
        <f t="shared" si="70"/>
        <v>1.3238055199017775</v>
      </c>
      <c r="X209">
        <f t="shared" si="71"/>
        <v>6.4805860110755301E-2</v>
      </c>
    </row>
    <row r="210" spans="1:24">
      <c r="A210">
        <v>210</v>
      </c>
      <c r="B210">
        <f t="shared" si="54"/>
        <v>209</v>
      </c>
      <c r="C210">
        <f t="shared" si="55"/>
        <v>0.31617832480017249</v>
      </c>
      <c r="D210">
        <f t="shared" si="56"/>
        <v>1.9572645941803399</v>
      </c>
      <c r="E210">
        <v>210</v>
      </c>
      <c r="F210">
        <f t="shared" si="57"/>
        <v>209</v>
      </c>
      <c r="G210">
        <f t="shared" si="58"/>
        <v>0.34196355117093169</v>
      </c>
      <c r="H210">
        <f t="shared" si="59"/>
        <v>1.89312269655345</v>
      </c>
      <c r="I210">
        <v>210</v>
      </c>
      <c r="J210">
        <f t="shared" si="60"/>
        <v>209</v>
      </c>
      <c r="K210">
        <f t="shared" si="61"/>
        <v>1.4061123590946765</v>
      </c>
      <c r="L210">
        <f t="shared" si="62"/>
        <v>1.73354968324846</v>
      </c>
      <c r="M210">
        <v>210</v>
      </c>
      <c r="N210">
        <f t="shared" si="63"/>
        <v>209</v>
      </c>
      <c r="O210">
        <f t="shared" si="64"/>
        <v>0.40103373686639998</v>
      </c>
      <c r="P210">
        <f t="shared" si="65"/>
        <v>0.74618298195866595</v>
      </c>
      <c r="Q210">
        <v>210</v>
      </c>
      <c r="R210">
        <f t="shared" si="66"/>
        <v>209</v>
      </c>
      <c r="S210">
        <f t="shared" si="67"/>
        <v>1.2989985693848263</v>
      </c>
      <c r="T210">
        <f t="shared" si="68"/>
        <v>1</v>
      </c>
      <c r="U210">
        <v>210</v>
      </c>
      <c r="V210">
        <f t="shared" si="69"/>
        <v>209</v>
      </c>
      <c r="W210">
        <f t="shared" si="70"/>
        <v>1.3250507105738496</v>
      </c>
      <c r="X210">
        <f t="shared" si="71"/>
        <v>0.93519413988924505</v>
      </c>
    </row>
    <row r="211" spans="1:24">
      <c r="A211">
        <v>211</v>
      </c>
      <c r="B211">
        <f t="shared" si="54"/>
        <v>210</v>
      </c>
      <c r="C211">
        <f t="shared" si="55"/>
        <v>0.31748666412543813</v>
      </c>
      <c r="D211">
        <f t="shared" si="56"/>
        <v>1.0427354058196601</v>
      </c>
      <c r="E211">
        <v>211</v>
      </c>
      <c r="F211">
        <f t="shared" si="57"/>
        <v>210</v>
      </c>
      <c r="G211">
        <f t="shared" si="58"/>
        <v>0.343088365753345</v>
      </c>
      <c r="H211">
        <f t="shared" si="59"/>
        <v>1.10687730344655</v>
      </c>
      <c r="I211">
        <v>211</v>
      </c>
      <c r="J211">
        <f t="shared" si="60"/>
        <v>210</v>
      </c>
      <c r="K211">
        <f t="shared" si="61"/>
        <v>1.406780598531725</v>
      </c>
      <c r="L211">
        <f t="shared" si="62"/>
        <v>1.26645031675154</v>
      </c>
      <c r="M211">
        <v>211</v>
      </c>
      <c r="N211">
        <f t="shared" si="63"/>
        <v>210</v>
      </c>
      <c r="O211">
        <f t="shared" si="64"/>
        <v>0.40173812308087398</v>
      </c>
      <c r="P211">
        <f t="shared" si="65"/>
        <v>0.253817018041334</v>
      </c>
      <c r="Q211">
        <v>211</v>
      </c>
      <c r="R211">
        <f t="shared" si="66"/>
        <v>210</v>
      </c>
      <c r="S211">
        <f t="shared" si="67"/>
        <v>1.300429184549347</v>
      </c>
      <c r="T211">
        <f t="shared" si="68"/>
        <v>0</v>
      </c>
      <c r="U211">
        <v>211</v>
      </c>
      <c r="V211">
        <f t="shared" si="69"/>
        <v>210</v>
      </c>
      <c r="W211">
        <f t="shared" si="70"/>
        <v>1.3262959012459219</v>
      </c>
      <c r="X211">
        <f t="shared" si="71"/>
        <v>6.4805860110755301E-2</v>
      </c>
    </row>
    <row r="212" spans="1:24">
      <c r="A212">
        <v>212</v>
      </c>
      <c r="B212">
        <f t="shared" si="54"/>
        <v>211</v>
      </c>
      <c r="C212">
        <f t="shared" si="55"/>
        <v>0.31879500345070372</v>
      </c>
      <c r="D212">
        <f t="shared" si="56"/>
        <v>1.9572645941803399</v>
      </c>
      <c r="E212">
        <v>212</v>
      </c>
      <c r="F212">
        <f t="shared" si="57"/>
        <v>211</v>
      </c>
      <c r="G212">
        <f t="shared" si="58"/>
        <v>0.34421318033575826</v>
      </c>
      <c r="H212">
        <f t="shared" si="59"/>
        <v>1.89312269655345</v>
      </c>
      <c r="I212">
        <v>212</v>
      </c>
      <c r="J212">
        <f t="shared" si="60"/>
        <v>211</v>
      </c>
      <c r="K212">
        <f t="shared" si="61"/>
        <v>1.4074488379687735</v>
      </c>
      <c r="L212">
        <f t="shared" si="62"/>
        <v>1.73354968324846</v>
      </c>
      <c r="M212">
        <v>212</v>
      </c>
      <c r="N212">
        <f t="shared" si="63"/>
        <v>211</v>
      </c>
      <c r="O212">
        <f t="shared" si="64"/>
        <v>0.40244250929534797</v>
      </c>
      <c r="P212">
        <f t="shared" si="65"/>
        <v>0.74618298195866595</v>
      </c>
      <c r="Q212">
        <v>212</v>
      </c>
      <c r="R212">
        <f t="shared" si="66"/>
        <v>211</v>
      </c>
      <c r="S212">
        <f t="shared" si="67"/>
        <v>1.3018597997138677</v>
      </c>
      <c r="T212">
        <f t="shared" si="68"/>
        <v>1</v>
      </c>
      <c r="U212">
        <v>212</v>
      </c>
      <c r="V212">
        <f t="shared" si="69"/>
        <v>211</v>
      </c>
      <c r="W212">
        <f t="shared" si="70"/>
        <v>1.3275410919179942</v>
      </c>
      <c r="X212">
        <f t="shared" si="71"/>
        <v>0.93519413988924505</v>
      </c>
    </row>
    <row r="213" spans="1:24">
      <c r="A213">
        <v>213</v>
      </c>
      <c r="B213">
        <f t="shared" si="54"/>
        <v>212</v>
      </c>
      <c r="C213">
        <f t="shared" si="55"/>
        <v>0.3201033427759693</v>
      </c>
      <c r="D213">
        <f t="shared" si="56"/>
        <v>1.0427354058196601</v>
      </c>
      <c r="E213">
        <v>213</v>
      </c>
      <c r="F213">
        <f t="shared" si="57"/>
        <v>212</v>
      </c>
      <c r="G213">
        <f t="shared" si="58"/>
        <v>0.34533799491817158</v>
      </c>
      <c r="H213">
        <f t="shared" si="59"/>
        <v>1.10687730344655</v>
      </c>
      <c r="I213">
        <v>213</v>
      </c>
      <c r="J213">
        <f t="shared" si="60"/>
        <v>212</v>
      </c>
      <c r="K213">
        <f t="shared" si="61"/>
        <v>1.408117077405822</v>
      </c>
      <c r="L213">
        <f t="shared" si="62"/>
        <v>1.26645031675154</v>
      </c>
      <c r="M213">
        <v>213</v>
      </c>
      <c r="N213">
        <f t="shared" si="63"/>
        <v>212</v>
      </c>
      <c r="O213">
        <f t="shared" si="64"/>
        <v>0.40314689550982197</v>
      </c>
      <c r="P213">
        <f t="shared" si="65"/>
        <v>0.253817018041334</v>
      </c>
      <c r="Q213">
        <v>213</v>
      </c>
      <c r="R213">
        <f t="shared" si="66"/>
        <v>212</v>
      </c>
      <c r="S213">
        <f t="shared" si="67"/>
        <v>1.3032904148783884</v>
      </c>
      <c r="T213">
        <f t="shared" si="68"/>
        <v>0</v>
      </c>
      <c r="U213">
        <v>213</v>
      </c>
      <c r="V213">
        <f t="shared" si="69"/>
        <v>212</v>
      </c>
      <c r="W213">
        <f t="shared" si="70"/>
        <v>1.3287862825900663</v>
      </c>
      <c r="X213">
        <f t="shared" si="71"/>
        <v>6.4805860110755301E-2</v>
      </c>
    </row>
    <row r="214" spans="1:24">
      <c r="A214">
        <v>214</v>
      </c>
      <c r="B214">
        <f t="shared" si="54"/>
        <v>213</v>
      </c>
      <c r="C214">
        <f t="shared" si="55"/>
        <v>0.32141168210123494</v>
      </c>
      <c r="D214">
        <f t="shared" si="56"/>
        <v>1.9572645941803399</v>
      </c>
      <c r="E214">
        <v>214</v>
      </c>
      <c r="F214">
        <f t="shared" si="57"/>
        <v>213</v>
      </c>
      <c r="G214">
        <f t="shared" si="58"/>
        <v>0.34646280950058489</v>
      </c>
      <c r="H214">
        <f t="shared" si="59"/>
        <v>1.89312269655345</v>
      </c>
      <c r="I214">
        <v>214</v>
      </c>
      <c r="J214">
        <f t="shared" si="60"/>
        <v>213</v>
      </c>
      <c r="K214">
        <f t="shared" si="61"/>
        <v>1.4087853168428706</v>
      </c>
      <c r="L214">
        <f t="shared" si="62"/>
        <v>1.73354968324846</v>
      </c>
      <c r="M214">
        <v>214</v>
      </c>
      <c r="N214">
        <f t="shared" si="63"/>
        <v>213</v>
      </c>
      <c r="O214">
        <f t="shared" si="64"/>
        <v>0.40385128172429596</v>
      </c>
      <c r="P214">
        <f t="shared" si="65"/>
        <v>0.74618298195866595</v>
      </c>
      <c r="Q214">
        <v>214</v>
      </c>
      <c r="R214">
        <f t="shared" si="66"/>
        <v>213</v>
      </c>
      <c r="S214">
        <f t="shared" si="67"/>
        <v>1.3047210300429091</v>
      </c>
      <c r="T214">
        <f t="shared" si="68"/>
        <v>1</v>
      </c>
      <c r="U214">
        <v>214</v>
      </c>
      <c r="V214">
        <f t="shared" si="69"/>
        <v>213</v>
      </c>
      <c r="W214">
        <f t="shared" si="70"/>
        <v>1.3300314732621386</v>
      </c>
      <c r="X214">
        <f t="shared" si="71"/>
        <v>0.93519413988924505</v>
      </c>
    </row>
    <row r="215" spans="1:24">
      <c r="A215">
        <v>215</v>
      </c>
      <c r="B215">
        <f t="shared" si="54"/>
        <v>214</v>
      </c>
      <c r="C215">
        <f t="shared" si="55"/>
        <v>0.32272002142650053</v>
      </c>
      <c r="D215">
        <f t="shared" si="56"/>
        <v>1.0427354058196601</v>
      </c>
      <c r="E215">
        <v>215</v>
      </c>
      <c r="F215">
        <f t="shared" si="57"/>
        <v>214</v>
      </c>
      <c r="G215">
        <f t="shared" si="58"/>
        <v>0.34758762408299815</v>
      </c>
      <c r="H215">
        <f t="shared" si="59"/>
        <v>1.10687730344655</v>
      </c>
      <c r="I215">
        <v>215</v>
      </c>
      <c r="J215">
        <f t="shared" si="60"/>
        <v>214</v>
      </c>
      <c r="K215">
        <f t="shared" si="61"/>
        <v>1.4094535562799189</v>
      </c>
      <c r="L215">
        <f t="shared" si="62"/>
        <v>1.26645031675154</v>
      </c>
      <c r="M215">
        <v>215</v>
      </c>
      <c r="N215">
        <f t="shared" si="63"/>
        <v>214</v>
      </c>
      <c r="O215">
        <f t="shared" si="64"/>
        <v>0.40455566793876996</v>
      </c>
      <c r="P215">
        <f t="shared" si="65"/>
        <v>0.253817018041334</v>
      </c>
      <c r="Q215">
        <v>215</v>
      </c>
      <c r="R215">
        <f t="shared" si="66"/>
        <v>214</v>
      </c>
      <c r="S215">
        <f t="shared" si="67"/>
        <v>1.3061516452074298</v>
      </c>
      <c r="T215">
        <f t="shared" si="68"/>
        <v>0</v>
      </c>
      <c r="U215">
        <v>215</v>
      </c>
      <c r="V215">
        <f t="shared" si="69"/>
        <v>214</v>
      </c>
      <c r="W215">
        <f t="shared" si="70"/>
        <v>1.3312766639342106</v>
      </c>
      <c r="X215">
        <f t="shared" si="71"/>
        <v>6.4805860110755301E-2</v>
      </c>
    </row>
    <row r="216" spans="1:24">
      <c r="A216">
        <v>216</v>
      </c>
      <c r="B216">
        <f t="shared" si="54"/>
        <v>215</v>
      </c>
      <c r="C216">
        <f t="shared" si="55"/>
        <v>0.32402836075176611</v>
      </c>
      <c r="D216">
        <f t="shared" si="56"/>
        <v>1.9572645941803399</v>
      </c>
      <c r="E216">
        <v>216</v>
      </c>
      <c r="F216">
        <f t="shared" si="57"/>
        <v>215</v>
      </c>
      <c r="G216">
        <f t="shared" si="58"/>
        <v>0.34871243866541146</v>
      </c>
      <c r="H216">
        <f t="shared" si="59"/>
        <v>1.89312269655345</v>
      </c>
      <c r="I216">
        <v>216</v>
      </c>
      <c r="J216">
        <f t="shared" si="60"/>
        <v>215</v>
      </c>
      <c r="K216">
        <f t="shared" si="61"/>
        <v>1.4101217957169674</v>
      </c>
      <c r="L216">
        <f t="shared" si="62"/>
        <v>1.73354968324846</v>
      </c>
      <c r="M216">
        <v>216</v>
      </c>
      <c r="N216">
        <f t="shared" si="63"/>
        <v>215</v>
      </c>
      <c r="O216">
        <f t="shared" si="64"/>
        <v>0.40526005415324395</v>
      </c>
      <c r="P216">
        <f t="shared" si="65"/>
        <v>0.74618298195866595</v>
      </c>
      <c r="Q216">
        <v>216</v>
      </c>
      <c r="R216">
        <f t="shared" si="66"/>
        <v>215</v>
      </c>
      <c r="S216">
        <f t="shared" si="67"/>
        <v>1.3075822603719505</v>
      </c>
      <c r="T216">
        <f t="shared" si="68"/>
        <v>1</v>
      </c>
      <c r="U216">
        <v>216</v>
      </c>
      <c r="V216">
        <f t="shared" si="69"/>
        <v>215</v>
      </c>
      <c r="W216">
        <f t="shared" si="70"/>
        <v>1.3325218546062829</v>
      </c>
      <c r="X216">
        <f t="shared" si="71"/>
        <v>0.93519413988924505</v>
      </c>
    </row>
    <row r="217" spans="1:24">
      <c r="A217">
        <v>217</v>
      </c>
      <c r="B217">
        <f t="shared" si="54"/>
        <v>216</v>
      </c>
      <c r="C217">
        <f t="shared" si="55"/>
        <v>0.32533670007703169</v>
      </c>
      <c r="D217">
        <f t="shared" si="56"/>
        <v>1.0427354058196601</v>
      </c>
      <c r="E217">
        <v>217</v>
      </c>
      <c r="F217">
        <f t="shared" si="57"/>
        <v>216</v>
      </c>
      <c r="G217">
        <f t="shared" si="58"/>
        <v>0.34983725324782478</v>
      </c>
      <c r="H217">
        <f t="shared" si="59"/>
        <v>1.10687730344655</v>
      </c>
      <c r="I217">
        <v>217</v>
      </c>
      <c r="J217">
        <f t="shared" si="60"/>
        <v>216</v>
      </c>
      <c r="K217">
        <f t="shared" si="61"/>
        <v>1.4107900351540159</v>
      </c>
      <c r="L217">
        <f t="shared" si="62"/>
        <v>1.26645031675154</v>
      </c>
      <c r="M217">
        <v>217</v>
      </c>
      <c r="N217">
        <f t="shared" si="63"/>
        <v>216</v>
      </c>
      <c r="O217">
        <f t="shared" si="64"/>
        <v>0.40596444036771795</v>
      </c>
      <c r="P217">
        <f t="shared" si="65"/>
        <v>0.253817018041334</v>
      </c>
      <c r="Q217">
        <v>217</v>
      </c>
      <c r="R217">
        <f t="shared" si="66"/>
        <v>216</v>
      </c>
      <c r="S217">
        <f t="shared" si="67"/>
        <v>1.3090128755364712</v>
      </c>
      <c r="T217">
        <f t="shared" si="68"/>
        <v>0</v>
      </c>
      <c r="U217">
        <v>217</v>
      </c>
      <c r="V217">
        <f t="shared" si="69"/>
        <v>216</v>
      </c>
      <c r="W217">
        <f t="shared" si="70"/>
        <v>1.3337670452783552</v>
      </c>
      <c r="X217">
        <f t="shared" si="71"/>
        <v>6.4805860110755301E-2</v>
      </c>
    </row>
    <row r="218" spans="1:24">
      <c r="A218">
        <v>218</v>
      </c>
      <c r="B218">
        <f t="shared" si="54"/>
        <v>217</v>
      </c>
      <c r="C218">
        <f t="shared" si="55"/>
        <v>0.32664503940229733</v>
      </c>
      <c r="D218">
        <f t="shared" si="56"/>
        <v>1.9572645941803399</v>
      </c>
      <c r="E218">
        <v>218</v>
      </c>
      <c r="F218">
        <f t="shared" si="57"/>
        <v>217</v>
      </c>
      <c r="G218">
        <f t="shared" si="58"/>
        <v>0.35096206783023809</v>
      </c>
      <c r="H218">
        <f t="shared" si="59"/>
        <v>1.89312269655345</v>
      </c>
      <c r="I218">
        <v>218</v>
      </c>
      <c r="J218">
        <f t="shared" si="60"/>
        <v>217</v>
      </c>
      <c r="K218">
        <f t="shared" si="61"/>
        <v>1.4114582745910644</v>
      </c>
      <c r="L218">
        <f t="shared" si="62"/>
        <v>1.73354968324846</v>
      </c>
      <c r="M218">
        <v>218</v>
      </c>
      <c r="N218">
        <f t="shared" si="63"/>
        <v>217</v>
      </c>
      <c r="O218">
        <f t="shared" si="64"/>
        <v>0.406668826582192</v>
      </c>
      <c r="P218">
        <f t="shared" si="65"/>
        <v>0.74618298195866595</v>
      </c>
      <c r="Q218">
        <v>218</v>
      </c>
      <c r="R218">
        <f t="shared" si="66"/>
        <v>217</v>
      </c>
      <c r="S218">
        <f t="shared" si="67"/>
        <v>1.3104434907009919</v>
      </c>
      <c r="T218">
        <f t="shared" si="68"/>
        <v>1</v>
      </c>
      <c r="U218">
        <v>218</v>
      </c>
      <c r="V218">
        <f t="shared" si="69"/>
        <v>217</v>
      </c>
      <c r="W218">
        <f t="shared" si="70"/>
        <v>1.3350122359504273</v>
      </c>
      <c r="X218">
        <f t="shared" si="71"/>
        <v>0.93519413988924505</v>
      </c>
    </row>
    <row r="219" spans="1:24">
      <c r="A219">
        <v>219</v>
      </c>
      <c r="B219">
        <f t="shared" si="54"/>
        <v>218</v>
      </c>
      <c r="C219">
        <f t="shared" si="55"/>
        <v>0.32795337872756292</v>
      </c>
      <c r="D219">
        <f t="shared" si="56"/>
        <v>1.0427354058196601</v>
      </c>
      <c r="E219">
        <v>219</v>
      </c>
      <c r="F219">
        <f t="shared" si="57"/>
        <v>218</v>
      </c>
      <c r="G219">
        <f t="shared" si="58"/>
        <v>0.3520868824126514</v>
      </c>
      <c r="H219">
        <f t="shared" si="59"/>
        <v>1.10687730344655</v>
      </c>
      <c r="I219">
        <v>219</v>
      </c>
      <c r="J219">
        <f t="shared" si="60"/>
        <v>218</v>
      </c>
      <c r="K219">
        <f t="shared" si="61"/>
        <v>1.412126514028113</v>
      </c>
      <c r="L219">
        <f t="shared" si="62"/>
        <v>1.26645031675154</v>
      </c>
      <c r="M219">
        <v>219</v>
      </c>
      <c r="N219">
        <f t="shared" si="63"/>
        <v>218</v>
      </c>
      <c r="O219">
        <f t="shared" si="64"/>
        <v>0.407373212796666</v>
      </c>
      <c r="P219">
        <f t="shared" si="65"/>
        <v>0.253817018041334</v>
      </c>
      <c r="Q219">
        <v>219</v>
      </c>
      <c r="R219">
        <f t="shared" si="66"/>
        <v>218</v>
      </c>
      <c r="S219">
        <f t="shared" si="67"/>
        <v>1.3118741058655126</v>
      </c>
      <c r="T219">
        <f t="shared" si="68"/>
        <v>0</v>
      </c>
      <c r="U219">
        <v>219</v>
      </c>
      <c r="V219">
        <f t="shared" si="69"/>
        <v>218</v>
      </c>
      <c r="W219">
        <f t="shared" si="70"/>
        <v>1.3362574266224996</v>
      </c>
      <c r="X219">
        <f t="shared" si="71"/>
        <v>6.4805860110755301E-2</v>
      </c>
    </row>
    <row r="220" spans="1:24">
      <c r="A220">
        <v>220</v>
      </c>
      <c r="B220">
        <f t="shared" si="54"/>
        <v>219</v>
      </c>
      <c r="C220">
        <f t="shared" si="55"/>
        <v>0.3292617180528285</v>
      </c>
      <c r="D220">
        <f t="shared" si="56"/>
        <v>1.9572645941803399</v>
      </c>
      <c r="E220">
        <v>220</v>
      </c>
      <c r="F220">
        <f t="shared" si="57"/>
        <v>219</v>
      </c>
      <c r="G220">
        <f t="shared" si="58"/>
        <v>0.35321169699506466</v>
      </c>
      <c r="H220">
        <f t="shared" si="59"/>
        <v>1.89312269655345</v>
      </c>
      <c r="I220">
        <v>220</v>
      </c>
      <c r="J220">
        <f t="shared" si="60"/>
        <v>219</v>
      </c>
      <c r="K220">
        <f t="shared" si="61"/>
        <v>1.4127947534651615</v>
      </c>
      <c r="L220">
        <f t="shared" si="62"/>
        <v>1.73354968324846</v>
      </c>
      <c r="M220">
        <v>220</v>
      </c>
      <c r="N220">
        <f t="shared" si="63"/>
        <v>219</v>
      </c>
      <c r="O220">
        <f t="shared" si="64"/>
        <v>0.40807759901113999</v>
      </c>
      <c r="P220">
        <f t="shared" si="65"/>
        <v>0.74618298195866595</v>
      </c>
      <c r="Q220">
        <v>220</v>
      </c>
      <c r="R220">
        <f t="shared" si="66"/>
        <v>219</v>
      </c>
      <c r="S220">
        <f t="shared" si="67"/>
        <v>1.3133047210300333</v>
      </c>
      <c r="T220">
        <f t="shared" si="68"/>
        <v>1</v>
      </c>
      <c r="U220">
        <v>220</v>
      </c>
      <c r="V220">
        <f t="shared" si="69"/>
        <v>219</v>
      </c>
      <c r="W220">
        <f t="shared" si="70"/>
        <v>1.3375026172945716</v>
      </c>
      <c r="X220">
        <f t="shared" si="71"/>
        <v>0.93519413988924505</v>
      </c>
    </row>
    <row r="221" spans="1:24">
      <c r="A221">
        <v>221</v>
      </c>
      <c r="B221">
        <f t="shared" si="54"/>
        <v>220</v>
      </c>
      <c r="C221">
        <f t="shared" si="55"/>
        <v>0.33057005737809414</v>
      </c>
      <c r="D221">
        <f t="shared" si="56"/>
        <v>1.0427354058196601</v>
      </c>
      <c r="E221">
        <v>221</v>
      </c>
      <c r="F221">
        <f t="shared" si="57"/>
        <v>220</v>
      </c>
      <c r="G221">
        <f t="shared" si="58"/>
        <v>0.35433651157747797</v>
      </c>
      <c r="H221">
        <f t="shared" si="59"/>
        <v>1.10687730344655</v>
      </c>
      <c r="I221">
        <v>221</v>
      </c>
      <c r="J221">
        <f t="shared" si="60"/>
        <v>220</v>
      </c>
      <c r="K221">
        <f t="shared" si="61"/>
        <v>1.41346299290221</v>
      </c>
      <c r="L221">
        <f t="shared" si="62"/>
        <v>1.26645031675154</v>
      </c>
      <c r="M221">
        <v>221</v>
      </c>
      <c r="N221">
        <f t="shared" si="63"/>
        <v>220</v>
      </c>
      <c r="O221">
        <f t="shared" si="64"/>
        <v>0.40878198522561399</v>
      </c>
      <c r="P221">
        <f t="shared" si="65"/>
        <v>0.253817018041334</v>
      </c>
      <c r="Q221">
        <v>221</v>
      </c>
      <c r="R221">
        <f t="shared" si="66"/>
        <v>220</v>
      </c>
      <c r="S221">
        <f t="shared" si="67"/>
        <v>1.314735336194554</v>
      </c>
      <c r="T221">
        <f t="shared" si="68"/>
        <v>0</v>
      </c>
      <c r="U221">
        <v>221</v>
      </c>
      <c r="V221">
        <f t="shared" si="69"/>
        <v>220</v>
      </c>
      <c r="W221">
        <f t="shared" si="70"/>
        <v>1.3387478079666439</v>
      </c>
      <c r="X221">
        <f t="shared" si="71"/>
        <v>6.4805860110755301E-2</v>
      </c>
    </row>
    <row r="222" spans="1:24">
      <c r="A222">
        <v>222</v>
      </c>
      <c r="B222">
        <f t="shared" si="54"/>
        <v>221</v>
      </c>
      <c r="C222">
        <f t="shared" si="55"/>
        <v>0.33187839670335972</v>
      </c>
      <c r="D222">
        <f t="shared" si="56"/>
        <v>1.9572645941803399</v>
      </c>
      <c r="E222">
        <v>222</v>
      </c>
      <c r="F222">
        <f t="shared" si="57"/>
        <v>221</v>
      </c>
      <c r="G222">
        <f t="shared" si="58"/>
        <v>0.35546132615989129</v>
      </c>
      <c r="H222">
        <f t="shared" si="59"/>
        <v>1.89312269655345</v>
      </c>
      <c r="I222">
        <v>222</v>
      </c>
      <c r="J222">
        <f t="shared" si="60"/>
        <v>221</v>
      </c>
      <c r="K222">
        <f t="shared" si="61"/>
        <v>1.4141312323392585</v>
      </c>
      <c r="L222">
        <f t="shared" si="62"/>
        <v>1.73354968324846</v>
      </c>
      <c r="M222">
        <v>222</v>
      </c>
      <c r="N222">
        <f t="shared" si="63"/>
        <v>221</v>
      </c>
      <c r="O222">
        <f t="shared" si="64"/>
        <v>0.40948637144008798</v>
      </c>
      <c r="P222">
        <f t="shared" si="65"/>
        <v>0.74618298195866595</v>
      </c>
      <c r="Q222">
        <v>222</v>
      </c>
      <c r="R222">
        <f t="shared" si="66"/>
        <v>221</v>
      </c>
      <c r="S222">
        <f t="shared" si="67"/>
        <v>1.3161659513590747</v>
      </c>
      <c r="T222">
        <f t="shared" si="68"/>
        <v>1</v>
      </c>
      <c r="U222">
        <v>222</v>
      </c>
      <c r="V222">
        <f t="shared" si="69"/>
        <v>221</v>
      </c>
      <c r="W222">
        <f t="shared" si="70"/>
        <v>1.3399929986387162</v>
      </c>
      <c r="X222">
        <f t="shared" si="71"/>
        <v>0.93519413988924505</v>
      </c>
    </row>
    <row r="223" spans="1:24">
      <c r="A223">
        <v>223</v>
      </c>
      <c r="B223">
        <f t="shared" si="54"/>
        <v>222</v>
      </c>
      <c r="C223">
        <f t="shared" si="55"/>
        <v>0.33318673602862531</v>
      </c>
      <c r="D223">
        <f t="shared" si="56"/>
        <v>1.0427354058196601</v>
      </c>
      <c r="E223">
        <v>223</v>
      </c>
      <c r="F223">
        <f t="shared" si="57"/>
        <v>222</v>
      </c>
      <c r="G223">
        <f t="shared" si="58"/>
        <v>0.35658614074230455</v>
      </c>
      <c r="H223">
        <f t="shared" si="59"/>
        <v>1.10687730344655</v>
      </c>
      <c r="I223">
        <v>223</v>
      </c>
      <c r="J223">
        <f t="shared" si="60"/>
        <v>222</v>
      </c>
      <c r="K223">
        <f t="shared" si="61"/>
        <v>1.414799471776307</v>
      </c>
      <c r="L223">
        <f t="shared" si="62"/>
        <v>1.26645031675154</v>
      </c>
      <c r="M223">
        <v>223</v>
      </c>
      <c r="N223">
        <f t="shared" si="63"/>
        <v>222</v>
      </c>
      <c r="O223">
        <f t="shared" si="64"/>
        <v>0.41019075765456198</v>
      </c>
      <c r="P223">
        <f t="shared" si="65"/>
        <v>0.253817018041334</v>
      </c>
      <c r="Q223">
        <v>223</v>
      </c>
      <c r="R223">
        <f t="shared" si="66"/>
        <v>222</v>
      </c>
      <c r="S223">
        <f t="shared" si="67"/>
        <v>1.3175965665235954</v>
      </c>
      <c r="T223">
        <f t="shared" si="68"/>
        <v>0</v>
      </c>
      <c r="U223">
        <v>223</v>
      </c>
      <c r="V223">
        <f t="shared" si="69"/>
        <v>222</v>
      </c>
      <c r="W223">
        <f t="shared" si="70"/>
        <v>1.3412381893107883</v>
      </c>
      <c r="X223">
        <f t="shared" si="71"/>
        <v>6.4805860110755301E-2</v>
      </c>
    </row>
    <row r="224" spans="1:24">
      <c r="A224">
        <v>224</v>
      </c>
      <c r="B224">
        <f t="shared" si="54"/>
        <v>223</v>
      </c>
      <c r="C224">
        <f t="shared" si="55"/>
        <v>0.33449507535389089</v>
      </c>
      <c r="D224">
        <f t="shared" si="56"/>
        <v>1.9572645941803399</v>
      </c>
      <c r="E224">
        <v>224</v>
      </c>
      <c r="F224">
        <f t="shared" si="57"/>
        <v>223</v>
      </c>
      <c r="G224">
        <f t="shared" si="58"/>
        <v>0.35771095532471786</v>
      </c>
      <c r="H224">
        <f t="shared" si="59"/>
        <v>1.89312269655345</v>
      </c>
      <c r="I224">
        <v>224</v>
      </c>
      <c r="J224">
        <f t="shared" si="60"/>
        <v>223</v>
      </c>
      <c r="K224">
        <f t="shared" si="61"/>
        <v>1.4154677112133554</v>
      </c>
      <c r="L224">
        <f t="shared" si="62"/>
        <v>1.73354968324846</v>
      </c>
      <c r="M224">
        <v>224</v>
      </c>
      <c r="N224">
        <f t="shared" si="63"/>
        <v>223</v>
      </c>
      <c r="O224">
        <f t="shared" si="64"/>
        <v>0.41089514386903603</v>
      </c>
      <c r="P224">
        <f t="shared" si="65"/>
        <v>0.74618298195866595</v>
      </c>
      <c r="Q224">
        <v>224</v>
      </c>
      <c r="R224">
        <f t="shared" si="66"/>
        <v>223</v>
      </c>
      <c r="S224">
        <f t="shared" si="67"/>
        <v>1.3190271816881161</v>
      </c>
      <c r="T224">
        <f t="shared" si="68"/>
        <v>1</v>
      </c>
      <c r="U224">
        <v>224</v>
      </c>
      <c r="V224">
        <f t="shared" si="69"/>
        <v>223</v>
      </c>
      <c r="W224">
        <f t="shared" si="70"/>
        <v>1.3424833799828606</v>
      </c>
      <c r="X224">
        <f t="shared" si="71"/>
        <v>0.93519413988924505</v>
      </c>
    </row>
    <row r="225" spans="1:24">
      <c r="A225">
        <v>225</v>
      </c>
      <c r="B225">
        <f t="shared" si="54"/>
        <v>224</v>
      </c>
      <c r="C225">
        <f t="shared" si="55"/>
        <v>0.33580341467915653</v>
      </c>
      <c r="D225">
        <f t="shared" si="56"/>
        <v>1.0427354058196601</v>
      </c>
      <c r="E225">
        <v>225</v>
      </c>
      <c r="F225">
        <f t="shared" si="57"/>
        <v>224</v>
      </c>
      <c r="G225">
        <f t="shared" si="58"/>
        <v>0.35883576990713117</v>
      </c>
      <c r="H225">
        <f t="shared" si="59"/>
        <v>1.10687730344655</v>
      </c>
      <c r="I225">
        <v>225</v>
      </c>
      <c r="J225">
        <f t="shared" si="60"/>
        <v>224</v>
      </c>
      <c r="K225">
        <f t="shared" si="61"/>
        <v>1.4161359506504039</v>
      </c>
      <c r="L225">
        <f t="shared" si="62"/>
        <v>1.26645031675154</v>
      </c>
      <c r="M225">
        <v>225</v>
      </c>
      <c r="N225">
        <f t="shared" si="63"/>
        <v>224</v>
      </c>
      <c r="O225">
        <f t="shared" si="64"/>
        <v>0.41159953008351002</v>
      </c>
      <c r="P225">
        <f t="shared" si="65"/>
        <v>0.253817018041334</v>
      </c>
      <c r="Q225">
        <v>225</v>
      </c>
      <c r="R225">
        <f t="shared" si="66"/>
        <v>224</v>
      </c>
      <c r="S225">
        <f t="shared" si="67"/>
        <v>1.3204577968526368</v>
      </c>
      <c r="T225">
        <f t="shared" si="68"/>
        <v>0</v>
      </c>
      <c r="U225">
        <v>225</v>
      </c>
      <c r="V225">
        <f t="shared" si="69"/>
        <v>224</v>
      </c>
      <c r="W225">
        <f t="shared" si="70"/>
        <v>1.3437285706549327</v>
      </c>
      <c r="X225">
        <f t="shared" si="71"/>
        <v>6.4805860110755301E-2</v>
      </c>
    </row>
    <row r="226" spans="1:24">
      <c r="A226">
        <v>226</v>
      </c>
      <c r="B226">
        <f t="shared" si="54"/>
        <v>225</v>
      </c>
      <c r="C226">
        <f t="shared" si="55"/>
        <v>0.33711175400442212</v>
      </c>
      <c r="D226">
        <f t="shared" si="56"/>
        <v>1.9572645941803399</v>
      </c>
      <c r="E226">
        <v>226</v>
      </c>
      <c r="F226">
        <f t="shared" si="57"/>
        <v>225</v>
      </c>
      <c r="G226">
        <f t="shared" si="58"/>
        <v>0.35996058448954449</v>
      </c>
      <c r="H226">
        <f t="shared" si="59"/>
        <v>1.89312269655345</v>
      </c>
      <c r="I226">
        <v>226</v>
      </c>
      <c r="J226">
        <f t="shared" si="60"/>
        <v>225</v>
      </c>
      <c r="K226">
        <f t="shared" si="61"/>
        <v>1.4168041900874524</v>
      </c>
      <c r="L226">
        <f t="shared" si="62"/>
        <v>1.73354968324846</v>
      </c>
      <c r="M226">
        <v>226</v>
      </c>
      <c r="N226">
        <f t="shared" si="63"/>
        <v>225</v>
      </c>
      <c r="O226">
        <f t="shared" si="64"/>
        <v>0.41230391629798402</v>
      </c>
      <c r="P226">
        <f t="shared" si="65"/>
        <v>0.74618298195866595</v>
      </c>
      <c r="Q226">
        <v>226</v>
      </c>
      <c r="R226">
        <f t="shared" si="66"/>
        <v>225</v>
      </c>
      <c r="S226">
        <f t="shared" si="67"/>
        <v>1.3218884120171575</v>
      </c>
      <c r="T226">
        <f t="shared" si="68"/>
        <v>1</v>
      </c>
      <c r="U226">
        <v>226</v>
      </c>
      <c r="V226">
        <f t="shared" si="69"/>
        <v>225</v>
      </c>
      <c r="W226">
        <f t="shared" si="70"/>
        <v>1.344973761327005</v>
      </c>
      <c r="X226">
        <f t="shared" si="71"/>
        <v>0.93519413988924505</v>
      </c>
    </row>
    <row r="227" spans="1:24">
      <c r="A227">
        <v>227</v>
      </c>
      <c r="B227">
        <f t="shared" si="54"/>
        <v>226</v>
      </c>
      <c r="C227">
        <f t="shared" si="55"/>
        <v>0.3384200933296877</v>
      </c>
      <c r="D227">
        <f t="shared" si="56"/>
        <v>1.0427354058196601</v>
      </c>
      <c r="E227">
        <v>227</v>
      </c>
      <c r="F227">
        <f t="shared" si="57"/>
        <v>226</v>
      </c>
      <c r="G227">
        <f t="shared" si="58"/>
        <v>0.3610853990719578</v>
      </c>
      <c r="H227">
        <f t="shared" si="59"/>
        <v>1.10687730344655</v>
      </c>
      <c r="I227">
        <v>227</v>
      </c>
      <c r="J227">
        <f t="shared" si="60"/>
        <v>226</v>
      </c>
      <c r="K227">
        <f t="shared" si="61"/>
        <v>1.4174724295245009</v>
      </c>
      <c r="L227">
        <f t="shared" si="62"/>
        <v>1.26645031675154</v>
      </c>
      <c r="M227">
        <v>227</v>
      </c>
      <c r="N227">
        <f t="shared" si="63"/>
        <v>226</v>
      </c>
      <c r="O227">
        <f t="shared" si="64"/>
        <v>0.41300830251245801</v>
      </c>
      <c r="P227">
        <f t="shared" si="65"/>
        <v>0.253817018041334</v>
      </c>
      <c r="Q227">
        <v>227</v>
      </c>
      <c r="R227">
        <f t="shared" si="66"/>
        <v>226</v>
      </c>
      <c r="S227">
        <f t="shared" si="67"/>
        <v>1.3233190271816782</v>
      </c>
      <c r="T227">
        <f t="shared" si="68"/>
        <v>0</v>
      </c>
      <c r="U227">
        <v>227</v>
      </c>
      <c r="V227">
        <f t="shared" si="69"/>
        <v>226</v>
      </c>
      <c r="W227">
        <f t="shared" si="70"/>
        <v>1.3462189519990773</v>
      </c>
      <c r="X227">
        <f t="shared" si="71"/>
        <v>6.4805860110755301E-2</v>
      </c>
    </row>
    <row r="228" spans="1:24">
      <c r="A228">
        <v>228</v>
      </c>
      <c r="B228">
        <f t="shared" si="54"/>
        <v>227</v>
      </c>
      <c r="C228">
        <f t="shared" si="55"/>
        <v>0.33972843265495334</v>
      </c>
      <c r="D228">
        <f t="shared" si="56"/>
        <v>1.9572645941803399</v>
      </c>
      <c r="E228">
        <v>228</v>
      </c>
      <c r="F228">
        <f t="shared" si="57"/>
        <v>227</v>
      </c>
      <c r="G228">
        <f t="shared" si="58"/>
        <v>0.36221021365437106</v>
      </c>
      <c r="H228">
        <f t="shared" si="59"/>
        <v>1.89312269655345</v>
      </c>
      <c r="I228">
        <v>228</v>
      </c>
      <c r="J228">
        <f t="shared" si="60"/>
        <v>227</v>
      </c>
      <c r="K228">
        <f t="shared" si="61"/>
        <v>1.4181406689615494</v>
      </c>
      <c r="L228">
        <f t="shared" si="62"/>
        <v>1.73354968324846</v>
      </c>
      <c r="M228">
        <v>228</v>
      </c>
      <c r="N228">
        <f t="shared" si="63"/>
        <v>227</v>
      </c>
      <c r="O228">
        <f t="shared" si="64"/>
        <v>0.41371268872693201</v>
      </c>
      <c r="P228">
        <f t="shared" si="65"/>
        <v>0.74618298195866595</v>
      </c>
      <c r="Q228">
        <v>228</v>
      </c>
      <c r="R228">
        <f t="shared" si="66"/>
        <v>227</v>
      </c>
      <c r="S228">
        <f t="shared" si="67"/>
        <v>1.3247496423461989</v>
      </c>
      <c r="T228">
        <f t="shared" si="68"/>
        <v>1</v>
      </c>
      <c r="U228">
        <v>228</v>
      </c>
      <c r="V228">
        <f t="shared" si="69"/>
        <v>227</v>
      </c>
      <c r="W228">
        <f t="shared" si="70"/>
        <v>1.3474641426711493</v>
      </c>
      <c r="X228">
        <f t="shared" si="71"/>
        <v>0.93519413988924505</v>
      </c>
    </row>
    <row r="229" spans="1:24">
      <c r="A229">
        <v>229</v>
      </c>
      <c r="B229">
        <f t="shared" si="54"/>
        <v>228</v>
      </c>
      <c r="C229">
        <f t="shared" si="55"/>
        <v>0.34103677198021892</v>
      </c>
      <c r="D229">
        <f t="shared" si="56"/>
        <v>1.0427354058196601</v>
      </c>
      <c r="E229">
        <v>229</v>
      </c>
      <c r="F229">
        <f t="shared" si="57"/>
        <v>228</v>
      </c>
      <c r="G229">
        <f t="shared" si="58"/>
        <v>0.36333502823678437</v>
      </c>
      <c r="H229">
        <f t="shared" si="59"/>
        <v>1.10687730344655</v>
      </c>
      <c r="I229">
        <v>229</v>
      </c>
      <c r="J229">
        <f t="shared" si="60"/>
        <v>228</v>
      </c>
      <c r="K229">
        <f t="shared" si="61"/>
        <v>1.418808908398598</v>
      </c>
      <c r="L229">
        <f t="shared" si="62"/>
        <v>1.26645031675154</v>
      </c>
      <c r="M229">
        <v>229</v>
      </c>
      <c r="N229">
        <f t="shared" si="63"/>
        <v>228</v>
      </c>
      <c r="O229">
        <f t="shared" si="64"/>
        <v>0.41441707494140601</v>
      </c>
      <c r="P229">
        <f t="shared" si="65"/>
        <v>0.253817018041334</v>
      </c>
      <c r="Q229">
        <v>229</v>
      </c>
      <c r="R229">
        <f t="shared" si="66"/>
        <v>228</v>
      </c>
      <c r="S229">
        <f t="shared" si="67"/>
        <v>1.3261802575107196</v>
      </c>
      <c r="T229">
        <f t="shared" si="68"/>
        <v>0</v>
      </c>
      <c r="U229">
        <v>229</v>
      </c>
      <c r="V229">
        <f t="shared" si="69"/>
        <v>228</v>
      </c>
      <c r="W229">
        <f t="shared" si="70"/>
        <v>1.3487093333432214</v>
      </c>
      <c r="X229">
        <f t="shared" si="71"/>
        <v>6.4805860110755301E-2</v>
      </c>
    </row>
    <row r="230" spans="1:24">
      <c r="A230">
        <v>230</v>
      </c>
      <c r="B230">
        <f t="shared" si="54"/>
        <v>229</v>
      </c>
      <c r="C230">
        <f t="shared" si="55"/>
        <v>0.34234511130548451</v>
      </c>
      <c r="D230">
        <f t="shared" si="56"/>
        <v>1.9572645941803399</v>
      </c>
      <c r="E230">
        <v>230</v>
      </c>
      <c r="F230">
        <f t="shared" si="57"/>
        <v>229</v>
      </c>
      <c r="G230">
        <f t="shared" si="58"/>
        <v>0.36445984281919769</v>
      </c>
      <c r="H230">
        <f t="shared" si="59"/>
        <v>1.89312269655345</v>
      </c>
      <c r="I230">
        <v>230</v>
      </c>
      <c r="J230">
        <f t="shared" si="60"/>
        <v>229</v>
      </c>
      <c r="K230">
        <f t="shared" si="61"/>
        <v>1.4194771478356465</v>
      </c>
      <c r="L230">
        <f t="shared" si="62"/>
        <v>1.73354968324846</v>
      </c>
      <c r="M230">
        <v>230</v>
      </c>
      <c r="N230">
        <f t="shared" si="63"/>
        <v>229</v>
      </c>
      <c r="O230">
        <f t="shared" si="64"/>
        <v>0.41512146115588</v>
      </c>
      <c r="P230">
        <f t="shared" si="65"/>
        <v>0.74618298195866595</v>
      </c>
      <c r="Q230">
        <v>230</v>
      </c>
      <c r="R230">
        <f t="shared" si="66"/>
        <v>229</v>
      </c>
      <c r="S230">
        <f t="shared" si="67"/>
        <v>1.3276108726752403</v>
      </c>
      <c r="T230">
        <f t="shared" si="68"/>
        <v>1</v>
      </c>
      <c r="U230">
        <v>230</v>
      </c>
      <c r="V230">
        <f t="shared" si="69"/>
        <v>229</v>
      </c>
      <c r="W230">
        <f t="shared" si="70"/>
        <v>1.3499545240152937</v>
      </c>
      <c r="X230">
        <f t="shared" si="71"/>
        <v>0.93519413988924505</v>
      </c>
    </row>
    <row r="231" spans="1:24">
      <c r="A231">
        <v>231</v>
      </c>
      <c r="B231">
        <f t="shared" si="54"/>
        <v>230</v>
      </c>
      <c r="C231">
        <f t="shared" si="55"/>
        <v>0.34365345063075009</v>
      </c>
      <c r="D231">
        <f t="shared" si="56"/>
        <v>1.0427354058196601</v>
      </c>
      <c r="E231">
        <v>231</v>
      </c>
      <c r="F231">
        <f t="shared" si="57"/>
        <v>230</v>
      </c>
      <c r="G231">
        <f t="shared" si="58"/>
        <v>0.36558465740161095</v>
      </c>
      <c r="H231">
        <f t="shared" si="59"/>
        <v>1.10687730344655</v>
      </c>
      <c r="I231">
        <v>231</v>
      </c>
      <c r="J231">
        <f t="shared" si="60"/>
        <v>230</v>
      </c>
      <c r="K231">
        <f t="shared" si="61"/>
        <v>1.420145387272695</v>
      </c>
      <c r="L231">
        <f t="shared" si="62"/>
        <v>1.26645031675154</v>
      </c>
      <c r="M231">
        <v>231</v>
      </c>
      <c r="N231">
        <f t="shared" si="63"/>
        <v>230</v>
      </c>
      <c r="O231">
        <f t="shared" si="64"/>
        <v>0.415825847370354</v>
      </c>
      <c r="P231">
        <f t="shared" si="65"/>
        <v>0.253817018041334</v>
      </c>
      <c r="Q231">
        <v>231</v>
      </c>
      <c r="R231">
        <f t="shared" si="66"/>
        <v>230</v>
      </c>
      <c r="S231">
        <f t="shared" si="67"/>
        <v>1.3290414878397609</v>
      </c>
      <c r="T231">
        <f t="shared" si="68"/>
        <v>0</v>
      </c>
      <c r="U231">
        <v>231</v>
      </c>
      <c r="V231">
        <f t="shared" si="69"/>
        <v>230</v>
      </c>
      <c r="W231">
        <f t="shared" si="70"/>
        <v>1.351199714687366</v>
      </c>
      <c r="X231">
        <f t="shared" si="71"/>
        <v>6.4805860110755301E-2</v>
      </c>
    </row>
    <row r="232" spans="1:24">
      <c r="A232">
        <v>232</v>
      </c>
      <c r="B232">
        <f t="shared" si="54"/>
        <v>231</v>
      </c>
      <c r="C232">
        <f t="shared" si="55"/>
        <v>0.34496178995601573</v>
      </c>
      <c r="D232">
        <f t="shared" si="56"/>
        <v>1.9572645941803399</v>
      </c>
      <c r="E232">
        <v>232</v>
      </c>
      <c r="F232">
        <f t="shared" si="57"/>
        <v>231</v>
      </c>
      <c r="G232">
        <f t="shared" si="58"/>
        <v>0.36670947198402426</v>
      </c>
      <c r="H232">
        <f t="shared" si="59"/>
        <v>1.89312269655345</v>
      </c>
      <c r="I232">
        <v>232</v>
      </c>
      <c r="J232">
        <f t="shared" si="60"/>
        <v>231</v>
      </c>
      <c r="K232">
        <f t="shared" si="61"/>
        <v>1.4208136267097435</v>
      </c>
      <c r="L232">
        <f t="shared" si="62"/>
        <v>1.73354968324846</v>
      </c>
      <c r="M232">
        <v>232</v>
      </c>
      <c r="N232">
        <f t="shared" si="63"/>
        <v>231</v>
      </c>
      <c r="O232">
        <f t="shared" si="64"/>
        <v>0.41653023358482799</v>
      </c>
      <c r="P232">
        <f t="shared" si="65"/>
        <v>0.74618298195866595</v>
      </c>
      <c r="Q232">
        <v>232</v>
      </c>
      <c r="R232">
        <f t="shared" si="66"/>
        <v>231</v>
      </c>
      <c r="S232">
        <f t="shared" si="67"/>
        <v>1.3304721030042816</v>
      </c>
      <c r="T232">
        <f t="shared" si="68"/>
        <v>1</v>
      </c>
      <c r="U232">
        <v>232</v>
      </c>
      <c r="V232">
        <f t="shared" si="69"/>
        <v>231</v>
      </c>
      <c r="W232">
        <f t="shared" si="70"/>
        <v>1.3524449053594381</v>
      </c>
      <c r="X232">
        <f t="shared" si="71"/>
        <v>0.93519413988924505</v>
      </c>
    </row>
    <row r="233" spans="1:24">
      <c r="A233">
        <v>233</v>
      </c>
      <c r="B233">
        <f t="shared" si="54"/>
        <v>232</v>
      </c>
      <c r="C233">
        <f t="shared" si="55"/>
        <v>0.34627012928128131</v>
      </c>
      <c r="D233">
        <f t="shared" si="56"/>
        <v>1.0427354058196601</v>
      </c>
      <c r="E233">
        <v>233</v>
      </c>
      <c r="F233">
        <f t="shared" si="57"/>
        <v>232</v>
      </c>
      <c r="G233">
        <f t="shared" si="58"/>
        <v>0.36783428656643757</v>
      </c>
      <c r="H233">
        <f t="shared" si="59"/>
        <v>1.10687730344655</v>
      </c>
      <c r="I233">
        <v>233</v>
      </c>
      <c r="J233">
        <f t="shared" si="60"/>
        <v>232</v>
      </c>
      <c r="K233">
        <f t="shared" si="61"/>
        <v>1.4214818661467921</v>
      </c>
      <c r="L233">
        <f t="shared" si="62"/>
        <v>1.26645031675154</v>
      </c>
      <c r="M233">
        <v>233</v>
      </c>
      <c r="N233">
        <f t="shared" si="63"/>
        <v>232</v>
      </c>
      <c r="O233">
        <f t="shared" si="64"/>
        <v>0.41723461979930199</v>
      </c>
      <c r="P233">
        <f t="shared" si="65"/>
        <v>0.253817018041334</v>
      </c>
      <c r="Q233">
        <v>233</v>
      </c>
      <c r="R233">
        <f t="shared" si="66"/>
        <v>232</v>
      </c>
      <c r="S233">
        <f t="shared" si="67"/>
        <v>1.3319027181688023</v>
      </c>
      <c r="T233">
        <f t="shared" si="68"/>
        <v>0</v>
      </c>
      <c r="U233">
        <v>233</v>
      </c>
      <c r="V233">
        <f t="shared" si="69"/>
        <v>232</v>
      </c>
      <c r="W233">
        <f t="shared" si="70"/>
        <v>1.3536900960315104</v>
      </c>
      <c r="X233">
        <f t="shared" si="71"/>
        <v>6.4805860110755301E-2</v>
      </c>
    </row>
    <row r="234" spans="1:24">
      <c r="A234">
        <v>234</v>
      </c>
      <c r="B234">
        <f t="shared" si="54"/>
        <v>233</v>
      </c>
      <c r="C234">
        <f t="shared" si="55"/>
        <v>0.3475784686065469</v>
      </c>
      <c r="D234">
        <f t="shared" si="56"/>
        <v>1.9572645941803399</v>
      </c>
      <c r="E234">
        <v>234</v>
      </c>
      <c r="F234">
        <f t="shared" si="57"/>
        <v>233</v>
      </c>
      <c r="G234">
        <f t="shared" si="58"/>
        <v>0.36895910114885089</v>
      </c>
      <c r="H234">
        <f t="shared" si="59"/>
        <v>1.89312269655345</v>
      </c>
      <c r="I234">
        <v>234</v>
      </c>
      <c r="J234">
        <f t="shared" si="60"/>
        <v>233</v>
      </c>
      <c r="K234">
        <f t="shared" si="61"/>
        <v>1.4221501055838404</v>
      </c>
      <c r="L234">
        <f t="shared" si="62"/>
        <v>1.73354968324846</v>
      </c>
      <c r="M234">
        <v>234</v>
      </c>
      <c r="N234">
        <f t="shared" si="63"/>
        <v>233</v>
      </c>
      <c r="O234">
        <f t="shared" si="64"/>
        <v>0.41793900601377598</v>
      </c>
      <c r="P234">
        <f t="shared" si="65"/>
        <v>0.74618298195866595</v>
      </c>
      <c r="Q234">
        <v>234</v>
      </c>
      <c r="R234">
        <f t="shared" si="66"/>
        <v>233</v>
      </c>
      <c r="S234">
        <f t="shared" si="67"/>
        <v>1.333333333333323</v>
      </c>
      <c r="T234">
        <f t="shared" si="68"/>
        <v>1</v>
      </c>
      <c r="U234">
        <v>234</v>
      </c>
      <c r="V234">
        <f t="shared" si="69"/>
        <v>233</v>
      </c>
      <c r="W234">
        <f t="shared" si="70"/>
        <v>1.3549352867035824</v>
      </c>
      <c r="X234">
        <f t="shared" si="71"/>
        <v>0.93519413988924505</v>
      </c>
    </row>
    <row r="235" spans="1:24">
      <c r="A235">
        <v>235</v>
      </c>
      <c r="B235">
        <f t="shared" si="54"/>
        <v>234</v>
      </c>
      <c r="C235">
        <f t="shared" si="55"/>
        <v>0.34888680793181254</v>
      </c>
      <c r="D235">
        <f t="shared" si="56"/>
        <v>1.0427354058196601</v>
      </c>
      <c r="E235">
        <v>235</v>
      </c>
      <c r="F235">
        <f t="shared" si="57"/>
        <v>234</v>
      </c>
      <c r="G235">
        <f t="shared" si="58"/>
        <v>0.3700839157312642</v>
      </c>
      <c r="H235">
        <f t="shared" si="59"/>
        <v>1.10687730344655</v>
      </c>
      <c r="I235">
        <v>235</v>
      </c>
      <c r="J235">
        <f t="shared" si="60"/>
        <v>234</v>
      </c>
      <c r="K235">
        <f t="shared" si="61"/>
        <v>1.4228183450208889</v>
      </c>
      <c r="L235">
        <f t="shared" si="62"/>
        <v>1.26645031675154</v>
      </c>
      <c r="M235">
        <v>235</v>
      </c>
      <c r="N235">
        <f t="shared" si="63"/>
        <v>234</v>
      </c>
      <c r="O235">
        <f t="shared" si="64"/>
        <v>0.41864339222824998</v>
      </c>
      <c r="P235">
        <f t="shared" si="65"/>
        <v>0.253817018041334</v>
      </c>
      <c r="Q235">
        <v>235</v>
      </c>
      <c r="R235">
        <f t="shared" si="66"/>
        <v>234</v>
      </c>
      <c r="S235">
        <f t="shared" si="67"/>
        <v>1.3347639484978437</v>
      </c>
      <c r="T235">
        <f t="shared" si="68"/>
        <v>0</v>
      </c>
      <c r="U235">
        <v>235</v>
      </c>
      <c r="V235">
        <f t="shared" si="69"/>
        <v>234</v>
      </c>
      <c r="W235">
        <f t="shared" si="70"/>
        <v>1.3561804773756547</v>
      </c>
      <c r="X235">
        <f t="shared" si="71"/>
        <v>6.4805860110755301E-2</v>
      </c>
    </row>
    <row r="236" spans="1:24">
      <c r="A236">
        <v>236</v>
      </c>
      <c r="B236">
        <f t="shared" si="54"/>
        <v>235</v>
      </c>
      <c r="C236">
        <f t="shared" si="55"/>
        <v>0.35019514725707812</v>
      </c>
      <c r="D236">
        <f t="shared" si="56"/>
        <v>1.9572645941803399</v>
      </c>
      <c r="E236">
        <v>236</v>
      </c>
      <c r="F236">
        <f t="shared" si="57"/>
        <v>235</v>
      </c>
      <c r="G236">
        <f t="shared" si="58"/>
        <v>0.37120873031367746</v>
      </c>
      <c r="H236">
        <f t="shared" si="59"/>
        <v>1.89312269655345</v>
      </c>
      <c r="I236">
        <v>236</v>
      </c>
      <c r="J236">
        <f t="shared" si="60"/>
        <v>235</v>
      </c>
      <c r="K236">
        <f t="shared" si="61"/>
        <v>1.4234865844579374</v>
      </c>
      <c r="L236">
        <f t="shared" si="62"/>
        <v>1.73354968324846</v>
      </c>
      <c r="M236">
        <v>236</v>
      </c>
      <c r="N236">
        <f t="shared" si="63"/>
        <v>235</v>
      </c>
      <c r="O236">
        <f t="shared" si="64"/>
        <v>0.41934777844272397</v>
      </c>
      <c r="P236">
        <f t="shared" si="65"/>
        <v>0.74618298195866595</v>
      </c>
      <c r="Q236">
        <v>236</v>
      </c>
      <c r="R236">
        <f t="shared" si="66"/>
        <v>235</v>
      </c>
      <c r="S236">
        <f t="shared" si="67"/>
        <v>1.3361945636623644</v>
      </c>
      <c r="T236">
        <f t="shared" si="68"/>
        <v>1</v>
      </c>
      <c r="U236">
        <v>236</v>
      </c>
      <c r="V236">
        <f t="shared" si="69"/>
        <v>235</v>
      </c>
      <c r="W236">
        <f t="shared" si="70"/>
        <v>1.357425668047727</v>
      </c>
      <c r="X236">
        <f t="shared" si="71"/>
        <v>0.93519413988924505</v>
      </c>
    </row>
    <row r="237" spans="1:24">
      <c r="A237">
        <v>237</v>
      </c>
      <c r="B237">
        <f t="shared" si="54"/>
        <v>236</v>
      </c>
      <c r="C237">
        <f t="shared" si="55"/>
        <v>0.3515034865823437</v>
      </c>
      <c r="D237">
        <f t="shared" si="56"/>
        <v>1.0427354058196601</v>
      </c>
      <c r="E237">
        <v>237</v>
      </c>
      <c r="F237">
        <f t="shared" si="57"/>
        <v>236</v>
      </c>
      <c r="G237">
        <f t="shared" si="58"/>
        <v>0.37233354489609077</v>
      </c>
      <c r="H237">
        <f t="shared" si="59"/>
        <v>1.10687730344655</v>
      </c>
      <c r="I237">
        <v>237</v>
      </c>
      <c r="J237">
        <f t="shared" si="60"/>
        <v>236</v>
      </c>
      <c r="K237">
        <f t="shared" si="61"/>
        <v>1.4241548238949859</v>
      </c>
      <c r="L237">
        <f t="shared" si="62"/>
        <v>1.26645031675154</v>
      </c>
      <c r="M237">
        <v>237</v>
      </c>
      <c r="N237">
        <f t="shared" si="63"/>
        <v>236</v>
      </c>
      <c r="O237">
        <f t="shared" si="64"/>
        <v>0.42005216465719797</v>
      </c>
      <c r="P237">
        <f t="shared" si="65"/>
        <v>0.253817018041334</v>
      </c>
      <c r="Q237">
        <v>237</v>
      </c>
      <c r="R237">
        <f t="shared" si="66"/>
        <v>236</v>
      </c>
      <c r="S237">
        <f t="shared" si="67"/>
        <v>1.3376251788268851</v>
      </c>
      <c r="T237">
        <f t="shared" si="68"/>
        <v>0</v>
      </c>
      <c r="U237">
        <v>237</v>
      </c>
      <c r="V237">
        <f t="shared" si="69"/>
        <v>236</v>
      </c>
      <c r="W237">
        <f t="shared" si="70"/>
        <v>1.3586708587197991</v>
      </c>
      <c r="X237">
        <f t="shared" si="71"/>
        <v>6.4805860110755301E-2</v>
      </c>
    </row>
    <row r="238" spans="1:24">
      <c r="A238">
        <v>238</v>
      </c>
      <c r="B238">
        <f t="shared" si="54"/>
        <v>237</v>
      </c>
      <c r="C238">
        <f t="shared" si="55"/>
        <v>0.35281182590760934</v>
      </c>
      <c r="D238">
        <f t="shared" si="56"/>
        <v>1.9572645941803399</v>
      </c>
      <c r="E238">
        <v>238</v>
      </c>
      <c r="F238">
        <f t="shared" si="57"/>
        <v>237</v>
      </c>
      <c r="G238">
        <f t="shared" si="58"/>
        <v>0.37345835947850409</v>
      </c>
      <c r="H238">
        <f t="shared" si="59"/>
        <v>1.89312269655345</v>
      </c>
      <c r="I238">
        <v>238</v>
      </c>
      <c r="J238">
        <f t="shared" si="60"/>
        <v>237</v>
      </c>
      <c r="K238">
        <f t="shared" si="61"/>
        <v>1.4248230633320345</v>
      </c>
      <c r="L238">
        <f t="shared" si="62"/>
        <v>1.73354968324846</v>
      </c>
      <c r="M238">
        <v>238</v>
      </c>
      <c r="N238">
        <f t="shared" si="63"/>
        <v>237</v>
      </c>
      <c r="O238">
        <f t="shared" si="64"/>
        <v>0.42075655087167196</v>
      </c>
      <c r="P238">
        <f t="shared" si="65"/>
        <v>0.74618298195866595</v>
      </c>
      <c r="Q238">
        <v>238</v>
      </c>
      <c r="R238">
        <f t="shared" si="66"/>
        <v>237</v>
      </c>
      <c r="S238">
        <f t="shared" si="67"/>
        <v>1.3390557939914058</v>
      </c>
      <c r="T238">
        <f t="shared" si="68"/>
        <v>1</v>
      </c>
      <c r="U238">
        <v>238</v>
      </c>
      <c r="V238">
        <f t="shared" si="69"/>
        <v>237</v>
      </c>
      <c r="W238">
        <f t="shared" si="70"/>
        <v>1.3599160493918714</v>
      </c>
      <c r="X238">
        <f t="shared" si="71"/>
        <v>0.93519413988924505</v>
      </c>
    </row>
    <row r="239" spans="1:24">
      <c r="A239">
        <v>239</v>
      </c>
      <c r="B239">
        <f t="shared" si="54"/>
        <v>238</v>
      </c>
      <c r="C239">
        <f t="shared" si="55"/>
        <v>0.35412016523287493</v>
      </c>
      <c r="D239">
        <f t="shared" si="56"/>
        <v>1.0427354058196601</v>
      </c>
      <c r="E239">
        <v>239</v>
      </c>
      <c r="F239">
        <f t="shared" si="57"/>
        <v>238</v>
      </c>
      <c r="G239">
        <f t="shared" si="58"/>
        <v>0.37458317406091735</v>
      </c>
      <c r="H239">
        <f t="shared" si="59"/>
        <v>1.10687730344655</v>
      </c>
      <c r="I239">
        <v>239</v>
      </c>
      <c r="J239">
        <f t="shared" si="60"/>
        <v>238</v>
      </c>
      <c r="K239">
        <f t="shared" si="61"/>
        <v>1.425491302769083</v>
      </c>
      <c r="L239">
        <f t="shared" si="62"/>
        <v>1.26645031675154</v>
      </c>
      <c r="M239">
        <v>239</v>
      </c>
      <c r="N239">
        <f t="shared" si="63"/>
        <v>238</v>
      </c>
      <c r="O239">
        <f t="shared" si="64"/>
        <v>0.42146093708614596</v>
      </c>
      <c r="P239">
        <f t="shared" si="65"/>
        <v>0.253817018041334</v>
      </c>
      <c r="Q239">
        <v>239</v>
      </c>
      <c r="R239">
        <f t="shared" si="66"/>
        <v>238</v>
      </c>
      <c r="S239">
        <f t="shared" si="67"/>
        <v>1.3404864091559265</v>
      </c>
      <c r="T239">
        <f t="shared" si="68"/>
        <v>0</v>
      </c>
      <c r="U239">
        <v>239</v>
      </c>
      <c r="V239">
        <f t="shared" si="69"/>
        <v>238</v>
      </c>
      <c r="W239">
        <f t="shared" si="70"/>
        <v>1.3611612400639435</v>
      </c>
      <c r="X239">
        <f t="shared" si="71"/>
        <v>6.4805860110755301E-2</v>
      </c>
    </row>
    <row r="240" spans="1:24">
      <c r="A240">
        <v>240</v>
      </c>
      <c r="B240">
        <f t="shared" si="54"/>
        <v>239</v>
      </c>
      <c r="C240">
        <f t="shared" si="55"/>
        <v>0.35542850455814051</v>
      </c>
      <c r="D240">
        <f t="shared" si="56"/>
        <v>1.9572645941803399</v>
      </c>
      <c r="E240">
        <v>240</v>
      </c>
      <c r="F240">
        <f t="shared" si="57"/>
        <v>239</v>
      </c>
      <c r="G240">
        <f t="shared" si="58"/>
        <v>0.37570798864333066</v>
      </c>
      <c r="H240">
        <f t="shared" si="59"/>
        <v>1.89312269655345</v>
      </c>
      <c r="I240">
        <v>240</v>
      </c>
      <c r="J240">
        <f t="shared" si="60"/>
        <v>239</v>
      </c>
      <c r="K240">
        <f t="shared" si="61"/>
        <v>1.4261595422061315</v>
      </c>
      <c r="L240">
        <f t="shared" si="62"/>
        <v>1.73354968324846</v>
      </c>
      <c r="M240">
        <v>240</v>
      </c>
      <c r="N240">
        <f t="shared" si="63"/>
        <v>239</v>
      </c>
      <c r="O240">
        <f t="shared" si="64"/>
        <v>0.42216532330061995</v>
      </c>
      <c r="P240">
        <f t="shared" si="65"/>
        <v>0.74618298195866595</v>
      </c>
      <c r="Q240">
        <v>240</v>
      </c>
      <c r="R240">
        <f t="shared" si="66"/>
        <v>239</v>
      </c>
      <c r="S240">
        <f t="shared" si="67"/>
        <v>1.3419170243204472</v>
      </c>
      <c r="T240">
        <f t="shared" si="68"/>
        <v>1</v>
      </c>
      <c r="U240">
        <v>240</v>
      </c>
      <c r="V240">
        <f t="shared" si="69"/>
        <v>239</v>
      </c>
      <c r="W240">
        <f t="shared" si="70"/>
        <v>1.3624064307360157</v>
      </c>
      <c r="X240">
        <f t="shared" si="71"/>
        <v>0.93519413988924505</v>
      </c>
    </row>
    <row r="241" spans="1:24">
      <c r="A241">
        <v>241</v>
      </c>
      <c r="B241">
        <f t="shared" si="54"/>
        <v>240</v>
      </c>
      <c r="C241">
        <f t="shared" si="55"/>
        <v>0.3567368438834061</v>
      </c>
      <c r="D241">
        <f t="shared" si="56"/>
        <v>1.0427354058196601</v>
      </c>
      <c r="E241">
        <v>241</v>
      </c>
      <c r="F241">
        <f t="shared" si="57"/>
        <v>240</v>
      </c>
      <c r="G241">
        <f t="shared" si="58"/>
        <v>0.37683280322574397</v>
      </c>
      <c r="H241">
        <f t="shared" si="59"/>
        <v>1.10687730344655</v>
      </c>
      <c r="I241">
        <v>241</v>
      </c>
      <c r="J241">
        <f t="shared" si="60"/>
        <v>240</v>
      </c>
      <c r="K241">
        <f t="shared" si="61"/>
        <v>1.42682778164318</v>
      </c>
      <c r="L241">
        <f t="shared" si="62"/>
        <v>1.26645031675154</v>
      </c>
      <c r="M241">
        <v>241</v>
      </c>
      <c r="N241">
        <f t="shared" si="63"/>
        <v>240</v>
      </c>
      <c r="O241">
        <f t="shared" si="64"/>
        <v>0.42286970951509395</v>
      </c>
      <c r="P241">
        <f t="shared" si="65"/>
        <v>0.253817018041334</v>
      </c>
      <c r="Q241">
        <v>241</v>
      </c>
      <c r="R241">
        <f t="shared" si="66"/>
        <v>240</v>
      </c>
      <c r="S241">
        <f t="shared" si="67"/>
        <v>1.3433476394849679</v>
      </c>
      <c r="T241">
        <f t="shared" si="68"/>
        <v>0</v>
      </c>
      <c r="U241">
        <v>241</v>
      </c>
      <c r="V241">
        <f t="shared" si="69"/>
        <v>240</v>
      </c>
      <c r="W241">
        <f t="shared" si="70"/>
        <v>1.363651621408088</v>
      </c>
      <c r="X241">
        <f t="shared" si="71"/>
        <v>6.4805860110755301E-2</v>
      </c>
    </row>
    <row r="242" spans="1:24">
      <c r="A242">
        <v>242</v>
      </c>
      <c r="B242">
        <f t="shared" si="54"/>
        <v>241</v>
      </c>
      <c r="C242">
        <f t="shared" si="55"/>
        <v>0.35804518320867174</v>
      </c>
      <c r="D242">
        <f t="shared" si="56"/>
        <v>1.9572645941803399</v>
      </c>
      <c r="E242">
        <v>242</v>
      </c>
      <c r="F242">
        <f t="shared" si="57"/>
        <v>241</v>
      </c>
      <c r="G242">
        <f t="shared" si="58"/>
        <v>0.37795761780815729</v>
      </c>
      <c r="H242">
        <f t="shared" si="59"/>
        <v>1.89312269655345</v>
      </c>
      <c r="I242">
        <v>242</v>
      </c>
      <c r="J242">
        <f t="shared" si="60"/>
        <v>241</v>
      </c>
      <c r="K242">
        <f t="shared" si="61"/>
        <v>1.4274960210802285</v>
      </c>
      <c r="L242">
        <f t="shared" si="62"/>
        <v>1.73354968324846</v>
      </c>
      <c r="M242">
        <v>242</v>
      </c>
      <c r="N242">
        <f t="shared" si="63"/>
        <v>241</v>
      </c>
      <c r="O242">
        <f t="shared" si="64"/>
        <v>0.423574095729568</v>
      </c>
      <c r="P242">
        <f t="shared" si="65"/>
        <v>0.74618298195866595</v>
      </c>
      <c r="Q242">
        <v>242</v>
      </c>
      <c r="R242">
        <f t="shared" si="66"/>
        <v>241</v>
      </c>
      <c r="S242">
        <f t="shared" si="67"/>
        <v>1.3447782546494886</v>
      </c>
      <c r="T242">
        <f t="shared" si="68"/>
        <v>1</v>
      </c>
      <c r="U242">
        <v>242</v>
      </c>
      <c r="V242">
        <f t="shared" si="69"/>
        <v>241</v>
      </c>
      <c r="W242">
        <f t="shared" si="70"/>
        <v>1.3648968120801601</v>
      </c>
      <c r="X242">
        <f t="shared" si="71"/>
        <v>0.93519413988924505</v>
      </c>
    </row>
    <row r="243" spans="1:24">
      <c r="A243">
        <v>243</v>
      </c>
      <c r="B243">
        <f t="shared" si="54"/>
        <v>242</v>
      </c>
      <c r="C243">
        <f t="shared" si="55"/>
        <v>0.35935352253393732</v>
      </c>
      <c r="D243">
        <f t="shared" si="56"/>
        <v>1.0427354058196601</v>
      </c>
      <c r="E243">
        <v>243</v>
      </c>
      <c r="F243">
        <f t="shared" si="57"/>
        <v>242</v>
      </c>
      <c r="G243">
        <f t="shared" si="58"/>
        <v>0.3790824323905706</v>
      </c>
      <c r="H243">
        <f t="shared" si="59"/>
        <v>1.10687730344655</v>
      </c>
      <c r="I243">
        <v>243</v>
      </c>
      <c r="J243">
        <f t="shared" si="60"/>
        <v>242</v>
      </c>
      <c r="K243">
        <f t="shared" si="61"/>
        <v>1.4281642605172769</v>
      </c>
      <c r="L243">
        <f t="shared" si="62"/>
        <v>1.26645031675154</v>
      </c>
      <c r="M243">
        <v>243</v>
      </c>
      <c r="N243">
        <f t="shared" si="63"/>
        <v>242</v>
      </c>
      <c r="O243">
        <f t="shared" si="64"/>
        <v>0.424278481944042</v>
      </c>
      <c r="P243">
        <f t="shared" si="65"/>
        <v>0.253817018041334</v>
      </c>
      <c r="Q243">
        <v>243</v>
      </c>
      <c r="R243">
        <f t="shared" si="66"/>
        <v>242</v>
      </c>
      <c r="S243">
        <f t="shared" si="67"/>
        <v>1.3462088698140093</v>
      </c>
      <c r="T243">
        <f t="shared" si="68"/>
        <v>0</v>
      </c>
      <c r="U243">
        <v>243</v>
      </c>
      <c r="V243">
        <f t="shared" si="69"/>
        <v>242</v>
      </c>
      <c r="W243">
        <f t="shared" si="70"/>
        <v>1.3661420027522324</v>
      </c>
      <c r="X243">
        <f t="shared" si="71"/>
        <v>6.4805860110755301E-2</v>
      </c>
    </row>
    <row r="244" spans="1:24">
      <c r="A244">
        <v>244</v>
      </c>
      <c r="B244">
        <f t="shared" si="54"/>
        <v>243</v>
      </c>
      <c r="C244">
        <f t="shared" si="55"/>
        <v>0.3606618618592029</v>
      </c>
      <c r="D244">
        <f t="shared" si="56"/>
        <v>1.9572645941803399</v>
      </c>
      <c r="E244">
        <v>244</v>
      </c>
      <c r="F244">
        <f t="shared" si="57"/>
        <v>243</v>
      </c>
      <c r="G244">
        <f t="shared" si="58"/>
        <v>0.38020724697298386</v>
      </c>
      <c r="H244">
        <f t="shared" si="59"/>
        <v>1.89312269655345</v>
      </c>
      <c r="I244">
        <v>244</v>
      </c>
      <c r="J244">
        <f t="shared" si="60"/>
        <v>243</v>
      </c>
      <c r="K244">
        <f t="shared" si="61"/>
        <v>1.4288324999543254</v>
      </c>
      <c r="L244">
        <f t="shared" si="62"/>
        <v>1.73354968324846</v>
      </c>
      <c r="M244">
        <v>244</v>
      </c>
      <c r="N244">
        <f t="shared" si="63"/>
        <v>243</v>
      </c>
      <c r="O244">
        <f t="shared" si="64"/>
        <v>0.42498286815851599</v>
      </c>
      <c r="P244">
        <f t="shared" si="65"/>
        <v>0.74618298195866595</v>
      </c>
      <c r="Q244">
        <v>244</v>
      </c>
      <c r="R244">
        <f t="shared" si="66"/>
        <v>243</v>
      </c>
      <c r="S244">
        <f t="shared" si="67"/>
        <v>1.34763948497853</v>
      </c>
      <c r="T244">
        <f t="shared" si="68"/>
        <v>1</v>
      </c>
      <c r="U244">
        <v>244</v>
      </c>
      <c r="V244">
        <f t="shared" si="69"/>
        <v>243</v>
      </c>
      <c r="W244">
        <f t="shared" si="70"/>
        <v>1.3673871934243045</v>
      </c>
      <c r="X244">
        <f t="shared" si="71"/>
        <v>0.93519413988924505</v>
      </c>
    </row>
    <row r="245" spans="1:24">
      <c r="A245">
        <v>245</v>
      </c>
      <c r="B245">
        <f t="shared" si="54"/>
        <v>244</v>
      </c>
      <c r="C245">
        <f t="shared" si="55"/>
        <v>0.36197020118446854</v>
      </c>
      <c r="D245">
        <f t="shared" si="56"/>
        <v>1.0427354058196601</v>
      </c>
      <c r="E245">
        <v>245</v>
      </c>
      <c r="F245">
        <f t="shared" si="57"/>
        <v>244</v>
      </c>
      <c r="G245">
        <f t="shared" si="58"/>
        <v>0.38133206155539717</v>
      </c>
      <c r="H245">
        <f t="shared" si="59"/>
        <v>1.10687730344655</v>
      </c>
      <c r="I245">
        <v>245</v>
      </c>
      <c r="J245">
        <f t="shared" si="60"/>
        <v>244</v>
      </c>
      <c r="K245">
        <f t="shared" si="61"/>
        <v>1.4295007393913739</v>
      </c>
      <c r="L245">
        <f t="shared" si="62"/>
        <v>1.26645031675154</v>
      </c>
      <c r="M245">
        <v>245</v>
      </c>
      <c r="N245">
        <f t="shared" si="63"/>
        <v>244</v>
      </c>
      <c r="O245">
        <f t="shared" si="64"/>
        <v>0.42568725437298999</v>
      </c>
      <c r="P245">
        <f t="shared" si="65"/>
        <v>0.253817018041334</v>
      </c>
      <c r="Q245">
        <v>245</v>
      </c>
      <c r="R245">
        <f t="shared" si="66"/>
        <v>244</v>
      </c>
      <c r="S245">
        <f t="shared" si="67"/>
        <v>1.3490701001430507</v>
      </c>
      <c r="T245">
        <f t="shared" si="68"/>
        <v>0</v>
      </c>
      <c r="U245">
        <v>245</v>
      </c>
      <c r="V245">
        <f t="shared" si="69"/>
        <v>244</v>
      </c>
      <c r="W245">
        <f t="shared" si="70"/>
        <v>1.3686323840963768</v>
      </c>
      <c r="X245">
        <f t="shared" si="71"/>
        <v>6.4805860110755301E-2</v>
      </c>
    </row>
    <row r="246" spans="1:24">
      <c r="A246">
        <v>246</v>
      </c>
      <c r="B246">
        <f t="shared" si="54"/>
        <v>245</v>
      </c>
      <c r="C246">
        <f t="shared" si="55"/>
        <v>0.36327854050973413</v>
      </c>
      <c r="D246">
        <f t="shared" si="56"/>
        <v>1.9572645941803399</v>
      </c>
      <c r="E246">
        <v>246</v>
      </c>
      <c r="F246">
        <f t="shared" si="57"/>
        <v>245</v>
      </c>
      <c r="G246">
        <f t="shared" si="58"/>
        <v>0.38245687613781049</v>
      </c>
      <c r="H246">
        <f t="shared" si="59"/>
        <v>1.89312269655345</v>
      </c>
      <c r="I246">
        <v>246</v>
      </c>
      <c r="J246">
        <f t="shared" si="60"/>
        <v>245</v>
      </c>
      <c r="K246">
        <f t="shared" si="61"/>
        <v>1.4301689788284224</v>
      </c>
      <c r="L246">
        <f t="shared" si="62"/>
        <v>1.73354968324846</v>
      </c>
      <c r="M246">
        <v>246</v>
      </c>
      <c r="N246">
        <f t="shared" si="63"/>
        <v>245</v>
      </c>
      <c r="O246">
        <f t="shared" si="64"/>
        <v>0.42639164058746398</v>
      </c>
      <c r="P246">
        <f t="shared" si="65"/>
        <v>0.74618298195866595</v>
      </c>
      <c r="Q246">
        <v>246</v>
      </c>
      <c r="R246">
        <f t="shared" si="66"/>
        <v>245</v>
      </c>
      <c r="S246">
        <f t="shared" si="67"/>
        <v>1.3505007153075714</v>
      </c>
      <c r="T246">
        <f t="shared" si="68"/>
        <v>1</v>
      </c>
      <c r="U246">
        <v>246</v>
      </c>
      <c r="V246">
        <f t="shared" si="69"/>
        <v>245</v>
      </c>
      <c r="W246">
        <f t="shared" si="70"/>
        <v>1.3698775747684491</v>
      </c>
      <c r="X246">
        <f t="shared" si="71"/>
        <v>0.93519413988924505</v>
      </c>
    </row>
    <row r="247" spans="1:24">
      <c r="A247">
        <v>247</v>
      </c>
      <c r="B247">
        <f t="shared" si="54"/>
        <v>246</v>
      </c>
      <c r="C247">
        <f t="shared" si="55"/>
        <v>0.36458687983499971</v>
      </c>
      <c r="D247">
        <f t="shared" si="56"/>
        <v>1.0427354058196601</v>
      </c>
      <c r="E247">
        <v>247</v>
      </c>
      <c r="F247">
        <f t="shared" si="57"/>
        <v>246</v>
      </c>
      <c r="G247">
        <f t="shared" si="58"/>
        <v>0.38358169072022374</v>
      </c>
      <c r="H247">
        <f t="shared" si="59"/>
        <v>1.10687730344655</v>
      </c>
      <c r="I247">
        <v>247</v>
      </c>
      <c r="J247">
        <f t="shared" si="60"/>
        <v>246</v>
      </c>
      <c r="K247">
        <f t="shared" si="61"/>
        <v>1.4308372182654709</v>
      </c>
      <c r="L247">
        <f t="shared" si="62"/>
        <v>1.26645031675154</v>
      </c>
      <c r="M247">
        <v>247</v>
      </c>
      <c r="N247">
        <f t="shared" si="63"/>
        <v>246</v>
      </c>
      <c r="O247">
        <f t="shared" si="64"/>
        <v>0.42709602680193798</v>
      </c>
      <c r="P247">
        <f t="shared" si="65"/>
        <v>0.253817018041334</v>
      </c>
      <c r="Q247">
        <v>247</v>
      </c>
      <c r="R247">
        <f t="shared" si="66"/>
        <v>246</v>
      </c>
      <c r="S247">
        <f t="shared" si="67"/>
        <v>1.3519313304720921</v>
      </c>
      <c r="T247">
        <f t="shared" si="68"/>
        <v>0</v>
      </c>
      <c r="U247">
        <v>247</v>
      </c>
      <c r="V247">
        <f t="shared" si="69"/>
        <v>246</v>
      </c>
      <c r="W247">
        <f t="shared" si="70"/>
        <v>1.3711227654405211</v>
      </c>
      <c r="X247">
        <f t="shared" si="71"/>
        <v>6.4805860110755301E-2</v>
      </c>
    </row>
    <row r="248" spans="1:24">
      <c r="A248">
        <v>248</v>
      </c>
      <c r="B248">
        <f t="shared" si="54"/>
        <v>247</v>
      </c>
      <c r="C248">
        <f t="shared" si="55"/>
        <v>0.36589521916026529</v>
      </c>
      <c r="D248">
        <f t="shared" si="56"/>
        <v>1.9572645941803399</v>
      </c>
      <c r="E248">
        <v>248</v>
      </c>
      <c r="F248">
        <f t="shared" si="57"/>
        <v>247</v>
      </c>
      <c r="G248">
        <f t="shared" si="58"/>
        <v>0.38470650530263706</v>
      </c>
      <c r="H248">
        <f t="shared" si="59"/>
        <v>1.89312269655345</v>
      </c>
      <c r="I248">
        <v>248</v>
      </c>
      <c r="J248">
        <f t="shared" si="60"/>
        <v>247</v>
      </c>
      <c r="K248">
        <f t="shared" si="61"/>
        <v>1.4315054577025195</v>
      </c>
      <c r="L248">
        <f t="shared" si="62"/>
        <v>1.73354968324846</v>
      </c>
      <c r="M248">
        <v>248</v>
      </c>
      <c r="N248">
        <f t="shared" si="63"/>
        <v>247</v>
      </c>
      <c r="O248">
        <f t="shared" si="64"/>
        <v>0.42780041301641203</v>
      </c>
      <c r="P248">
        <f t="shared" si="65"/>
        <v>0.74618298195866595</v>
      </c>
      <c r="Q248">
        <v>248</v>
      </c>
      <c r="R248">
        <f t="shared" si="66"/>
        <v>247</v>
      </c>
      <c r="S248">
        <f t="shared" si="67"/>
        <v>1.3533619456366128</v>
      </c>
      <c r="T248">
        <f t="shared" si="68"/>
        <v>1</v>
      </c>
      <c r="U248">
        <v>248</v>
      </c>
      <c r="V248">
        <f t="shared" si="69"/>
        <v>247</v>
      </c>
      <c r="W248">
        <f t="shared" si="70"/>
        <v>1.3723679561125932</v>
      </c>
      <c r="X248">
        <f t="shared" si="71"/>
        <v>0.93519413988924505</v>
      </c>
    </row>
    <row r="249" spans="1:24">
      <c r="A249">
        <v>249</v>
      </c>
      <c r="B249">
        <f t="shared" si="54"/>
        <v>248</v>
      </c>
      <c r="C249">
        <f t="shared" si="55"/>
        <v>0.36720355848553093</v>
      </c>
      <c r="D249">
        <f t="shared" si="56"/>
        <v>1.0427354058196601</v>
      </c>
      <c r="E249">
        <v>249</v>
      </c>
      <c r="F249">
        <f t="shared" si="57"/>
        <v>248</v>
      </c>
      <c r="G249">
        <f t="shared" si="58"/>
        <v>0.38583131988505037</v>
      </c>
      <c r="H249">
        <f t="shared" si="59"/>
        <v>1.10687730344655</v>
      </c>
      <c r="I249">
        <v>249</v>
      </c>
      <c r="J249">
        <f t="shared" si="60"/>
        <v>248</v>
      </c>
      <c r="K249">
        <f t="shared" si="61"/>
        <v>1.432173697139568</v>
      </c>
      <c r="L249">
        <f t="shared" si="62"/>
        <v>1.26645031675154</v>
      </c>
      <c r="M249">
        <v>249</v>
      </c>
      <c r="N249">
        <f t="shared" si="63"/>
        <v>248</v>
      </c>
      <c r="O249">
        <f t="shared" si="64"/>
        <v>0.42850479923088602</v>
      </c>
      <c r="P249">
        <f t="shared" si="65"/>
        <v>0.253817018041334</v>
      </c>
      <c r="Q249">
        <v>249</v>
      </c>
      <c r="R249">
        <f t="shared" si="66"/>
        <v>248</v>
      </c>
      <c r="S249">
        <f t="shared" si="67"/>
        <v>1.3547925608011335</v>
      </c>
      <c r="T249">
        <f t="shared" si="68"/>
        <v>0</v>
      </c>
      <c r="U249">
        <v>249</v>
      </c>
      <c r="V249">
        <f t="shared" si="69"/>
        <v>248</v>
      </c>
      <c r="W249">
        <f t="shared" si="70"/>
        <v>1.3736131467846655</v>
      </c>
      <c r="X249">
        <f t="shared" si="71"/>
        <v>6.4805860110755301E-2</v>
      </c>
    </row>
    <row r="250" spans="1:24">
      <c r="A250">
        <v>250</v>
      </c>
      <c r="B250">
        <f t="shared" si="54"/>
        <v>249</v>
      </c>
      <c r="C250">
        <f t="shared" si="55"/>
        <v>0.36851189781079652</v>
      </c>
      <c r="D250">
        <f t="shared" si="56"/>
        <v>1.9572645941803399</v>
      </c>
      <c r="E250">
        <v>250</v>
      </c>
      <c r="F250">
        <f t="shared" si="57"/>
        <v>249</v>
      </c>
      <c r="G250">
        <f t="shared" si="58"/>
        <v>0.38695613446746369</v>
      </c>
      <c r="H250">
        <f t="shared" si="59"/>
        <v>1.89312269655345</v>
      </c>
      <c r="I250">
        <v>250</v>
      </c>
      <c r="J250">
        <f t="shared" si="60"/>
        <v>249</v>
      </c>
      <c r="K250">
        <f t="shared" si="61"/>
        <v>1.4328419365766165</v>
      </c>
      <c r="L250">
        <f t="shared" si="62"/>
        <v>1.73354968324846</v>
      </c>
      <c r="M250">
        <v>250</v>
      </c>
      <c r="N250">
        <f t="shared" si="63"/>
        <v>249</v>
      </c>
      <c r="O250">
        <f t="shared" si="64"/>
        <v>0.42920918544536002</v>
      </c>
      <c r="P250">
        <f t="shared" si="65"/>
        <v>0.74618298195866595</v>
      </c>
      <c r="Q250">
        <v>250</v>
      </c>
      <c r="R250">
        <f t="shared" si="66"/>
        <v>249</v>
      </c>
      <c r="S250">
        <f t="shared" si="67"/>
        <v>1.3562231759656542</v>
      </c>
      <c r="T250">
        <f t="shared" si="68"/>
        <v>1</v>
      </c>
      <c r="U250">
        <v>250</v>
      </c>
      <c r="V250">
        <f t="shared" si="69"/>
        <v>249</v>
      </c>
      <c r="W250">
        <f t="shared" si="70"/>
        <v>1.3748583374567378</v>
      </c>
      <c r="X250">
        <f t="shared" si="71"/>
        <v>0.93519413988924505</v>
      </c>
    </row>
    <row r="251" spans="1:24">
      <c r="A251">
        <v>251</v>
      </c>
      <c r="B251">
        <f t="shared" si="54"/>
        <v>250</v>
      </c>
      <c r="C251">
        <f t="shared" si="55"/>
        <v>0.3698202371360621</v>
      </c>
      <c r="D251">
        <f t="shared" si="56"/>
        <v>1.0427354058196601</v>
      </c>
      <c r="E251">
        <v>251</v>
      </c>
      <c r="F251">
        <f t="shared" si="57"/>
        <v>250</v>
      </c>
      <c r="G251">
        <f t="shared" si="58"/>
        <v>0.388080949049877</v>
      </c>
      <c r="H251">
        <f t="shared" si="59"/>
        <v>1.10687730344655</v>
      </c>
      <c r="I251">
        <v>251</v>
      </c>
      <c r="J251">
        <f t="shared" si="60"/>
        <v>250</v>
      </c>
      <c r="K251">
        <f t="shared" si="61"/>
        <v>1.433510176013665</v>
      </c>
      <c r="L251">
        <f t="shared" si="62"/>
        <v>1.26645031675154</v>
      </c>
      <c r="M251">
        <v>251</v>
      </c>
      <c r="N251">
        <f t="shared" si="63"/>
        <v>250</v>
      </c>
      <c r="O251">
        <f t="shared" si="64"/>
        <v>0.42991357165983402</v>
      </c>
      <c r="P251">
        <f t="shared" si="65"/>
        <v>0.253817018041334</v>
      </c>
      <c r="Q251">
        <v>251</v>
      </c>
      <c r="R251">
        <f t="shared" si="66"/>
        <v>250</v>
      </c>
      <c r="S251">
        <f t="shared" si="67"/>
        <v>1.3576537911301749</v>
      </c>
      <c r="T251">
        <f t="shared" si="68"/>
        <v>0</v>
      </c>
      <c r="U251">
        <v>251</v>
      </c>
      <c r="V251">
        <f t="shared" si="69"/>
        <v>250</v>
      </c>
      <c r="W251">
        <f t="shared" si="70"/>
        <v>1.3761035281288099</v>
      </c>
      <c r="X251">
        <f t="shared" si="71"/>
        <v>6.4805860110755301E-2</v>
      </c>
    </row>
    <row r="252" spans="1:24">
      <c r="A252">
        <v>252</v>
      </c>
      <c r="B252">
        <f t="shared" si="54"/>
        <v>251</v>
      </c>
      <c r="C252">
        <f t="shared" si="55"/>
        <v>0.37112857646132774</v>
      </c>
      <c r="D252">
        <f t="shared" si="56"/>
        <v>1.9572645941803399</v>
      </c>
      <c r="E252">
        <v>252</v>
      </c>
      <c r="F252">
        <f t="shared" si="57"/>
        <v>251</v>
      </c>
      <c r="G252">
        <f t="shared" si="58"/>
        <v>0.38920576363229026</v>
      </c>
      <c r="H252">
        <f t="shared" si="59"/>
        <v>1.89312269655345</v>
      </c>
      <c r="I252">
        <v>252</v>
      </c>
      <c r="J252">
        <f t="shared" si="60"/>
        <v>251</v>
      </c>
      <c r="K252">
        <f t="shared" si="61"/>
        <v>1.4341784154507136</v>
      </c>
      <c r="L252">
        <f t="shared" si="62"/>
        <v>1.73354968324846</v>
      </c>
      <c r="M252">
        <v>252</v>
      </c>
      <c r="N252">
        <f t="shared" si="63"/>
        <v>251</v>
      </c>
      <c r="O252">
        <f t="shared" si="64"/>
        <v>0.43061795787430801</v>
      </c>
      <c r="P252">
        <f t="shared" si="65"/>
        <v>0.74618298195866595</v>
      </c>
      <c r="Q252">
        <v>252</v>
      </c>
      <c r="R252">
        <f t="shared" si="66"/>
        <v>251</v>
      </c>
      <c r="S252">
        <f t="shared" si="67"/>
        <v>1.3590844062946956</v>
      </c>
      <c r="T252">
        <f t="shared" si="68"/>
        <v>1</v>
      </c>
      <c r="U252">
        <v>252</v>
      </c>
      <c r="V252">
        <f t="shared" si="69"/>
        <v>251</v>
      </c>
      <c r="W252">
        <f t="shared" si="70"/>
        <v>1.3773487188008822</v>
      </c>
      <c r="X252">
        <f t="shared" si="71"/>
        <v>0.93519413988924505</v>
      </c>
    </row>
    <row r="253" spans="1:24">
      <c r="A253">
        <v>253</v>
      </c>
      <c r="B253">
        <f t="shared" si="54"/>
        <v>252</v>
      </c>
      <c r="C253">
        <f t="shared" si="55"/>
        <v>0.37243691578659333</v>
      </c>
      <c r="D253">
        <f t="shared" si="56"/>
        <v>1.0427354058196601</v>
      </c>
      <c r="E253">
        <v>253</v>
      </c>
      <c r="F253">
        <f t="shared" si="57"/>
        <v>252</v>
      </c>
      <c r="G253">
        <f t="shared" si="58"/>
        <v>0.39033057821470357</v>
      </c>
      <c r="H253">
        <f t="shared" si="59"/>
        <v>1.10687730344655</v>
      </c>
      <c r="I253">
        <v>253</v>
      </c>
      <c r="J253">
        <f t="shared" si="60"/>
        <v>252</v>
      </c>
      <c r="K253">
        <f t="shared" si="61"/>
        <v>1.4348466548877619</v>
      </c>
      <c r="L253">
        <f t="shared" si="62"/>
        <v>1.26645031675154</v>
      </c>
      <c r="M253">
        <v>253</v>
      </c>
      <c r="N253">
        <f t="shared" si="63"/>
        <v>252</v>
      </c>
      <c r="O253">
        <f t="shared" si="64"/>
        <v>0.43132234408878201</v>
      </c>
      <c r="P253">
        <f t="shared" si="65"/>
        <v>0.253817018041334</v>
      </c>
      <c r="Q253">
        <v>253</v>
      </c>
      <c r="R253">
        <f t="shared" si="66"/>
        <v>252</v>
      </c>
      <c r="S253">
        <f t="shared" si="67"/>
        <v>1.3605150214592163</v>
      </c>
      <c r="T253">
        <f t="shared" si="68"/>
        <v>0</v>
      </c>
      <c r="U253">
        <v>253</v>
      </c>
      <c r="V253">
        <f t="shared" si="69"/>
        <v>252</v>
      </c>
      <c r="W253">
        <f t="shared" si="70"/>
        <v>1.3785939094729542</v>
      </c>
      <c r="X253">
        <f t="shared" si="71"/>
        <v>6.4805860110755301E-2</v>
      </c>
    </row>
    <row r="254" spans="1:24">
      <c r="A254">
        <v>254</v>
      </c>
      <c r="B254">
        <f t="shared" si="54"/>
        <v>253</v>
      </c>
      <c r="C254">
        <f t="shared" si="55"/>
        <v>0.37374525511185891</v>
      </c>
      <c r="D254">
        <f t="shared" si="56"/>
        <v>1.9572645941803399</v>
      </c>
      <c r="E254">
        <v>254</v>
      </c>
      <c r="F254">
        <f t="shared" si="57"/>
        <v>253</v>
      </c>
      <c r="G254">
        <f t="shared" si="58"/>
        <v>0.39145539279711689</v>
      </c>
      <c r="H254">
        <f t="shared" si="59"/>
        <v>1.89312269655345</v>
      </c>
      <c r="I254">
        <v>254</v>
      </c>
      <c r="J254">
        <f t="shared" si="60"/>
        <v>253</v>
      </c>
      <c r="K254">
        <f t="shared" si="61"/>
        <v>1.4355148943248104</v>
      </c>
      <c r="L254">
        <f t="shared" si="62"/>
        <v>1.73354968324846</v>
      </c>
      <c r="M254">
        <v>254</v>
      </c>
      <c r="N254">
        <f t="shared" si="63"/>
        <v>253</v>
      </c>
      <c r="O254">
        <f t="shared" si="64"/>
        <v>0.432026730303256</v>
      </c>
      <c r="P254">
        <f t="shared" si="65"/>
        <v>0.74618298195866595</v>
      </c>
      <c r="Q254">
        <v>254</v>
      </c>
      <c r="R254">
        <f t="shared" si="66"/>
        <v>253</v>
      </c>
      <c r="S254">
        <f t="shared" si="67"/>
        <v>1.361945636623737</v>
      </c>
      <c r="T254">
        <f t="shared" si="68"/>
        <v>1</v>
      </c>
      <c r="U254">
        <v>254</v>
      </c>
      <c r="V254">
        <f t="shared" si="69"/>
        <v>253</v>
      </c>
      <c r="W254">
        <f t="shared" si="70"/>
        <v>1.3798391001450265</v>
      </c>
      <c r="X254">
        <f t="shared" si="71"/>
        <v>0.93519413988924505</v>
      </c>
    </row>
    <row r="255" spans="1:24">
      <c r="A255">
        <v>255</v>
      </c>
      <c r="B255">
        <f t="shared" si="54"/>
        <v>254</v>
      </c>
      <c r="C255">
        <f t="shared" si="55"/>
        <v>0.37505359443712449</v>
      </c>
      <c r="D255">
        <f t="shared" si="56"/>
        <v>1.0427354058196601</v>
      </c>
      <c r="E255">
        <v>255</v>
      </c>
      <c r="F255">
        <f t="shared" si="57"/>
        <v>254</v>
      </c>
      <c r="G255">
        <f t="shared" si="58"/>
        <v>0.39258020737953014</v>
      </c>
      <c r="H255">
        <f t="shared" si="59"/>
        <v>1.10687730344655</v>
      </c>
      <c r="I255">
        <v>255</v>
      </c>
      <c r="J255">
        <f t="shared" si="60"/>
        <v>254</v>
      </c>
      <c r="K255">
        <f t="shared" si="61"/>
        <v>1.4361831337618589</v>
      </c>
      <c r="L255">
        <f t="shared" si="62"/>
        <v>1.26645031675154</v>
      </c>
      <c r="M255">
        <v>255</v>
      </c>
      <c r="N255">
        <f t="shared" si="63"/>
        <v>254</v>
      </c>
      <c r="O255">
        <f t="shared" si="64"/>
        <v>0.43273111651773</v>
      </c>
      <c r="P255">
        <f t="shared" si="65"/>
        <v>0.253817018041334</v>
      </c>
      <c r="Q255">
        <v>255</v>
      </c>
      <c r="R255">
        <f t="shared" si="66"/>
        <v>254</v>
      </c>
      <c r="S255">
        <f t="shared" si="67"/>
        <v>1.3633762517882577</v>
      </c>
      <c r="T255">
        <f t="shared" si="68"/>
        <v>0</v>
      </c>
      <c r="U255">
        <v>255</v>
      </c>
      <c r="V255">
        <f t="shared" si="69"/>
        <v>254</v>
      </c>
      <c r="W255">
        <f t="shared" si="70"/>
        <v>1.3810842908170988</v>
      </c>
      <c r="X255">
        <f t="shared" si="71"/>
        <v>6.4805860110755301E-2</v>
      </c>
    </row>
    <row r="256" spans="1:24">
      <c r="A256">
        <v>256</v>
      </c>
      <c r="B256">
        <f t="shared" si="54"/>
        <v>255</v>
      </c>
      <c r="C256">
        <f t="shared" si="55"/>
        <v>0.37636193376239013</v>
      </c>
      <c r="D256">
        <f t="shared" si="56"/>
        <v>1.9572645941803399</v>
      </c>
      <c r="E256">
        <v>256</v>
      </c>
      <c r="F256">
        <f t="shared" si="57"/>
        <v>255</v>
      </c>
      <c r="G256">
        <f t="shared" si="58"/>
        <v>0.39370502196194346</v>
      </c>
      <c r="H256">
        <f t="shared" si="59"/>
        <v>1.89312269655345</v>
      </c>
      <c r="I256">
        <v>256</v>
      </c>
      <c r="J256">
        <f t="shared" si="60"/>
        <v>255</v>
      </c>
      <c r="K256">
        <f t="shared" si="61"/>
        <v>1.4368513731989074</v>
      </c>
      <c r="L256">
        <f t="shared" si="62"/>
        <v>1.73354968324846</v>
      </c>
      <c r="M256">
        <v>256</v>
      </c>
      <c r="N256">
        <f t="shared" si="63"/>
        <v>255</v>
      </c>
      <c r="O256">
        <f t="shared" si="64"/>
        <v>0.43343550273220399</v>
      </c>
      <c r="P256">
        <f t="shared" si="65"/>
        <v>0.74618298195866595</v>
      </c>
      <c r="Q256">
        <v>256</v>
      </c>
      <c r="R256">
        <f t="shared" si="66"/>
        <v>255</v>
      </c>
      <c r="S256">
        <f t="shared" si="67"/>
        <v>1.3648068669527784</v>
      </c>
      <c r="T256">
        <f t="shared" si="68"/>
        <v>1</v>
      </c>
      <c r="U256">
        <v>256</v>
      </c>
      <c r="V256">
        <f t="shared" si="69"/>
        <v>255</v>
      </c>
      <c r="W256">
        <f t="shared" si="70"/>
        <v>1.3823294814891709</v>
      </c>
      <c r="X256">
        <f t="shared" si="71"/>
        <v>0.93519413988924505</v>
      </c>
    </row>
    <row r="257" spans="1:24">
      <c r="A257">
        <v>257</v>
      </c>
      <c r="B257">
        <f t="shared" ref="B257:B320" si="72">(A257-1)</f>
        <v>256</v>
      </c>
      <c r="C257">
        <f t="shared" ref="C257:C320" si="73">0.0427354058196621+B257*0.0013083393252656</f>
        <v>0.37767027308765572</v>
      </c>
      <c r="D257">
        <f t="shared" ref="D257:D320" si="74">IF(B257/2-INT(B257/2)&lt;0.1,1.04273540581966,1.95726459418034)</f>
        <v>1.0427354058196601</v>
      </c>
      <c r="E257">
        <v>257</v>
      </c>
      <c r="F257">
        <f t="shared" ref="F257:F320" si="75">(E257-1)</f>
        <v>256</v>
      </c>
      <c r="G257">
        <f t="shared" ref="G257:G320" si="76">0.106877303446552+F257*0.0011248145824133</f>
        <v>0.39482983654435677</v>
      </c>
      <c r="H257">
        <f t="shared" ref="H257:H320" si="77">IF(F257/2-INT(F257/2)&lt;0.1,1.10687730344655,1.89312269655345)</f>
        <v>1.10687730344655</v>
      </c>
      <c r="I257">
        <v>257</v>
      </c>
      <c r="J257">
        <f t="shared" ref="J257:J320" si="78">(I257-1)</f>
        <v>256</v>
      </c>
      <c r="K257">
        <f t="shared" ref="K257:K320" si="79">1.26645031675154+J257*0.0006682394370485</f>
        <v>1.437519612635956</v>
      </c>
      <c r="L257">
        <f t="shared" ref="L257:L320" si="80">IF(J257/2-INT(J257/2)&lt;0.1,1.26645031675154,1.73354968324846)</f>
        <v>1.26645031675154</v>
      </c>
      <c r="M257">
        <v>257</v>
      </c>
      <c r="N257">
        <f t="shared" ref="N257:N320" si="81">(M257-1)</f>
        <v>256</v>
      </c>
      <c r="O257">
        <f t="shared" ref="O257:O320" si="82">0.253817018041334+N257*0.000704386214474</f>
        <v>0.43413988894667799</v>
      </c>
      <c r="P257">
        <f t="shared" ref="P257:P320" si="83">IF(N257/2-INT(N257/2)&lt;0.1,0.253817018041334,0.746182981958666)</f>
        <v>0.253817018041334</v>
      </c>
      <c r="Q257">
        <v>257</v>
      </c>
      <c r="R257">
        <f t="shared" ref="R257:R320" si="84">(Q257-1)</f>
        <v>256</v>
      </c>
      <c r="S257">
        <f t="shared" ref="S257:S320" si="85">1+R257*0.0014306151645207</f>
        <v>1.3662374821172991</v>
      </c>
      <c r="T257">
        <f t="shared" ref="T257:T320" si="86">IF(R257/2-INT(R257/2)&lt;0.1,0,1)</f>
        <v>0</v>
      </c>
      <c r="U257">
        <v>257</v>
      </c>
      <c r="V257">
        <f t="shared" ref="V257:V320" si="87">(U257-1)</f>
        <v>256</v>
      </c>
      <c r="W257">
        <f t="shared" ref="W257:W320" si="88">1.06480586011076+V257*0.0012451906720722</f>
        <v>1.3835746721612432</v>
      </c>
      <c r="X257">
        <f t="shared" ref="X257:X320" si="89">IF(V257/2-INT(V257/2)&lt;0.1,0.0648058601107553,0.935194139889245)</f>
        <v>6.4805860110755301E-2</v>
      </c>
    </row>
    <row r="258" spans="1:24">
      <c r="A258">
        <v>258</v>
      </c>
      <c r="B258">
        <f t="shared" si="72"/>
        <v>257</v>
      </c>
      <c r="C258">
        <f t="shared" si="73"/>
        <v>0.3789786124129213</v>
      </c>
      <c r="D258">
        <f t="shared" si="74"/>
        <v>1.9572645941803399</v>
      </c>
      <c r="E258">
        <v>258</v>
      </c>
      <c r="F258">
        <f t="shared" si="75"/>
        <v>257</v>
      </c>
      <c r="G258">
        <f t="shared" si="76"/>
        <v>0.39595465112677009</v>
      </c>
      <c r="H258">
        <f t="shared" si="77"/>
        <v>1.89312269655345</v>
      </c>
      <c r="I258">
        <v>258</v>
      </c>
      <c r="J258">
        <f t="shared" si="78"/>
        <v>257</v>
      </c>
      <c r="K258">
        <f t="shared" si="79"/>
        <v>1.4381878520730045</v>
      </c>
      <c r="L258">
        <f t="shared" si="80"/>
        <v>1.73354968324846</v>
      </c>
      <c r="M258">
        <v>258</v>
      </c>
      <c r="N258">
        <f t="shared" si="81"/>
        <v>257</v>
      </c>
      <c r="O258">
        <f t="shared" si="82"/>
        <v>0.43484427516115198</v>
      </c>
      <c r="P258">
        <f t="shared" si="83"/>
        <v>0.74618298195866595</v>
      </c>
      <c r="Q258">
        <v>258</v>
      </c>
      <c r="R258">
        <f t="shared" si="84"/>
        <v>257</v>
      </c>
      <c r="S258">
        <f t="shared" si="85"/>
        <v>1.3676680972818198</v>
      </c>
      <c r="T258">
        <f t="shared" si="86"/>
        <v>1</v>
      </c>
      <c r="U258">
        <v>258</v>
      </c>
      <c r="V258">
        <f t="shared" si="87"/>
        <v>257</v>
      </c>
      <c r="W258">
        <f t="shared" si="88"/>
        <v>1.3848198628333153</v>
      </c>
      <c r="X258">
        <f t="shared" si="89"/>
        <v>0.93519413988924505</v>
      </c>
    </row>
    <row r="259" spans="1:24">
      <c r="A259">
        <v>259</v>
      </c>
      <c r="B259">
        <f t="shared" si="72"/>
        <v>258</v>
      </c>
      <c r="C259">
        <f t="shared" si="73"/>
        <v>0.38028695173818694</v>
      </c>
      <c r="D259">
        <f t="shared" si="74"/>
        <v>1.0427354058196601</v>
      </c>
      <c r="E259">
        <v>259</v>
      </c>
      <c r="F259">
        <f t="shared" si="75"/>
        <v>258</v>
      </c>
      <c r="G259">
        <f t="shared" si="76"/>
        <v>0.3970794657091834</v>
      </c>
      <c r="H259">
        <f t="shared" si="77"/>
        <v>1.10687730344655</v>
      </c>
      <c r="I259">
        <v>259</v>
      </c>
      <c r="J259">
        <f t="shared" si="78"/>
        <v>258</v>
      </c>
      <c r="K259">
        <f t="shared" si="79"/>
        <v>1.438856091510053</v>
      </c>
      <c r="L259">
        <f t="shared" si="80"/>
        <v>1.26645031675154</v>
      </c>
      <c r="M259">
        <v>259</v>
      </c>
      <c r="N259">
        <f t="shared" si="81"/>
        <v>258</v>
      </c>
      <c r="O259">
        <f t="shared" si="82"/>
        <v>0.43554866137562598</v>
      </c>
      <c r="P259">
        <f t="shared" si="83"/>
        <v>0.253817018041334</v>
      </c>
      <c r="Q259">
        <v>259</v>
      </c>
      <c r="R259">
        <f t="shared" si="84"/>
        <v>258</v>
      </c>
      <c r="S259">
        <f t="shared" si="85"/>
        <v>1.3690987124463405</v>
      </c>
      <c r="T259">
        <f t="shared" si="86"/>
        <v>0</v>
      </c>
      <c r="U259">
        <v>259</v>
      </c>
      <c r="V259">
        <f t="shared" si="87"/>
        <v>258</v>
      </c>
      <c r="W259">
        <f t="shared" si="88"/>
        <v>1.3860650535053876</v>
      </c>
      <c r="X259">
        <f t="shared" si="89"/>
        <v>6.4805860110755301E-2</v>
      </c>
    </row>
    <row r="260" spans="1:24">
      <c r="A260">
        <v>260</v>
      </c>
      <c r="B260">
        <f t="shared" si="72"/>
        <v>259</v>
      </c>
      <c r="C260">
        <f t="shared" si="73"/>
        <v>0.38159529106345252</v>
      </c>
      <c r="D260">
        <f t="shared" si="74"/>
        <v>1.9572645941803399</v>
      </c>
      <c r="E260">
        <v>260</v>
      </c>
      <c r="F260">
        <f t="shared" si="75"/>
        <v>259</v>
      </c>
      <c r="G260">
        <f t="shared" si="76"/>
        <v>0.39820428029159666</v>
      </c>
      <c r="H260">
        <f t="shared" si="77"/>
        <v>1.89312269655345</v>
      </c>
      <c r="I260">
        <v>260</v>
      </c>
      <c r="J260">
        <f t="shared" si="78"/>
        <v>259</v>
      </c>
      <c r="K260">
        <f t="shared" si="79"/>
        <v>1.4395243309471015</v>
      </c>
      <c r="L260">
        <f t="shared" si="80"/>
        <v>1.73354968324846</v>
      </c>
      <c r="M260">
        <v>260</v>
      </c>
      <c r="N260">
        <f t="shared" si="81"/>
        <v>259</v>
      </c>
      <c r="O260">
        <f t="shared" si="82"/>
        <v>0.43625304759009997</v>
      </c>
      <c r="P260">
        <f t="shared" si="83"/>
        <v>0.74618298195866595</v>
      </c>
      <c r="Q260">
        <v>260</v>
      </c>
      <c r="R260">
        <f t="shared" si="84"/>
        <v>259</v>
      </c>
      <c r="S260">
        <f t="shared" si="85"/>
        <v>1.3705293276108612</v>
      </c>
      <c r="T260">
        <f t="shared" si="86"/>
        <v>1</v>
      </c>
      <c r="U260">
        <v>260</v>
      </c>
      <c r="V260">
        <f t="shared" si="87"/>
        <v>259</v>
      </c>
      <c r="W260">
        <f t="shared" si="88"/>
        <v>1.3873102441774599</v>
      </c>
      <c r="X260">
        <f t="shared" si="89"/>
        <v>0.93519413988924505</v>
      </c>
    </row>
    <row r="261" spans="1:24">
      <c r="A261">
        <v>261</v>
      </c>
      <c r="B261">
        <f t="shared" si="72"/>
        <v>260</v>
      </c>
      <c r="C261">
        <f t="shared" si="73"/>
        <v>0.38290363038871811</v>
      </c>
      <c r="D261">
        <f t="shared" si="74"/>
        <v>1.0427354058196601</v>
      </c>
      <c r="E261">
        <v>261</v>
      </c>
      <c r="F261">
        <f t="shared" si="75"/>
        <v>260</v>
      </c>
      <c r="G261">
        <f t="shared" si="76"/>
        <v>0.39932909487400997</v>
      </c>
      <c r="H261">
        <f t="shared" si="77"/>
        <v>1.10687730344655</v>
      </c>
      <c r="I261">
        <v>261</v>
      </c>
      <c r="J261">
        <f t="shared" si="78"/>
        <v>260</v>
      </c>
      <c r="K261">
        <f t="shared" si="79"/>
        <v>1.4401925703841501</v>
      </c>
      <c r="L261">
        <f t="shared" si="80"/>
        <v>1.26645031675154</v>
      </c>
      <c r="M261">
        <v>261</v>
      </c>
      <c r="N261">
        <f t="shared" si="81"/>
        <v>260</v>
      </c>
      <c r="O261">
        <f t="shared" si="82"/>
        <v>0.43695743380457397</v>
      </c>
      <c r="P261">
        <f t="shared" si="83"/>
        <v>0.253817018041334</v>
      </c>
      <c r="Q261">
        <v>261</v>
      </c>
      <c r="R261">
        <f t="shared" si="84"/>
        <v>260</v>
      </c>
      <c r="S261">
        <f t="shared" si="85"/>
        <v>1.3719599427753819</v>
      </c>
      <c r="T261">
        <f t="shared" si="86"/>
        <v>0</v>
      </c>
      <c r="U261">
        <v>261</v>
      </c>
      <c r="V261">
        <f t="shared" si="87"/>
        <v>260</v>
      </c>
      <c r="W261">
        <f t="shared" si="88"/>
        <v>1.3885554348495319</v>
      </c>
      <c r="X261">
        <f t="shared" si="89"/>
        <v>6.4805860110755301E-2</v>
      </c>
    </row>
    <row r="262" spans="1:24">
      <c r="A262">
        <v>262</v>
      </c>
      <c r="B262">
        <f t="shared" si="72"/>
        <v>261</v>
      </c>
      <c r="C262">
        <f t="shared" si="73"/>
        <v>0.38421196971398369</v>
      </c>
      <c r="D262">
        <f t="shared" si="74"/>
        <v>1.9572645941803399</v>
      </c>
      <c r="E262">
        <v>262</v>
      </c>
      <c r="F262">
        <f t="shared" si="75"/>
        <v>261</v>
      </c>
      <c r="G262">
        <f t="shared" si="76"/>
        <v>0.40045390945642328</v>
      </c>
      <c r="H262">
        <f t="shared" si="77"/>
        <v>1.89312269655345</v>
      </c>
      <c r="I262">
        <v>262</v>
      </c>
      <c r="J262">
        <f t="shared" si="78"/>
        <v>261</v>
      </c>
      <c r="K262">
        <f t="shared" si="79"/>
        <v>1.4408608098211984</v>
      </c>
      <c r="L262">
        <f t="shared" si="80"/>
        <v>1.73354968324846</v>
      </c>
      <c r="M262">
        <v>262</v>
      </c>
      <c r="N262">
        <f t="shared" si="81"/>
        <v>261</v>
      </c>
      <c r="O262">
        <f t="shared" si="82"/>
        <v>0.43766182001904796</v>
      </c>
      <c r="P262">
        <f t="shared" si="83"/>
        <v>0.74618298195866595</v>
      </c>
      <c r="Q262">
        <v>262</v>
      </c>
      <c r="R262">
        <f t="shared" si="84"/>
        <v>261</v>
      </c>
      <c r="S262">
        <f t="shared" si="85"/>
        <v>1.3733905579399026</v>
      </c>
      <c r="T262">
        <f t="shared" si="86"/>
        <v>1</v>
      </c>
      <c r="U262">
        <v>262</v>
      </c>
      <c r="V262">
        <f t="shared" si="87"/>
        <v>261</v>
      </c>
      <c r="W262">
        <f t="shared" si="88"/>
        <v>1.3898006255216042</v>
      </c>
      <c r="X262">
        <f t="shared" si="89"/>
        <v>0.93519413988924505</v>
      </c>
    </row>
    <row r="263" spans="1:24">
      <c r="A263">
        <v>263</v>
      </c>
      <c r="B263">
        <f t="shared" si="72"/>
        <v>262</v>
      </c>
      <c r="C263">
        <f t="shared" si="73"/>
        <v>0.38552030903924933</v>
      </c>
      <c r="D263">
        <f t="shared" si="74"/>
        <v>1.0427354058196601</v>
      </c>
      <c r="E263">
        <v>263</v>
      </c>
      <c r="F263">
        <f t="shared" si="75"/>
        <v>262</v>
      </c>
      <c r="G263">
        <f t="shared" si="76"/>
        <v>0.40157872403883654</v>
      </c>
      <c r="H263">
        <f t="shared" si="77"/>
        <v>1.10687730344655</v>
      </c>
      <c r="I263">
        <v>263</v>
      </c>
      <c r="J263">
        <f t="shared" si="78"/>
        <v>262</v>
      </c>
      <c r="K263">
        <f t="shared" si="79"/>
        <v>1.4415290492582469</v>
      </c>
      <c r="L263">
        <f t="shared" si="80"/>
        <v>1.26645031675154</v>
      </c>
      <c r="M263">
        <v>263</v>
      </c>
      <c r="N263">
        <f t="shared" si="81"/>
        <v>262</v>
      </c>
      <c r="O263">
        <f t="shared" si="82"/>
        <v>0.43836620623352196</v>
      </c>
      <c r="P263">
        <f t="shared" si="83"/>
        <v>0.253817018041334</v>
      </c>
      <c r="Q263">
        <v>263</v>
      </c>
      <c r="R263">
        <f t="shared" si="84"/>
        <v>262</v>
      </c>
      <c r="S263">
        <f t="shared" si="85"/>
        <v>1.3748211731044233</v>
      </c>
      <c r="T263">
        <f t="shared" si="86"/>
        <v>0</v>
      </c>
      <c r="U263">
        <v>263</v>
      </c>
      <c r="V263">
        <f t="shared" si="87"/>
        <v>262</v>
      </c>
      <c r="W263">
        <f t="shared" si="88"/>
        <v>1.3910458161936763</v>
      </c>
      <c r="X263">
        <f t="shared" si="89"/>
        <v>6.4805860110755301E-2</v>
      </c>
    </row>
    <row r="264" spans="1:24">
      <c r="A264">
        <v>264</v>
      </c>
      <c r="B264">
        <f t="shared" si="72"/>
        <v>263</v>
      </c>
      <c r="C264">
        <f t="shared" si="73"/>
        <v>0.38682864836451492</v>
      </c>
      <c r="D264">
        <f t="shared" si="74"/>
        <v>1.9572645941803399</v>
      </c>
      <c r="E264">
        <v>264</v>
      </c>
      <c r="F264">
        <f t="shared" si="75"/>
        <v>263</v>
      </c>
      <c r="G264">
        <f t="shared" si="76"/>
        <v>0.40270353862124986</v>
      </c>
      <c r="H264">
        <f t="shared" si="77"/>
        <v>1.89312269655345</v>
      </c>
      <c r="I264">
        <v>264</v>
      </c>
      <c r="J264">
        <f t="shared" si="78"/>
        <v>263</v>
      </c>
      <c r="K264">
        <f t="shared" si="79"/>
        <v>1.4421972886952954</v>
      </c>
      <c r="L264">
        <f t="shared" si="80"/>
        <v>1.73354968324846</v>
      </c>
      <c r="M264">
        <v>264</v>
      </c>
      <c r="N264">
        <f t="shared" si="81"/>
        <v>263</v>
      </c>
      <c r="O264">
        <f t="shared" si="82"/>
        <v>0.43907059244799596</v>
      </c>
      <c r="P264">
        <f t="shared" si="83"/>
        <v>0.74618298195866595</v>
      </c>
      <c r="Q264">
        <v>264</v>
      </c>
      <c r="R264">
        <f t="shared" si="84"/>
        <v>263</v>
      </c>
      <c r="S264">
        <f t="shared" si="85"/>
        <v>1.376251788268944</v>
      </c>
      <c r="T264">
        <f t="shared" si="86"/>
        <v>1</v>
      </c>
      <c r="U264">
        <v>264</v>
      </c>
      <c r="V264">
        <f t="shared" si="87"/>
        <v>263</v>
      </c>
      <c r="W264">
        <f t="shared" si="88"/>
        <v>1.3922910068657486</v>
      </c>
      <c r="X264">
        <f t="shared" si="89"/>
        <v>0.93519413988924505</v>
      </c>
    </row>
    <row r="265" spans="1:24">
      <c r="A265">
        <v>265</v>
      </c>
      <c r="B265">
        <f t="shared" si="72"/>
        <v>264</v>
      </c>
      <c r="C265">
        <f t="shared" si="73"/>
        <v>0.3881369876897805</v>
      </c>
      <c r="D265">
        <f t="shared" si="74"/>
        <v>1.0427354058196601</v>
      </c>
      <c r="E265">
        <v>265</v>
      </c>
      <c r="F265">
        <f t="shared" si="75"/>
        <v>264</v>
      </c>
      <c r="G265">
        <f t="shared" si="76"/>
        <v>0.40382835320366317</v>
      </c>
      <c r="H265">
        <f t="shared" si="77"/>
        <v>1.10687730344655</v>
      </c>
      <c r="I265">
        <v>265</v>
      </c>
      <c r="J265">
        <f t="shared" si="78"/>
        <v>264</v>
      </c>
      <c r="K265">
        <f t="shared" si="79"/>
        <v>1.4428655281323439</v>
      </c>
      <c r="L265">
        <f t="shared" si="80"/>
        <v>1.26645031675154</v>
      </c>
      <c r="M265">
        <v>265</v>
      </c>
      <c r="N265">
        <f t="shared" si="81"/>
        <v>264</v>
      </c>
      <c r="O265">
        <f t="shared" si="82"/>
        <v>0.43977497866246995</v>
      </c>
      <c r="P265">
        <f t="shared" si="83"/>
        <v>0.253817018041334</v>
      </c>
      <c r="Q265">
        <v>265</v>
      </c>
      <c r="R265">
        <f t="shared" si="84"/>
        <v>264</v>
      </c>
      <c r="S265">
        <f t="shared" si="85"/>
        <v>1.3776824034334647</v>
      </c>
      <c r="T265">
        <f t="shared" si="86"/>
        <v>0</v>
      </c>
      <c r="U265">
        <v>265</v>
      </c>
      <c r="V265">
        <f t="shared" si="87"/>
        <v>264</v>
      </c>
      <c r="W265">
        <f t="shared" si="88"/>
        <v>1.3935361975378207</v>
      </c>
      <c r="X265">
        <f t="shared" si="89"/>
        <v>6.4805860110755301E-2</v>
      </c>
    </row>
    <row r="266" spans="1:24">
      <c r="A266">
        <v>266</v>
      </c>
      <c r="B266">
        <f t="shared" si="72"/>
        <v>265</v>
      </c>
      <c r="C266">
        <f t="shared" si="73"/>
        <v>0.38944532701504614</v>
      </c>
      <c r="D266">
        <f t="shared" si="74"/>
        <v>1.9572645941803399</v>
      </c>
      <c r="E266">
        <v>266</v>
      </c>
      <c r="F266">
        <f t="shared" si="75"/>
        <v>265</v>
      </c>
      <c r="G266">
        <f t="shared" si="76"/>
        <v>0.40495316778607648</v>
      </c>
      <c r="H266">
        <f t="shared" si="77"/>
        <v>1.89312269655345</v>
      </c>
      <c r="I266">
        <v>266</v>
      </c>
      <c r="J266">
        <f t="shared" si="78"/>
        <v>265</v>
      </c>
      <c r="K266">
        <f t="shared" si="79"/>
        <v>1.4435337675693924</v>
      </c>
      <c r="L266">
        <f t="shared" si="80"/>
        <v>1.73354968324846</v>
      </c>
      <c r="M266">
        <v>266</v>
      </c>
      <c r="N266">
        <f t="shared" si="81"/>
        <v>265</v>
      </c>
      <c r="O266">
        <f t="shared" si="82"/>
        <v>0.44047936487694395</v>
      </c>
      <c r="P266">
        <f t="shared" si="83"/>
        <v>0.74618298195866595</v>
      </c>
      <c r="Q266">
        <v>266</v>
      </c>
      <c r="R266">
        <f t="shared" si="84"/>
        <v>265</v>
      </c>
      <c r="S266">
        <f t="shared" si="85"/>
        <v>1.3791130185979854</v>
      </c>
      <c r="T266">
        <f t="shared" si="86"/>
        <v>1</v>
      </c>
      <c r="U266">
        <v>266</v>
      </c>
      <c r="V266">
        <f t="shared" si="87"/>
        <v>265</v>
      </c>
      <c r="W266">
        <f t="shared" si="88"/>
        <v>1.3947813882098929</v>
      </c>
      <c r="X266">
        <f t="shared" si="89"/>
        <v>0.93519413988924505</v>
      </c>
    </row>
    <row r="267" spans="1:24">
      <c r="A267">
        <v>267</v>
      </c>
      <c r="B267">
        <f t="shared" si="72"/>
        <v>266</v>
      </c>
      <c r="C267">
        <f t="shared" si="73"/>
        <v>0.39075366634031172</v>
      </c>
      <c r="D267">
        <f t="shared" si="74"/>
        <v>1.0427354058196601</v>
      </c>
      <c r="E267">
        <v>267</v>
      </c>
      <c r="F267">
        <f t="shared" si="75"/>
        <v>266</v>
      </c>
      <c r="G267">
        <f t="shared" si="76"/>
        <v>0.4060779823684898</v>
      </c>
      <c r="H267">
        <f t="shared" si="77"/>
        <v>1.10687730344655</v>
      </c>
      <c r="I267">
        <v>267</v>
      </c>
      <c r="J267">
        <f t="shared" si="78"/>
        <v>266</v>
      </c>
      <c r="K267">
        <f t="shared" si="79"/>
        <v>1.444202007006441</v>
      </c>
      <c r="L267">
        <f t="shared" si="80"/>
        <v>1.26645031675154</v>
      </c>
      <c r="M267">
        <v>267</v>
      </c>
      <c r="N267">
        <f t="shared" si="81"/>
        <v>266</v>
      </c>
      <c r="O267">
        <f t="shared" si="82"/>
        <v>0.441183751091418</v>
      </c>
      <c r="P267">
        <f t="shared" si="83"/>
        <v>0.253817018041334</v>
      </c>
      <c r="Q267">
        <v>267</v>
      </c>
      <c r="R267">
        <f t="shared" si="84"/>
        <v>266</v>
      </c>
      <c r="S267">
        <f t="shared" si="85"/>
        <v>1.3805436337625061</v>
      </c>
      <c r="T267">
        <f t="shared" si="86"/>
        <v>0</v>
      </c>
      <c r="U267">
        <v>267</v>
      </c>
      <c r="V267">
        <f t="shared" si="87"/>
        <v>266</v>
      </c>
      <c r="W267">
        <f t="shared" si="88"/>
        <v>1.396026578881965</v>
      </c>
      <c r="X267">
        <f t="shared" si="89"/>
        <v>6.4805860110755301E-2</v>
      </c>
    </row>
    <row r="268" spans="1:24">
      <c r="A268">
        <v>268</v>
      </c>
      <c r="B268">
        <f t="shared" si="72"/>
        <v>267</v>
      </c>
      <c r="C268">
        <f t="shared" si="73"/>
        <v>0.39206200566557731</v>
      </c>
      <c r="D268">
        <f t="shared" si="74"/>
        <v>1.9572645941803399</v>
      </c>
      <c r="E268">
        <v>268</v>
      </c>
      <c r="F268">
        <f t="shared" si="75"/>
        <v>267</v>
      </c>
      <c r="G268">
        <f t="shared" si="76"/>
        <v>0.40720279695090306</v>
      </c>
      <c r="H268">
        <f t="shared" si="77"/>
        <v>1.89312269655345</v>
      </c>
      <c r="I268">
        <v>268</v>
      </c>
      <c r="J268">
        <f t="shared" si="78"/>
        <v>267</v>
      </c>
      <c r="K268">
        <f t="shared" si="79"/>
        <v>1.4448702464434895</v>
      </c>
      <c r="L268">
        <f t="shared" si="80"/>
        <v>1.73354968324846</v>
      </c>
      <c r="M268">
        <v>268</v>
      </c>
      <c r="N268">
        <f t="shared" si="81"/>
        <v>267</v>
      </c>
      <c r="O268">
        <f t="shared" si="82"/>
        <v>0.44188813730589199</v>
      </c>
      <c r="P268">
        <f t="shared" si="83"/>
        <v>0.74618298195866595</v>
      </c>
      <c r="Q268">
        <v>268</v>
      </c>
      <c r="R268">
        <f t="shared" si="84"/>
        <v>267</v>
      </c>
      <c r="S268">
        <f t="shared" si="85"/>
        <v>1.3819742489270268</v>
      </c>
      <c r="T268">
        <f t="shared" si="86"/>
        <v>1</v>
      </c>
      <c r="U268">
        <v>268</v>
      </c>
      <c r="V268">
        <f t="shared" si="87"/>
        <v>267</v>
      </c>
      <c r="W268">
        <f t="shared" si="88"/>
        <v>1.3972717695540373</v>
      </c>
      <c r="X268">
        <f t="shared" si="89"/>
        <v>0.93519413988924505</v>
      </c>
    </row>
    <row r="269" spans="1:24">
      <c r="A269">
        <v>269</v>
      </c>
      <c r="B269">
        <f t="shared" si="72"/>
        <v>268</v>
      </c>
      <c r="C269">
        <f t="shared" si="73"/>
        <v>0.39337034499084289</v>
      </c>
      <c r="D269">
        <f t="shared" si="74"/>
        <v>1.0427354058196601</v>
      </c>
      <c r="E269">
        <v>269</v>
      </c>
      <c r="F269">
        <f t="shared" si="75"/>
        <v>268</v>
      </c>
      <c r="G269">
        <f t="shared" si="76"/>
        <v>0.40832761153331637</v>
      </c>
      <c r="H269">
        <f t="shared" si="77"/>
        <v>1.10687730344655</v>
      </c>
      <c r="I269">
        <v>269</v>
      </c>
      <c r="J269">
        <f t="shared" si="78"/>
        <v>268</v>
      </c>
      <c r="K269">
        <f t="shared" si="79"/>
        <v>1.445538485880538</v>
      </c>
      <c r="L269">
        <f t="shared" si="80"/>
        <v>1.26645031675154</v>
      </c>
      <c r="M269">
        <v>269</v>
      </c>
      <c r="N269">
        <f t="shared" si="81"/>
        <v>268</v>
      </c>
      <c r="O269">
        <f t="shared" si="82"/>
        <v>0.44259252352036599</v>
      </c>
      <c r="P269">
        <f t="shared" si="83"/>
        <v>0.253817018041334</v>
      </c>
      <c r="Q269">
        <v>269</v>
      </c>
      <c r="R269">
        <f t="shared" si="84"/>
        <v>268</v>
      </c>
      <c r="S269">
        <f t="shared" si="85"/>
        <v>1.3834048640915475</v>
      </c>
      <c r="T269">
        <f t="shared" si="86"/>
        <v>0</v>
      </c>
      <c r="U269">
        <v>269</v>
      </c>
      <c r="V269">
        <f t="shared" si="87"/>
        <v>268</v>
      </c>
      <c r="W269">
        <f t="shared" si="88"/>
        <v>1.3985169602261096</v>
      </c>
      <c r="X269">
        <f t="shared" si="89"/>
        <v>6.4805860110755301E-2</v>
      </c>
    </row>
    <row r="270" spans="1:24">
      <c r="A270">
        <v>270</v>
      </c>
      <c r="B270">
        <f t="shared" si="72"/>
        <v>269</v>
      </c>
      <c r="C270">
        <f t="shared" si="73"/>
        <v>0.39467868431610853</v>
      </c>
      <c r="D270">
        <f t="shared" si="74"/>
        <v>1.9572645941803399</v>
      </c>
      <c r="E270">
        <v>270</v>
      </c>
      <c r="F270">
        <f t="shared" si="75"/>
        <v>269</v>
      </c>
      <c r="G270">
        <f t="shared" si="76"/>
        <v>0.40945242611572968</v>
      </c>
      <c r="H270">
        <f t="shared" si="77"/>
        <v>1.89312269655345</v>
      </c>
      <c r="I270">
        <v>270</v>
      </c>
      <c r="J270">
        <f t="shared" si="78"/>
        <v>269</v>
      </c>
      <c r="K270">
        <f t="shared" si="79"/>
        <v>1.4462067253175865</v>
      </c>
      <c r="L270">
        <f t="shared" si="80"/>
        <v>1.73354968324846</v>
      </c>
      <c r="M270">
        <v>270</v>
      </c>
      <c r="N270">
        <f t="shared" si="81"/>
        <v>269</v>
      </c>
      <c r="O270">
        <f t="shared" si="82"/>
        <v>0.44329690973483998</v>
      </c>
      <c r="P270">
        <f t="shared" si="83"/>
        <v>0.74618298195866595</v>
      </c>
      <c r="Q270">
        <v>270</v>
      </c>
      <c r="R270">
        <f t="shared" si="84"/>
        <v>269</v>
      </c>
      <c r="S270">
        <f t="shared" si="85"/>
        <v>1.3848354792560682</v>
      </c>
      <c r="T270">
        <f t="shared" si="86"/>
        <v>1</v>
      </c>
      <c r="U270">
        <v>270</v>
      </c>
      <c r="V270">
        <f t="shared" si="87"/>
        <v>269</v>
      </c>
      <c r="W270">
        <f t="shared" si="88"/>
        <v>1.3997621508981817</v>
      </c>
      <c r="X270">
        <f t="shared" si="89"/>
        <v>0.93519413988924505</v>
      </c>
    </row>
    <row r="271" spans="1:24">
      <c r="A271">
        <v>271</v>
      </c>
      <c r="B271">
        <f t="shared" si="72"/>
        <v>270</v>
      </c>
      <c r="C271">
        <f t="shared" si="73"/>
        <v>0.39598702364137411</v>
      </c>
      <c r="D271">
        <f t="shared" si="74"/>
        <v>1.0427354058196601</v>
      </c>
      <c r="E271">
        <v>271</v>
      </c>
      <c r="F271">
        <f t="shared" si="75"/>
        <v>270</v>
      </c>
      <c r="G271">
        <f t="shared" si="76"/>
        <v>0.41057724069814294</v>
      </c>
      <c r="H271">
        <f t="shared" si="77"/>
        <v>1.10687730344655</v>
      </c>
      <c r="I271">
        <v>271</v>
      </c>
      <c r="J271">
        <f t="shared" si="78"/>
        <v>270</v>
      </c>
      <c r="K271">
        <f t="shared" si="79"/>
        <v>1.4468749647546351</v>
      </c>
      <c r="L271">
        <f t="shared" si="80"/>
        <v>1.26645031675154</v>
      </c>
      <c r="M271">
        <v>271</v>
      </c>
      <c r="N271">
        <f t="shared" si="81"/>
        <v>270</v>
      </c>
      <c r="O271">
        <f t="shared" si="82"/>
        <v>0.44400129594931398</v>
      </c>
      <c r="P271">
        <f t="shared" si="83"/>
        <v>0.253817018041334</v>
      </c>
      <c r="Q271">
        <v>271</v>
      </c>
      <c r="R271">
        <f t="shared" si="84"/>
        <v>270</v>
      </c>
      <c r="S271">
        <f t="shared" si="85"/>
        <v>1.3862660944205889</v>
      </c>
      <c r="T271">
        <f t="shared" si="86"/>
        <v>0</v>
      </c>
      <c r="U271">
        <v>271</v>
      </c>
      <c r="V271">
        <f t="shared" si="87"/>
        <v>270</v>
      </c>
      <c r="W271">
        <f t="shared" si="88"/>
        <v>1.401007341570254</v>
      </c>
      <c r="X271">
        <f t="shared" si="89"/>
        <v>6.4805860110755301E-2</v>
      </c>
    </row>
    <row r="272" spans="1:24">
      <c r="A272">
        <v>272</v>
      </c>
      <c r="B272">
        <f t="shared" si="72"/>
        <v>271</v>
      </c>
      <c r="C272">
        <f t="shared" si="73"/>
        <v>0.3972953629666397</v>
      </c>
      <c r="D272">
        <f t="shared" si="74"/>
        <v>1.9572645941803399</v>
      </c>
      <c r="E272">
        <v>272</v>
      </c>
      <c r="F272">
        <f t="shared" si="75"/>
        <v>271</v>
      </c>
      <c r="G272">
        <f t="shared" si="76"/>
        <v>0.41170205528055626</v>
      </c>
      <c r="H272">
        <f t="shared" si="77"/>
        <v>1.89312269655345</v>
      </c>
      <c r="I272">
        <v>272</v>
      </c>
      <c r="J272">
        <f t="shared" si="78"/>
        <v>271</v>
      </c>
      <c r="K272">
        <f t="shared" si="79"/>
        <v>1.4475432041916834</v>
      </c>
      <c r="L272">
        <f t="shared" si="80"/>
        <v>1.73354968324846</v>
      </c>
      <c r="M272">
        <v>272</v>
      </c>
      <c r="N272">
        <f t="shared" si="81"/>
        <v>271</v>
      </c>
      <c r="O272">
        <f t="shared" si="82"/>
        <v>0.44470568216378797</v>
      </c>
      <c r="P272">
        <f t="shared" si="83"/>
        <v>0.74618298195866595</v>
      </c>
      <c r="Q272">
        <v>272</v>
      </c>
      <c r="R272">
        <f t="shared" si="84"/>
        <v>271</v>
      </c>
      <c r="S272">
        <f t="shared" si="85"/>
        <v>1.3876967095851096</v>
      </c>
      <c r="T272">
        <f t="shared" si="86"/>
        <v>1</v>
      </c>
      <c r="U272">
        <v>272</v>
      </c>
      <c r="V272">
        <f t="shared" si="87"/>
        <v>271</v>
      </c>
      <c r="W272">
        <f t="shared" si="88"/>
        <v>1.402252532242326</v>
      </c>
      <c r="X272">
        <f t="shared" si="89"/>
        <v>0.93519413988924505</v>
      </c>
    </row>
    <row r="273" spans="1:24">
      <c r="A273">
        <v>273</v>
      </c>
      <c r="B273">
        <f t="shared" si="72"/>
        <v>272</v>
      </c>
      <c r="C273">
        <f t="shared" si="73"/>
        <v>0.39860370229190534</v>
      </c>
      <c r="D273">
        <f t="shared" si="74"/>
        <v>1.0427354058196601</v>
      </c>
      <c r="E273">
        <v>273</v>
      </c>
      <c r="F273">
        <f t="shared" si="75"/>
        <v>272</v>
      </c>
      <c r="G273">
        <f t="shared" si="76"/>
        <v>0.41282686986296957</v>
      </c>
      <c r="H273">
        <f t="shared" si="77"/>
        <v>1.10687730344655</v>
      </c>
      <c r="I273">
        <v>273</v>
      </c>
      <c r="J273">
        <f t="shared" si="78"/>
        <v>272</v>
      </c>
      <c r="K273">
        <f t="shared" si="79"/>
        <v>1.4482114436287319</v>
      </c>
      <c r="L273">
        <f t="shared" si="80"/>
        <v>1.26645031675154</v>
      </c>
      <c r="M273">
        <v>273</v>
      </c>
      <c r="N273">
        <f t="shared" si="81"/>
        <v>272</v>
      </c>
      <c r="O273">
        <f t="shared" si="82"/>
        <v>0.44541006837826203</v>
      </c>
      <c r="P273">
        <f t="shared" si="83"/>
        <v>0.253817018041334</v>
      </c>
      <c r="Q273">
        <v>273</v>
      </c>
      <c r="R273">
        <f t="shared" si="84"/>
        <v>272</v>
      </c>
      <c r="S273">
        <f t="shared" si="85"/>
        <v>1.3891273247496303</v>
      </c>
      <c r="T273">
        <f t="shared" si="86"/>
        <v>0</v>
      </c>
      <c r="U273">
        <v>273</v>
      </c>
      <c r="V273">
        <f t="shared" si="87"/>
        <v>272</v>
      </c>
      <c r="W273">
        <f t="shared" si="88"/>
        <v>1.4034977229143983</v>
      </c>
      <c r="X273">
        <f t="shared" si="89"/>
        <v>6.4805860110755301E-2</v>
      </c>
    </row>
    <row r="274" spans="1:24">
      <c r="A274">
        <v>274</v>
      </c>
      <c r="B274">
        <f t="shared" si="72"/>
        <v>273</v>
      </c>
      <c r="C274">
        <f t="shared" si="73"/>
        <v>0.39991204161717092</v>
      </c>
      <c r="D274">
        <f t="shared" si="74"/>
        <v>1.9572645941803399</v>
      </c>
      <c r="E274">
        <v>274</v>
      </c>
      <c r="F274">
        <f t="shared" si="75"/>
        <v>273</v>
      </c>
      <c r="G274">
        <f t="shared" si="76"/>
        <v>0.41395168444538288</v>
      </c>
      <c r="H274">
        <f t="shared" si="77"/>
        <v>1.89312269655345</v>
      </c>
      <c r="I274">
        <v>274</v>
      </c>
      <c r="J274">
        <f t="shared" si="78"/>
        <v>273</v>
      </c>
      <c r="K274">
        <f t="shared" si="79"/>
        <v>1.4488796830657804</v>
      </c>
      <c r="L274">
        <f t="shared" si="80"/>
        <v>1.73354968324846</v>
      </c>
      <c r="M274">
        <v>274</v>
      </c>
      <c r="N274">
        <f t="shared" si="81"/>
        <v>273</v>
      </c>
      <c r="O274">
        <f t="shared" si="82"/>
        <v>0.44611445459273602</v>
      </c>
      <c r="P274">
        <f t="shared" si="83"/>
        <v>0.74618298195866595</v>
      </c>
      <c r="Q274">
        <v>274</v>
      </c>
      <c r="R274">
        <f t="shared" si="84"/>
        <v>273</v>
      </c>
      <c r="S274">
        <f t="shared" si="85"/>
        <v>1.390557939914151</v>
      </c>
      <c r="T274">
        <f t="shared" si="86"/>
        <v>1</v>
      </c>
      <c r="U274">
        <v>274</v>
      </c>
      <c r="V274">
        <f t="shared" si="87"/>
        <v>273</v>
      </c>
      <c r="W274">
        <f t="shared" si="88"/>
        <v>1.4047429135864706</v>
      </c>
      <c r="X274">
        <f t="shared" si="89"/>
        <v>0.93519413988924505</v>
      </c>
    </row>
    <row r="275" spans="1:24">
      <c r="A275">
        <v>275</v>
      </c>
      <c r="B275">
        <f t="shared" si="72"/>
        <v>274</v>
      </c>
      <c r="C275">
        <f t="shared" si="73"/>
        <v>0.40122038094243651</v>
      </c>
      <c r="D275">
        <f t="shared" si="74"/>
        <v>1.0427354058196601</v>
      </c>
      <c r="E275">
        <v>275</v>
      </c>
      <c r="F275">
        <f t="shared" si="75"/>
        <v>274</v>
      </c>
      <c r="G275">
        <f t="shared" si="76"/>
        <v>0.4150764990277962</v>
      </c>
      <c r="H275">
        <f t="shared" si="77"/>
        <v>1.10687730344655</v>
      </c>
      <c r="I275">
        <v>275</v>
      </c>
      <c r="J275">
        <f t="shared" si="78"/>
        <v>274</v>
      </c>
      <c r="K275">
        <f t="shared" si="79"/>
        <v>1.4495479225028289</v>
      </c>
      <c r="L275">
        <f t="shared" si="80"/>
        <v>1.26645031675154</v>
      </c>
      <c r="M275">
        <v>275</v>
      </c>
      <c r="N275">
        <f t="shared" si="81"/>
        <v>274</v>
      </c>
      <c r="O275">
        <f t="shared" si="82"/>
        <v>0.44681884080721002</v>
      </c>
      <c r="P275">
        <f t="shared" si="83"/>
        <v>0.253817018041334</v>
      </c>
      <c r="Q275">
        <v>275</v>
      </c>
      <c r="R275">
        <f t="shared" si="84"/>
        <v>274</v>
      </c>
      <c r="S275">
        <f t="shared" si="85"/>
        <v>1.3919885550786717</v>
      </c>
      <c r="T275">
        <f t="shared" si="86"/>
        <v>0</v>
      </c>
      <c r="U275">
        <v>275</v>
      </c>
      <c r="V275">
        <f t="shared" si="87"/>
        <v>274</v>
      </c>
      <c r="W275">
        <f t="shared" si="88"/>
        <v>1.4059881042585427</v>
      </c>
      <c r="X275">
        <f t="shared" si="89"/>
        <v>6.4805860110755301E-2</v>
      </c>
    </row>
    <row r="276" spans="1:24">
      <c r="A276">
        <v>276</v>
      </c>
      <c r="B276">
        <f t="shared" si="72"/>
        <v>275</v>
      </c>
      <c r="C276">
        <f t="shared" si="73"/>
        <v>0.40252872026770209</v>
      </c>
      <c r="D276">
        <f t="shared" si="74"/>
        <v>1.9572645941803399</v>
      </c>
      <c r="E276">
        <v>276</v>
      </c>
      <c r="F276">
        <f t="shared" si="75"/>
        <v>275</v>
      </c>
      <c r="G276">
        <f t="shared" si="76"/>
        <v>0.41620131361020946</v>
      </c>
      <c r="H276">
        <f t="shared" si="77"/>
        <v>1.89312269655345</v>
      </c>
      <c r="I276">
        <v>276</v>
      </c>
      <c r="J276">
        <f t="shared" si="78"/>
        <v>275</v>
      </c>
      <c r="K276">
        <f t="shared" si="79"/>
        <v>1.4502161619398775</v>
      </c>
      <c r="L276">
        <f t="shared" si="80"/>
        <v>1.73354968324846</v>
      </c>
      <c r="M276">
        <v>276</v>
      </c>
      <c r="N276">
        <f t="shared" si="81"/>
        <v>275</v>
      </c>
      <c r="O276">
        <f t="shared" si="82"/>
        <v>0.44752322702168401</v>
      </c>
      <c r="P276">
        <f t="shared" si="83"/>
        <v>0.74618298195866595</v>
      </c>
      <c r="Q276">
        <v>276</v>
      </c>
      <c r="R276">
        <f t="shared" si="84"/>
        <v>275</v>
      </c>
      <c r="S276">
        <f t="shared" si="85"/>
        <v>1.3934191702431924</v>
      </c>
      <c r="T276">
        <f t="shared" si="86"/>
        <v>1</v>
      </c>
      <c r="U276">
        <v>276</v>
      </c>
      <c r="V276">
        <f t="shared" si="87"/>
        <v>275</v>
      </c>
      <c r="W276">
        <f t="shared" si="88"/>
        <v>1.407233294930615</v>
      </c>
      <c r="X276">
        <f t="shared" si="89"/>
        <v>0.93519413988924505</v>
      </c>
    </row>
    <row r="277" spans="1:24">
      <c r="A277">
        <v>277</v>
      </c>
      <c r="B277">
        <f t="shared" si="72"/>
        <v>276</v>
      </c>
      <c r="C277">
        <f t="shared" si="73"/>
        <v>0.40383705959296773</v>
      </c>
      <c r="D277">
        <f t="shared" si="74"/>
        <v>1.0427354058196601</v>
      </c>
      <c r="E277">
        <v>277</v>
      </c>
      <c r="F277">
        <f t="shared" si="75"/>
        <v>276</v>
      </c>
      <c r="G277">
        <f t="shared" si="76"/>
        <v>0.41732612819262277</v>
      </c>
      <c r="H277">
        <f t="shared" si="77"/>
        <v>1.10687730344655</v>
      </c>
      <c r="I277">
        <v>277</v>
      </c>
      <c r="J277">
        <f t="shared" si="78"/>
        <v>276</v>
      </c>
      <c r="K277">
        <f t="shared" si="79"/>
        <v>1.450884401376926</v>
      </c>
      <c r="L277">
        <f t="shared" si="80"/>
        <v>1.26645031675154</v>
      </c>
      <c r="M277">
        <v>277</v>
      </c>
      <c r="N277">
        <f t="shared" si="81"/>
        <v>276</v>
      </c>
      <c r="O277">
        <f t="shared" si="82"/>
        <v>0.44822761323615801</v>
      </c>
      <c r="P277">
        <f t="shared" si="83"/>
        <v>0.253817018041334</v>
      </c>
      <c r="Q277">
        <v>277</v>
      </c>
      <c r="R277">
        <f t="shared" si="84"/>
        <v>276</v>
      </c>
      <c r="S277">
        <f t="shared" si="85"/>
        <v>1.3948497854077131</v>
      </c>
      <c r="T277">
        <f t="shared" si="86"/>
        <v>0</v>
      </c>
      <c r="U277">
        <v>277</v>
      </c>
      <c r="V277">
        <f t="shared" si="87"/>
        <v>276</v>
      </c>
      <c r="W277">
        <f t="shared" si="88"/>
        <v>1.4084784856026871</v>
      </c>
      <c r="X277">
        <f t="shared" si="89"/>
        <v>6.4805860110755301E-2</v>
      </c>
    </row>
    <row r="278" spans="1:24">
      <c r="A278">
        <v>278</v>
      </c>
      <c r="B278">
        <f t="shared" si="72"/>
        <v>277</v>
      </c>
      <c r="C278">
        <f t="shared" si="73"/>
        <v>0.40514539891823331</v>
      </c>
      <c r="D278">
        <f t="shared" si="74"/>
        <v>1.9572645941803399</v>
      </c>
      <c r="E278">
        <v>278</v>
      </c>
      <c r="F278">
        <f t="shared" si="75"/>
        <v>277</v>
      </c>
      <c r="G278">
        <f t="shared" si="76"/>
        <v>0.41845094277503608</v>
      </c>
      <c r="H278">
        <f t="shared" si="77"/>
        <v>1.89312269655345</v>
      </c>
      <c r="I278">
        <v>278</v>
      </c>
      <c r="J278">
        <f t="shared" si="78"/>
        <v>277</v>
      </c>
      <c r="K278">
        <f t="shared" si="79"/>
        <v>1.4515526408139745</v>
      </c>
      <c r="L278">
        <f t="shared" si="80"/>
        <v>1.73354968324846</v>
      </c>
      <c r="M278">
        <v>278</v>
      </c>
      <c r="N278">
        <f t="shared" si="81"/>
        <v>277</v>
      </c>
      <c r="O278">
        <f t="shared" si="82"/>
        <v>0.448931999450632</v>
      </c>
      <c r="P278">
        <f t="shared" si="83"/>
        <v>0.74618298195866595</v>
      </c>
      <c r="Q278">
        <v>278</v>
      </c>
      <c r="R278">
        <f t="shared" si="84"/>
        <v>277</v>
      </c>
      <c r="S278">
        <f t="shared" si="85"/>
        <v>1.3962804005722338</v>
      </c>
      <c r="T278">
        <f t="shared" si="86"/>
        <v>1</v>
      </c>
      <c r="U278">
        <v>278</v>
      </c>
      <c r="V278">
        <f t="shared" si="87"/>
        <v>277</v>
      </c>
      <c r="W278">
        <f t="shared" si="88"/>
        <v>1.4097236762747594</v>
      </c>
      <c r="X278">
        <f t="shared" si="89"/>
        <v>0.93519413988924505</v>
      </c>
    </row>
    <row r="279" spans="1:24">
      <c r="A279">
        <v>279</v>
      </c>
      <c r="B279">
        <f t="shared" si="72"/>
        <v>278</v>
      </c>
      <c r="C279">
        <f t="shared" si="73"/>
        <v>0.4064537382434989</v>
      </c>
      <c r="D279">
        <f t="shared" si="74"/>
        <v>1.0427354058196601</v>
      </c>
      <c r="E279">
        <v>279</v>
      </c>
      <c r="F279">
        <f t="shared" si="75"/>
        <v>278</v>
      </c>
      <c r="G279">
        <f t="shared" si="76"/>
        <v>0.41957575735744934</v>
      </c>
      <c r="H279">
        <f t="shared" si="77"/>
        <v>1.10687730344655</v>
      </c>
      <c r="I279">
        <v>279</v>
      </c>
      <c r="J279">
        <f t="shared" si="78"/>
        <v>278</v>
      </c>
      <c r="K279">
        <f t="shared" si="79"/>
        <v>1.452220880251023</v>
      </c>
      <c r="L279">
        <f t="shared" si="80"/>
        <v>1.26645031675154</v>
      </c>
      <c r="M279">
        <v>279</v>
      </c>
      <c r="N279">
        <f t="shared" si="81"/>
        <v>278</v>
      </c>
      <c r="O279">
        <f t="shared" si="82"/>
        <v>0.449636385665106</v>
      </c>
      <c r="P279">
        <f t="shared" si="83"/>
        <v>0.253817018041334</v>
      </c>
      <c r="Q279">
        <v>279</v>
      </c>
      <c r="R279">
        <f t="shared" si="84"/>
        <v>278</v>
      </c>
      <c r="S279">
        <f t="shared" si="85"/>
        <v>1.3977110157367545</v>
      </c>
      <c r="T279">
        <f t="shared" si="86"/>
        <v>0</v>
      </c>
      <c r="U279">
        <v>279</v>
      </c>
      <c r="V279">
        <f t="shared" si="87"/>
        <v>278</v>
      </c>
      <c r="W279">
        <f t="shared" si="88"/>
        <v>1.4109688669468317</v>
      </c>
      <c r="X279">
        <f t="shared" si="89"/>
        <v>6.4805860110755301E-2</v>
      </c>
    </row>
    <row r="280" spans="1:24">
      <c r="A280">
        <v>280</v>
      </c>
      <c r="B280">
        <f t="shared" si="72"/>
        <v>279</v>
      </c>
      <c r="C280">
        <f t="shared" si="73"/>
        <v>0.40776207756876454</v>
      </c>
      <c r="D280">
        <f t="shared" si="74"/>
        <v>1.9572645941803399</v>
      </c>
      <c r="E280">
        <v>280</v>
      </c>
      <c r="F280">
        <f t="shared" si="75"/>
        <v>279</v>
      </c>
      <c r="G280">
        <f t="shared" si="76"/>
        <v>0.42070057193986266</v>
      </c>
      <c r="H280">
        <f t="shared" si="77"/>
        <v>1.89312269655345</v>
      </c>
      <c r="I280">
        <v>280</v>
      </c>
      <c r="J280">
        <f t="shared" si="78"/>
        <v>279</v>
      </c>
      <c r="K280">
        <f t="shared" si="79"/>
        <v>1.4528891196880716</v>
      </c>
      <c r="L280">
        <f t="shared" si="80"/>
        <v>1.73354968324846</v>
      </c>
      <c r="M280">
        <v>280</v>
      </c>
      <c r="N280">
        <f t="shared" si="81"/>
        <v>279</v>
      </c>
      <c r="O280">
        <f t="shared" si="82"/>
        <v>0.45034077187957999</v>
      </c>
      <c r="P280">
        <f t="shared" si="83"/>
        <v>0.74618298195866595</v>
      </c>
      <c r="Q280">
        <v>280</v>
      </c>
      <c r="R280">
        <f t="shared" si="84"/>
        <v>279</v>
      </c>
      <c r="S280">
        <f t="shared" si="85"/>
        <v>1.3991416309012752</v>
      </c>
      <c r="T280">
        <f t="shared" si="86"/>
        <v>1</v>
      </c>
      <c r="U280">
        <v>280</v>
      </c>
      <c r="V280">
        <f t="shared" si="87"/>
        <v>279</v>
      </c>
      <c r="W280">
        <f t="shared" si="88"/>
        <v>1.4122140576189037</v>
      </c>
      <c r="X280">
        <f t="shared" si="89"/>
        <v>0.93519413988924505</v>
      </c>
    </row>
    <row r="281" spans="1:24">
      <c r="A281">
        <v>281</v>
      </c>
      <c r="B281">
        <f t="shared" si="72"/>
        <v>280</v>
      </c>
      <c r="C281">
        <f t="shared" si="73"/>
        <v>0.40907041689403012</v>
      </c>
      <c r="D281">
        <f t="shared" si="74"/>
        <v>1.0427354058196601</v>
      </c>
      <c r="E281">
        <v>281</v>
      </c>
      <c r="F281">
        <f t="shared" si="75"/>
        <v>280</v>
      </c>
      <c r="G281">
        <f t="shared" si="76"/>
        <v>0.42182538652227597</v>
      </c>
      <c r="H281">
        <f t="shared" si="77"/>
        <v>1.10687730344655</v>
      </c>
      <c r="I281">
        <v>281</v>
      </c>
      <c r="J281">
        <f t="shared" si="78"/>
        <v>280</v>
      </c>
      <c r="K281">
        <f t="shared" si="79"/>
        <v>1.4535573591251199</v>
      </c>
      <c r="L281">
        <f t="shared" si="80"/>
        <v>1.26645031675154</v>
      </c>
      <c r="M281">
        <v>281</v>
      </c>
      <c r="N281">
        <f t="shared" si="81"/>
        <v>280</v>
      </c>
      <c r="O281">
        <f t="shared" si="82"/>
        <v>0.45104515809405399</v>
      </c>
      <c r="P281">
        <f t="shared" si="83"/>
        <v>0.253817018041334</v>
      </c>
      <c r="Q281">
        <v>281</v>
      </c>
      <c r="R281">
        <f t="shared" si="84"/>
        <v>280</v>
      </c>
      <c r="S281">
        <f t="shared" si="85"/>
        <v>1.4005722460657959</v>
      </c>
      <c r="T281">
        <f t="shared" si="86"/>
        <v>0</v>
      </c>
      <c r="U281">
        <v>281</v>
      </c>
      <c r="V281">
        <f t="shared" si="87"/>
        <v>280</v>
      </c>
      <c r="W281">
        <f t="shared" si="88"/>
        <v>1.4134592482909758</v>
      </c>
      <c r="X281">
        <f t="shared" si="89"/>
        <v>6.4805860110755301E-2</v>
      </c>
    </row>
    <row r="282" spans="1:24">
      <c r="A282">
        <v>282</v>
      </c>
      <c r="B282">
        <f t="shared" si="72"/>
        <v>281</v>
      </c>
      <c r="C282">
        <f t="shared" si="73"/>
        <v>0.4103787562192957</v>
      </c>
      <c r="D282">
        <f t="shared" si="74"/>
        <v>1.9572645941803399</v>
      </c>
      <c r="E282">
        <v>282</v>
      </c>
      <c r="F282">
        <f t="shared" si="75"/>
        <v>281</v>
      </c>
      <c r="G282">
        <f t="shared" si="76"/>
        <v>0.42295020110468928</v>
      </c>
      <c r="H282">
        <f t="shared" si="77"/>
        <v>1.89312269655345</v>
      </c>
      <c r="I282">
        <v>282</v>
      </c>
      <c r="J282">
        <f t="shared" si="78"/>
        <v>281</v>
      </c>
      <c r="K282">
        <f t="shared" si="79"/>
        <v>1.4542255985621684</v>
      </c>
      <c r="L282">
        <f t="shared" si="80"/>
        <v>1.73354968324846</v>
      </c>
      <c r="M282">
        <v>282</v>
      </c>
      <c r="N282">
        <f t="shared" si="81"/>
        <v>281</v>
      </c>
      <c r="O282">
        <f t="shared" si="82"/>
        <v>0.45174954430852798</v>
      </c>
      <c r="P282">
        <f t="shared" si="83"/>
        <v>0.74618298195866595</v>
      </c>
      <c r="Q282">
        <v>282</v>
      </c>
      <c r="R282">
        <f t="shared" si="84"/>
        <v>281</v>
      </c>
      <c r="S282">
        <f t="shared" si="85"/>
        <v>1.4020028612303166</v>
      </c>
      <c r="T282">
        <f t="shared" si="86"/>
        <v>1</v>
      </c>
      <c r="U282">
        <v>282</v>
      </c>
      <c r="V282">
        <f t="shared" si="87"/>
        <v>281</v>
      </c>
      <c r="W282">
        <f t="shared" si="88"/>
        <v>1.4147044389630481</v>
      </c>
      <c r="X282">
        <f t="shared" si="89"/>
        <v>0.93519413988924505</v>
      </c>
    </row>
    <row r="283" spans="1:24">
      <c r="A283">
        <v>283</v>
      </c>
      <c r="B283">
        <f t="shared" si="72"/>
        <v>282</v>
      </c>
      <c r="C283">
        <f t="shared" si="73"/>
        <v>0.41168709554456134</v>
      </c>
      <c r="D283">
        <f t="shared" si="74"/>
        <v>1.0427354058196601</v>
      </c>
      <c r="E283">
        <v>283</v>
      </c>
      <c r="F283">
        <f t="shared" si="75"/>
        <v>282</v>
      </c>
      <c r="G283">
        <f t="shared" si="76"/>
        <v>0.4240750156871026</v>
      </c>
      <c r="H283">
        <f t="shared" si="77"/>
        <v>1.10687730344655</v>
      </c>
      <c r="I283">
        <v>283</v>
      </c>
      <c r="J283">
        <f t="shared" si="78"/>
        <v>282</v>
      </c>
      <c r="K283">
        <f t="shared" si="79"/>
        <v>1.4548938379992169</v>
      </c>
      <c r="L283">
        <f t="shared" si="80"/>
        <v>1.26645031675154</v>
      </c>
      <c r="M283">
        <v>283</v>
      </c>
      <c r="N283">
        <f t="shared" si="81"/>
        <v>282</v>
      </c>
      <c r="O283">
        <f t="shared" si="82"/>
        <v>0.45245393052300198</v>
      </c>
      <c r="P283">
        <f t="shared" si="83"/>
        <v>0.253817018041334</v>
      </c>
      <c r="Q283">
        <v>283</v>
      </c>
      <c r="R283">
        <f t="shared" si="84"/>
        <v>282</v>
      </c>
      <c r="S283">
        <f t="shared" si="85"/>
        <v>1.4034334763948375</v>
      </c>
      <c r="T283">
        <f t="shared" si="86"/>
        <v>0</v>
      </c>
      <c r="U283">
        <v>283</v>
      </c>
      <c r="V283">
        <f t="shared" si="87"/>
        <v>282</v>
      </c>
      <c r="W283">
        <f t="shared" si="88"/>
        <v>1.4159496296351204</v>
      </c>
      <c r="X283">
        <f t="shared" si="89"/>
        <v>6.4805860110755301E-2</v>
      </c>
    </row>
    <row r="284" spans="1:24">
      <c r="A284">
        <v>284</v>
      </c>
      <c r="B284">
        <f t="shared" si="72"/>
        <v>283</v>
      </c>
      <c r="C284">
        <f t="shared" si="73"/>
        <v>0.41299543486982693</v>
      </c>
      <c r="D284">
        <f t="shared" si="74"/>
        <v>1.9572645941803399</v>
      </c>
      <c r="E284">
        <v>284</v>
      </c>
      <c r="F284">
        <f t="shared" si="75"/>
        <v>283</v>
      </c>
      <c r="G284">
        <f t="shared" si="76"/>
        <v>0.42519983026951585</v>
      </c>
      <c r="H284">
        <f t="shared" si="77"/>
        <v>1.89312269655345</v>
      </c>
      <c r="I284">
        <v>284</v>
      </c>
      <c r="J284">
        <f t="shared" si="78"/>
        <v>283</v>
      </c>
      <c r="K284">
        <f t="shared" si="79"/>
        <v>1.4555620774362654</v>
      </c>
      <c r="L284">
        <f t="shared" si="80"/>
        <v>1.73354968324846</v>
      </c>
      <c r="M284">
        <v>284</v>
      </c>
      <c r="N284">
        <f t="shared" si="81"/>
        <v>283</v>
      </c>
      <c r="O284">
        <f t="shared" si="82"/>
        <v>0.45315831673747597</v>
      </c>
      <c r="P284">
        <f t="shared" si="83"/>
        <v>0.74618298195866595</v>
      </c>
      <c r="Q284">
        <v>284</v>
      </c>
      <c r="R284">
        <f t="shared" si="84"/>
        <v>283</v>
      </c>
      <c r="S284">
        <f t="shared" si="85"/>
        <v>1.4048640915593582</v>
      </c>
      <c r="T284">
        <f t="shared" si="86"/>
        <v>1</v>
      </c>
      <c r="U284">
        <v>284</v>
      </c>
      <c r="V284">
        <f t="shared" si="87"/>
        <v>283</v>
      </c>
      <c r="W284">
        <f t="shared" si="88"/>
        <v>1.4171948203071925</v>
      </c>
      <c r="X284">
        <f t="shared" si="89"/>
        <v>0.93519413988924505</v>
      </c>
    </row>
    <row r="285" spans="1:24">
      <c r="A285">
        <v>285</v>
      </c>
      <c r="B285">
        <f t="shared" si="72"/>
        <v>284</v>
      </c>
      <c r="C285">
        <f t="shared" si="73"/>
        <v>0.41430377419509251</v>
      </c>
      <c r="D285">
        <f t="shared" si="74"/>
        <v>1.0427354058196601</v>
      </c>
      <c r="E285">
        <v>285</v>
      </c>
      <c r="F285">
        <f t="shared" si="75"/>
        <v>284</v>
      </c>
      <c r="G285">
        <f t="shared" si="76"/>
        <v>0.42632464485192917</v>
      </c>
      <c r="H285">
        <f t="shared" si="77"/>
        <v>1.10687730344655</v>
      </c>
      <c r="I285">
        <v>285</v>
      </c>
      <c r="J285">
        <f t="shared" si="78"/>
        <v>284</v>
      </c>
      <c r="K285">
        <f t="shared" si="79"/>
        <v>1.4562303168733139</v>
      </c>
      <c r="L285">
        <f t="shared" si="80"/>
        <v>1.26645031675154</v>
      </c>
      <c r="M285">
        <v>285</v>
      </c>
      <c r="N285">
        <f t="shared" si="81"/>
        <v>284</v>
      </c>
      <c r="O285">
        <f t="shared" si="82"/>
        <v>0.45386270295194997</v>
      </c>
      <c r="P285">
        <f t="shared" si="83"/>
        <v>0.253817018041334</v>
      </c>
      <c r="Q285">
        <v>285</v>
      </c>
      <c r="R285">
        <f t="shared" si="84"/>
        <v>284</v>
      </c>
      <c r="S285">
        <f t="shared" si="85"/>
        <v>1.4062947067238789</v>
      </c>
      <c r="T285">
        <f t="shared" si="86"/>
        <v>0</v>
      </c>
      <c r="U285">
        <v>285</v>
      </c>
      <c r="V285">
        <f t="shared" si="87"/>
        <v>284</v>
      </c>
      <c r="W285">
        <f t="shared" si="88"/>
        <v>1.4184400109792648</v>
      </c>
      <c r="X285">
        <f t="shared" si="89"/>
        <v>6.4805860110755301E-2</v>
      </c>
    </row>
    <row r="286" spans="1:24">
      <c r="A286">
        <v>286</v>
      </c>
      <c r="B286">
        <f t="shared" si="72"/>
        <v>285</v>
      </c>
      <c r="C286">
        <f t="shared" si="73"/>
        <v>0.4156121135203581</v>
      </c>
      <c r="D286">
        <f t="shared" si="74"/>
        <v>1.9572645941803399</v>
      </c>
      <c r="E286">
        <v>286</v>
      </c>
      <c r="F286">
        <f t="shared" si="75"/>
        <v>285</v>
      </c>
      <c r="G286">
        <f t="shared" si="76"/>
        <v>0.42744945943434248</v>
      </c>
      <c r="H286">
        <f t="shared" si="77"/>
        <v>1.89312269655345</v>
      </c>
      <c r="I286">
        <v>286</v>
      </c>
      <c r="J286">
        <f t="shared" si="78"/>
        <v>285</v>
      </c>
      <c r="K286">
        <f t="shared" si="79"/>
        <v>1.4568985563103625</v>
      </c>
      <c r="L286">
        <f t="shared" si="80"/>
        <v>1.73354968324846</v>
      </c>
      <c r="M286">
        <v>286</v>
      </c>
      <c r="N286">
        <f t="shared" si="81"/>
        <v>285</v>
      </c>
      <c r="O286">
        <f t="shared" si="82"/>
        <v>0.45456708916642397</v>
      </c>
      <c r="P286">
        <f t="shared" si="83"/>
        <v>0.74618298195866595</v>
      </c>
      <c r="Q286">
        <v>286</v>
      </c>
      <c r="R286">
        <f t="shared" si="84"/>
        <v>285</v>
      </c>
      <c r="S286">
        <f t="shared" si="85"/>
        <v>1.4077253218883996</v>
      </c>
      <c r="T286">
        <f t="shared" si="86"/>
        <v>1</v>
      </c>
      <c r="U286">
        <v>286</v>
      </c>
      <c r="V286">
        <f t="shared" si="87"/>
        <v>285</v>
      </c>
      <c r="W286">
        <f t="shared" si="88"/>
        <v>1.4196852016513368</v>
      </c>
      <c r="X286">
        <f t="shared" si="89"/>
        <v>0.93519413988924505</v>
      </c>
    </row>
    <row r="287" spans="1:24">
      <c r="A287">
        <v>287</v>
      </c>
      <c r="B287">
        <f t="shared" si="72"/>
        <v>286</v>
      </c>
      <c r="C287">
        <f t="shared" si="73"/>
        <v>0.41692045284562373</v>
      </c>
      <c r="D287">
        <f t="shared" si="74"/>
        <v>1.0427354058196601</v>
      </c>
      <c r="E287">
        <v>287</v>
      </c>
      <c r="F287">
        <f t="shared" si="75"/>
        <v>286</v>
      </c>
      <c r="G287">
        <f t="shared" si="76"/>
        <v>0.42857427401675574</v>
      </c>
      <c r="H287">
        <f t="shared" si="77"/>
        <v>1.10687730344655</v>
      </c>
      <c r="I287">
        <v>287</v>
      </c>
      <c r="J287">
        <f t="shared" si="78"/>
        <v>286</v>
      </c>
      <c r="K287">
        <f t="shared" si="79"/>
        <v>1.457566795747411</v>
      </c>
      <c r="L287">
        <f t="shared" si="80"/>
        <v>1.26645031675154</v>
      </c>
      <c r="M287">
        <v>287</v>
      </c>
      <c r="N287">
        <f t="shared" si="81"/>
        <v>286</v>
      </c>
      <c r="O287">
        <f t="shared" si="82"/>
        <v>0.45527147538089796</v>
      </c>
      <c r="P287">
        <f t="shared" si="83"/>
        <v>0.253817018041334</v>
      </c>
      <c r="Q287">
        <v>287</v>
      </c>
      <c r="R287">
        <f t="shared" si="84"/>
        <v>286</v>
      </c>
      <c r="S287">
        <f t="shared" si="85"/>
        <v>1.4091559370529203</v>
      </c>
      <c r="T287">
        <f t="shared" si="86"/>
        <v>0</v>
      </c>
      <c r="U287">
        <v>287</v>
      </c>
      <c r="V287">
        <f t="shared" si="87"/>
        <v>286</v>
      </c>
      <c r="W287">
        <f t="shared" si="88"/>
        <v>1.4209303923234091</v>
      </c>
      <c r="X287">
        <f t="shared" si="89"/>
        <v>6.4805860110755301E-2</v>
      </c>
    </row>
    <row r="288" spans="1:24">
      <c r="A288">
        <v>288</v>
      </c>
      <c r="B288">
        <f t="shared" si="72"/>
        <v>287</v>
      </c>
      <c r="C288">
        <f t="shared" si="73"/>
        <v>0.41822879217088932</v>
      </c>
      <c r="D288">
        <f t="shared" si="74"/>
        <v>1.9572645941803399</v>
      </c>
      <c r="E288">
        <v>288</v>
      </c>
      <c r="F288">
        <f t="shared" si="75"/>
        <v>287</v>
      </c>
      <c r="G288">
        <f t="shared" si="76"/>
        <v>0.42969908859916905</v>
      </c>
      <c r="H288">
        <f t="shared" si="77"/>
        <v>1.89312269655345</v>
      </c>
      <c r="I288">
        <v>288</v>
      </c>
      <c r="J288">
        <f t="shared" si="78"/>
        <v>287</v>
      </c>
      <c r="K288">
        <f t="shared" si="79"/>
        <v>1.4582350351844595</v>
      </c>
      <c r="L288">
        <f t="shared" si="80"/>
        <v>1.73354968324846</v>
      </c>
      <c r="M288">
        <v>288</v>
      </c>
      <c r="N288">
        <f t="shared" si="81"/>
        <v>287</v>
      </c>
      <c r="O288">
        <f t="shared" si="82"/>
        <v>0.45597586159537196</v>
      </c>
      <c r="P288">
        <f t="shared" si="83"/>
        <v>0.74618298195866595</v>
      </c>
      <c r="Q288">
        <v>288</v>
      </c>
      <c r="R288">
        <f t="shared" si="84"/>
        <v>287</v>
      </c>
      <c r="S288">
        <f t="shared" si="85"/>
        <v>1.410586552217441</v>
      </c>
      <c r="T288">
        <f t="shared" si="86"/>
        <v>1</v>
      </c>
      <c r="U288">
        <v>288</v>
      </c>
      <c r="V288">
        <f t="shared" si="87"/>
        <v>287</v>
      </c>
      <c r="W288">
        <f t="shared" si="88"/>
        <v>1.4221755829954814</v>
      </c>
      <c r="X288">
        <f t="shared" si="89"/>
        <v>0.93519413988924505</v>
      </c>
    </row>
    <row r="289" spans="1:24">
      <c r="A289">
        <v>289</v>
      </c>
      <c r="B289">
        <f t="shared" si="72"/>
        <v>288</v>
      </c>
      <c r="C289">
        <f t="shared" si="73"/>
        <v>0.4195371314961549</v>
      </c>
      <c r="D289">
        <f t="shared" si="74"/>
        <v>1.0427354058196601</v>
      </c>
      <c r="E289">
        <v>289</v>
      </c>
      <c r="F289">
        <f t="shared" si="75"/>
        <v>288</v>
      </c>
      <c r="G289">
        <f t="shared" si="76"/>
        <v>0.43082390318158237</v>
      </c>
      <c r="H289">
        <f t="shared" si="77"/>
        <v>1.10687730344655</v>
      </c>
      <c r="I289">
        <v>289</v>
      </c>
      <c r="J289">
        <f t="shared" si="78"/>
        <v>288</v>
      </c>
      <c r="K289">
        <f t="shared" si="79"/>
        <v>1.458903274621508</v>
      </c>
      <c r="L289">
        <f t="shared" si="80"/>
        <v>1.26645031675154</v>
      </c>
      <c r="M289">
        <v>289</v>
      </c>
      <c r="N289">
        <f t="shared" si="81"/>
        <v>288</v>
      </c>
      <c r="O289">
        <f t="shared" si="82"/>
        <v>0.45668024780984595</v>
      </c>
      <c r="P289">
        <f t="shared" si="83"/>
        <v>0.253817018041334</v>
      </c>
      <c r="Q289">
        <v>289</v>
      </c>
      <c r="R289">
        <f t="shared" si="84"/>
        <v>288</v>
      </c>
      <c r="S289">
        <f t="shared" si="85"/>
        <v>1.4120171673819617</v>
      </c>
      <c r="T289">
        <f t="shared" si="86"/>
        <v>0</v>
      </c>
      <c r="U289">
        <v>289</v>
      </c>
      <c r="V289">
        <f t="shared" si="87"/>
        <v>288</v>
      </c>
      <c r="W289">
        <f t="shared" si="88"/>
        <v>1.4234207736675535</v>
      </c>
      <c r="X289">
        <f t="shared" si="89"/>
        <v>6.4805860110755301E-2</v>
      </c>
    </row>
    <row r="290" spans="1:24">
      <c r="A290">
        <v>290</v>
      </c>
      <c r="B290">
        <f t="shared" si="72"/>
        <v>289</v>
      </c>
      <c r="C290">
        <f t="shared" si="73"/>
        <v>0.42084547082142054</v>
      </c>
      <c r="D290">
        <f t="shared" si="74"/>
        <v>1.9572645941803399</v>
      </c>
      <c r="E290">
        <v>290</v>
      </c>
      <c r="F290">
        <f t="shared" si="75"/>
        <v>289</v>
      </c>
      <c r="G290">
        <f t="shared" si="76"/>
        <v>0.43194871776399568</v>
      </c>
      <c r="H290">
        <f t="shared" si="77"/>
        <v>1.89312269655345</v>
      </c>
      <c r="I290">
        <v>290</v>
      </c>
      <c r="J290">
        <f t="shared" si="78"/>
        <v>289</v>
      </c>
      <c r="K290">
        <f t="shared" si="79"/>
        <v>1.4595715140585566</v>
      </c>
      <c r="L290">
        <f t="shared" si="80"/>
        <v>1.73354968324846</v>
      </c>
      <c r="M290">
        <v>290</v>
      </c>
      <c r="N290">
        <f t="shared" si="81"/>
        <v>289</v>
      </c>
      <c r="O290">
        <f t="shared" si="82"/>
        <v>0.45738463402431995</v>
      </c>
      <c r="P290">
        <f t="shared" si="83"/>
        <v>0.74618298195866595</v>
      </c>
      <c r="Q290">
        <v>290</v>
      </c>
      <c r="R290">
        <f t="shared" si="84"/>
        <v>289</v>
      </c>
      <c r="S290">
        <f t="shared" si="85"/>
        <v>1.4134477825464824</v>
      </c>
      <c r="T290">
        <f t="shared" si="86"/>
        <v>1</v>
      </c>
      <c r="U290">
        <v>290</v>
      </c>
      <c r="V290">
        <f t="shared" si="87"/>
        <v>289</v>
      </c>
      <c r="W290">
        <f t="shared" si="88"/>
        <v>1.4246659643396258</v>
      </c>
      <c r="X290">
        <f t="shared" si="89"/>
        <v>0.93519413988924505</v>
      </c>
    </row>
    <row r="291" spans="1:24">
      <c r="A291">
        <v>291</v>
      </c>
      <c r="B291">
        <f t="shared" si="72"/>
        <v>290</v>
      </c>
      <c r="C291">
        <f t="shared" si="73"/>
        <v>0.42215381014668613</v>
      </c>
      <c r="D291">
        <f t="shared" si="74"/>
        <v>1.0427354058196601</v>
      </c>
      <c r="E291">
        <v>291</v>
      </c>
      <c r="F291">
        <f t="shared" si="75"/>
        <v>290</v>
      </c>
      <c r="G291">
        <f t="shared" si="76"/>
        <v>0.433073532346409</v>
      </c>
      <c r="H291">
        <f t="shared" si="77"/>
        <v>1.10687730344655</v>
      </c>
      <c r="I291">
        <v>291</v>
      </c>
      <c r="J291">
        <f t="shared" si="78"/>
        <v>290</v>
      </c>
      <c r="K291">
        <f t="shared" si="79"/>
        <v>1.4602397534956049</v>
      </c>
      <c r="L291">
        <f t="shared" si="80"/>
        <v>1.26645031675154</v>
      </c>
      <c r="M291">
        <v>291</v>
      </c>
      <c r="N291">
        <f t="shared" si="81"/>
        <v>290</v>
      </c>
      <c r="O291">
        <f t="shared" si="82"/>
        <v>0.458089020238794</v>
      </c>
      <c r="P291">
        <f t="shared" si="83"/>
        <v>0.253817018041334</v>
      </c>
      <c r="Q291">
        <v>291</v>
      </c>
      <c r="R291">
        <f t="shared" si="84"/>
        <v>290</v>
      </c>
      <c r="S291">
        <f t="shared" si="85"/>
        <v>1.4148783977110031</v>
      </c>
      <c r="T291">
        <f t="shared" si="86"/>
        <v>0</v>
      </c>
      <c r="U291">
        <v>291</v>
      </c>
      <c r="V291">
        <f t="shared" si="87"/>
        <v>290</v>
      </c>
      <c r="W291">
        <f t="shared" si="88"/>
        <v>1.4259111550116979</v>
      </c>
      <c r="X291">
        <f t="shared" si="89"/>
        <v>6.4805860110755301E-2</v>
      </c>
    </row>
    <row r="292" spans="1:24">
      <c r="A292">
        <v>292</v>
      </c>
      <c r="B292">
        <f t="shared" si="72"/>
        <v>291</v>
      </c>
      <c r="C292">
        <f t="shared" si="73"/>
        <v>0.42346214947195171</v>
      </c>
      <c r="D292">
        <f t="shared" si="74"/>
        <v>1.9572645941803399</v>
      </c>
      <c r="E292">
        <v>292</v>
      </c>
      <c r="F292">
        <f t="shared" si="75"/>
        <v>291</v>
      </c>
      <c r="G292">
        <f t="shared" si="76"/>
        <v>0.43419834692882225</v>
      </c>
      <c r="H292">
        <f t="shared" si="77"/>
        <v>1.89312269655345</v>
      </c>
      <c r="I292">
        <v>292</v>
      </c>
      <c r="J292">
        <f t="shared" si="78"/>
        <v>291</v>
      </c>
      <c r="K292">
        <f t="shared" si="79"/>
        <v>1.4609079929326534</v>
      </c>
      <c r="L292">
        <f t="shared" si="80"/>
        <v>1.73354968324846</v>
      </c>
      <c r="M292">
        <v>292</v>
      </c>
      <c r="N292">
        <f t="shared" si="81"/>
        <v>291</v>
      </c>
      <c r="O292">
        <f t="shared" si="82"/>
        <v>0.45879340645326799</v>
      </c>
      <c r="P292">
        <f t="shared" si="83"/>
        <v>0.74618298195866595</v>
      </c>
      <c r="Q292">
        <v>292</v>
      </c>
      <c r="R292">
        <f t="shared" si="84"/>
        <v>291</v>
      </c>
      <c r="S292">
        <f t="shared" si="85"/>
        <v>1.4163090128755238</v>
      </c>
      <c r="T292">
        <f t="shared" si="86"/>
        <v>1</v>
      </c>
      <c r="U292">
        <v>292</v>
      </c>
      <c r="V292">
        <f t="shared" si="87"/>
        <v>291</v>
      </c>
      <c r="W292">
        <f t="shared" si="88"/>
        <v>1.4271563456837701</v>
      </c>
      <c r="X292">
        <f t="shared" si="89"/>
        <v>0.93519413988924505</v>
      </c>
    </row>
    <row r="293" spans="1:24">
      <c r="A293">
        <v>293</v>
      </c>
      <c r="B293">
        <f t="shared" si="72"/>
        <v>292</v>
      </c>
      <c r="C293">
        <f t="shared" si="73"/>
        <v>0.42477048879721729</v>
      </c>
      <c r="D293">
        <f t="shared" si="74"/>
        <v>1.0427354058196601</v>
      </c>
      <c r="E293">
        <v>293</v>
      </c>
      <c r="F293">
        <f t="shared" si="75"/>
        <v>292</v>
      </c>
      <c r="G293">
        <f t="shared" si="76"/>
        <v>0.43532316151123557</v>
      </c>
      <c r="H293">
        <f t="shared" si="77"/>
        <v>1.10687730344655</v>
      </c>
      <c r="I293">
        <v>293</v>
      </c>
      <c r="J293">
        <f t="shared" si="78"/>
        <v>292</v>
      </c>
      <c r="K293">
        <f t="shared" si="79"/>
        <v>1.4615762323697019</v>
      </c>
      <c r="L293">
        <f t="shared" si="80"/>
        <v>1.26645031675154</v>
      </c>
      <c r="M293">
        <v>293</v>
      </c>
      <c r="N293">
        <f t="shared" si="81"/>
        <v>292</v>
      </c>
      <c r="O293">
        <f t="shared" si="82"/>
        <v>0.45949779266774199</v>
      </c>
      <c r="P293">
        <f t="shared" si="83"/>
        <v>0.253817018041334</v>
      </c>
      <c r="Q293">
        <v>293</v>
      </c>
      <c r="R293">
        <f t="shared" si="84"/>
        <v>292</v>
      </c>
      <c r="S293">
        <f t="shared" si="85"/>
        <v>1.4177396280400445</v>
      </c>
      <c r="T293">
        <f t="shared" si="86"/>
        <v>0</v>
      </c>
      <c r="U293">
        <v>293</v>
      </c>
      <c r="V293">
        <f t="shared" si="87"/>
        <v>292</v>
      </c>
      <c r="W293">
        <f t="shared" si="88"/>
        <v>1.4284015363558424</v>
      </c>
      <c r="X293">
        <f t="shared" si="89"/>
        <v>6.4805860110755301E-2</v>
      </c>
    </row>
    <row r="294" spans="1:24">
      <c r="A294">
        <v>294</v>
      </c>
      <c r="B294">
        <f t="shared" si="72"/>
        <v>293</v>
      </c>
      <c r="C294">
        <f t="shared" si="73"/>
        <v>0.42607882812248293</v>
      </c>
      <c r="D294">
        <f t="shared" si="74"/>
        <v>1.9572645941803399</v>
      </c>
      <c r="E294">
        <v>294</v>
      </c>
      <c r="F294">
        <f t="shared" si="75"/>
        <v>293</v>
      </c>
      <c r="G294">
        <f t="shared" si="76"/>
        <v>0.43644797609364888</v>
      </c>
      <c r="H294">
        <f t="shared" si="77"/>
        <v>1.89312269655345</v>
      </c>
      <c r="I294">
        <v>294</v>
      </c>
      <c r="J294">
        <f t="shared" si="78"/>
        <v>293</v>
      </c>
      <c r="K294">
        <f t="shared" si="79"/>
        <v>1.4622444718067504</v>
      </c>
      <c r="L294">
        <f t="shared" si="80"/>
        <v>1.73354968324846</v>
      </c>
      <c r="M294">
        <v>294</v>
      </c>
      <c r="N294">
        <f t="shared" si="81"/>
        <v>293</v>
      </c>
      <c r="O294">
        <f t="shared" si="82"/>
        <v>0.46020217888221598</v>
      </c>
      <c r="P294">
        <f t="shared" si="83"/>
        <v>0.74618298195866595</v>
      </c>
      <c r="Q294">
        <v>294</v>
      </c>
      <c r="R294">
        <f t="shared" si="84"/>
        <v>293</v>
      </c>
      <c r="S294">
        <f t="shared" si="85"/>
        <v>1.4191702432045652</v>
      </c>
      <c r="T294">
        <f t="shared" si="86"/>
        <v>1</v>
      </c>
      <c r="U294">
        <v>294</v>
      </c>
      <c r="V294">
        <f t="shared" si="87"/>
        <v>293</v>
      </c>
      <c r="W294">
        <f t="shared" si="88"/>
        <v>1.4296467270279145</v>
      </c>
      <c r="X294">
        <f t="shared" si="89"/>
        <v>0.93519413988924505</v>
      </c>
    </row>
    <row r="295" spans="1:24">
      <c r="A295">
        <v>295</v>
      </c>
      <c r="B295">
        <f t="shared" si="72"/>
        <v>294</v>
      </c>
      <c r="C295">
        <f t="shared" si="73"/>
        <v>0.42738716744774852</v>
      </c>
      <c r="D295">
        <f t="shared" si="74"/>
        <v>1.0427354058196601</v>
      </c>
      <c r="E295">
        <v>295</v>
      </c>
      <c r="F295">
        <f t="shared" si="75"/>
        <v>294</v>
      </c>
      <c r="G295">
        <f t="shared" si="76"/>
        <v>0.43757279067606214</v>
      </c>
      <c r="H295">
        <f t="shared" si="77"/>
        <v>1.10687730344655</v>
      </c>
      <c r="I295">
        <v>295</v>
      </c>
      <c r="J295">
        <f t="shared" si="78"/>
        <v>294</v>
      </c>
      <c r="K295">
        <f t="shared" si="79"/>
        <v>1.462912711243799</v>
      </c>
      <c r="L295">
        <f t="shared" si="80"/>
        <v>1.26645031675154</v>
      </c>
      <c r="M295">
        <v>295</v>
      </c>
      <c r="N295">
        <f t="shared" si="81"/>
        <v>294</v>
      </c>
      <c r="O295">
        <f t="shared" si="82"/>
        <v>0.46090656509668998</v>
      </c>
      <c r="P295">
        <f t="shared" si="83"/>
        <v>0.253817018041334</v>
      </c>
      <c r="Q295">
        <v>295</v>
      </c>
      <c r="R295">
        <f t="shared" si="84"/>
        <v>294</v>
      </c>
      <c r="S295">
        <f t="shared" si="85"/>
        <v>1.4206008583690859</v>
      </c>
      <c r="T295">
        <f t="shared" si="86"/>
        <v>0</v>
      </c>
      <c r="U295">
        <v>295</v>
      </c>
      <c r="V295">
        <f t="shared" si="87"/>
        <v>294</v>
      </c>
      <c r="W295">
        <f t="shared" si="88"/>
        <v>1.4308919176999868</v>
      </c>
      <c r="X295">
        <f t="shared" si="89"/>
        <v>6.4805860110755301E-2</v>
      </c>
    </row>
    <row r="296" spans="1:24">
      <c r="A296">
        <v>296</v>
      </c>
      <c r="B296">
        <f t="shared" si="72"/>
        <v>295</v>
      </c>
      <c r="C296">
        <f t="shared" si="73"/>
        <v>0.4286955067730141</v>
      </c>
      <c r="D296">
        <f t="shared" si="74"/>
        <v>1.9572645941803399</v>
      </c>
      <c r="E296">
        <v>296</v>
      </c>
      <c r="F296">
        <f t="shared" si="75"/>
        <v>295</v>
      </c>
      <c r="G296">
        <f t="shared" si="76"/>
        <v>0.43869760525847545</v>
      </c>
      <c r="H296">
        <f t="shared" si="77"/>
        <v>1.89312269655345</v>
      </c>
      <c r="I296">
        <v>296</v>
      </c>
      <c r="J296">
        <f t="shared" si="78"/>
        <v>295</v>
      </c>
      <c r="K296">
        <f t="shared" si="79"/>
        <v>1.4635809506808475</v>
      </c>
      <c r="L296">
        <f t="shared" si="80"/>
        <v>1.73354968324846</v>
      </c>
      <c r="M296">
        <v>296</v>
      </c>
      <c r="N296">
        <f t="shared" si="81"/>
        <v>295</v>
      </c>
      <c r="O296">
        <f t="shared" si="82"/>
        <v>0.46161095131116398</v>
      </c>
      <c r="P296">
        <f t="shared" si="83"/>
        <v>0.74618298195866595</v>
      </c>
      <c r="Q296">
        <v>296</v>
      </c>
      <c r="R296">
        <f t="shared" si="84"/>
        <v>295</v>
      </c>
      <c r="S296">
        <f t="shared" si="85"/>
        <v>1.4220314735336066</v>
      </c>
      <c r="T296">
        <f t="shared" si="86"/>
        <v>1</v>
      </c>
      <c r="U296">
        <v>296</v>
      </c>
      <c r="V296">
        <f t="shared" si="87"/>
        <v>295</v>
      </c>
      <c r="W296">
        <f t="shared" si="88"/>
        <v>1.4321371083720589</v>
      </c>
      <c r="X296">
        <f t="shared" si="89"/>
        <v>0.93519413988924505</v>
      </c>
    </row>
    <row r="297" spans="1:24">
      <c r="A297">
        <v>297</v>
      </c>
      <c r="B297">
        <f t="shared" si="72"/>
        <v>296</v>
      </c>
      <c r="C297">
        <f t="shared" si="73"/>
        <v>0.43000384609827974</v>
      </c>
      <c r="D297">
        <f t="shared" si="74"/>
        <v>1.0427354058196601</v>
      </c>
      <c r="E297">
        <v>297</v>
      </c>
      <c r="F297">
        <f t="shared" si="75"/>
        <v>296</v>
      </c>
      <c r="G297">
        <f t="shared" si="76"/>
        <v>0.43982241984088877</v>
      </c>
      <c r="H297">
        <f t="shared" si="77"/>
        <v>1.10687730344655</v>
      </c>
      <c r="I297">
        <v>297</v>
      </c>
      <c r="J297">
        <f t="shared" si="78"/>
        <v>296</v>
      </c>
      <c r="K297">
        <f t="shared" si="79"/>
        <v>1.464249190117896</v>
      </c>
      <c r="L297">
        <f t="shared" si="80"/>
        <v>1.26645031675154</v>
      </c>
      <c r="M297">
        <v>297</v>
      </c>
      <c r="N297">
        <f t="shared" si="81"/>
        <v>296</v>
      </c>
      <c r="O297">
        <f t="shared" si="82"/>
        <v>0.46231533752563803</v>
      </c>
      <c r="P297">
        <f t="shared" si="83"/>
        <v>0.253817018041334</v>
      </c>
      <c r="Q297">
        <v>297</v>
      </c>
      <c r="R297">
        <f t="shared" si="84"/>
        <v>296</v>
      </c>
      <c r="S297">
        <f t="shared" si="85"/>
        <v>1.4234620886981273</v>
      </c>
      <c r="T297">
        <f t="shared" si="86"/>
        <v>0</v>
      </c>
      <c r="U297">
        <v>297</v>
      </c>
      <c r="V297">
        <f t="shared" si="87"/>
        <v>296</v>
      </c>
      <c r="W297">
        <f t="shared" si="88"/>
        <v>1.4333822990441312</v>
      </c>
      <c r="X297">
        <f t="shared" si="89"/>
        <v>6.4805860110755301E-2</v>
      </c>
    </row>
    <row r="298" spans="1:24">
      <c r="A298">
        <v>298</v>
      </c>
      <c r="B298">
        <f t="shared" si="72"/>
        <v>297</v>
      </c>
      <c r="C298">
        <f t="shared" si="73"/>
        <v>0.43131218542354532</v>
      </c>
      <c r="D298">
        <f t="shared" si="74"/>
        <v>1.9572645941803399</v>
      </c>
      <c r="E298">
        <v>298</v>
      </c>
      <c r="F298">
        <f t="shared" si="75"/>
        <v>297</v>
      </c>
      <c r="G298">
        <f t="shared" si="76"/>
        <v>0.44094723442330208</v>
      </c>
      <c r="H298">
        <f t="shared" si="77"/>
        <v>1.89312269655345</v>
      </c>
      <c r="I298">
        <v>298</v>
      </c>
      <c r="J298">
        <f t="shared" si="78"/>
        <v>297</v>
      </c>
      <c r="K298">
        <f t="shared" si="79"/>
        <v>1.4649174295549445</v>
      </c>
      <c r="L298">
        <f t="shared" si="80"/>
        <v>1.73354968324846</v>
      </c>
      <c r="M298">
        <v>298</v>
      </c>
      <c r="N298">
        <f t="shared" si="81"/>
        <v>297</v>
      </c>
      <c r="O298">
        <f t="shared" si="82"/>
        <v>0.46301972374011202</v>
      </c>
      <c r="P298">
        <f t="shared" si="83"/>
        <v>0.74618298195866595</v>
      </c>
      <c r="Q298">
        <v>298</v>
      </c>
      <c r="R298">
        <f t="shared" si="84"/>
        <v>297</v>
      </c>
      <c r="S298">
        <f t="shared" si="85"/>
        <v>1.424892703862648</v>
      </c>
      <c r="T298">
        <f t="shared" si="86"/>
        <v>1</v>
      </c>
      <c r="U298">
        <v>298</v>
      </c>
      <c r="V298">
        <f t="shared" si="87"/>
        <v>297</v>
      </c>
      <c r="W298">
        <f t="shared" si="88"/>
        <v>1.4346274897162035</v>
      </c>
      <c r="X298">
        <f t="shared" si="89"/>
        <v>0.93519413988924505</v>
      </c>
    </row>
    <row r="299" spans="1:24">
      <c r="A299">
        <v>299</v>
      </c>
      <c r="B299">
        <f t="shared" si="72"/>
        <v>298</v>
      </c>
      <c r="C299">
        <f t="shared" si="73"/>
        <v>0.43262052474881091</v>
      </c>
      <c r="D299">
        <f t="shared" si="74"/>
        <v>1.0427354058196601</v>
      </c>
      <c r="E299">
        <v>299</v>
      </c>
      <c r="F299">
        <f t="shared" si="75"/>
        <v>298</v>
      </c>
      <c r="G299">
        <f t="shared" si="76"/>
        <v>0.4420720490057154</v>
      </c>
      <c r="H299">
        <f t="shared" si="77"/>
        <v>1.10687730344655</v>
      </c>
      <c r="I299">
        <v>299</v>
      </c>
      <c r="J299">
        <f t="shared" si="78"/>
        <v>298</v>
      </c>
      <c r="K299">
        <f t="shared" si="79"/>
        <v>1.4655856689919931</v>
      </c>
      <c r="L299">
        <f t="shared" si="80"/>
        <v>1.26645031675154</v>
      </c>
      <c r="M299">
        <v>299</v>
      </c>
      <c r="N299">
        <f t="shared" si="81"/>
        <v>298</v>
      </c>
      <c r="O299">
        <f t="shared" si="82"/>
        <v>0.46372410995458602</v>
      </c>
      <c r="P299">
        <f t="shared" si="83"/>
        <v>0.253817018041334</v>
      </c>
      <c r="Q299">
        <v>299</v>
      </c>
      <c r="R299">
        <f t="shared" si="84"/>
        <v>298</v>
      </c>
      <c r="S299">
        <f t="shared" si="85"/>
        <v>1.4263233190271687</v>
      </c>
      <c r="T299">
        <f t="shared" si="86"/>
        <v>0</v>
      </c>
      <c r="U299">
        <v>299</v>
      </c>
      <c r="V299">
        <f t="shared" si="87"/>
        <v>298</v>
      </c>
      <c r="W299">
        <f t="shared" si="88"/>
        <v>1.4358726803882755</v>
      </c>
      <c r="X299">
        <f t="shared" si="89"/>
        <v>6.4805860110755301E-2</v>
      </c>
    </row>
    <row r="300" spans="1:24">
      <c r="A300">
        <v>300</v>
      </c>
      <c r="B300">
        <f t="shared" si="72"/>
        <v>299</v>
      </c>
      <c r="C300">
        <f t="shared" si="73"/>
        <v>0.43392886407407649</v>
      </c>
      <c r="D300">
        <f t="shared" si="74"/>
        <v>1.9572645941803399</v>
      </c>
      <c r="E300">
        <v>300</v>
      </c>
      <c r="F300">
        <f t="shared" si="75"/>
        <v>299</v>
      </c>
      <c r="G300">
        <f t="shared" si="76"/>
        <v>0.44319686358812865</v>
      </c>
      <c r="H300">
        <f t="shared" si="77"/>
        <v>1.89312269655345</v>
      </c>
      <c r="I300">
        <v>300</v>
      </c>
      <c r="J300">
        <f t="shared" si="78"/>
        <v>299</v>
      </c>
      <c r="K300">
        <f t="shared" si="79"/>
        <v>1.4662539084290414</v>
      </c>
      <c r="L300">
        <f t="shared" si="80"/>
        <v>1.73354968324846</v>
      </c>
      <c r="M300">
        <v>300</v>
      </c>
      <c r="N300">
        <f t="shared" si="81"/>
        <v>299</v>
      </c>
      <c r="O300">
        <f t="shared" si="82"/>
        <v>0.46442849616906001</v>
      </c>
      <c r="P300">
        <f t="shared" si="83"/>
        <v>0.74618298195866595</v>
      </c>
      <c r="Q300">
        <v>300</v>
      </c>
      <c r="R300">
        <f t="shared" si="84"/>
        <v>299</v>
      </c>
      <c r="S300">
        <f t="shared" si="85"/>
        <v>1.4277539341916894</v>
      </c>
      <c r="T300">
        <f t="shared" si="86"/>
        <v>1</v>
      </c>
      <c r="U300">
        <v>300</v>
      </c>
      <c r="V300">
        <f t="shared" si="87"/>
        <v>299</v>
      </c>
      <c r="W300">
        <f t="shared" si="88"/>
        <v>1.4371178710603476</v>
      </c>
      <c r="X300">
        <f t="shared" si="89"/>
        <v>0.93519413988924505</v>
      </c>
    </row>
    <row r="301" spans="1:24">
      <c r="A301">
        <v>301</v>
      </c>
      <c r="B301">
        <f t="shared" si="72"/>
        <v>300</v>
      </c>
      <c r="C301">
        <f t="shared" si="73"/>
        <v>0.43523720339934213</v>
      </c>
      <c r="D301">
        <f t="shared" si="74"/>
        <v>1.0427354058196601</v>
      </c>
      <c r="E301">
        <v>301</v>
      </c>
      <c r="F301">
        <f t="shared" si="75"/>
        <v>300</v>
      </c>
      <c r="G301">
        <f t="shared" si="76"/>
        <v>0.44432167817054197</v>
      </c>
      <c r="H301">
        <f t="shared" si="77"/>
        <v>1.10687730344655</v>
      </c>
      <c r="I301">
        <v>301</v>
      </c>
      <c r="J301">
        <f t="shared" si="78"/>
        <v>300</v>
      </c>
      <c r="K301">
        <f t="shared" si="79"/>
        <v>1.4669221478660899</v>
      </c>
      <c r="L301">
        <f t="shared" si="80"/>
        <v>1.26645031675154</v>
      </c>
      <c r="M301">
        <v>301</v>
      </c>
      <c r="N301">
        <f t="shared" si="81"/>
        <v>300</v>
      </c>
      <c r="O301">
        <f t="shared" si="82"/>
        <v>0.46513288238353401</v>
      </c>
      <c r="P301">
        <f t="shared" si="83"/>
        <v>0.253817018041334</v>
      </c>
      <c r="Q301">
        <v>301</v>
      </c>
      <c r="R301">
        <f t="shared" si="84"/>
        <v>300</v>
      </c>
      <c r="S301">
        <f t="shared" si="85"/>
        <v>1.4291845493562101</v>
      </c>
      <c r="T301">
        <f t="shared" si="86"/>
        <v>0</v>
      </c>
      <c r="U301">
        <v>301</v>
      </c>
      <c r="V301">
        <f t="shared" si="87"/>
        <v>300</v>
      </c>
      <c r="W301">
        <f t="shared" si="88"/>
        <v>1.4383630617324199</v>
      </c>
      <c r="X301">
        <f t="shared" si="89"/>
        <v>6.4805860110755301E-2</v>
      </c>
    </row>
    <row r="302" spans="1:24">
      <c r="A302">
        <v>302</v>
      </c>
      <c r="B302">
        <f t="shared" si="72"/>
        <v>301</v>
      </c>
      <c r="C302">
        <f t="shared" si="73"/>
        <v>0.43654554272460772</v>
      </c>
      <c r="D302">
        <f t="shared" si="74"/>
        <v>1.9572645941803399</v>
      </c>
      <c r="E302">
        <v>302</v>
      </c>
      <c r="F302">
        <f t="shared" si="75"/>
        <v>301</v>
      </c>
      <c r="G302">
        <f t="shared" si="76"/>
        <v>0.44544649275295528</v>
      </c>
      <c r="H302">
        <f t="shared" si="77"/>
        <v>1.89312269655345</v>
      </c>
      <c r="I302">
        <v>302</v>
      </c>
      <c r="J302">
        <f t="shared" si="78"/>
        <v>301</v>
      </c>
      <c r="K302">
        <f t="shared" si="79"/>
        <v>1.4675903873031384</v>
      </c>
      <c r="L302">
        <f t="shared" si="80"/>
        <v>1.73354968324846</v>
      </c>
      <c r="M302">
        <v>302</v>
      </c>
      <c r="N302">
        <f t="shared" si="81"/>
        <v>301</v>
      </c>
      <c r="O302">
        <f t="shared" si="82"/>
        <v>0.465837268598008</v>
      </c>
      <c r="P302">
        <f t="shared" si="83"/>
        <v>0.74618298195866595</v>
      </c>
      <c r="Q302">
        <v>302</v>
      </c>
      <c r="R302">
        <f t="shared" si="84"/>
        <v>301</v>
      </c>
      <c r="S302">
        <f t="shared" si="85"/>
        <v>1.4306151645207308</v>
      </c>
      <c r="T302">
        <f t="shared" si="86"/>
        <v>1</v>
      </c>
      <c r="U302">
        <v>302</v>
      </c>
      <c r="V302">
        <f t="shared" si="87"/>
        <v>301</v>
      </c>
      <c r="W302">
        <f t="shared" si="88"/>
        <v>1.4396082524044922</v>
      </c>
      <c r="X302">
        <f t="shared" si="89"/>
        <v>0.93519413988924505</v>
      </c>
    </row>
    <row r="303" spans="1:24">
      <c r="A303">
        <v>303</v>
      </c>
      <c r="B303">
        <f t="shared" si="72"/>
        <v>302</v>
      </c>
      <c r="C303">
        <f t="shared" si="73"/>
        <v>0.4378538820498733</v>
      </c>
      <c r="D303">
        <f t="shared" si="74"/>
        <v>1.0427354058196601</v>
      </c>
      <c r="E303">
        <v>303</v>
      </c>
      <c r="F303">
        <f t="shared" si="75"/>
        <v>302</v>
      </c>
      <c r="G303">
        <f t="shared" si="76"/>
        <v>0.44657130733536854</v>
      </c>
      <c r="H303">
        <f t="shared" si="77"/>
        <v>1.10687730344655</v>
      </c>
      <c r="I303">
        <v>303</v>
      </c>
      <c r="J303">
        <f t="shared" si="78"/>
        <v>302</v>
      </c>
      <c r="K303">
        <f t="shared" si="79"/>
        <v>1.4682586267401869</v>
      </c>
      <c r="L303">
        <f t="shared" si="80"/>
        <v>1.26645031675154</v>
      </c>
      <c r="M303">
        <v>303</v>
      </c>
      <c r="N303">
        <f t="shared" si="81"/>
        <v>302</v>
      </c>
      <c r="O303">
        <f t="shared" si="82"/>
        <v>0.466541654812482</v>
      </c>
      <c r="P303">
        <f t="shared" si="83"/>
        <v>0.253817018041334</v>
      </c>
      <c r="Q303">
        <v>303</v>
      </c>
      <c r="R303">
        <f t="shared" si="84"/>
        <v>302</v>
      </c>
      <c r="S303">
        <f t="shared" si="85"/>
        <v>1.4320457796852515</v>
      </c>
      <c r="T303">
        <f t="shared" si="86"/>
        <v>0</v>
      </c>
      <c r="U303">
        <v>303</v>
      </c>
      <c r="V303">
        <f t="shared" si="87"/>
        <v>302</v>
      </c>
      <c r="W303">
        <f t="shared" si="88"/>
        <v>1.4408534430765643</v>
      </c>
      <c r="X303">
        <f t="shared" si="89"/>
        <v>6.4805860110755301E-2</v>
      </c>
    </row>
    <row r="304" spans="1:24">
      <c r="A304">
        <v>304</v>
      </c>
      <c r="B304">
        <f t="shared" si="72"/>
        <v>303</v>
      </c>
      <c r="C304">
        <f t="shared" si="73"/>
        <v>0.43916222137513894</v>
      </c>
      <c r="D304">
        <f t="shared" si="74"/>
        <v>1.9572645941803399</v>
      </c>
      <c r="E304">
        <v>304</v>
      </c>
      <c r="F304">
        <f t="shared" si="75"/>
        <v>303</v>
      </c>
      <c r="G304">
        <f t="shared" si="76"/>
        <v>0.44769612191778185</v>
      </c>
      <c r="H304">
        <f t="shared" si="77"/>
        <v>1.89312269655345</v>
      </c>
      <c r="I304">
        <v>304</v>
      </c>
      <c r="J304">
        <f t="shared" si="78"/>
        <v>303</v>
      </c>
      <c r="K304">
        <f t="shared" si="79"/>
        <v>1.4689268661772354</v>
      </c>
      <c r="L304">
        <f t="shared" si="80"/>
        <v>1.73354968324846</v>
      </c>
      <c r="M304">
        <v>304</v>
      </c>
      <c r="N304">
        <f t="shared" si="81"/>
        <v>303</v>
      </c>
      <c r="O304">
        <f t="shared" si="82"/>
        <v>0.46724604102695599</v>
      </c>
      <c r="P304">
        <f t="shared" si="83"/>
        <v>0.74618298195866595</v>
      </c>
      <c r="Q304">
        <v>304</v>
      </c>
      <c r="R304">
        <f t="shared" si="84"/>
        <v>303</v>
      </c>
      <c r="S304">
        <f t="shared" si="85"/>
        <v>1.4334763948497722</v>
      </c>
      <c r="T304">
        <f t="shared" si="86"/>
        <v>1</v>
      </c>
      <c r="U304">
        <v>304</v>
      </c>
      <c r="V304">
        <f t="shared" si="87"/>
        <v>303</v>
      </c>
      <c r="W304">
        <f t="shared" si="88"/>
        <v>1.4420986337486366</v>
      </c>
      <c r="X304">
        <f t="shared" si="89"/>
        <v>0.93519413988924505</v>
      </c>
    </row>
    <row r="305" spans="1:24">
      <c r="A305">
        <v>305</v>
      </c>
      <c r="B305">
        <f t="shared" si="72"/>
        <v>304</v>
      </c>
      <c r="C305">
        <f t="shared" si="73"/>
        <v>0.44047056070040452</v>
      </c>
      <c r="D305">
        <f t="shared" si="74"/>
        <v>1.0427354058196601</v>
      </c>
      <c r="E305">
        <v>305</v>
      </c>
      <c r="F305">
        <f t="shared" si="75"/>
        <v>304</v>
      </c>
      <c r="G305">
        <f t="shared" si="76"/>
        <v>0.44882093650019517</v>
      </c>
      <c r="H305">
        <f t="shared" si="77"/>
        <v>1.10687730344655</v>
      </c>
      <c r="I305">
        <v>305</v>
      </c>
      <c r="J305">
        <f t="shared" si="78"/>
        <v>304</v>
      </c>
      <c r="K305">
        <f t="shared" si="79"/>
        <v>1.469595105614284</v>
      </c>
      <c r="L305">
        <f t="shared" si="80"/>
        <v>1.26645031675154</v>
      </c>
      <c r="M305">
        <v>305</v>
      </c>
      <c r="N305">
        <f t="shared" si="81"/>
        <v>304</v>
      </c>
      <c r="O305">
        <f t="shared" si="82"/>
        <v>0.46795042724142999</v>
      </c>
      <c r="P305">
        <f t="shared" si="83"/>
        <v>0.253817018041334</v>
      </c>
      <c r="Q305">
        <v>305</v>
      </c>
      <c r="R305">
        <f t="shared" si="84"/>
        <v>304</v>
      </c>
      <c r="S305">
        <f t="shared" si="85"/>
        <v>1.4349070100142929</v>
      </c>
      <c r="T305">
        <f t="shared" si="86"/>
        <v>0</v>
      </c>
      <c r="U305">
        <v>305</v>
      </c>
      <c r="V305">
        <f t="shared" si="87"/>
        <v>304</v>
      </c>
      <c r="W305">
        <f t="shared" si="88"/>
        <v>1.4433438244207086</v>
      </c>
      <c r="X305">
        <f t="shared" si="89"/>
        <v>6.4805860110755301E-2</v>
      </c>
    </row>
    <row r="306" spans="1:24">
      <c r="A306">
        <v>306</v>
      </c>
      <c r="B306">
        <f t="shared" si="72"/>
        <v>305</v>
      </c>
      <c r="C306">
        <f t="shared" si="73"/>
        <v>0.44177890002567011</v>
      </c>
      <c r="D306">
        <f t="shared" si="74"/>
        <v>1.9572645941803399</v>
      </c>
      <c r="E306">
        <v>306</v>
      </c>
      <c r="F306">
        <f t="shared" si="75"/>
        <v>305</v>
      </c>
      <c r="G306">
        <f t="shared" si="76"/>
        <v>0.44994575108260848</v>
      </c>
      <c r="H306">
        <f t="shared" si="77"/>
        <v>1.89312269655345</v>
      </c>
      <c r="I306">
        <v>306</v>
      </c>
      <c r="J306">
        <f t="shared" si="78"/>
        <v>305</v>
      </c>
      <c r="K306">
        <f t="shared" si="79"/>
        <v>1.4702633450513325</v>
      </c>
      <c r="L306">
        <f t="shared" si="80"/>
        <v>1.73354968324846</v>
      </c>
      <c r="M306">
        <v>306</v>
      </c>
      <c r="N306">
        <f t="shared" si="81"/>
        <v>305</v>
      </c>
      <c r="O306">
        <f t="shared" si="82"/>
        <v>0.46865481345590398</v>
      </c>
      <c r="P306">
        <f t="shared" si="83"/>
        <v>0.74618298195866595</v>
      </c>
      <c r="Q306">
        <v>306</v>
      </c>
      <c r="R306">
        <f t="shared" si="84"/>
        <v>305</v>
      </c>
      <c r="S306">
        <f t="shared" si="85"/>
        <v>1.4363376251788136</v>
      </c>
      <c r="T306">
        <f t="shared" si="86"/>
        <v>1</v>
      </c>
      <c r="U306">
        <v>306</v>
      </c>
      <c r="V306">
        <f t="shared" si="87"/>
        <v>305</v>
      </c>
      <c r="W306">
        <f t="shared" si="88"/>
        <v>1.4445890150927809</v>
      </c>
      <c r="X306">
        <f t="shared" si="89"/>
        <v>0.93519413988924505</v>
      </c>
    </row>
    <row r="307" spans="1:24">
      <c r="A307">
        <v>307</v>
      </c>
      <c r="B307">
        <f t="shared" si="72"/>
        <v>306</v>
      </c>
      <c r="C307">
        <f t="shared" si="73"/>
        <v>0.44308723935093569</v>
      </c>
      <c r="D307">
        <f t="shared" si="74"/>
        <v>1.0427354058196601</v>
      </c>
      <c r="E307">
        <v>307</v>
      </c>
      <c r="F307">
        <f t="shared" si="75"/>
        <v>306</v>
      </c>
      <c r="G307">
        <f t="shared" si="76"/>
        <v>0.45107056566502179</v>
      </c>
      <c r="H307">
        <f t="shared" si="77"/>
        <v>1.10687730344655</v>
      </c>
      <c r="I307">
        <v>307</v>
      </c>
      <c r="J307">
        <f t="shared" si="78"/>
        <v>306</v>
      </c>
      <c r="K307">
        <f t="shared" si="79"/>
        <v>1.470931584488381</v>
      </c>
      <c r="L307">
        <f t="shared" si="80"/>
        <v>1.26645031675154</v>
      </c>
      <c r="M307">
        <v>307</v>
      </c>
      <c r="N307">
        <f t="shared" si="81"/>
        <v>306</v>
      </c>
      <c r="O307">
        <f t="shared" si="82"/>
        <v>0.46935919967037798</v>
      </c>
      <c r="P307">
        <f t="shared" si="83"/>
        <v>0.253817018041334</v>
      </c>
      <c r="Q307">
        <v>307</v>
      </c>
      <c r="R307">
        <f t="shared" si="84"/>
        <v>306</v>
      </c>
      <c r="S307">
        <f t="shared" si="85"/>
        <v>1.4377682403433343</v>
      </c>
      <c r="T307">
        <f t="shared" si="86"/>
        <v>0</v>
      </c>
      <c r="U307">
        <v>307</v>
      </c>
      <c r="V307">
        <f t="shared" si="87"/>
        <v>306</v>
      </c>
      <c r="W307">
        <f t="shared" si="88"/>
        <v>1.4458342057648532</v>
      </c>
      <c r="X307">
        <f t="shared" si="89"/>
        <v>6.4805860110755301E-2</v>
      </c>
    </row>
    <row r="308" spans="1:24">
      <c r="A308">
        <v>308</v>
      </c>
      <c r="B308">
        <f t="shared" si="72"/>
        <v>307</v>
      </c>
      <c r="C308">
        <f t="shared" si="73"/>
        <v>0.44439557867620133</v>
      </c>
      <c r="D308">
        <f t="shared" si="74"/>
        <v>1.9572645941803399</v>
      </c>
      <c r="E308">
        <v>308</v>
      </c>
      <c r="F308">
        <f t="shared" si="75"/>
        <v>307</v>
      </c>
      <c r="G308">
        <f t="shared" si="76"/>
        <v>0.45219538024743505</v>
      </c>
      <c r="H308">
        <f t="shared" si="77"/>
        <v>1.89312269655345</v>
      </c>
      <c r="I308">
        <v>308</v>
      </c>
      <c r="J308">
        <f t="shared" si="78"/>
        <v>307</v>
      </c>
      <c r="K308">
        <f t="shared" si="79"/>
        <v>1.4715998239254295</v>
      </c>
      <c r="L308">
        <f t="shared" si="80"/>
        <v>1.73354968324846</v>
      </c>
      <c r="M308">
        <v>308</v>
      </c>
      <c r="N308">
        <f t="shared" si="81"/>
        <v>307</v>
      </c>
      <c r="O308">
        <f t="shared" si="82"/>
        <v>0.47006358588485198</v>
      </c>
      <c r="P308">
        <f t="shared" si="83"/>
        <v>0.74618298195866595</v>
      </c>
      <c r="Q308">
        <v>308</v>
      </c>
      <c r="R308">
        <f t="shared" si="84"/>
        <v>307</v>
      </c>
      <c r="S308">
        <f t="shared" si="85"/>
        <v>1.439198855507855</v>
      </c>
      <c r="T308">
        <f t="shared" si="86"/>
        <v>1</v>
      </c>
      <c r="U308">
        <v>308</v>
      </c>
      <c r="V308">
        <f t="shared" si="87"/>
        <v>307</v>
      </c>
      <c r="W308">
        <f t="shared" si="88"/>
        <v>1.4470793964369253</v>
      </c>
      <c r="X308">
        <f t="shared" si="89"/>
        <v>0.93519413988924505</v>
      </c>
    </row>
    <row r="309" spans="1:24">
      <c r="A309">
        <v>309</v>
      </c>
      <c r="B309">
        <f t="shared" si="72"/>
        <v>308</v>
      </c>
      <c r="C309">
        <f t="shared" si="73"/>
        <v>0.44570391800146691</v>
      </c>
      <c r="D309">
        <f t="shared" si="74"/>
        <v>1.0427354058196601</v>
      </c>
      <c r="E309">
        <v>309</v>
      </c>
      <c r="F309">
        <f t="shared" si="75"/>
        <v>308</v>
      </c>
      <c r="G309">
        <f t="shared" si="76"/>
        <v>0.45332019482984837</v>
      </c>
      <c r="H309">
        <f t="shared" si="77"/>
        <v>1.10687730344655</v>
      </c>
      <c r="I309">
        <v>309</v>
      </c>
      <c r="J309">
        <f t="shared" si="78"/>
        <v>308</v>
      </c>
      <c r="K309">
        <f t="shared" si="79"/>
        <v>1.4722680633624781</v>
      </c>
      <c r="L309">
        <f t="shared" si="80"/>
        <v>1.26645031675154</v>
      </c>
      <c r="M309">
        <v>309</v>
      </c>
      <c r="N309">
        <f t="shared" si="81"/>
        <v>308</v>
      </c>
      <c r="O309">
        <f t="shared" si="82"/>
        <v>0.47076797209932597</v>
      </c>
      <c r="P309">
        <f t="shared" si="83"/>
        <v>0.253817018041334</v>
      </c>
      <c r="Q309">
        <v>309</v>
      </c>
      <c r="R309">
        <f t="shared" si="84"/>
        <v>308</v>
      </c>
      <c r="S309">
        <f t="shared" si="85"/>
        <v>1.4406294706723757</v>
      </c>
      <c r="T309">
        <f t="shared" si="86"/>
        <v>0</v>
      </c>
      <c r="U309">
        <v>309</v>
      </c>
      <c r="V309">
        <f t="shared" si="87"/>
        <v>308</v>
      </c>
      <c r="W309">
        <f t="shared" si="88"/>
        <v>1.4483245871089976</v>
      </c>
      <c r="X309">
        <f t="shared" si="89"/>
        <v>6.4805860110755301E-2</v>
      </c>
    </row>
    <row r="310" spans="1:24">
      <c r="A310">
        <v>310</v>
      </c>
      <c r="B310">
        <f t="shared" si="72"/>
        <v>309</v>
      </c>
      <c r="C310">
        <f t="shared" si="73"/>
        <v>0.4470122573267325</v>
      </c>
      <c r="D310">
        <f t="shared" si="74"/>
        <v>1.9572645941803399</v>
      </c>
      <c r="E310">
        <v>310</v>
      </c>
      <c r="F310">
        <f t="shared" si="75"/>
        <v>309</v>
      </c>
      <c r="G310">
        <f t="shared" si="76"/>
        <v>0.45444500941226168</v>
      </c>
      <c r="H310">
        <f t="shared" si="77"/>
        <v>1.89312269655345</v>
      </c>
      <c r="I310">
        <v>310</v>
      </c>
      <c r="J310">
        <f t="shared" si="78"/>
        <v>309</v>
      </c>
      <c r="K310">
        <f t="shared" si="79"/>
        <v>1.4729363027995264</v>
      </c>
      <c r="L310">
        <f t="shared" si="80"/>
        <v>1.73354968324846</v>
      </c>
      <c r="M310">
        <v>310</v>
      </c>
      <c r="N310">
        <f t="shared" si="81"/>
        <v>309</v>
      </c>
      <c r="O310">
        <f t="shared" si="82"/>
        <v>0.47147235831379997</v>
      </c>
      <c r="P310">
        <f t="shared" si="83"/>
        <v>0.74618298195866595</v>
      </c>
      <c r="Q310">
        <v>310</v>
      </c>
      <c r="R310">
        <f t="shared" si="84"/>
        <v>309</v>
      </c>
      <c r="S310">
        <f t="shared" si="85"/>
        <v>1.4420600858368964</v>
      </c>
      <c r="T310">
        <f t="shared" si="86"/>
        <v>1</v>
      </c>
      <c r="U310">
        <v>310</v>
      </c>
      <c r="V310">
        <f t="shared" si="87"/>
        <v>309</v>
      </c>
      <c r="W310">
        <f t="shared" si="88"/>
        <v>1.4495697777810697</v>
      </c>
      <c r="X310">
        <f t="shared" si="89"/>
        <v>0.93519413988924505</v>
      </c>
    </row>
    <row r="311" spans="1:24">
      <c r="A311">
        <v>311</v>
      </c>
      <c r="B311">
        <f t="shared" si="72"/>
        <v>310</v>
      </c>
      <c r="C311">
        <f t="shared" si="73"/>
        <v>0.44832059665199814</v>
      </c>
      <c r="D311">
        <f t="shared" si="74"/>
        <v>1.0427354058196601</v>
      </c>
      <c r="E311">
        <v>311</v>
      </c>
      <c r="F311">
        <f t="shared" si="75"/>
        <v>310</v>
      </c>
      <c r="G311">
        <f t="shared" si="76"/>
        <v>0.45556982399467494</v>
      </c>
      <c r="H311">
        <f t="shared" si="77"/>
        <v>1.10687730344655</v>
      </c>
      <c r="I311">
        <v>311</v>
      </c>
      <c r="J311">
        <f t="shared" si="78"/>
        <v>310</v>
      </c>
      <c r="K311">
        <f t="shared" si="79"/>
        <v>1.4736045422365749</v>
      </c>
      <c r="L311">
        <f t="shared" si="80"/>
        <v>1.26645031675154</v>
      </c>
      <c r="M311">
        <v>311</v>
      </c>
      <c r="N311">
        <f t="shared" si="81"/>
        <v>310</v>
      </c>
      <c r="O311">
        <f t="shared" si="82"/>
        <v>0.47217674452827396</v>
      </c>
      <c r="P311">
        <f t="shared" si="83"/>
        <v>0.253817018041334</v>
      </c>
      <c r="Q311">
        <v>311</v>
      </c>
      <c r="R311">
        <f t="shared" si="84"/>
        <v>310</v>
      </c>
      <c r="S311">
        <f t="shared" si="85"/>
        <v>1.4434907010014171</v>
      </c>
      <c r="T311">
        <f t="shared" si="86"/>
        <v>0</v>
      </c>
      <c r="U311">
        <v>311</v>
      </c>
      <c r="V311">
        <f t="shared" si="87"/>
        <v>310</v>
      </c>
      <c r="W311">
        <f t="shared" si="88"/>
        <v>1.450814968453142</v>
      </c>
      <c r="X311">
        <f t="shared" si="89"/>
        <v>6.4805860110755301E-2</v>
      </c>
    </row>
    <row r="312" spans="1:24">
      <c r="A312">
        <v>312</v>
      </c>
      <c r="B312">
        <f t="shared" si="72"/>
        <v>311</v>
      </c>
      <c r="C312">
        <f t="shared" si="73"/>
        <v>0.44962893597726372</v>
      </c>
      <c r="D312">
        <f t="shared" si="74"/>
        <v>1.9572645941803399</v>
      </c>
      <c r="E312">
        <v>312</v>
      </c>
      <c r="F312">
        <f t="shared" si="75"/>
        <v>311</v>
      </c>
      <c r="G312">
        <f t="shared" si="76"/>
        <v>0.45669463857708825</v>
      </c>
      <c r="H312">
        <f t="shared" si="77"/>
        <v>1.89312269655345</v>
      </c>
      <c r="I312">
        <v>312</v>
      </c>
      <c r="J312">
        <f t="shared" si="78"/>
        <v>311</v>
      </c>
      <c r="K312">
        <f t="shared" si="79"/>
        <v>1.4742727816736234</v>
      </c>
      <c r="L312">
        <f t="shared" si="80"/>
        <v>1.73354968324846</v>
      </c>
      <c r="M312">
        <v>312</v>
      </c>
      <c r="N312">
        <f t="shared" si="81"/>
        <v>311</v>
      </c>
      <c r="O312">
        <f t="shared" si="82"/>
        <v>0.47288113074274796</v>
      </c>
      <c r="P312">
        <f t="shared" si="83"/>
        <v>0.74618298195866595</v>
      </c>
      <c r="Q312">
        <v>312</v>
      </c>
      <c r="R312">
        <f t="shared" si="84"/>
        <v>311</v>
      </c>
      <c r="S312">
        <f t="shared" si="85"/>
        <v>1.4449213161659378</v>
      </c>
      <c r="T312">
        <f t="shared" si="86"/>
        <v>1</v>
      </c>
      <c r="U312">
        <v>312</v>
      </c>
      <c r="V312">
        <f t="shared" si="87"/>
        <v>311</v>
      </c>
      <c r="W312">
        <f t="shared" si="88"/>
        <v>1.4520601591252142</v>
      </c>
      <c r="X312">
        <f t="shared" si="89"/>
        <v>0.93519413988924505</v>
      </c>
    </row>
    <row r="313" spans="1:24">
      <c r="A313">
        <v>313</v>
      </c>
      <c r="B313">
        <f t="shared" si="72"/>
        <v>312</v>
      </c>
      <c r="C313">
        <f t="shared" si="73"/>
        <v>0.45093727530252931</v>
      </c>
      <c r="D313">
        <f t="shared" si="74"/>
        <v>1.0427354058196601</v>
      </c>
      <c r="E313">
        <v>313</v>
      </c>
      <c r="F313">
        <f t="shared" si="75"/>
        <v>312</v>
      </c>
      <c r="G313">
        <f t="shared" si="76"/>
        <v>0.45781945315950157</v>
      </c>
      <c r="H313">
        <f t="shared" si="77"/>
        <v>1.10687730344655</v>
      </c>
      <c r="I313">
        <v>313</v>
      </c>
      <c r="J313">
        <f t="shared" si="78"/>
        <v>312</v>
      </c>
      <c r="K313">
        <f t="shared" si="79"/>
        <v>1.4749410211106719</v>
      </c>
      <c r="L313">
        <f t="shared" si="80"/>
        <v>1.26645031675154</v>
      </c>
      <c r="M313">
        <v>313</v>
      </c>
      <c r="N313">
        <f t="shared" si="81"/>
        <v>312</v>
      </c>
      <c r="O313">
        <f t="shared" si="82"/>
        <v>0.47358551695722195</v>
      </c>
      <c r="P313">
        <f t="shared" si="83"/>
        <v>0.253817018041334</v>
      </c>
      <c r="Q313">
        <v>313</v>
      </c>
      <c r="R313">
        <f t="shared" si="84"/>
        <v>312</v>
      </c>
      <c r="S313">
        <f t="shared" si="85"/>
        <v>1.4463519313304585</v>
      </c>
      <c r="T313">
        <f t="shared" si="86"/>
        <v>0</v>
      </c>
      <c r="U313">
        <v>313</v>
      </c>
      <c r="V313">
        <f t="shared" si="87"/>
        <v>312</v>
      </c>
      <c r="W313">
        <f t="shared" si="88"/>
        <v>1.4533053497972863</v>
      </c>
      <c r="X313">
        <f t="shared" si="89"/>
        <v>6.4805860110755301E-2</v>
      </c>
    </row>
    <row r="314" spans="1:24">
      <c r="A314">
        <v>314</v>
      </c>
      <c r="B314">
        <f t="shared" si="72"/>
        <v>313</v>
      </c>
      <c r="C314">
        <f t="shared" si="73"/>
        <v>0.45224561462779489</v>
      </c>
      <c r="D314">
        <f t="shared" si="74"/>
        <v>1.9572645941803399</v>
      </c>
      <c r="E314">
        <v>314</v>
      </c>
      <c r="F314">
        <f t="shared" si="75"/>
        <v>313</v>
      </c>
      <c r="G314">
        <f t="shared" si="76"/>
        <v>0.45894426774191488</v>
      </c>
      <c r="H314">
        <f t="shared" si="77"/>
        <v>1.89312269655345</v>
      </c>
      <c r="I314">
        <v>314</v>
      </c>
      <c r="J314">
        <f t="shared" si="78"/>
        <v>313</v>
      </c>
      <c r="K314">
        <f t="shared" si="79"/>
        <v>1.4756092605477205</v>
      </c>
      <c r="L314">
        <f t="shared" si="80"/>
        <v>1.73354968324846</v>
      </c>
      <c r="M314">
        <v>314</v>
      </c>
      <c r="N314">
        <f t="shared" si="81"/>
        <v>313</v>
      </c>
      <c r="O314">
        <f t="shared" si="82"/>
        <v>0.47428990317169595</v>
      </c>
      <c r="P314">
        <f t="shared" si="83"/>
        <v>0.74618298195866595</v>
      </c>
      <c r="Q314">
        <v>314</v>
      </c>
      <c r="R314">
        <f t="shared" si="84"/>
        <v>313</v>
      </c>
      <c r="S314">
        <f t="shared" si="85"/>
        <v>1.4477825464949792</v>
      </c>
      <c r="T314">
        <f t="shared" si="86"/>
        <v>1</v>
      </c>
      <c r="U314">
        <v>314</v>
      </c>
      <c r="V314">
        <f t="shared" si="87"/>
        <v>313</v>
      </c>
      <c r="W314">
        <f t="shared" si="88"/>
        <v>1.4545505404693586</v>
      </c>
      <c r="X314">
        <f t="shared" si="89"/>
        <v>0.93519413988924505</v>
      </c>
    </row>
    <row r="315" spans="1:24">
      <c r="A315">
        <v>315</v>
      </c>
      <c r="B315">
        <f t="shared" si="72"/>
        <v>314</v>
      </c>
      <c r="C315">
        <f t="shared" si="73"/>
        <v>0.45355395395306053</v>
      </c>
      <c r="D315">
        <f t="shared" si="74"/>
        <v>1.0427354058196601</v>
      </c>
      <c r="E315">
        <v>315</v>
      </c>
      <c r="F315">
        <f t="shared" si="75"/>
        <v>314</v>
      </c>
      <c r="G315">
        <f t="shared" si="76"/>
        <v>0.46006908232432819</v>
      </c>
      <c r="H315">
        <f t="shared" si="77"/>
        <v>1.10687730344655</v>
      </c>
      <c r="I315">
        <v>315</v>
      </c>
      <c r="J315">
        <f t="shared" si="78"/>
        <v>314</v>
      </c>
      <c r="K315">
        <f t="shared" si="79"/>
        <v>1.476277499984769</v>
      </c>
      <c r="L315">
        <f t="shared" si="80"/>
        <v>1.26645031675154</v>
      </c>
      <c r="M315">
        <v>315</v>
      </c>
      <c r="N315">
        <f t="shared" si="81"/>
        <v>314</v>
      </c>
      <c r="O315">
        <f t="shared" si="82"/>
        <v>0.47499428938617</v>
      </c>
      <c r="P315">
        <f t="shared" si="83"/>
        <v>0.253817018041334</v>
      </c>
      <c r="Q315">
        <v>315</v>
      </c>
      <c r="R315">
        <f t="shared" si="84"/>
        <v>314</v>
      </c>
      <c r="S315">
        <f t="shared" si="85"/>
        <v>1.4492131616594999</v>
      </c>
      <c r="T315">
        <f t="shared" si="86"/>
        <v>0</v>
      </c>
      <c r="U315">
        <v>315</v>
      </c>
      <c r="V315">
        <f t="shared" si="87"/>
        <v>314</v>
      </c>
      <c r="W315">
        <f t="shared" si="88"/>
        <v>1.4557957311414307</v>
      </c>
      <c r="X315">
        <f t="shared" si="89"/>
        <v>6.4805860110755301E-2</v>
      </c>
    </row>
    <row r="316" spans="1:24">
      <c r="A316">
        <v>316</v>
      </c>
      <c r="B316">
        <f t="shared" si="72"/>
        <v>315</v>
      </c>
      <c r="C316">
        <f t="shared" si="73"/>
        <v>0.45486229327832611</v>
      </c>
      <c r="D316">
        <f t="shared" si="74"/>
        <v>1.9572645941803399</v>
      </c>
      <c r="E316">
        <v>316</v>
      </c>
      <c r="F316">
        <f t="shared" si="75"/>
        <v>315</v>
      </c>
      <c r="G316">
        <f t="shared" si="76"/>
        <v>0.46119389690674145</v>
      </c>
      <c r="H316">
        <f t="shared" si="77"/>
        <v>1.89312269655345</v>
      </c>
      <c r="I316">
        <v>316</v>
      </c>
      <c r="J316">
        <f t="shared" si="78"/>
        <v>315</v>
      </c>
      <c r="K316">
        <f t="shared" si="79"/>
        <v>1.4769457394218175</v>
      </c>
      <c r="L316">
        <f t="shared" si="80"/>
        <v>1.73354968324846</v>
      </c>
      <c r="M316">
        <v>316</v>
      </c>
      <c r="N316">
        <f t="shared" si="81"/>
        <v>315</v>
      </c>
      <c r="O316">
        <f t="shared" si="82"/>
        <v>0.47569867560064399</v>
      </c>
      <c r="P316">
        <f t="shared" si="83"/>
        <v>0.74618298195866595</v>
      </c>
      <c r="Q316">
        <v>316</v>
      </c>
      <c r="R316">
        <f t="shared" si="84"/>
        <v>315</v>
      </c>
      <c r="S316">
        <f t="shared" si="85"/>
        <v>1.4506437768240206</v>
      </c>
      <c r="T316">
        <f t="shared" si="86"/>
        <v>1</v>
      </c>
      <c r="U316">
        <v>316</v>
      </c>
      <c r="V316">
        <f t="shared" si="87"/>
        <v>315</v>
      </c>
      <c r="W316">
        <f t="shared" si="88"/>
        <v>1.457040921813503</v>
      </c>
      <c r="X316">
        <f t="shared" si="89"/>
        <v>0.93519413988924505</v>
      </c>
    </row>
    <row r="317" spans="1:24">
      <c r="A317">
        <v>317</v>
      </c>
      <c r="B317">
        <f t="shared" si="72"/>
        <v>316</v>
      </c>
      <c r="C317">
        <f t="shared" si="73"/>
        <v>0.4561706326035917</v>
      </c>
      <c r="D317">
        <f t="shared" si="74"/>
        <v>1.0427354058196601</v>
      </c>
      <c r="E317">
        <v>317</v>
      </c>
      <c r="F317">
        <f t="shared" si="75"/>
        <v>316</v>
      </c>
      <c r="G317">
        <f t="shared" si="76"/>
        <v>0.46231871148915477</v>
      </c>
      <c r="H317">
        <f t="shared" si="77"/>
        <v>1.10687730344655</v>
      </c>
      <c r="I317">
        <v>317</v>
      </c>
      <c r="J317">
        <f t="shared" si="78"/>
        <v>316</v>
      </c>
      <c r="K317">
        <f t="shared" si="79"/>
        <v>1.477613978858866</v>
      </c>
      <c r="L317">
        <f t="shared" si="80"/>
        <v>1.26645031675154</v>
      </c>
      <c r="M317">
        <v>317</v>
      </c>
      <c r="N317">
        <f t="shared" si="81"/>
        <v>316</v>
      </c>
      <c r="O317">
        <f t="shared" si="82"/>
        <v>0.47640306181511799</v>
      </c>
      <c r="P317">
        <f t="shared" si="83"/>
        <v>0.253817018041334</v>
      </c>
      <c r="Q317">
        <v>317</v>
      </c>
      <c r="R317">
        <f t="shared" si="84"/>
        <v>316</v>
      </c>
      <c r="S317">
        <f t="shared" si="85"/>
        <v>1.4520743919885413</v>
      </c>
      <c r="T317">
        <f t="shared" si="86"/>
        <v>0</v>
      </c>
      <c r="U317">
        <v>317</v>
      </c>
      <c r="V317">
        <f t="shared" si="87"/>
        <v>316</v>
      </c>
      <c r="W317">
        <f t="shared" si="88"/>
        <v>1.4582861124855753</v>
      </c>
      <c r="X317">
        <f t="shared" si="89"/>
        <v>6.4805860110755301E-2</v>
      </c>
    </row>
    <row r="318" spans="1:24">
      <c r="A318">
        <v>318</v>
      </c>
      <c r="B318">
        <f t="shared" si="72"/>
        <v>317</v>
      </c>
      <c r="C318">
        <f t="shared" si="73"/>
        <v>0.45747897192885734</v>
      </c>
      <c r="D318">
        <f t="shared" si="74"/>
        <v>1.9572645941803399</v>
      </c>
      <c r="E318">
        <v>318</v>
      </c>
      <c r="F318">
        <f t="shared" si="75"/>
        <v>317</v>
      </c>
      <c r="G318">
        <f t="shared" si="76"/>
        <v>0.46344352607156808</v>
      </c>
      <c r="H318">
        <f t="shared" si="77"/>
        <v>1.89312269655345</v>
      </c>
      <c r="I318">
        <v>318</v>
      </c>
      <c r="J318">
        <f t="shared" si="78"/>
        <v>317</v>
      </c>
      <c r="K318">
        <f t="shared" si="79"/>
        <v>1.4782822182959146</v>
      </c>
      <c r="L318">
        <f t="shared" si="80"/>
        <v>1.73354968324846</v>
      </c>
      <c r="M318">
        <v>318</v>
      </c>
      <c r="N318">
        <f t="shared" si="81"/>
        <v>317</v>
      </c>
      <c r="O318">
        <f t="shared" si="82"/>
        <v>0.47710744802959199</v>
      </c>
      <c r="P318">
        <f t="shared" si="83"/>
        <v>0.74618298195866595</v>
      </c>
      <c r="Q318">
        <v>318</v>
      </c>
      <c r="R318">
        <f t="shared" si="84"/>
        <v>317</v>
      </c>
      <c r="S318">
        <f t="shared" si="85"/>
        <v>1.453505007153062</v>
      </c>
      <c r="T318">
        <f t="shared" si="86"/>
        <v>1</v>
      </c>
      <c r="U318">
        <v>318</v>
      </c>
      <c r="V318">
        <f t="shared" si="87"/>
        <v>317</v>
      </c>
      <c r="W318">
        <f t="shared" si="88"/>
        <v>1.4595313031576473</v>
      </c>
      <c r="X318">
        <f t="shared" si="89"/>
        <v>0.93519413988924505</v>
      </c>
    </row>
    <row r="319" spans="1:24">
      <c r="A319">
        <v>319</v>
      </c>
      <c r="B319">
        <f t="shared" si="72"/>
        <v>318</v>
      </c>
      <c r="C319">
        <f t="shared" si="73"/>
        <v>0.45878731125412292</v>
      </c>
      <c r="D319">
        <f t="shared" si="74"/>
        <v>1.0427354058196601</v>
      </c>
      <c r="E319">
        <v>319</v>
      </c>
      <c r="F319">
        <f t="shared" si="75"/>
        <v>318</v>
      </c>
      <c r="G319">
        <f t="shared" si="76"/>
        <v>0.46456834065398134</v>
      </c>
      <c r="H319">
        <f t="shared" si="77"/>
        <v>1.10687730344655</v>
      </c>
      <c r="I319">
        <v>319</v>
      </c>
      <c r="J319">
        <f t="shared" si="78"/>
        <v>318</v>
      </c>
      <c r="K319">
        <f t="shared" si="79"/>
        <v>1.4789504577329629</v>
      </c>
      <c r="L319">
        <f t="shared" si="80"/>
        <v>1.26645031675154</v>
      </c>
      <c r="M319">
        <v>319</v>
      </c>
      <c r="N319">
        <f t="shared" si="81"/>
        <v>318</v>
      </c>
      <c r="O319">
        <f t="shared" si="82"/>
        <v>0.47781183424406598</v>
      </c>
      <c r="P319">
        <f t="shared" si="83"/>
        <v>0.253817018041334</v>
      </c>
      <c r="Q319">
        <v>319</v>
      </c>
      <c r="R319">
        <f t="shared" si="84"/>
        <v>318</v>
      </c>
      <c r="S319">
        <f t="shared" si="85"/>
        <v>1.4549356223175827</v>
      </c>
      <c r="T319">
        <f t="shared" si="86"/>
        <v>0</v>
      </c>
      <c r="U319">
        <v>319</v>
      </c>
      <c r="V319">
        <f t="shared" si="87"/>
        <v>318</v>
      </c>
      <c r="W319">
        <f t="shared" si="88"/>
        <v>1.4607764938297194</v>
      </c>
      <c r="X319">
        <f t="shared" si="89"/>
        <v>6.4805860110755301E-2</v>
      </c>
    </row>
    <row r="320" spans="1:24">
      <c r="A320">
        <v>320</v>
      </c>
      <c r="B320">
        <f t="shared" si="72"/>
        <v>319</v>
      </c>
      <c r="C320">
        <f t="shared" si="73"/>
        <v>0.4600956505793885</v>
      </c>
      <c r="D320">
        <f t="shared" si="74"/>
        <v>1.9572645941803399</v>
      </c>
      <c r="E320">
        <v>320</v>
      </c>
      <c r="F320">
        <f t="shared" si="75"/>
        <v>319</v>
      </c>
      <c r="G320">
        <f t="shared" si="76"/>
        <v>0.46569315523639465</v>
      </c>
      <c r="H320">
        <f t="shared" si="77"/>
        <v>1.89312269655345</v>
      </c>
      <c r="I320">
        <v>320</v>
      </c>
      <c r="J320">
        <f t="shared" si="78"/>
        <v>319</v>
      </c>
      <c r="K320">
        <f t="shared" si="79"/>
        <v>1.4796186971700114</v>
      </c>
      <c r="L320">
        <f t="shared" si="80"/>
        <v>1.73354968324846</v>
      </c>
      <c r="M320">
        <v>320</v>
      </c>
      <c r="N320">
        <f t="shared" si="81"/>
        <v>319</v>
      </c>
      <c r="O320">
        <f t="shared" si="82"/>
        <v>0.47851622045853998</v>
      </c>
      <c r="P320">
        <f t="shared" si="83"/>
        <v>0.74618298195866595</v>
      </c>
      <c r="Q320">
        <v>320</v>
      </c>
      <c r="R320">
        <f t="shared" si="84"/>
        <v>319</v>
      </c>
      <c r="S320">
        <f t="shared" si="85"/>
        <v>1.4563662374821034</v>
      </c>
      <c r="T320">
        <f t="shared" si="86"/>
        <v>1</v>
      </c>
      <c r="U320">
        <v>320</v>
      </c>
      <c r="V320">
        <f t="shared" si="87"/>
        <v>319</v>
      </c>
      <c r="W320">
        <f t="shared" si="88"/>
        <v>1.4620216845017917</v>
      </c>
      <c r="X320">
        <f t="shared" si="89"/>
        <v>0.93519413988924505</v>
      </c>
    </row>
    <row r="321" spans="1:24">
      <c r="A321">
        <v>321</v>
      </c>
      <c r="B321">
        <f t="shared" ref="B321:B384" si="90">(A321-1)</f>
        <v>320</v>
      </c>
      <c r="C321">
        <f t="shared" ref="C321:C384" si="91">0.0427354058196621+B321*0.0013083393252656</f>
        <v>0.46140398990465409</v>
      </c>
      <c r="D321">
        <f t="shared" ref="D321:D384" si="92">IF(B321/2-INT(B321/2)&lt;0.1,1.04273540581966,1.95726459418034)</f>
        <v>1.0427354058196601</v>
      </c>
      <c r="E321">
        <v>321</v>
      </c>
      <c r="F321">
        <f t="shared" ref="F321:F384" si="93">(E321-1)</f>
        <v>320</v>
      </c>
      <c r="G321">
        <f t="shared" ref="G321:G384" si="94">0.106877303446552+F321*0.0011248145824133</f>
        <v>0.46681796981880797</v>
      </c>
      <c r="H321">
        <f t="shared" ref="H321:H384" si="95">IF(F321/2-INT(F321/2)&lt;0.1,1.10687730344655,1.89312269655345)</f>
        <v>1.10687730344655</v>
      </c>
      <c r="I321">
        <v>321</v>
      </c>
      <c r="J321">
        <f t="shared" ref="J321:J384" si="96">(I321-1)</f>
        <v>320</v>
      </c>
      <c r="K321">
        <f t="shared" ref="K321:K384" si="97">1.26645031675154+J321*0.0006682394370485</f>
        <v>1.4802869366070599</v>
      </c>
      <c r="L321">
        <f t="shared" ref="L321:L384" si="98">IF(J321/2-INT(J321/2)&lt;0.1,1.26645031675154,1.73354968324846)</f>
        <v>1.26645031675154</v>
      </c>
      <c r="M321">
        <v>321</v>
      </c>
      <c r="N321">
        <f t="shared" ref="N321:N384" si="99">(M321-1)</f>
        <v>320</v>
      </c>
      <c r="O321">
        <f t="shared" ref="O321:O384" si="100">0.253817018041334+N321*0.000704386214474</f>
        <v>0.47922060667301397</v>
      </c>
      <c r="P321">
        <f t="shared" ref="P321:P384" si="101">IF(N321/2-INT(N321/2)&lt;0.1,0.253817018041334,0.746182981958666)</f>
        <v>0.253817018041334</v>
      </c>
      <c r="Q321">
        <v>321</v>
      </c>
      <c r="R321">
        <f t="shared" ref="R321:R384" si="102">(Q321-1)</f>
        <v>320</v>
      </c>
      <c r="S321">
        <f t="shared" ref="S321:S384" si="103">1+R321*0.0014306151645207</f>
        <v>1.4577968526466241</v>
      </c>
      <c r="T321">
        <f t="shared" ref="T321:T384" si="104">IF(R321/2-INT(R321/2)&lt;0.1,0,1)</f>
        <v>0</v>
      </c>
      <c r="U321">
        <v>321</v>
      </c>
      <c r="V321">
        <f t="shared" ref="V321:V384" si="105">(U321-1)</f>
        <v>320</v>
      </c>
      <c r="W321">
        <f t="shared" ref="W321:W384" si="106">1.06480586011076+V321*0.0012451906720722</f>
        <v>1.463266875173864</v>
      </c>
      <c r="X321">
        <f t="shared" ref="X321:X384" si="107">IF(V321/2-INT(V321/2)&lt;0.1,0.0648058601107553,0.935194139889245)</f>
        <v>6.4805860110755301E-2</v>
      </c>
    </row>
    <row r="322" spans="1:24">
      <c r="A322">
        <v>322</v>
      </c>
      <c r="B322">
        <f t="shared" si="90"/>
        <v>321</v>
      </c>
      <c r="C322">
        <f t="shared" si="91"/>
        <v>0.46271232922991973</v>
      </c>
      <c r="D322">
        <f t="shared" si="92"/>
        <v>1.9572645941803399</v>
      </c>
      <c r="E322">
        <v>322</v>
      </c>
      <c r="F322">
        <f t="shared" si="93"/>
        <v>321</v>
      </c>
      <c r="G322">
        <f t="shared" si="94"/>
        <v>0.46794278440122128</v>
      </c>
      <c r="H322">
        <f t="shared" si="95"/>
        <v>1.89312269655345</v>
      </c>
      <c r="I322">
        <v>322</v>
      </c>
      <c r="J322">
        <f t="shared" si="96"/>
        <v>321</v>
      </c>
      <c r="K322">
        <f t="shared" si="97"/>
        <v>1.4809551760441084</v>
      </c>
      <c r="L322">
        <f t="shared" si="98"/>
        <v>1.73354968324846</v>
      </c>
      <c r="M322">
        <v>322</v>
      </c>
      <c r="N322">
        <f t="shared" si="99"/>
        <v>321</v>
      </c>
      <c r="O322">
        <f t="shared" si="100"/>
        <v>0.47992499288748802</v>
      </c>
      <c r="P322">
        <f t="shared" si="101"/>
        <v>0.74618298195866595</v>
      </c>
      <c r="Q322">
        <v>322</v>
      </c>
      <c r="R322">
        <f t="shared" si="102"/>
        <v>321</v>
      </c>
      <c r="S322">
        <f t="shared" si="103"/>
        <v>1.4592274678111448</v>
      </c>
      <c r="T322">
        <f t="shared" si="104"/>
        <v>1</v>
      </c>
      <c r="U322">
        <v>322</v>
      </c>
      <c r="V322">
        <f t="shared" si="105"/>
        <v>321</v>
      </c>
      <c r="W322">
        <f t="shared" si="106"/>
        <v>1.4645120658459361</v>
      </c>
      <c r="X322">
        <f t="shared" si="107"/>
        <v>0.93519413988924505</v>
      </c>
    </row>
    <row r="323" spans="1:24">
      <c r="A323">
        <v>323</v>
      </c>
      <c r="B323">
        <f t="shared" si="90"/>
        <v>322</v>
      </c>
      <c r="C323">
        <f t="shared" si="91"/>
        <v>0.46402066855518531</v>
      </c>
      <c r="D323">
        <f t="shared" si="92"/>
        <v>1.0427354058196601</v>
      </c>
      <c r="E323">
        <v>323</v>
      </c>
      <c r="F323">
        <f t="shared" si="93"/>
        <v>322</v>
      </c>
      <c r="G323">
        <f t="shared" si="94"/>
        <v>0.46906759898363459</v>
      </c>
      <c r="H323">
        <f t="shared" si="95"/>
        <v>1.10687730344655</v>
      </c>
      <c r="I323">
        <v>323</v>
      </c>
      <c r="J323">
        <f t="shared" si="96"/>
        <v>322</v>
      </c>
      <c r="K323">
        <f t="shared" si="97"/>
        <v>1.4816234154811569</v>
      </c>
      <c r="L323">
        <f t="shared" si="98"/>
        <v>1.26645031675154</v>
      </c>
      <c r="M323">
        <v>323</v>
      </c>
      <c r="N323">
        <f t="shared" si="99"/>
        <v>322</v>
      </c>
      <c r="O323">
        <f t="shared" si="100"/>
        <v>0.48062937910196202</v>
      </c>
      <c r="P323">
        <f t="shared" si="101"/>
        <v>0.253817018041334</v>
      </c>
      <c r="Q323">
        <v>323</v>
      </c>
      <c r="R323">
        <f t="shared" si="102"/>
        <v>322</v>
      </c>
      <c r="S323">
        <f t="shared" si="103"/>
        <v>1.4606580829756655</v>
      </c>
      <c r="T323">
        <f t="shared" si="104"/>
        <v>0</v>
      </c>
      <c r="U323">
        <v>323</v>
      </c>
      <c r="V323">
        <f t="shared" si="105"/>
        <v>322</v>
      </c>
      <c r="W323">
        <f t="shared" si="106"/>
        <v>1.4657572565180084</v>
      </c>
      <c r="X323">
        <f t="shared" si="107"/>
        <v>6.4805860110755301E-2</v>
      </c>
    </row>
    <row r="324" spans="1:24">
      <c r="A324">
        <v>324</v>
      </c>
      <c r="B324">
        <f t="shared" si="90"/>
        <v>323</v>
      </c>
      <c r="C324">
        <f t="shared" si="91"/>
        <v>0.4653290078804509</v>
      </c>
      <c r="D324">
        <f t="shared" si="92"/>
        <v>1.9572645941803399</v>
      </c>
      <c r="E324">
        <v>324</v>
      </c>
      <c r="F324">
        <f t="shared" si="93"/>
        <v>323</v>
      </c>
      <c r="G324">
        <f t="shared" si="94"/>
        <v>0.47019241356604785</v>
      </c>
      <c r="H324">
        <f t="shared" si="95"/>
        <v>1.89312269655345</v>
      </c>
      <c r="I324">
        <v>324</v>
      </c>
      <c r="J324">
        <f t="shared" si="96"/>
        <v>323</v>
      </c>
      <c r="K324">
        <f t="shared" si="97"/>
        <v>1.4822916549182055</v>
      </c>
      <c r="L324">
        <f t="shared" si="98"/>
        <v>1.73354968324846</v>
      </c>
      <c r="M324">
        <v>324</v>
      </c>
      <c r="N324">
        <f t="shared" si="99"/>
        <v>323</v>
      </c>
      <c r="O324">
        <f t="shared" si="100"/>
        <v>0.48133376531643601</v>
      </c>
      <c r="P324">
        <f t="shared" si="101"/>
        <v>0.74618298195866595</v>
      </c>
      <c r="Q324">
        <v>324</v>
      </c>
      <c r="R324">
        <f t="shared" si="102"/>
        <v>323</v>
      </c>
      <c r="S324">
        <f t="shared" si="103"/>
        <v>1.4620886981401862</v>
      </c>
      <c r="T324">
        <f t="shared" si="104"/>
        <v>1</v>
      </c>
      <c r="U324">
        <v>324</v>
      </c>
      <c r="V324">
        <f t="shared" si="105"/>
        <v>323</v>
      </c>
      <c r="W324">
        <f t="shared" si="106"/>
        <v>1.4670024471900804</v>
      </c>
      <c r="X324">
        <f t="shared" si="107"/>
        <v>0.93519413988924505</v>
      </c>
    </row>
    <row r="325" spans="1:24">
      <c r="A325">
        <v>325</v>
      </c>
      <c r="B325">
        <f t="shared" si="90"/>
        <v>324</v>
      </c>
      <c r="C325">
        <f t="shared" si="91"/>
        <v>0.46663734720571654</v>
      </c>
      <c r="D325">
        <f t="shared" si="92"/>
        <v>1.0427354058196601</v>
      </c>
      <c r="E325">
        <v>325</v>
      </c>
      <c r="F325">
        <f t="shared" si="93"/>
        <v>324</v>
      </c>
      <c r="G325">
        <f t="shared" si="94"/>
        <v>0.47131722814846116</v>
      </c>
      <c r="H325">
        <f t="shared" si="95"/>
        <v>1.10687730344655</v>
      </c>
      <c r="I325">
        <v>325</v>
      </c>
      <c r="J325">
        <f t="shared" si="96"/>
        <v>324</v>
      </c>
      <c r="K325">
        <f t="shared" si="97"/>
        <v>1.482959894355254</v>
      </c>
      <c r="L325">
        <f t="shared" si="98"/>
        <v>1.26645031675154</v>
      </c>
      <c r="M325">
        <v>325</v>
      </c>
      <c r="N325">
        <f t="shared" si="99"/>
        <v>324</v>
      </c>
      <c r="O325">
        <f t="shared" si="100"/>
        <v>0.48203815153091001</v>
      </c>
      <c r="P325">
        <f t="shared" si="101"/>
        <v>0.253817018041334</v>
      </c>
      <c r="Q325">
        <v>325</v>
      </c>
      <c r="R325">
        <f t="shared" si="102"/>
        <v>324</v>
      </c>
      <c r="S325">
        <f t="shared" si="103"/>
        <v>1.4635193133047069</v>
      </c>
      <c r="T325">
        <f t="shared" si="104"/>
        <v>0</v>
      </c>
      <c r="U325">
        <v>325</v>
      </c>
      <c r="V325">
        <f t="shared" si="105"/>
        <v>324</v>
      </c>
      <c r="W325">
        <f t="shared" si="106"/>
        <v>1.4682476378621527</v>
      </c>
      <c r="X325">
        <f t="shared" si="107"/>
        <v>6.4805860110755301E-2</v>
      </c>
    </row>
    <row r="326" spans="1:24">
      <c r="A326">
        <v>326</v>
      </c>
      <c r="B326">
        <f t="shared" si="90"/>
        <v>325</v>
      </c>
      <c r="C326">
        <f t="shared" si="91"/>
        <v>0.46794568653098212</v>
      </c>
      <c r="D326">
        <f t="shared" si="92"/>
        <v>1.9572645941803399</v>
      </c>
      <c r="E326">
        <v>326</v>
      </c>
      <c r="F326">
        <f t="shared" si="93"/>
        <v>325</v>
      </c>
      <c r="G326">
        <f t="shared" si="94"/>
        <v>0.47244204273087448</v>
      </c>
      <c r="H326">
        <f t="shared" si="95"/>
        <v>1.89312269655345</v>
      </c>
      <c r="I326">
        <v>326</v>
      </c>
      <c r="J326">
        <f t="shared" si="96"/>
        <v>325</v>
      </c>
      <c r="K326">
        <f t="shared" si="97"/>
        <v>1.4836281337923025</v>
      </c>
      <c r="L326">
        <f t="shared" si="98"/>
        <v>1.73354968324846</v>
      </c>
      <c r="M326">
        <v>326</v>
      </c>
      <c r="N326">
        <f t="shared" si="99"/>
        <v>325</v>
      </c>
      <c r="O326">
        <f t="shared" si="100"/>
        <v>0.482742537745384</v>
      </c>
      <c r="P326">
        <f t="shared" si="101"/>
        <v>0.74618298195866595</v>
      </c>
      <c r="Q326">
        <v>326</v>
      </c>
      <c r="R326">
        <f t="shared" si="102"/>
        <v>325</v>
      </c>
      <c r="S326">
        <f t="shared" si="103"/>
        <v>1.4649499284692276</v>
      </c>
      <c r="T326">
        <f t="shared" si="104"/>
        <v>1</v>
      </c>
      <c r="U326">
        <v>326</v>
      </c>
      <c r="V326">
        <f t="shared" si="105"/>
        <v>325</v>
      </c>
      <c r="W326">
        <f t="shared" si="106"/>
        <v>1.469492828534225</v>
      </c>
      <c r="X326">
        <f t="shared" si="107"/>
        <v>0.93519413988924505</v>
      </c>
    </row>
    <row r="327" spans="1:24">
      <c r="A327">
        <v>327</v>
      </c>
      <c r="B327">
        <f t="shared" si="90"/>
        <v>326</v>
      </c>
      <c r="C327">
        <f t="shared" si="91"/>
        <v>0.4692540258562477</v>
      </c>
      <c r="D327">
        <f t="shared" si="92"/>
        <v>1.0427354058196601</v>
      </c>
      <c r="E327">
        <v>327</v>
      </c>
      <c r="F327">
        <f t="shared" si="93"/>
        <v>326</v>
      </c>
      <c r="G327">
        <f t="shared" si="94"/>
        <v>0.47356685731328774</v>
      </c>
      <c r="H327">
        <f t="shared" si="95"/>
        <v>1.10687730344655</v>
      </c>
      <c r="I327">
        <v>327</v>
      </c>
      <c r="J327">
        <f t="shared" si="96"/>
        <v>326</v>
      </c>
      <c r="K327">
        <f t="shared" si="97"/>
        <v>1.484296373229351</v>
      </c>
      <c r="L327">
        <f t="shared" si="98"/>
        <v>1.26645031675154</v>
      </c>
      <c r="M327">
        <v>327</v>
      </c>
      <c r="N327">
        <f t="shared" si="99"/>
        <v>326</v>
      </c>
      <c r="O327">
        <f t="shared" si="100"/>
        <v>0.483446923959858</v>
      </c>
      <c r="P327">
        <f t="shared" si="101"/>
        <v>0.253817018041334</v>
      </c>
      <c r="Q327">
        <v>327</v>
      </c>
      <c r="R327">
        <f t="shared" si="102"/>
        <v>326</v>
      </c>
      <c r="S327">
        <f t="shared" si="103"/>
        <v>1.4663805436337483</v>
      </c>
      <c r="T327">
        <f t="shared" si="104"/>
        <v>0</v>
      </c>
      <c r="U327">
        <v>327</v>
      </c>
      <c r="V327">
        <f t="shared" si="105"/>
        <v>326</v>
      </c>
      <c r="W327">
        <f t="shared" si="106"/>
        <v>1.4707380192062971</v>
      </c>
      <c r="X327">
        <f t="shared" si="107"/>
        <v>6.4805860110755301E-2</v>
      </c>
    </row>
    <row r="328" spans="1:24">
      <c r="A328">
        <v>328</v>
      </c>
      <c r="B328">
        <f t="shared" si="90"/>
        <v>327</v>
      </c>
      <c r="C328">
        <f t="shared" si="91"/>
        <v>0.47056236518151334</v>
      </c>
      <c r="D328">
        <f t="shared" si="92"/>
        <v>1.9572645941803399</v>
      </c>
      <c r="E328">
        <v>328</v>
      </c>
      <c r="F328">
        <f t="shared" si="93"/>
        <v>327</v>
      </c>
      <c r="G328">
        <f t="shared" si="94"/>
        <v>0.47469167189570105</v>
      </c>
      <c r="H328">
        <f t="shared" si="95"/>
        <v>1.89312269655345</v>
      </c>
      <c r="I328">
        <v>328</v>
      </c>
      <c r="J328">
        <f t="shared" si="96"/>
        <v>327</v>
      </c>
      <c r="K328">
        <f t="shared" si="97"/>
        <v>1.4849646126663996</v>
      </c>
      <c r="L328">
        <f t="shared" si="98"/>
        <v>1.73354968324846</v>
      </c>
      <c r="M328">
        <v>328</v>
      </c>
      <c r="N328">
        <f t="shared" si="99"/>
        <v>327</v>
      </c>
      <c r="O328">
        <f t="shared" si="100"/>
        <v>0.48415131017433199</v>
      </c>
      <c r="P328">
        <f t="shared" si="101"/>
        <v>0.74618298195866595</v>
      </c>
      <c r="Q328">
        <v>328</v>
      </c>
      <c r="R328">
        <f t="shared" si="102"/>
        <v>327</v>
      </c>
      <c r="S328">
        <f t="shared" si="103"/>
        <v>1.467811158798269</v>
      </c>
      <c r="T328">
        <f t="shared" si="104"/>
        <v>1</v>
      </c>
      <c r="U328">
        <v>328</v>
      </c>
      <c r="V328">
        <f t="shared" si="105"/>
        <v>327</v>
      </c>
      <c r="W328">
        <f t="shared" si="106"/>
        <v>1.4719832098783694</v>
      </c>
      <c r="X328">
        <f t="shared" si="107"/>
        <v>0.93519413988924505</v>
      </c>
    </row>
    <row r="329" spans="1:24">
      <c r="A329">
        <v>329</v>
      </c>
      <c r="B329">
        <f t="shared" si="90"/>
        <v>328</v>
      </c>
      <c r="C329">
        <f t="shared" si="91"/>
        <v>0.47187070450677893</v>
      </c>
      <c r="D329">
        <f t="shared" si="92"/>
        <v>1.0427354058196601</v>
      </c>
      <c r="E329">
        <v>329</v>
      </c>
      <c r="F329">
        <f t="shared" si="93"/>
        <v>328</v>
      </c>
      <c r="G329">
        <f t="shared" si="94"/>
        <v>0.47581648647811436</v>
      </c>
      <c r="H329">
        <f t="shared" si="95"/>
        <v>1.10687730344655</v>
      </c>
      <c r="I329">
        <v>329</v>
      </c>
      <c r="J329">
        <f t="shared" si="96"/>
        <v>328</v>
      </c>
      <c r="K329">
        <f t="shared" si="97"/>
        <v>1.4856328521034479</v>
      </c>
      <c r="L329">
        <f t="shared" si="98"/>
        <v>1.26645031675154</v>
      </c>
      <c r="M329">
        <v>329</v>
      </c>
      <c r="N329">
        <f t="shared" si="99"/>
        <v>328</v>
      </c>
      <c r="O329">
        <f t="shared" si="100"/>
        <v>0.48485569638880599</v>
      </c>
      <c r="P329">
        <f t="shared" si="101"/>
        <v>0.253817018041334</v>
      </c>
      <c r="Q329">
        <v>329</v>
      </c>
      <c r="R329">
        <f t="shared" si="102"/>
        <v>328</v>
      </c>
      <c r="S329">
        <f t="shared" si="103"/>
        <v>1.4692417739627897</v>
      </c>
      <c r="T329">
        <f t="shared" si="104"/>
        <v>0</v>
      </c>
      <c r="U329">
        <v>329</v>
      </c>
      <c r="V329">
        <f t="shared" si="105"/>
        <v>328</v>
      </c>
      <c r="W329">
        <f t="shared" si="106"/>
        <v>1.4732284005504415</v>
      </c>
      <c r="X329">
        <f t="shared" si="107"/>
        <v>6.4805860110755301E-2</v>
      </c>
    </row>
    <row r="330" spans="1:24">
      <c r="A330">
        <v>330</v>
      </c>
      <c r="B330">
        <f t="shared" si="90"/>
        <v>329</v>
      </c>
      <c r="C330">
        <f t="shared" si="91"/>
        <v>0.47317904383204451</v>
      </c>
      <c r="D330">
        <f t="shared" si="92"/>
        <v>1.9572645941803399</v>
      </c>
      <c r="E330">
        <v>330</v>
      </c>
      <c r="F330">
        <f t="shared" si="93"/>
        <v>329</v>
      </c>
      <c r="G330">
        <f t="shared" si="94"/>
        <v>0.47694130106052768</v>
      </c>
      <c r="H330">
        <f t="shared" si="95"/>
        <v>1.89312269655345</v>
      </c>
      <c r="I330">
        <v>330</v>
      </c>
      <c r="J330">
        <f t="shared" si="96"/>
        <v>329</v>
      </c>
      <c r="K330">
        <f t="shared" si="97"/>
        <v>1.4863010915404964</v>
      </c>
      <c r="L330">
        <f t="shared" si="98"/>
        <v>1.73354968324846</v>
      </c>
      <c r="M330">
        <v>330</v>
      </c>
      <c r="N330">
        <f t="shared" si="99"/>
        <v>329</v>
      </c>
      <c r="O330">
        <f t="shared" si="100"/>
        <v>0.48556008260327999</v>
      </c>
      <c r="P330">
        <f t="shared" si="101"/>
        <v>0.74618298195866595</v>
      </c>
      <c r="Q330">
        <v>330</v>
      </c>
      <c r="R330">
        <f t="shared" si="102"/>
        <v>329</v>
      </c>
      <c r="S330">
        <f t="shared" si="103"/>
        <v>1.4706723891273104</v>
      </c>
      <c r="T330">
        <f t="shared" si="104"/>
        <v>1</v>
      </c>
      <c r="U330">
        <v>330</v>
      </c>
      <c r="V330">
        <f t="shared" si="105"/>
        <v>329</v>
      </c>
      <c r="W330">
        <f t="shared" si="106"/>
        <v>1.4744735912225138</v>
      </c>
      <c r="X330">
        <f t="shared" si="107"/>
        <v>0.93519413988924505</v>
      </c>
    </row>
    <row r="331" spans="1:24">
      <c r="A331">
        <v>331</v>
      </c>
      <c r="B331">
        <f t="shared" si="90"/>
        <v>330</v>
      </c>
      <c r="C331">
        <f t="shared" si="91"/>
        <v>0.47448738315731009</v>
      </c>
      <c r="D331">
        <f t="shared" si="92"/>
        <v>1.0427354058196601</v>
      </c>
      <c r="E331">
        <v>331</v>
      </c>
      <c r="F331">
        <f t="shared" si="93"/>
        <v>330</v>
      </c>
      <c r="G331">
        <f t="shared" si="94"/>
        <v>0.47806611564294099</v>
      </c>
      <c r="H331">
        <f t="shared" si="95"/>
        <v>1.10687730344655</v>
      </c>
      <c r="I331">
        <v>331</v>
      </c>
      <c r="J331">
        <f t="shared" si="96"/>
        <v>330</v>
      </c>
      <c r="K331">
        <f t="shared" si="97"/>
        <v>1.4869693309775449</v>
      </c>
      <c r="L331">
        <f t="shared" si="98"/>
        <v>1.26645031675154</v>
      </c>
      <c r="M331">
        <v>331</v>
      </c>
      <c r="N331">
        <f t="shared" si="99"/>
        <v>330</v>
      </c>
      <c r="O331">
        <f t="shared" si="100"/>
        <v>0.48626446881775398</v>
      </c>
      <c r="P331">
        <f t="shared" si="101"/>
        <v>0.253817018041334</v>
      </c>
      <c r="Q331">
        <v>331</v>
      </c>
      <c r="R331">
        <f t="shared" si="102"/>
        <v>330</v>
      </c>
      <c r="S331">
        <f t="shared" si="103"/>
        <v>1.4721030042918311</v>
      </c>
      <c r="T331">
        <f t="shared" si="104"/>
        <v>0</v>
      </c>
      <c r="U331">
        <v>331</v>
      </c>
      <c r="V331">
        <f t="shared" si="105"/>
        <v>330</v>
      </c>
      <c r="W331">
        <f t="shared" si="106"/>
        <v>1.4757187818945861</v>
      </c>
      <c r="X331">
        <f t="shared" si="107"/>
        <v>6.4805860110755301E-2</v>
      </c>
    </row>
    <row r="332" spans="1:24">
      <c r="A332">
        <v>332</v>
      </c>
      <c r="B332">
        <f t="shared" si="90"/>
        <v>331</v>
      </c>
      <c r="C332">
        <f t="shared" si="91"/>
        <v>0.47579572248257573</v>
      </c>
      <c r="D332">
        <f t="shared" si="92"/>
        <v>1.9572645941803399</v>
      </c>
      <c r="E332">
        <v>332</v>
      </c>
      <c r="F332">
        <f t="shared" si="93"/>
        <v>331</v>
      </c>
      <c r="G332">
        <f t="shared" si="94"/>
        <v>0.47919093022535425</v>
      </c>
      <c r="H332">
        <f t="shared" si="95"/>
        <v>1.89312269655345</v>
      </c>
      <c r="I332">
        <v>332</v>
      </c>
      <c r="J332">
        <f t="shared" si="96"/>
        <v>331</v>
      </c>
      <c r="K332">
        <f t="shared" si="97"/>
        <v>1.4876375704145934</v>
      </c>
      <c r="L332">
        <f t="shared" si="98"/>
        <v>1.73354968324846</v>
      </c>
      <c r="M332">
        <v>332</v>
      </c>
      <c r="N332">
        <f t="shared" si="99"/>
        <v>331</v>
      </c>
      <c r="O332">
        <f t="shared" si="100"/>
        <v>0.48696885503222798</v>
      </c>
      <c r="P332">
        <f t="shared" si="101"/>
        <v>0.74618298195866595</v>
      </c>
      <c r="Q332">
        <v>332</v>
      </c>
      <c r="R332">
        <f t="shared" si="102"/>
        <v>331</v>
      </c>
      <c r="S332">
        <f t="shared" si="103"/>
        <v>1.4735336194563518</v>
      </c>
      <c r="T332">
        <f t="shared" si="104"/>
        <v>1</v>
      </c>
      <c r="U332">
        <v>332</v>
      </c>
      <c r="V332">
        <f t="shared" si="105"/>
        <v>331</v>
      </c>
      <c r="W332">
        <f t="shared" si="106"/>
        <v>1.4769639725666581</v>
      </c>
      <c r="X332">
        <f t="shared" si="107"/>
        <v>0.93519413988924505</v>
      </c>
    </row>
    <row r="333" spans="1:24">
      <c r="A333">
        <v>333</v>
      </c>
      <c r="B333">
        <f t="shared" si="90"/>
        <v>332</v>
      </c>
      <c r="C333">
        <f t="shared" si="91"/>
        <v>0.47710406180784132</v>
      </c>
      <c r="D333">
        <f t="shared" si="92"/>
        <v>1.0427354058196601</v>
      </c>
      <c r="E333">
        <v>333</v>
      </c>
      <c r="F333">
        <f t="shared" si="93"/>
        <v>332</v>
      </c>
      <c r="G333">
        <f t="shared" si="94"/>
        <v>0.48031574480776756</v>
      </c>
      <c r="H333">
        <f t="shared" si="95"/>
        <v>1.10687730344655</v>
      </c>
      <c r="I333">
        <v>333</v>
      </c>
      <c r="J333">
        <f t="shared" si="96"/>
        <v>332</v>
      </c>
      <c r="K333">
        <f t="shared" si="97"/>
        <v>1.488305809851642</v>
      </c>
      <c r="L333">
        <f t="shared" si="98"/>
        <v>1.26645031675154</v>
      </c>
      <c r="M333">
        <v>333</v>
      </c>
      <c r="N333">
        <f t="shared" si="99"/>
        <v>332</v>
      </c>
      <c r="O333">
        <f t="shared" si="100"/>
        <v>0.48767324124670197</v>
      </c>
      <c r="P333">
        <f t="shared" si="101"/>
        <v>0.253817018041334</v>
      </c>
      <c r="Q333">
        <v>333</v>
      </c>
      <c r="R333">
        <f t="shared" si="102"/>
        <v>332</v>
      </c>
      <c r="S333">
        <f t="shared" si="103"/>
        <v>1.4749642346208724</v>
      </c>
      <c r="T333">
        <f t="shared" si="104"/>
        <v>0</v>
      </c>
      <c r="U333">
        <v>333</v>
      </c>
      <c r="V333">
        <f t="shared" si="105"/>
        <v>332</v>
      </c>
      <c r="W333">
        <f t="shared" si="106"/>
        <v>1.4782091632387302</v>
      </c>
      <c r="X333">
        <f t="shared" si="107"/>
        <v>6.4805860110755301E-2</v>
      </c>
    </row>
    <row r="334" spans="1:24">
      <c r="A334">
        <v>334</v>
      </c>
      <c r="B334">
        <f t="shared" si="90"/>
        <v>333</v>
      </c>
      <c r="C334">
        <f t="shared" si="91"/>
        <v>0.4784124011331069</v>
      </c>
      <c r="D334">
        <f t="shared" si="92"/>
        <v>1.9572645941803399</v>
      </c>
      <c r="E334">
        <v>334</v>
      </c>
      <c r="F334">
        <f t="shared" si="93"/>
        <v>333</v>
      </c>
      <c r="G334">
        <f t="shared" si="94"/>
        <v>0.48144055939018088</v>
      </c>
      <c r="H334">
        <f t="shared" si="95"/>
        <v>1.89312269655345</v>
      </c>
      <c r="I334">
        <v>334</v>
      </c>
      <c r="J334">
        <f t="shared" si="96"/>
        <v>333</v>
      </c>
      <c r="K334">
        <f t="shared" si="97"/>
        <v>1.4889740492886905</v>
      </c>
      <c r="L334">
        <f t="shared" si="98"/>
        <v>1.73354968324846</v>
      </c>
      <c r="M334">
        <v>334</v>
      </c>
      <c r="N334">
        <f t="shared" si="99"/>
        <v>333</v>
      </c>
      <c r="O334">
        <f t="shared" si="100"/>
        <v>0.48837762746117597</v>
      </c>
      <c r="P334">
        <f t="shared" si="101"/>
        <v>0.74618298195866595</v>
      </c>
      <c r="Q334">
        <v>334</v>
      </c>
      <c r="R334">
        <f t="shared" si="102"/>
        <v>333</v>
      </c>
      <c r="S334">
        <f t="shared" si="103"/>
        <v>1.4763948497853931</v>
      </c>
      <c r="T334">
        <f t="shared" si="104"/>
        <v>1</v>
      </c>
      <c r="U334">
        <v>334</v>
      </c>
      <c r="V334">
        <f t="shared" si="105"/>
        <v>333</v>
      </c>
      <c r="W334">
        <f t="shared" si="106"/>
        <v>1.4794543539108025</v>
      </c>
      <c r="X334">
        <f t="shared" si="107"/>
        <v>0.93519413988924505</v>
      </c>
    </row>
    <row r="335" spans="1:24">
      <c r="A335">
        <v>335</v>
      </c>
      <c r="B335">
        <f t="shared" si="90"/>
        <v>334</v>
      </c>
      <c r="C335">
        <f t="shared" si="91"/>
        <v>0.47972074045837254</v>
      </c>
      <c r="D335">
        <f t="shared" si="92"/>
        <v>1.0427354058196601</v>
      </c>
      <c r="E335">
        <v>335</v>
      </c>
      <c r="F335">
        <f t="shared" si="93"/>
        <v>334</v>
      </c>
      <c r="G335">
        <f t="shared" si="94"/>
        <v>0.48256537397259414</v>
      </c>
      <c r="H335">
        <f t="shared" si="95"/>
        <v>1.10687730344655</v>
      </c>
      <c r="I335">
        <v>335</v>
      </c>
      <c r="J335">
        <f t="shared" si="96"/>
        <v>334</v>
      </c>
      <c r="K335">
        <f t="shared" si="97"/>
        <v>1.489642288725739</v>
      </c>
      <c r="L335">
        <f t="shared" si="98"/>
        <v>1.26645031675154</v>
      </c>
      <c r="M335">
        <v>335</v>
      </c>
      <c r="N335">
        <f t="shared" si="99"/>
        <v>334</v>
      </c>
      <c r="O335">
        <f t="shared" si="100"/>
        <v>0.48908201367564996</v>
      </c>
      <c r="P335">
        <f t="shared" si="101"/>
        <v>0.253817018041334</v>
      </c>
      <c r="Q335">
        <v>335</v>
      </c>
      <c r="R335">
        <f t="shared" si="102"/>
        <v>334</v>
      </c>
      <c r="S335">
        <f t="shared" si="103"/>
        <v>1.4778254649499138</v>
      </c>
      <c r="T335">
        <f t="shared" si="104"/>
        <v>0</v>
      </c>
      <c r="U335">
        <v>335</v>
      </c>
      <c r="V335">
        <f t="shared" si="105"/>
        <v>334</v>
      </c>
      <c r="W335">
        <f t="shared" si="106"/>
        <v>1.4806995445828748</v>
      </c>
      <c r="X335">
        <f t="shared" si="107"/>
        <v>6.4805860110755301E-2</v>
      </c>
    </row>
    <row r="336" spans="1:24">
      <c r="A336">
        <v>336</v>
      </c>
      <c r="B336">
        <f t="shared" si="90"/>
        <v>335</v>
      </c>
      <c r="C336">
        <f t="shared" si="91"/>
        <v>0.48102907978363812</v>
      </c>
      <c r="D336">
        <f t="shared" si="92"/>
        <v>1.9572645941803399</v>
      </c>
      <c r="E336">
        <v>336</v>
      </c>
      <c r="F336">
        <f t="shared" si="93"/>
        <v>335</v>
      </c>
      <c r="G336">
        <f t="shared" si="94"/>
        <v>0.48369018855500745</v>
      </c>
      <c r="H336">
        <f t="shared" si="95"/>
        <v>1.89312269655345</v>
      </c>
      <c r="I336">
        <v>336</v>
      </c>
      <c r="J336">
        <f t="shared" si="96"/>
        <v>335</v>
      </c>
      <c r="K336">
        <f t="shared" si="97"/>
        <v>1.4903105281627875</v>
      </c>
      <c r="L336">
        <f t="shared" si="98"/>
        <v>1.73354968324846</v>
      </c>
      <c r="M336">
        <v>336</v>
      </c>
      <c r="N336">
        <f t="shared" si="99"/>
        <v>335</v>
      </c>
      <c r="O336">
        <f t="shared" si="100"/>
        <v>0.48978639989012396</v>
      </c>
      <c r="P336">
        <f t="shared" si="101"/>
        <v>0.74618298195866595</v>
      </c>
      <c r="Q336">
        <v>336</v>
      </c>
      <c r="R336">
        <f t="shared" si="102"/>
        <v>335</v>
      </c>
      <c r="S336">
        <f t="shared" si="103"/>
        <v>1.4792560801144345</v>
      </c>
      <c r="T336">
        <f t="shared" si="104"/>
        <v>1</v>
      </c>
      <c r="U336">
        <v>336</v>
      </c>
      <c r="V336">
        <f t="shared" si="105"/>
        <v>335</v>
      </c>
      <c r="W336">
        <f t="shared" si="106"/>
        <v>1.4819447352549469</v>
      </c>
      <c r="X336">
        <f t="shared" si="107"/>
        <v>0.93519413988924505</v>
      </c>
    </row>
    <row r="337" spans="1:24">
      <c r="A337">
        <v>337</v>
      </c>
      <c r="B337">
        <f t="shared" si="90"/>
        <v>336</v>
      </c>
      <c r="C337">
        <f t="shared" si="91"/>
        <v>0.48233741910890371</v>
      </c>
      <c r="D337">
        <f t="shared" si="92"/>
        <v>1.0427354058196601</v>
      </c>
      <c r="E337">
        <v>337</v>
      </c>
      <c r="F337">
        <f t="shared" si="93"/>
        <v>336</v>
      </c>
      <c r="G337">
        <f t="shared" si="94"/>
        <v>0.48481500313742076</v>
      </c>
      <c r="H337">
        <f t="shared" si="95"/>
        <v>1.10687730344655</v>
      </c>
      <c r="I337">
        <v>337</v>
      </c>
      <c r="J337">
        <f t="shared" si="96"/>
        <v>336</v>
      </c>
      <c r="K337">
        <f t="shared" si="97"/>
        <v>1.4909787675998358</v>
      </c>
      <c r="L337">
        <f t="shared" si="98"/>
        <v>1.26645031675154</v>
      </c>
      <c r="M337">
        <v>337</v>
      </c>
      <c r="N337">
        <f t="shared" si="99"/>
        <v>336</v>
      </c>
      <c r="O337">
        <f t="shared" si="100"/>
        <v>0.49049078610459795</v>
      </c>
      <c r="P337">
        <f t="shared" si="101"/>
        <v>0.253817018041334</v>
      </c>
      <c r="Q337">
        <v>337</v>
      </c>
      <c r="R337">
        <f t="shared" si="102"/>
        <v>336</v>
      </c>
      <c r="S337">
        <f t="shared" si="103"/>
        <v>1.4806866952789552</v>
      </c>
      <c r="T337">
        <f t="shared" si="104"/>
        <v>0</v>
      </c>
      <c r="U337">
        <v>337</v>
      </c>
      <c r="V337">
        <f t="shared" si="105"/>
        <v>336</v>
      </c>
      <c r="W337">
        <f t="shared" si="106"/>
        <v>1.4831899259270191</v>
      </c>
      <c r="X337">
        <f t="shared" si="107"/>
        <v>6.4805860110755301E-2</v>
      </c>
    </row>
    <row r="338" spans="1:24">
      <c r="A338">
        <v>338</v>
      </c>
      <c r="B338">
        <f t="shared" si="90"/>
        <v>337</v>
      </c>
      <c r="C338">
        <f t="shared" si="91"/>
        <v>0.48364575843416929</v>
      </c>
      <c r="D338">
        <f t="shared" si="92"/>
        <v>1.9572645941803399</v>
      </c>
      <c r="E338">
        <v>338</v>
      </c>
      <c r="F338">
        <f t="shared" si="93"/>
        <v>337</v>
      </c>
      <c r="G338">
        <f t="shared" si="94"/>
        <v>0.48593981771983408</v>
      </c>
      <c r="H338">
        <f t="shared" si="95"/>
        <v>1.89312269655345</v>
      </c>
      <c r="I338">
        <v>338</v>
      </c>
      <c r="J338">
        <f t="shared" si="96"/>
        <v>337</v>
      </c>
      <c r="K338">
        <f t="shared" si="97"/>
        <v>1.4916470070368844</v>
      </c>
      <c r="L338">
        <f t="shared" si="98"/>
        <v>1.73354968324846</v>
      </c>
      <c r="M338">
        <v>338</v>
      </c>
      <c r="N338">
        <f t="shared" si="99"/>
        <v>337</v>
      </c>
      <c r="O338">
        <f t="shared" si="100"/>
        <v>0.49119517231907195</v>
      </c>
      <c r="P338">
        <f t="shared" si="101"/>
        <v>0.74618298195866595</v>
      </c>
      <c r="Q338">
        <v>338</v>
      </c>
      <c r="R338">
        <f t="shared" si="102"/>
        <v>337</v>
      </c>
      <c r="S338">
        <f t="shared" si="103"/>
        <v>1.4821173104434759</v>
      </c>
      <c r="T338">
        <f t="shared" si="104"/>
        <v>1</v>
      </c>
      <c r="U338">
        <v>338</v>
      </c>
      <c r="V338">
        <f t="shared" si="105"/>
        <v>337</v>
      </c>
      <c r="W338">
        <f t="shared" si="106"/>
        <v>1.4844351165990912</v>
      </c>
      <c r="X338">
        <f t="shared" si="107"/>
        <v>0.93519413988924505</v>
      </c>
    </row>
    <row r="339" spans="1:24">
      <c r="A339">
        <v>339</v>
      </c>
      <c r="B339">
        <f t="shared" si="90"/>
        <v>338</v>
      </c>
      <c r="C339">
        <f t="shared" si="91"/>
        <v>0.48495409775943493</v>
      </c>
      <c r="D339">
        <f t="shared" si="92"/>
        <v>1.0427354058196601</v>
      </c>
      <c r="E339">
        <v>339</v>
      </c>
      <c r="F339">
        <f t="shared" si="93"/>
        <v>338</v>
      </c>
      <c r="G339">
        <f t="shared" si="94"/>
        <v>0.48706463230224739</v>
      </c>
      <c r="H339">
        <f t="shared" si="95"/>
        <v>1.10687730344655</v>
      </c>
      <c r="I339">
        <v>339</v>
      </c>
      <c r="J339">
        <f t="shared" si="96"/>
        <v>338</v>
      </c>
      <c r="K339">
        <f t="shared" si="97"/>
        <v>1.4923152464739329</v>
      </c>
      <c r="L339">
        <f t="shared" si="98"/>
        <v>1.26645031675154</v>
      </c>
      <c r="M339">
        <v>339</v>
      </c>
      <c r="N339">
        <f t="shared" si="99"/>
        <v>338</v>
      </c>
      <c r="O339">
        <f t="shared" si="100"/>
        <v>0.49189955853354594</v>
      </c>
      <c r="P339">
        <f t="shared" si="101"/>
        <v>0.253817018041334</v>
      </c>
      <c r="Q339">
        <v>339</v>
      </c>
      <c r="R339">
        <f t="shared" si="102"/>
        <v>338</v>
      </c>
      <c r="S339">
        <f t="shared" si="103"/>
        <v>1.4835479256079966</v>
      </c>
      <c r="T339">
        <f t="shared" si="104"/>
        <v>0</v>
      </c>
      <c r="U339">
        <v>339</v>
      </c>
      <c r="V339">
        <f t="shared" si="105"/>
        <v>338</v>
      </c>
      <c r="W339">
        <f t="shared" si="106"/>
        <v>1.4856803072711635</v>
      </c>
      <c r="X339">
        <f t="shared" si="107"/>
        <v>6.4805860110755301E-2</v>
      </c>
    </row>
    <row r="340" spans="1:24">
      <c r="A340">
        <v>340</v>
      </c>
      <c r="B340">
        <f t="shared" si="90"/>
        <v>339</v>
      </c>
      <c r="C340">
        <f t="shared" si="91"/>
        <v>0.48626243708470052</v>
      </c>
      <c r="D340">
        <f t="shared" si="92"/>
        <v>1.9572645941803399</v>
      </c>
      <c r="E340">
        <v>340</v>
      </c>
      <c r="F340">
        <f t="shared" si="93"/>
        <v>339</v>
      </c>
      <c r="G340">
        <f t="shared" si="94"/>
        <v>0.48818944688466065</v>
      </c>
      <c r="H340">
        <f t="shared" si="95"/>
        <v>1.89312269655345</v>
      </c>
      <c r="I340">
        <v>340</v>
      </c>
      <c r="J340">
        <f t="shared" si="96"/>
        <v>339</v>
      </c>
      <c r="K340">
        <f t="shared" si="97"/>
        <v>1.4929834859109814</v>
      </c>
      <c r="L340">
        <f t="shared" si="98"/>
        <v>1.73354968324846</v>
      </c>
      <c r="M340">
        <v>340</v>
      </c>
      <c r="N340">
        <f t="shared" si="99"/>
        <v>339</v>
      </c>
      <c r="O340">
        <f t="shared" si="100"/>
        <v>0.49260394474802</v>
      </c>
      <c r="P340">
        <f t="shared" si="101"/>
        <v>0.74618298195866595</v>
      </c>
      <c r="Q340">
        <v>340</v>
      </c>
      <c r="R340">
        <f t="shared" si="102"/>
        <v>339</v>
      </c>
      <c r="S340">
        <f t="shared" si="103"/>
        <v>1.4849785407725173</v>
      </c>
      <c r="T340">
        <f t="shared" si="104"/>
        <v>1</v>
      </c>
      <c r="U340">
        <v>340</v>
      </c>
      <c r="V340">
        <f t="shared" si="105"/>
        <v>339</v>
      </c>
      <c r="W340">
        <f t="shared" si="106"/>
        <v>1.4869254979432358</v>
      </c>
      <c r="X340">
        <f t="shared" si="107"/>
        <v>0.93519413988924505</v>
      </c>
    </row>
    <row r="341" spans="1:24">
      <c r="A341">
        <v>341</v>
      </c>
      <c r="B341">
        <f t="shared" si="90"/>
        <v>340</v>
      </c>
      <c r="C341">
        <f t="shared" si="91"/>
        <v>0.4875707764099661</v>
      </c>
      <c r="D341">
        <f t="shared" si="92"/>
        <v>1.0427354058196601</v>
      </c>
      <c r="E341">
        <v>341</v>
      </c>
      <c r="F341">
        <f t="shared" si="93"/>
        <v>340</v>
      </c>
      <c r="G341">
        <f t="shared" si="94"/>
        <v>0.48931426146707396</v>
      </c>
      <c r="H341">
        <f t="shared" si="95"/>
        <v>1.10687730344655</v>
      </c>
      <c r="I341">
        <v>341</v>
      </c>
      <c r="J341">
        <f t="shared" si="96"/>
        <v>340</v>
      </c>
      <c r="K341">
        <f t="shared" si="97"/>
        <v>1.4936517253480299</v>
      </c>
      <c r="L341">
        <f t="shared" si="98"/>
        <v>1.26645031675154</v>
      </c>
      <c r="M341">
        <v>341</v>
      </c>
      <c r="N341">
        <f t="shared" si="99"/>
        <v>340</v>
      </c>
      <c r="O341">
        <f t="shared" si="100"/>
        <v>0.49330833096249399</v>
      </c>
      <c r="P341">
        <f t="shared" si="101"/>
        <v>0.253817018041334</v>
      </c>
      <c r="Q341">
        <v>341</v>
      </c>
      <c r="R341">
        <f t="shared" si="102"/>
        <v>340</v>
      </c>
      <c r="S341">
        <f t="shared" si="103"/>
        <v>1.486409155937038</v>
      </c>
      <c r="T341">
        <f t="shared" si="104"/>
        <v>0</v>
      </c>
      <c r="U341">
        <v>341</v>
      </c>
      <c r="V341">
        <f t="shared" si="105"/>
        <v>340</v>
      </c>
      <c r="W341">
        <f t="shared" si="106"/>
        <v>1.4881706886153079</v>
      </c>
      <c r="X341">
        <f t="shared" si="107"/>
        <v>6.4805860110755301E-2</v>
      </c>
    </row>
    <row r="342" spans="1:24">
      <c r="A342">
        <v>342</v>
      </c>
      <c r="B342">
        <f t="shared" si="90"/>
        <v>341</v>
      </c>
      <c r="C342">
        <f t="shared" si="91"/>
        <v>0.48887911573523174</v>
      </c>
      <c r="D342">
        <f t="shared" si="92"/>
        <v>1.9572645941803399</v>
      </c>
      <c r="E342">
        <v>342</v>
      </c>
      <c r="F342">
        <f t="shared" si="93"/>
        <v>341</v>
      </c>
      <c r="G342">
        <f t="shared" si="94"/>
        <v>0.49043907604948728</v>
      </c>
      <c r="H342">
        <f t="shared" si="95"/>
        <v>1.89312269655345</v>
      </c>
      <c r="I342">
        <v>342</v>
      </c>
      <c r="J342">
        <f t="shared" si="96"/>
        <v>341</v>
      </c>
      <c r="K342">
        <f t="shared" si="97"/>
        <v>1.4943199647850784</v>
      </c>
      <c r="L342">
        <f t="shared" si="98"/>
        <v>1.73354968324846</v>
      </c>
      <c r="M342">
        <v>342</v>
      </c>
      <c r="N342">
        <f t="shared" si="99"/>
        <v>341</v>
      </c>
      <c r="O342">
        <f t="shared" si="100"/>
        <v>0.49401271717696799</v>
      </c>
      <c r="P342">
        <f t="shared" si="101"/>
        <v>0.74618298195866595</v>
      </c>
      <c r="Q342">
        <v>342</v>
      </c>
      <c r="R342">
        <f t="shared" si="102"/>
        <v>341</v>
      </c>
      <c r="S342">
        <f t="shared" si="103"/>
        <v>1.4878397711015587</v>
      </c>
      <c r="T342">
        <f t="shared" si="104"/>
        <v>1</v>
      </c>
      <c r="U342">
        <v>342</v>
      </c>
      <c r="V342">
        <f t="shared" si="105"/>
        <v>341</v>
      </c>
      <c r="W342">
        <f t="shared" si="106"/>
        <v>1.4894158792873802</v>
      </c>
      <c r="X342">
        <f t="shared" si="107"/>
        <v>0.93519413988924505</v>
      </c>
    </row>
    <row r="343" spans="1:24">
      <c r="A343">
        <v>343</v>
      </c>
      <c r="B343">
        <f t="shared" si="90"/>
        <v>342</v>
      </c>
      <c r="C343">
        <f t="shared" si="91"/>
        <v>0.49018745506049732</v>
      </c>
      <c r="D343">
        <f t="shared" si="92"/>
        <v>1.0427354058196601</v>
      </c>
      <c r="E343">
        <v>343</v>
      </c>
      <c r="F343">
        <f t="shared" si="93"/>
        <v>342</v>
      </c>
      <c r="G343">
        <f t="shared" si="94"/>
        <v>0.49156389063190054</v>
      </c>
      <c r="H343">
        <f t="shared" si="95"/>
        <v>1.10687730344655</v>
      </c>
      <c r="I343">
        <v>343</v>
      </c>
      <c r="J343">
        <f t="shared" si="96"/>
        <v>342</v>
      </c>
      <c r="K343">
        <f t="shared" si="97"/>
        <v>1.494988204222127</v>
      </c>
      <c r="L343">
        <f t="shared" si="98"/>
        <v>1.26645031675154</v>
      </c>
      <c r="M343">
        <v>343</v>
      </c>
      <c r="N343">
        <f t="shared" si="99"/>
        <v>342</v>
      </c>
      <c r="O343">
        <f t="shared" si="100"/>
        <v>0.49471710339144198</v>
      </c>
      <c r="P343">
        <f t="shared" si="101"/>
        <v>0.253817018041334</v>
      </c>
      <c r="Q343">
        <v>343</v>
      </c>
      <c r="R343">
        <f t="shared" si="102"/>
        <v>342</v>
      </c>
      <c r="S343">
        <f t="shared" si="103"/>
        <v>1.4892703862660794</v>
      </c>
      <c r="T343">
        <f t="shared" si="104"/>
        <v>0</v>
      </c>
      <c r="U343">
        <v>343</v>
      </c>
      <c r="V343">
        <f t="shared" si="105"/>
        <v>342</v>
      </c>
      <c r="W343">
        <f t="shared" si="106"/>
        <v>1.4906610699594522</v>
      </c>
      <c r="X343">
        <f t="shared" si="107"/>
        <v>6.4805860110755301E-2</v>
      </c>
    </row>
    <row r="344" spans="1:24">
      <c r="A344">
        <v>344</v>
      </c>
      <c r="B344">
        <f t="shared" si="90"/>
        <v>343</v>
      </c>
      <c r="C344">
        <f t="shared" si="91"/>
        <v>0.49149579438576291</v>
      </c>
      <c r="D344">
        <f t="shared" si="92"/>
        <v>1.9572645941803399</v>
      </c>
      <c r="E344">
        <v>344</v>
      </c>
      <c r="F344">
        <f t="shared" si="93"/>
        <v>343</v>
      </c>
      <c r="G344">
        <f t="shared" si="94"/>
        <v>0.49268870521431385</v>
      </c>
      <c r="H344">
        <f t="shared" si="95"/>
        <v>1.89312269655345</v>
      </c>
      <c r="I344">
        <v>344</v>
      </c>
      <c r="J344">
        <f t="shared" si="96"/>
        <v>343</v>
      </c>
      <c r="K344">
        <f t="shared" si="97"/>
        <v>1.4956564436591755</v>
      </c>
      <c r="L344">
        <f t="shared" si="98"/>
        <v>1.73354968324846</v>
      </c>
      <c r="M344">
        <v>344</v>
      </c>
      <c r="N344">
        <f t="shared" si="99"/>
        <v>343</v>
      </c>
      <c r="O344">
        <f t="shared" si="100"/>
        <v>0.49542148960591598</v>
      </c>
      <c r="P344">
        <f t="shared" si="101"/>
        <v>0.74618298195866595</v>
      </c>
      <c r="Q344">
        <v>344</v>
      </c>
      <c r="R344">
        <f t="shared" si="102"/>
        <v>343</v>
      </c>
      <c r="S344">
        <f t="shared" si="103"/>
        <v>1.4907010014306001</v>
      </c>
      <c r="T344">
        <f t="shared" si="104"/>
        <v>1</v>
      </c>
      <c r="U344">
        <v>344</v>
      </c>
      <c r="V344">
        <f t="shared" si="105"/>
        <v>343</v>
      </c>
      <c r="W344">
        <f t="shared" si="106"/>
        <v>1.4919062606315245</v>
      </c>
      <c r="X344">
        <f t="shared" si="107"/>
        <v>0.93519413988924505</v>
      </c>
    </row>
    <row r="345" spans="1:24">
      <c r="A345">
        <v>345</v>
      </c>
      <c r="B345">
        <f t="shared" si="90"/>
        <v>344</v>
      </c>
      <c r="C345">
        <f t="shared" si="91"/>
        <v>0.49280413371102849</v>
      </c>
      <c r="D345">
        <f t="shared" si="92"/>
        <v>1.0427354058196601</v>
      </c>
      <c r="E345">
        <v>345</v>
      </c>
      <c r="F345">
        <f t="shared" si="93"/>
        <v>344</v>
      </c>
      <c r="G345">
        <f t="shared" si="94"/>
        <v>0.49381351979672716</v>
      </c>
      <c r="H345">
        <f t="shared" si="95"/>
        <v>1.10687730344655</v>
      </c>
      <c r="I345">
        <v>345</v>
      </c>
      <c r="J345">
        <f t="shared" si="96"/>
        <v>344</v>
      </c>
      <c r="K345">
        <f t="shared" si="97"/>
        <v>1.496324683096224</v>
      </c>
      <c r="L345">
        <f t="shared" si="98"/>
        <v>1.26645031675154</v>
      </c>
      <c r="M345">
        <v>345</v>
      </c>
      <c r="N345">
        <f t="shared" si="99"/>
        <v>344</v>
      </c>
      <c r="O345">
        <f t="shared" si="100"/>
        <v>0.49612587582038997</v>
      </c>
      <c r="P345">
        <f t="shared" si="101"/>
        <v>0.253817018041334</v>
      </c>
      <c r="Q345">
        <v>345</v>
      </c>
      <c r="R345">
        <f t="shared" si="102"/>
        <v>344</v>
      </c>
      <c r="S345">
        <f t="shared" si="103"/>
        <v>1.4921316165951208</v>
      </c>
      <c r="T345">
        <f t="shared" si="104"/>
        <v>0</v>
      </c>
      <c r="U345">
        <v>345</v>
      </c>
      <c r="V345">
        <f t="shared" si="105"/>
        <v>344</v>
      </c>
      <c r="W345">
        <f t="shared" si="106"/>
        <v>1.4931514513035968</v>
      </c>
      <c r="X345">
        <f t="shared" si="107"/>
        <v>6.4805860110755301E-2</v>
      </c>
    </row>
    <row r="346" spans="1:24">
      <c r="A346">
        <v>346</v>
      </c>
      <c r="B346">
        <f t="shared" si="90"/>
        <v>345</v>
      </c>
      <c r="C346">
        <f t="shared" si="91"/>
        <v>0.49411247303629413</v>
      </c>
      <c r="D346">
        <f t="shared" si="92"/>
        <v>1.9572645941803399</v>
      </c>
      <c r="E346">
        <v>346</v>
      </c>
      <c r="F346">
        <f t="shared" si="93"/>
        <v>345</v>
      </c>
      <c r="G346">
        <f t="shared" si="94"/>
        <v>0.49493833437914048</v>
      </c>
      <c r="H346">
        <f t="shared" si="95"/>
        <v>1.89312269655345</v>
      </c>
      <c r="I346">
        <v>346</v>
      </c>
      <c r="J346">
        <f t="shared" si="96"/>
        <v>345</v>
      </c>
      <c r="K346">
        <f t="shared" si="97"/>
        <v>1.4969929225332725</v>
      </c>
      <c r="L346">
        <f t="shared" si="98"/>
        <v>1.73354968324846</v>
      </c>
      <c r="M346">
        <v>346</v>
      </c>
      <c r="N346">
        <f t="shared" si="99"/>
        <v>345</v>
      </c>
      <c r="O346">
        <f t="shared" si="100"/>
        <v>0.49683026203486402</v>
      </c>
      <c r="P346">
        <f t="shared" si="101"/>
        <v>0.74618298195866595</v>
      </c>
      <c r="Q346">
        <v>346</v>
      </c>
      <c r="R346">
        <f t="shared" si="102"/>
        <v>345</v>
      </c>
      <c r="S346">
        <f t="shared" si="103"/>
        <v>1.4935622317596415</v>
      </c>
      <c r="T346">
        <f t="shared" si="104"/>
        <v>1</v>
      </c>
      <c r="U346">
        <v>346</v>
      </c>
      <c r="V346">
        <f t="shared" si="105"/>
        <v>345</v>
      </c>
      <c r="W346">
        <f t="shared" si="106"/>
        <v>1.4943966419756689</v>
      </c>
      <c r="X346">
        <f t="shared" si="107"/>
        <v>0.93519413988924505</v>
      </c>
    </row>
    <row r="347" spans="1:24">
      <c r="A347">
        <v>347</v>
      </c>
      <c r="B347">
        <f t="shared" si="90"/>
        <v>346</v>
      </c>
      <c r="C347">
        <f t="shared" si="91"/>
        <v>0.49542081236155971</v>
      </c>
      <c r="D347">
        <f t="shared" si="92"/>
        <v>1.0427354058196601</v>
      </c>
      <c r="E347">
        <v>347</v>
      </c>
      <c r="F347">
        <f t="shared" si="93"/>
        <v>346</v>
      </c>
      <c r="G347">
        <f t="shared" si="94"/>
        <v>0.49606314896155379</v>
      </c>
      <c r="H347">
        <f t="shared" si="95"/>
        <v>1.10687730344655</v>
      </c>
      <c r="I347">
        <v>347</v>
      </c>
      <c r="J347">
        <f t="shared" si="96"/>
        <v>346</v>
      </c>
      <c r="K347">
        <f t="shared" si="97"/>
        <v>1.4976611619703211</v>
      </c>
      <c r="L347">
        <f t="shared" si="98"/>
        <v>1.26645031675154</v>
      </c>
      <c r="M347">
        <v>347</v>
      </c>
      <c r="N347">
        <f t="shared" si="99"/>
        <v>346</v>
      </c>
      <c r="O347">
        <f t="shared" si="100"/>
        <v>0.49753464824933802</v>
      </c>
      <c r="P347">
        <f t="shared" si="101"/>
        <v>0.253817018041334</v>
      </c>
      <c r="Q347">
        <v>347</v>
      </c>
      <c r="R347">
        <f t="shared" si="102"/>
        <v>346</v>
      </c>
      <c r="S347">
        <f t="shared" si="103"/>
        <v>1.4949928469241622</v>
      </c>
      <c r="T347">
        <f t="shared" si="104"/>
        <v>0</v>
      </c>
      <c r="U347">
        <v>347</v>
      </c>
      <c r="V347">
        <f t="shared" si="105"/>
        <v>346</v>
      </c>
      <c r="W347">
        <f t="shared" si="106"/>
        <v>1.4956418326477412</v>
      </c>
      <c r="X347">
        <f t="shared" si="107"/>
        <v>6.4805860110755301E-2</v>
      </c>
    </row>
    <row r="348" spans="1:24">
      <c r="A348">
        <v>348</v>
      </c>
      <c r="B348">
        <f t="shared" si="90"/>
        <v>347</v>
      </c>
      <c r="C348">
        <f t="shared" si="91"/>
        <v>0.4967291516868253</v>
      </c>
      <c r="D348">
        <f t="shared" si="92"/>
        <v>1.9572645941803399</v>
      </c>
      <c r="E348">
        <v>348</v>
      </c>
      <c r="F348">
        <f t="shared" si="93"/>
        <v>347</v>
      </c>
      <c r="G348">
        <f t="shared" si="94"/>
        <v>0.49718796354396705</v>
      </c>
      <c r="H348">
        <f t="shared" si="95"/>
        <v>1.89312269655345</v>
      </c>
      <c r="I348">
        <v>348</v>
      </c>
      <c r="J348">
        <f t="shared" si="96"/>
        <v>347</v>
      </c>
      <c r="K348">
        <f t="shared" si="97"/>
        <v>1.4983294014073694</v>
      </c>
      <c r="L348">
        <f t="shared" si="98"/>
        <v>1.73354968324846</v>
      </c>
      <c r="M348">
        <v>348</v>
      </c>
      <c r="N348">
        <f t="shared" si="99"/>
        <v>347</v>
      </c>
      <c r="O348">
        <f t="shared" si="100"/>
        <v>0.49823903446381201</v>
      </c>
      <c r="P348">
        <f t="shared" si="101"/>
        <v>0.74618298195866595</v>
      </c>
      <c r="Q348">
        <v>348</v>
      </c>
      <c r="R348">
        <f t="shared" si="102"/>
        <v>347</v>
      </c>
      <c r="S348">
        <f t="shared" si="103"/>
        <v>1.4964234620886829</v>
      </c>
      <c r="T348">
        <f t="shared" si="104"/>
        <v>1</v>
      </c>
      <c r="U348">
        <v>348</v>
      </c>
      <c r="V348">
        <f t="shared" si="105"/>
        <v>347</v>
      </c>
      <c r="W348">
        <f t="shared" si="106"/>
        <v>1.4968870233198133</v>
      </c>
      <c r="X348">
        <f t="shared" si="107"/>
        <v>0.93519413988924505</v>
      </c>
    </row>
    <row r="349" spans="1:24">
      <c r="A349">
        <v>349</v>
      </c>
      <c r="B349">
        <f t="shared" si="90"/>
        <v>348</v>
      </c>
      <c r="C349">
        <f t="shared" si="91"/>
        <v>0.49803749101209094</v>
      </c>
      <c r="D349">
        <f t="shared" si="92"/>
        <v>1.0427354058196601</v>
      </c>
      <c r="E349">
        <v>349</v>
      </c>
      <c r="F349">
        <f t="shared" si="93"/>
        <v>348</v>
      </c>
      <c r="G349">
        <f t="shared" si="94"/>
        <v>0.49831277812638036</v>
      </c>
      <c r="H349">
        <f t="shared" si="95"/>
        <v>1.10687730344655</v>
      </c>
      <c r="I349">
        <v>349</v>
      </c>
      <c r="J349">
        <f t="shared" si="96"/>
        <v>348</v>
      </c>
      <c r="K349">
        <f t="shared" si="97"/>
        <v>1.4989976408444179</v>
      </c>
      <c r="L349">
        <f t="shared" si="98"/>
        <v>1.26645031675154</v>
      </c>
      <c r="M349">
        <v>349</v>
      </c>
      <c r="N349">
        <f t="shared" si="99"/>
        <v>348</v>
      </c>
      <c r="O349">
        <f t="shared" si="100"/>
        <v>0.49894342067828601</v>
      </c>
      <c r="P349">
        <f t="shared" si="101"/>
        <v>0.253817018041334</v>
      </c>
      <c r="Q349">
        <v>349</v>
      </c>
      <c r="R349">
        <f t="shared" si="102"/>
        <v>348</v>
      </c>
      <c r="S349">
        <f t="shared" si="103"/>
        <v>1.4978540772532036</v>
      </c>
      <c r="T349">
        <f t="shared" si="104"/>
        <v>0</v>
      </c>
      <c r="U349">
        <v>349</v>
      </c>
      <c r="V349">
        <f t="shared" si="105"/>
        <v>348</v>
      </c>
      <c r="W349">
        <f t="shared" si="106"/>
        <v>1.4981322139918856</v>
      </c>
      <c r="X349">
        <f t="shared" si="107"/>
        <v>6.4805860110755301E-2</v>
      </c>
    </row>
    <row r="350" spans="1:24">
      <c r="A350">
        <v>350</v>
      </c>
      <c r="B350">
        <f t="shared" si="90"/>
        <v>349</v>
      </c>
      <c r="C350">
        <f t="shared" si="91"/>
        <v>0.49934583033735652</v>
      </c>
      <c r="D350">
        <f t="shared" si="92"/>
        <v>1.9572645941803399</v>
      </c>
      <c r="E350">
        <v>350</v>
      </c>
      <c r="F350">
        <f t="shared" si="93"/>
        <v>349</v>
      </c>
      <c r="G350">
        <f t="shared" si="94"/>
        <v>0.49943759270879368</v>
      </c>
      <c r="H350">
        <f t="shared" si="95"/>
        <v>1.89312269655345</v>
      </c>
      <c r="I350">
        <v>350</v>
      </c>
      <c r="J350">
        <f t="shared" si="96"/>
        <v>349</v>
      </c>
      <c r="K350">
        <f t="shared" si="97"/>
        <v>1.4996658802814664</v>
      </c>
      <c r="L350">
        <f t="shared" si="98"/>
        <v>1.73354968324846</v>
      </c>
      <c r="M350">
        <v>350</v>
      </c>
      <c r="N350">
        <f t="shared" si="99"/>
        <v>349</v>
      </c>
      <c r="O350">
        <f t="shared" si="100"/>
        <v>0.49964780689276</v>
      </c>
      <c r="P350">
        <f t="shared" si="101"/>
        <v>0.74618298195866595</v>
      </c>
      <c r="Q350">
        <v>350</v>
      </c>
      <c r="R350">
        <f t="shared" si="102"/>
        <v>349</v>
      </c>
      <c r="S350">
        <f t="shared" si="103"/>
        <v>1.4992846924177243</v>
      </c>
      <c r="T350">
        <f t="shared" si="104"/>
        <v>1</v>
      </c>
      <c r="U350">
        <v>350</v>
      </c>
      <c r="V350">
        <f t="shared" si="105"/>
        <v>349</v>
      </c>
      <c r="W350">
        <f t="shared" si="106"/>
        <v>1.4993774046639579</v>
      </c>
      <c r="X350">
        <f t="shared" si="107"/>
        <v>0.93519413988924505</v>
      </c>
    </row>
    <row r="351" spans="1:24">
      <c r="A351">
        <v>351</v>
      </c>
      <c r="B351">
        <f t="shared" si="90"/>
        <v>350</v>
      </c>
      <c r="C351">
        <f t="shared" si="91"/>
        <v>0.50065416966262211</v>
      </c>
      <c r="D351">
        <f t="shared" si="92"/>
        <v>1.0427354058196601</v>
      </c>
      <c r="E351">
        <v>351</v>
      </c>
      <c r="F351">
        <f t="shared" si="93"/>
        <v>350</v>
      </c>
      <c r="G351">
        <f t="shared" si="94"/>
        <v>0.50056240729120693</v>
      </c>
      <c r="H351">
        <f t="shared" si="95"/>
        <v>1.10687730344655</v>
      </c>
      <c r="I351">
        <v>351</v>
      </c>
      <c r="J351">
        <f t="shared" si="96"/>
        <v>350</v>
      </c>
      <c r="K351">
        <f t="shared" si="97"/>
        <v>1.5003341197185149</v>
      </c>
      <c r="L351">
        <f t="shared" si="98"/>
        <v>1.26645031675154</v>
      </c>
      <c r="M351">
        <v>351</v>
      </c>
      <c r="N351">
        <f t="shared" si="99"/>
        <v>350</v>
      </c>
      <c r="O351">
        <f t="shared" si="100"/>
        <v>0.500352193107234</v>
      </c>
      <c r="P351">
        <f t="shared" si="101"/>
        <v>0.253817018041334</v>
      </c>
      <c r="Q351">
        <v>351</v>
      </c>
      <c r="R351">
        <f t="shared" si="102"/>
        <v>350</v>
      </c>
      <c r="S351">
        <f t="shared" si="103"/>
        <v>1.500715307582245</v>
      </c>
      <c r="T351">
        <f t="shared" si="104"/>
        <v>0</v>
      </c>
      <c r="U351">
        <v>351</v>
      </c>
      <c r="V351">
        <f t="shared" si="105"/>
        <v>350</v>
      </c>
      <c r="W351">
        <f t="shared" si="106"/>
        <v>1.5006225953360299</v>
      </c>
      <c r="X351">
        <f t="shared" si="107"/>
        <v>6.4805860110755301E-2</v>
      </c>
    </row>
    <row r="352" spans="1:24">
      <c r="A352">
        <v>352</v>
      </c>
      <c r="B352">
        <f t="shared" si="90"/>
        <v>351</v>
      </c>
      <c r="C352">
        <f t="shared" si="91"/>
        <v>0.50196250898788763</v>
      </c>
      <c r="D352">
        <f t="shared" si="92"/>
        <v>1.9572645941803399</v>
      </c>
      <c r="E352">
        <v>352</v>
      </c>
      <c r="F352">
        <f t="shared" si="93"/>
        <v>351</v>
      </c>
      <c r="G352">
        <f t="shared" si="94"/>
        <v>0.50168722187362025</v>
      </c>
      <c r="H352">
        <f t="shared" si="95"/>
        <v>1.89312269655345</v>
      </c>
      <c r="I352">
        <v>352</v>
      </c>
      <c r="J352">
        <f t="shared" si="96"/>
        <v>351</v>
      </c>
      <c r="K352">
        <f t="shared" si="97"/>
        <v>1.5010023591555635</v>
      </c>
      <c r="L352">
        <f t="shared" si="98"/>
        <v>1.73354968324846</v>
      </c>
      <c r="M352">
        <v>352</v>
      </c>
      <c r="N352">
        <f t="shared" si="99"/>
        <v>351</v>
      </c>
      <c r="O352">
        <f t="shared" si="100"/>
        <v>0.501056579321708</v>
      </c>
      <c r="P352">
        <f t="shared" si="101"/>
        <v>0.74618298195866595</v>
      </c>
      <c r="Q352">
        <v>352</v>
      </c>
      <c r="R352">
        <f t="shared" si="102"/>
        <v>351</v>
      </c>
      <c r="S352">
        <f t="shared" si="103"/>
        <v>1.5021459227467657</v>
      </c>
      <c r="T352">
        <f t="shared" si="104"/>
        <v>1</v>
      </c>
      <c r="U352">
        <v>352</v>
      </c>
      <c r="V352">
        <f t="shared" si="105"/>
        <v>351</v>
      </c>
      <c r="W352">
        <f t="shared" si="106"/>
        <v>1.501867786008102</v>
      </c>
      <c r="X352">
        <f t="shared" si="107"/>
        <v>0.93519413988924505</v>
      </c>
    </row>
    <row r="353" spans="1:24">
      <c r="A353">
        <v>353</v>
      </c>
      <c r="B353">
        <f t="shared" si="90"/>
        <v>352</v>
      </c>
      <c r="C353">
        <f t="shared" si="91"/>
        <v>0.50327084831315327</v>
      </c>
      <c r="D353">
        <f t="shared" si="92"/>
        <v>1.0427354058196601</v>
      </c>
      <c r="E353">
        <v>353</v>
      </c>
      <c r="F353">
        <f t="shared" si="93"/>
        <v>352</v>
      </c>
      <c r="G353">
        <f t="shared" si="94"/>
        <v>0.50281203645603356</v>
      </c>
      <c r="H353">
        <f t="shared" si="95"/>
        <v>1.10687730344655</v>
      </c>
      <c r="I353">
        <v>353</v>
      </c>
      <c r="J353">
        <f t="shared" si="96"/>
        <v>352</v>
      </c>
      <c r="K353">
        <f t="shared" si="97"/>
        <v>1.501670598592612</v>
      </c>
      <c r="L353">
        <f t="shared" si="98"/>
        <v>1.26645031675154</v>
      </c>
      <c r="M353">
        <v>353</v>
      </c>
      <c r="N353">
        <f t="shared" si="99"/>
        <v>352</v>
      </c>
      <c r="O353">
        <f t="shared" si="100"/>
        <v>0.50176096553618199</v>
      </c>
      <c r="P353">
        <f t="shared" si="101"/>
        <v>0.253817018041334</v>
      </c>
      <c r="Q353">
        <v>353</v>
      </c>
      <c r="R353">
        <f t="shared" si="102"/>
        <v>352</v>
      </c>
      <c r="S353">
        <f t="shared" si="103"/>
        <v>1.5035765379112864</v>
      </c>
      <c r="T353">
        <f t="shared" si="104"/>
        <v>0</v>
      </c>
      <c r="U353">
        <v>353</v>
      </c>
      <c r="V353">
        <f t="shared" si="105"/>
        <v>352</v>
      </c>
      <c r="W353">
        <f t="shared" si="106"/>
        <v>1.5031129766801743</v>
      </c>
      <c r="X353">
        <f t="shared" si="107"/>
        <v>6.4805860110755301E-2</v>
      </c>
    </row>
    <row r="354" spans="1:24">
      <c r="A354">
        <v>354</v>
      </c>
      <c r="B354">
        <f t="shared" si="90"/>
        <v>353</v>
      </c>
      <c r="C354">
        <f t="shared" si="91"/>
        <v>0.50457918763841891</v>
      </c>
      <c r="D354">
        <f t="shared" si="92"/>
        <v>1.9572645941803399</v>
      </c>
      <c r="E354">
        <v>354</v>
      </c>
      <c r="F354">
        <f t="shared" si="93"/>
        <v>353</v>
      </c>
      <c r="G354">
        <f t="shared" si="94"/>
        <v>0.50393685103844688</v>
      </c>
      <c r="H354">
        <f t="shared" si="95"/>
        <v>1.89312269655345</v>
      </c>
      <c r="I354">
        <v>354</v>
      </c>
      <c r="J354">
        <f t="shared" si="96"/>
        <v>353</v>
      </c>
      <c r="K354">
        <f t="shared" si="97"/>
        <v>1.5023388380296605</v>
      </c>
      <c r="L354">
        <f t="shared" si="98"/>
        <v>1.73354968324846</v>
      </c>
      <c r="M354">
        <v>354</v>
      </c>
      <c r="N354">
        <f t="shared" si="99"/>
        <v>353</v>
      </c>
      <c r="O354">
        <f t="shared" si="100"/>
        <v>0.50246535175065599</v>
      </c>
      <c r="P354">
        <f t="shared" si="101"/>
        <v>0.74618298195866595</v>
      </c>
      <c r="Q354">
        <v>354</v>
      </c>
      <c r="R354">
        <f t="shared" si="102"/>
        <v>353</v>
      </c>
      <c r="S354">
        <f t="shared" si="103"/>
        <v>1.5050071530758071</v>
      </c>
      <c r="T354">
        <f t="shared" si="104"/>
        <v>1</v>
      </c>
      <c r="U354">
        <v>354</v>
      </c>
      <c r="V354">
        <f t="shared" si="105"/>
        <v>353</v>
      </c>
      <c r="W354">
        <f t="shared" si="106"/>
        <v>1.5043581673522466</v>
      </c>
      <c r="X354">
        <f t="shared" si="107"/>
        <v>0.93519413988924505</v>
      </c>
    </row>
    <row r="355" spans="1:24">
      <c r="A355">
        <v>355</v>
      </c>
      <c r="B355">
        <f t="shared" si="90"/>
        <v>354</v>
      </c>
      <c r="C355">
        <f t="shared" si="91"/>
        <v>0.50588752696368444</v>
      </c>
      <c r="D355">
        <f t="shared" si="92"/>
        <v>1.0427354058196601</v>
      </c>
      <c r="E355">
        <v>355</v>
      </c>
      <c r="F355">
        <f t="shared" si="93"/>
        <v>354</v>
      </c>
      <c r="G355">
        <f t="shared" si="94"/>
        <v>0.50506166562086019</v>
      </c>
      <c r="H355">
        <f t="shared" si="95"/>
        <v>1.10687730344655</v>
      </c>
      <c r="I355">
        <v>355</v>
      </c>
      <c r="J355">
        <f t="shared" si="96"/>
        <v>354</v>
      </c>
      <c r="K355">
        <f t="shared" si="97"/>
        <v>1.503007077466709</v>
      </c>
      <c r="L355">
        <f t="shared" si="98"/>
        <v>1.26645031675154</v>
      </c>
      <c r="M355">
        <v>355</v>
      </c>
      <c r="N355">
        <f t="shared" si="99"/>
        <v>354</v>
      </c>
      <c r="O355">
        <f t="shared" si="100"/>
        <v>0.50316973796512998</v>
      </c>
      <c r="P355">
        <f t="shared" si="101"/>
        <v>0.253817018041334</v>
      </c>
      <c r="Q355">
        <v>355</v>
      </c>
      <c r="R355">
        <f t="shared" si="102"/>
        <v>354</v>
      </c>
      <c r="S355">
        <f t="shared" si="103"/>
        <v>1.5064377682403278</v>
      </c>
      <c r="T355">
        <f t="shared" si="104"/>
        <v>0</v>
      </c>
      <c r="U355">
        <v>355</v>
      </c>
      <c r="V355">
        <f t="shared" si="105"/>
        <v>354</v>
      </c>
      <c r="W355">
        <f t="shared" si="106"/>
        <v>1.5056033580243187</v>
      </c>
      <c r="X355">
        <f t="shared" si="107"/>
        <v>6.4805860110755301E-2</v>
      </c>
    </row>
    <row r="356" spans="1:24">
      <c r="A356">
        <v>356</v>
      </c>
      <c r="B356">
        <f t="shared" si="90"/>
        <v>355</v>
      </c>
      <c r="C356">
        <f t="shared" si="91"/>
        <v>0.50719586628895008</v>
      </c>
      <c r="D356">
        <f t="shared" si="92"/>
        <v>1.9572645941803399</v>
      </c>
      <c r="E356">
        <v>356</v>
      </c>
      <c r="F356">
        <f t="shared" si="93"/>
        <v>355</v>
      </c>
      <c r="G356">
        <f t="shared" si="94"/>
        <v>0.50618648020327339</v>
      </c>
      <c r="H356">
        <f t="shared" si="95"/>
        <v>1.89312269655345</v>
      </c>
      <c r="I356">
        <v>356</v>
      </c>
      <c r="J356">
        <f t="shared" si="96"/>
        <v>355</v>
      </c>
      <c r="K356">
        <f t="shared" si="97"/>
        <v>1.5036753169037573</v>
      </c>
      <c r="L356">
        <f t="shared" si="98"/>
        <v>1.73354968324846</v>
      </c>
      <c r="M356">
        <v>356</v>
      </c>
      <c r="N356">
        <f t="shared" si="99"/>
        <v>355</v>
      </c>
      <c r="O356">
        <f t="shared" si="100"/>
        <v>0.50387412417960398</v>
      </c>
      <c r="P356">
        <f t="shared" si="101"/>
        <v>0.74618298195866595</v>
      </c>
      <c r="Q356">
        <v>356</v>
      </c>
      <c r="R356">
        <f t="shared" si="102"/>
        <v>355</v>
      </c>
      <c r="S356">
        <f t="shared" si="103"/>
        <v>1.5078683834048485</v>
      </c>
      <c r="T356">
        <f t="shared" si="104"/>
        <v>1</v>
      </c>
      <c r="U356">
        <v>356</v>
      </c>
      <c r="V356">
        <f t="shared" si="105"/>
        <v>355</v>
      </c>
      <c r="W356">
        <f t="shared" si="106"/>
        <v>1.506848548696391</v>
      </c>
      <c r="X356">
        <f t="shared" si="107"/>
        <v>0.93519413988924505</v>
      </c>
    </row>
    <row r="357" spans="1:24">
      <c r="A357">
        <v>357</v>
      </c>
      <c r="B357">
        <f t="shared" si="90"/>
        <v>356</v>
      </c>
      <c r="C357">
        <f t="shared" si="91"/>
        <v>0.50850420561421572</v>
      </c>
      <c r="D357">
        <f t="shared" si="92"/>
        <v>1.0427354058196601</v>
      </c>
      <c r="E357">
        <v>357</v>
      </c>
      <c r="F357">
        <f t="shared" si="93"/>
        <v>356</v>
      </c>
      <c r="G357">
        <f t="shared" si="94"/>
        <v>0.50731129478568682</v>
      </c>
      <c r="H357">
        <f t="shared" si="95"/>
        <v>1.10687730344655</v>
      </c>
      <c r="I357">
        <v>357</v>
      </c>
      <c r="J357">
        <f t="shared" si="96"/>
        <v>356</v>
      </c>
      <c r="K357">
        <f t="shared" si="97"/>
        <v>1.5043435563408059</v>
      </c>
      <c r="L357">
        <f t="shared" si="98"/>
        <v>1.26645031675154</v>
      </c>
      <c r="M357">
        <v>357</v>
      </c>
      <c r="N357">
        <f t="shared" si="99"/>
        <v>356</v>
      </c>
      <c r="O357">
        <f t="shared" si="100"/>
        <v>0.50457851039407797</v>
      </c>
      <c r="P357">
        <f t="shared" si="101"/>
        <v>0.253817018041334</v>
      </c>
      <c r="Q357">
        <v>357</v>
      </c>
      <c r="R357">
        <f t="shared" si="102"/>
        <v>356</v>
      </c>
      <c r="S357">
        <f t="shared" si="103"/>
        <v>1.5092989985693692</v>
      </c>
      <c r="T357">
        <f t="shared" si="104"/>
        <v>0</v>
      </c>
      <c r="U357">
        <v>357</v>
      </c>
      <c r="V357">
        <f t="shared" si="105"/>
        <v>356</v>
      </c>
      <c r="W357">
        <f t="shared" si="106"/>
        <v>1.508093739368463</v>
      </c>
      <c r="X357">
        <f t="shared" si="107"/>
        <v>6.4805860110755301E-2</v>
      </c>
    </row>
    <row r="358" spans="1:24">
      <c r="A358">
        <v>358</v>
      </c>
      <c r="B358">
        <f t="shared" si="90"/>
        <v>357</v>
      </c>
      <c r="C358">
        <f t="shared" si="91"/>
        <v>0.50981254493948125</v>
      </c>
      <c r="D358">
        <f t="shared" si="92"/>
        <v>1.9572645941803399</v>
      </c>
      <c r="E358">
        <v>358</v>
      </c>
      <c r="F358">
        <f t="shared" si="93"/>
        <v>357</v>
      </c>
      <c r="G358">
        <f t="shared" si="94"/>
        <v>0.50843610936810002</v>
      </c>
      <c r="H358">
        <f t="shared" si="95"/>
        <v>1.89312269655345</v>
      </c>
      <c r="I358">
        <v>358</v>
      </c>
      <c r="J358">
        <f t="shared" si="96"/>
        <v>357</v>
      </c>
      <c r="K358">
        <f t="shared" si="97"/>
        <v>1.5050117957778544</v>
      </c>
      <c r="L358">
        <f t="shared" si="98"/>
        <v>1.73354968324846</v>
      </c>
      <c r="M358">
        <v>358</v>
      </c>
      <c r="N358">
        <f t="shared" si="99"/>
        <v>357</v>
      </c>
      <c r="O358">
        <f t="shared" si="100"/>
        <v>0.50528289660855197</v>
      </c>
      <c r="P358">
        <f t="shared" si="101"/>
        <v>0.74618298195866595</v>
      </c>
      <c r="Q358">
        <v>358</v>
      </c>
      <c r="R358">
        <f t="shared" si="102"/>
        <v>357</v>
      </c>
      <c r="S358">
        <f t="shared" si="103"/>
        <v>1.5107296137338899</v>
      </c>
      <c r="T358">
        <f t="shared" si="104"/>
        <v>1</v>
      </c>
      <c r="U358">
        <v>358</v>
      </c>
      <c r="V358">
        <f t="shared" si="105"/>
        <v>357</v>
      </c>
      <c r="W358">
        <f t="shared" si="106"/>
        <v>1.5093389300405353</v>
      </c>
      <c r="X358">
        <f t="shared" si="107"/>
        <v>0.93519413988924505</v>
      </c>
    </row>
    <row r="359" spans="1:24">
      <c r="A359">
        <v>359</v>
      </c>
      <c r="B359">
        <f t="shared" si="90"/>
        <v>358</v>
      </c>
      <c r="C359">
        <f t="shared" si="91"/>
        <v>0.51112088426474689</v>
      </c>
      <c r="D359">
        <f t="shared" si="92"/>
        <v>1.0427354058196601</v>
      </c>
      <c r="E359">
        <v>359</v>
      </c>
      <c r="F359">
        <f t="shared" si="93"/>
        <v>358</v>
      </c>
      <c r="G359">
        <f t="shared" si="94"/>
        <v>0.50956092395051333</v>
      </c>
      <c r="H359">
        <f t="shared" si="95"/>
        <v>1.10687730344655</v>
      </c>
      <c r="I359">
        <v>359</v>
      </c>
      <c r="J359">
        <f t="shared" si="96"/>
        <v>358</v>
      </c>
      <c r="K359">
        <f t="shared" si="97"/>
        <v>1.5056800352149029</v>
      </c>
      <c r="L359">
        <f t="shared" si="98"/>
        <v>1.26645031675154</v>
      </c>
      <c r="M359">
        <v>359</v>
      </c>
      <c r="N359">
        <f t="shared" si="99"/>
        <v>358</v>
      </c>
      <c r="O359">
        <f t="shared" si="100"/>
        <v>0.50598728282302596</v>
      </c>
      <c r="P359">
        <f t="shared" si="101"/>
        <v>0.253817018041334</v>
      </c>
      <c r="Q359">
        <v>359</v>
      </c>
      <c r="R359">
        <f t="shared" si="102"/>
        <v>358</v>
      </c>
      <c r="S359">
        <f t="shared" si="103"/>
        <v>1.5121602288984106</v>
      </c>
      <c r="T359">
        <f t="shared" si="104"/>
        <v>0</v>
      </c>
      <c r="U359">
        <v>359</v>
      </c>
      <c r="V359">
        <f t="shared" si="105"/>
        <v>358</v>
      </c>
      <c r="W359">
        <f t="shared" si="106"/>
        <v>1.5105841207126076</v>
      </c>
      <c r="X359">
        <f t="shared" si="107"/>
        <v>6.4805860110755301E-2</v>
      </c>
    </row>
    <row r="360" spans="1:24">
      <c r="A360">
        <v>360</v>
      </c>
      <c r="B360">
        <f t="shared" si="90"/>
        <v>359</v>
      </c>
      <c r="C360">
        <f t="shared" si="91"/>
        <v>0.51242922359001253</v>
      </c>
      <c r="D360">
        <f t="shared" si="92"/>
        <v>1.9572645941803399</v>
      </c>
      <c r="E360">
        <v>360</v>
      </c>
      <c r="F360">
        <f t="shared" si="93"/>
        <v>359</v>
      </c>
      <c r="G360">
        <f t="shared" si="94"/>
        <v>0.51068573853292665</v>
      </c>
      <c r="H360">
        <f t="shared" si="95"/>
        <v>1.89312269655345</v>
      </c>
      <c r="I360">
        <v>360</v>
      </c>
      <c r="J360">
        <f t="shared" si="96"/>
        <v>359</v>
      </c>
      <c r="K360">
        <f t="shared" si="97"/>
        <v>1.5063482746519514</v>
      </c>
      <c r="L360">
        <f t="shared" si="98"/>
        <v>1.73354968324846</v>
      </c>
      <c r="M360">
        <v>360</v>
      </c>
      <c r="N360">
        <f t="shared" si="99"/>
        <v>359</v>
      </c>
      <c r="O360">
        <f t="shared" si="100"/>
        <v>0.50669166903749996</v>
      </c>
      <c r="P360">
        <f t="shared" si="101"/>
        <v>0.74618298195866595</v>
      </c>
      <c r="Q360">
        <v>360</v>
      </c>
      <c r="R360">
        <f t="shared" si="102"/>
        <v>359</v>
      </c>
      <c r="S360">
        <f t="shared" si="103"/>
        <v>1.5135908440629313</v>
      </c>
      <c r="T360">
        <f t="shared" si="104"/>
        <v>1</v>
      </c>
      <c r="U360">
        <v>360</v>
      </c>
      <c r="V360">
        <f t="shared" si="105"/>
        <v>359</v>
      </c>
      <c r="W360">
        <f t="shared" si="106"/>
        <v>1.5118293113846797</v>
      </c>
      <c r="X360">
        <f t="shared" si="107"/>
        <v>0.93519413988924505</v>
      </c>
    </row>
    <row r="361" spans="1:24">
      <c r="A361">
        <v>361</v>
      </c>
      <c r="B361">
        <f t="shared" si="90"/>
        <v>360</v>
      </c>
      <c r="C361">
        <f t="shared" si="91"/>
        <v>0.51373756291527806</v>
      </c>
      <c r="D361">
        <f t="shared" si="92"/>
        <v>1.0427354058196601</v>
      </c>
      <c r="E361">
        <v>361</v>
      </c>
      <c r="F361">
        <f t="shared" si="93"/>
        <v>360</v>
      </c>
      <c r="G361">
        <f t="shared" si="94"/>
        <v>0.51181055311533996</v>
      </c>
      <c r="H361">
        <f t="shared" si="95"/>
        <v>1.10687730344655</v>
      </c>
      <c r="I361">
        <v>361</v>
      </c>
      <c r="J361">
        <f t="shared" si="96"/>
        <v>360</v>
      </c>
      <c r="K361">
        <f t="shared" si="97"/>
        <v>1.5070165140889999</v>
      </c>
      <c r="L361">
        <f t="shared" si="98"/>
        <v>1.26645031675154</v>
      </c>
      <c r="M361">
        <v>361</v>
      </c>
      <c r="N361">
        <f t="shared" si="99"/>
        <v>360</v>
      </c>
      <c r="O361">
        <f t="shared" si="100"/>
        <v>0.50739605525197407</v>
      </c>
      <c r="P361">
        <f t="shared" si="101"/>
        <v>0.253817018041334</v>
      </c>
      <c r="Q361">
        <v>361</v>
      </c>
      <c r="R361">
        <f t="shared" si="102"/>
        <v>360</v>
      </c>
      <c r="S361">
        <f t="shared" si="103"/>
        <v>1.515021459227452</v>
      </c>
      <c r="T361">
        <f t="shared" si="104"/>
        <v>0</v>
      </c>
      <c r="U361">
        <v>361</v>
      </c>
      <c r="V361">
        <f t="shared" si="105"/>
        <v>360</v>
      </c>
      <c r="W361">
        <f t="shared" si="106"/>
        <v>1.513074502056752</v>
      </c>
      <c r="X361">
        <f t="shared" si="107"/>
        <v>6.4805860110755301E-2</v>
      </c>
    </row>
    <row r="362" spans="1:24">
      <c r="A362">
        <v>362</v>
      </c>
      <c r="B362">
        <f t="shared" si="90"/>
        <v>361</v>
      </c>
      <c r="C362">
        <f t="shared" si="91"/>
        <v>0.5150459022405437</v>
      </c>
      <c r="D362">
        <f t="shared" si="92"/>
        <v>1.9572645941803399</v>
      </c>
      <c r="E362">
        <v>362</v>
      </c>
      <c r="F362">
        <f t="shared" si="93"/>
        <v>361</v>
      </c>
      <c r="G362">
        <f t="shared" si="94"/>
        <v>0.51293536769775327</v>
      </c>
      <c r="H362">
        <f t="shared" si="95"/>
        <v>1.89312269655345</v>
      </c>
      <c r="I362">
        <v>362</v>
      </c>
      <c r="J362">
        <f t="shared" si="96"/>
        <v>361</v>
      </c>
      <c r="K362">
        <f t="shared" si="97"/>
        <v>1.5076847535260485</v>
      </c>
      <c r="L362">
        <f t="shared" si="98"/>
        <v>1.73354968324846</v>
      </c>
      <c r="M362">
        <v>362</v>
      </c>
      <c r="N362">
        <f t="shared" si="99"/>
        <v>361</v>
      </c>
      <c r="O362">
        <f t="shared" si="100"/>
        <v>0.50810044146644806</v>
      </c>
      <c r="P362">
        <f t="shared" si="101"/>
        <v>0.74618298195866595</v>
      </c>
      <c r="Q362">
        <v>362</v>
      </c>
      <c r="R362">
        <f t="shared" si="102"/>
        <v>361</v>
      </c>
      <c r="S362">
        <f t="shared" si="103"/>
        <v>1.5164520743919727</v>
      </c>
      <c r="T362">
        <f t="shared" si="104"/>
        <v>1</v>
      </c>
      <c r="U362">
        <v>362</v>
      </c>
      <c r="V362">
        <f t="shared" si="105"/>
        <v>361</v>
      </c>
      <c r="W362">
        <f t="shared" si="106"/>
        <v>1.5143196927288241</v>
      </c>
      <c r="X362">
        <f t="shared" si="107"/>
        <v>0.93519413988924505</v>
      </c>
    </row>
    <row r="363" spans="1:24">
      <c r="A363">
        <v>363</v>
      </c>
      <c r="B363">
        <f t="shared" si="90"/>
        <v>362</v>
      </c>
      <c r="C363">
        <f t="shared" si="91"/>
        <v>0.51635424156580934</v>
      </c>
      <c r="D363">
        <f t="shared" si="92"/>
        <v>1.0427354058196601</v>
      </c>
      <c r="E363">
        <v>363</v>
      </c>
      <c r="F363">
        <f t="shared" si="93"/>
        <v>362</v>
      </c>
      <c r="G363">
        <f t="shared" si="94"/>
        <v>0.51406018228016659</v>
      </c>
      <c r="H363">
        <f t="shared" si="95"/>
        <v>1.10687730344655</v>
      </c>
      <c r="I363">
        <v>363</v>
      </c>
      <c r="J363">
        <f t="shared" si="96"/>
        <v>362</v>
      </c>
      <c r="K363">
        <f t="shared" si="97"/>
        <v>1.508352992963097</v>
      </c>
      <c r="L363">
        <f t="shared" si="98"/>
        <v>1.26645031675154</v>
      </c>
      <c r="M363">
        <v>363</v>
      </c>
      <c r="N363">
        <f t="shared" si="99"/>
        <v>362</v>
      </c>
      <c r="O363">
        <f t="shared" si="100"/>
        <v>0.50880482768092206</v>
      </c>
      <c r="P363">
        <f t="shared" si="101"/>
        <v>0.253817018041334</v>
      </c>
      <c r="Q363">
        <v>363</v>
      </c>
      <c r="R363">
        <f t="shared" si="102"/>
        <v>362</v>
      </c>
      <c r="S363">
        <f t="shared" si="103"/>
        <v>1.5178826895564934</v>
      </c>
      <c r="T363">
        <f t="shared" si="104"/>
        <v>0</v>
      </c>
      <c r="U363">
        <v>363</v>
      </c>
      <c r="V363">
        <f t="shared" si="105"/>
        <v>362</v>
      </c>
      <c r="W363">
        <f t="shared" si="106"/>
        <v>1.5155648834008963</v>
      </c>
      <c r="X363">
        <f t="shared" si="107"/>
        <v>6.4805860110755301E-2</v>
      </c>
    </row>
    <row r="364" spans="1:24">
      <c r="A364">
        <v>364</v>
      </c>
      <c r="B364">
        <f t="shared" si="90"/>
        <v>363</v>
      </c>
      <c r="C364">
        <f t="shared" si="91"/>
        <v>0.51766258089107486</v>
      </c>
      <c r="D364">
        <f t="shared" si="92"/>
        <v>1.9572645941803399</v>
      </c>
      <c r="E364">
        <v>364</v>
      </c>
      <c r="F364">
        <f t="shared" si="93"/>
        <v>363</v>
      </c>
      <c r="G364">
        <f t="shared" si="94"/>
        <v>0.5151849968625799</v>
      </c>
      <c r="H364">
        <f t="shared" si="95"/>
        <v>1.89312269655345</v>
      </c>
      <c r="I364">
        <v>364</v>
      </c>
      <c r="J364">
        <f t="shared" si="96"/>
        <v>363</v>
      </c>
      <c r="K364">
        <f t="shared" si="97"/>
        <v>1.5090212324001455</v>
      </c>
      <c r="L364">
        <f t="shared" si="98"/>
        <v>1.73354968324846</v>
      </c>
      <c r="M364">
        <v>364</v>
      </c>
      <c r="N364">
        <f t="shared" si="99"/>
        <v>363</v>
      </c>
      <c r="O364">
        <f t="shared" si="100"/>
        <v>0.50950921389539605</v>
      </c>
      <c r="P364">
        <f t="shared" si="101"/>
        <v>0.74618298195866595</v>
      </c>
      <c r="Q364">
        <v>364</v>
      </c>
      <c r="R364">
        <f t="shared" si="102"/>
        <v>363</v>
      </c>
      <c r="S364">
        <f t="shared" si="103"/>
        <v>1.5193133047210141</v>
      </c>
      <c r="T364">
        <f t="shared" si="104"/>
        <v>1</v>
      </c>
      <c r="U364">
        <v>364</v>
      </c>
      <c r="V364">
        <f t="shared" si="105"/>
        <v>363</v>
      </c>
      <c r="W364">
        <f t="shared" si="106"/>
        <v>1.5168100740729686</v>
      </c>
      <c r="X364">
        <f t="shared" si="107"/>
        <v>0.93519413988924505</v>
      </c>
    </row>
    <row r="365" spans="1:24">
      <c r="A365">
        <v>365</v>
      </c>
      <c r="B365">
        <f t="shared" si="90"/>
        <v>364</v>
      </c>
      <c r="C365">
        <f t="shared" si="91"/>
        <v>0.5189709202163405</v>
      </c>
      <c r="D365">
        <f t="shared" si="92"/>
        <v>1.0427354058196601</v>
      </c>
      <c r="E365">
        <v>365</v>
      </c>
      <c r="F365">
        <f t="shared" si="93"/>
        <v>364</v>
      </c>
      <c r="G365">
        <f t="shared" si="94"/>
        <v>0.51630981144499311</v>
      </c>
      <c r="H365">
        <f t="shared" si="95"/>
        <v>1.10687730344655</v>
      </c>
      <c r="I365">
        <v>365</v>
      </c>
      <c r="J365">
        <f t="shared" si="96"/>
        <v>364</v>
      </c>
      <c r="K365">
        <f t="shared" si="97"/>
        <v>1.509689471837194</v>
      </c>
      <c r="L365">
        <f t="shared" si="98"/>
        <v>1.26645031675154</v>
      </c>
      <c r="M365">
        <v>365</v>
      </c>
      <c r="N365">
        <f t="shared" si="99"/>
        <v>364</v>
      </c>
      <c r="O365">
        <f t="shared" si="100"/>
        <v>0.51021360010987005</v>
      </c>
      <c r="P365">
        <f t="shared" si="101"/>
        <v>0.253817018041334</v>
      </c>
      <c r="Q365">
        <v>365</v>
      </c>
      <c r="R365">
        <f t="shared" si="102"/>
        <v>364</v>
      </c>
      <c r="S365">
        <f t="shared" si="103"/>
        <v>1.5207439198855348</v>
      </c>
      <c r="T365">
        <f t="shared" si="104"/>
        <v>0</v>
      </c>
      <c r="U365">
        <v>365</v>
      </c>
      <c r="V365">
        <f t="shared" si="105"/>
        <v>364</v>
      </c>
      <c r="W365">
        <f t="shared" si="106"/>
        <v>1.5180552647450407</v>
      </c>
      <c r="X365">
        <f t="shared" si="107"/>
        <v>6.4805860110755301E-2</v>
      </c>
    </row>
    <row r="366" spans="1:24">
      <c r="A366">
        <v>366</v>
      </c>
      <c r="B366">
        <f t="shared" si="90"/>
        <v>365</v>
      </c>
      <c r="C366">
        <f t="shared" si="91"/>
        <v>0.52027925954160614</v>
      </c>
      <c r="D366">
        <f t="shared" si="92"/>
        <v>1.9572645941803399</v>
      </c>
      <c r="E366">
        <v>366</v>
      </c>
      <c r="F366">
        <f t="shared" si="93"/>
        <v>365</v>
      </c>
      <c r="G366">
        <f t="shared" si="94"/>
        <v>0.51743462602740653</v>
      </c>
      <c r="H366">
        <f t="shared" si="95"/>
        <v>1.89312269655345</v>
      </c>
      <c r="I366">
        <v>366</v>
      </c>
      <c r="J366">
        <f t="shared" si="96"/>
        <v>365</v>
      </c>
      <c r="K366">
        <f t="shared" si="97"/>
        <v>1.5103577112742426</v>
      </c>
      <c r="L366">
        <f t="shared" si="98"/>
        <v>1.73354968324846</v>
      </c>
      <c r="M366">
        <v>366</v>
      </c>
      <c r="N366">
        <f t="shared" si="99"/>
        <v>365</v>
      </c>
      <c r="O366">
        <f t="shared" si="100"/>
        <v>0.51091798632434404</v>
      </c>
      <c r="P366">
        <f t="shared" si="101"/>
        <v>0.74618298195866595</v>
      </c>
      <c r="Q366">
        <v>366</v>
      </c>
      <c r="R366">
        <f t="shared" si="102"/>
        <v>365</v>
      </c>
      <c r="S366">
        <f t="shared" si="103"/>
        <v>1.5221745350500555</v>
      </c>
      <c r="T366">
        <f t="shared" si="104"/>
        <v>1</v>
      </c>
      <c r="U366">
        <v>366</v>
      </c>
      <c r="V366">
        <f t="shared" si="105"/>
        <v>365</v>
      </c>
      <c r="W366">
        <f t="shared" si="106"/>
        <v>1.519300455417113</v>
      </c>
      <c r="X366">
        <f t="shared" si="107"/>
        <v>0.93519413988924505</v>
      </c>
    </row>
    <row r="367" spans="1:24">
      <c r="A367">
        <v>367</v>
      </c>
      <c r="B367">
        <f t="shared" si="90"/>
        <v>366</v>
      </c>
      <c r="C367">
        <f t="shared" si="91"/>
        <v>0.52158759886687167</v>
      </c>
      <c r="D367">
        <f t="shared" si="92"/>
        <v>1.0427354058196601</v>
      </c>
      <c r="E367">
        <v>367</v>
      </c>
      <c r="F367">
        <f t="shared" si="93"/>
        <v>366</v>
      </c>
      <c r="G367">
        <f t="shared" si="94"/>
        <v>0.51855944060981973</v>
      </c>
      <c r="H367">
        <f t="shared" si="95"/>
        <v>1.10687730344655</v>
      </c>
      <c r="I367">
        <v>367</v>
      </c>
      <c r="J367">
        <f t="shared" si="96"/>
        <v>366</v>
      </c>
      <c r="K367">
        <f t="shared" si="97"/>
        <v>1.5110259507112909</v>
      </c>
      <c r="L367">
        <f t="shared" si="98"/>
        <v>1.26645031675154</v>
      </c>
      <c r="M367">
        <v>367</v>
      </c>
      <c r="N367">
        <f t="shared" si="99"/>
        <v>366</v>
      </c>
      <c r="O367">
        <f t="shared" si="100"/>
        <v>0.51162237253881804</v>
      </c>
      <c r="P367">
        <f t="shared" si="101"/>
        <v>0.253817018041334</v>
      </c>
      <c r="Q367">
        <v>367</v>
      </c>
      <c r="R367">
        <f t="shared" si="102"/>
        <v>366</v>
      </c>
      <c r="S367">
        <f t="shared" si="103"/>
        <v>1.5236051502145762</v>
      </c>
      <c r="T367">
        <f t="shared" si="104"/>
        <v>0</v>
      </c>
      <c r="U367">
        <v>367</v>
      </c>
      <c r="V367">
        <f t="shared" si="105"/>
        <v>366</v>
      </c>
      <c r="W367">
        <f t="shared" si="106"/>
        <v>1.5205456460891851</v>
      </c>
      <c r="X367">
        <f t="shared" si="107"/>
        <v>6.4805860110755301E-2</v>
      </c>
    </row>
    <row r="368" spans="1:24">
      <c r="A368">
        <v>368</v>
      </c>
      <c r="B368">
        <f t="shared" si="90"/>
        <v>367</v>
      </c>
      <c r="C368">
        <f t="shared" si="91"/>
        <v>0.52289593819213731</v>
      </c>
      <c r="D368">
        <f t="shared" si="92"/>
        <v>1.9572645941803399</v>
      </c>
      <c r="E368">
        <v>368</v>
      </c>
      <c r="F368">
        <f t="shared" si="93"/>
        <v>367</v>
      </c>
      <c r="G368">
        <f t="shared" si="94"/>
        <v>0.51968425519223305</v>
      </c>
      <c r="H368">
        <f t="shared" si="95"/>
        <v>1.89312269655345</v>
      </c>
      <c r="I368">
        <v>368</v>
      </c>
      <c r="J368">
        <f t="shared" si="96"/>
        <v>367</v>
      </c>
      <c r="K368">
        <f t="shared" si="97"/>
        <v>1.5116941901483394</v>
      </c>
      <c r="L368">
        <f t="shared" si="98"/>
        <v>1.73354968324846</v>
      </c>
      <c r="M368">
        <v>368</v>
      </c>
      <c r="N368">
        <f t="shared" si="99"/>
        <v>367</v>
      </c>
      <c r="O368">
        <f t="shared" si="100"/>
        <v>0.51232675875329203</v>
      </c>
      <c r="P368">
        <f t="shared" si="101"/>
        <v>0.74618298195866595</v>
      </c>
      <c r="Q368">
        <v>368</v>
      </c>
      <c r="R368">
        <f t="shared" si="102"/>
        <v>367</v>
      </c>
      <c r="S368">
        <f t="shared" si="103"/>
        <v>1.5250357653790969</v>
      </c>
      <c r="T368">
        <f t="shared" si="104"/>
        <v>1</v>
      </c>
      <c r="U368">
        <v>368</v>
      </c>
      <c r="V368">
        <f t="shared" si="105"/>
        <v>367</v>
      </c>
      <c r="W368">
        <f t="shared" si="106"/>
        <v>1.5217908367612574</v>
      </c>
      <c r="X368">
        <f t="shared" si="107"/>
        <v>0.93519413988924505</v>
      </c>
    </row>
    <row r="369" spans="1:24">
      <c r="A369">
        <v>369</v>
      </c>
      <c r="B369">
        <f t="shared" si="90"/>
        <v>368</v>
      </c>
      <c r="C369">
        <f t="shared" si="91"/>
        <v>0.52420427751740284</v>
      </c>
      <c r="D369">
        <f t="shared" si="92"/>
        <v>1.0427354058196601</v>
      </c>
      <c r="E369">
        <v>369</v>
      </c>
      <c r="F369">
        <f t="shared" si="93"/>
        <v>368</v>
      </c>
      <c r="G369">
        <f t="shared" si="94"/>
        <v>0.52080906977464636</v>
      </c>
      <c r="H369">
        <f t="shared" si="95"/>
        <v>1.10687730344655</v>
      </c>
      <c r="I369">
        <v>369</v>
      </c>
      <c r="J369">
        <f t="shared" si="96"/>
        <v>368</v>
      </c>
      <c r="K369">
        <f t="shared" si="97"/>
        <v>1.5123624295853879</v>
      </c>
      <c r="L369">
        <f t="shared" si="98"/>
        <v>1.26645031675154</v>
      </c>
      <c r="M369">
        <v>369</v>
      </c>
      <c r="N369">
        <f t="shared" si="99"/>
        <v>368</v>
      </c>
      <c r="O369">
        <f t="shared" si="100"/>
        <v>0.51303114496776603</v>
      </c>
      <c r="P369">
        <f t="shared" si="101"/>
        <v>0.253817018041334</v>
      </c>
      <c r="Q369">
        <v>369</v>
      </c>
      <c r="R369">
        <f t="shared" si="102"/>
        <v>368</v>
      </c>
      <c r="S369">
        <f t="shared" si="103"/>
        <v>1.5264663805436176</v>
      </c>
      <c r="T369">
        <f t="shared" si="104"/>
        <v>0</v>
      </c>
      <c r="U369">
        <v>369</v>
      </c>
      <c r="V369">
        <f t="shared" si="105"/>
        <v>368</v>
      </c>
      <c r="W369">
        <f t="shared" si="106"/>
        <v>1.5230360274333297</v>
      </c>
      <c r="X369">
        <f t="shared" si="107"/>
        <v>6.4805860110755301E-2</v>
      </c>
    </row>
    <row r="370" spans="1:24">
      <c r="A370">
        <v>370</v>
      </c>
      <c r="B370">
        <f t="shared" si="90"/>
        <v>369</v>
      </c>
      <c r="C370">
        <f t="shared" si="91"/>
        <v>0.52551261684266848</v>
      </c>
      <c r="D370">
        <f t="shared" si="92"/>
        <v>1.9572645941803399</v>
      </c>
      <c r="E370">
        <v>370</v>
      </c>
      <c r="F370">
        <f t="shared" si="93"/>
        <v>369</v>
      </c>
      <c r="G370">
        <f t="shared" si="94"/>
        <v>0.52193388435705967</v>
      </c>
      <c r="H370">
        <f t="shared" si="95"/>
        <v>1.89312269655345</v>
      </c>
      <c r="I370">
        <v>370</v>
      </c>
      <c r="J370">
        <f t="shared" si="96"/>
        <v>369</v>
      </c>
      <c r="K370">
        <f t="shared" si="97"/>
        <v>1.5130306690224364</v>
      </c>
      <c r="L370">
        <f t="shared" si="98"/>
        <v>1.73354968324846</v>
      </c>
      <c r="M370">
        <v>370</v>
      </c>
      <c r="N370">
        <f t="shared" si="99"/>
        <v>369</v>
      </c>
      <c r="O370">
        <f t="shared" si="100"/>
        <v>0.51373553118224002</v>
      </c>
      <c r="P370">
        <f t="shared" si="101"/>
        <v>0.74618298195866595</v>
      </c>
      <c r="Q370">
        <v>370</v>
      </c>
      <c r="R370">
        <f t="shared" si="102"/>
        <v>369</v>
      </c>
      <c r="S370">
        <f t="shared" si="103"/>
        <v>1.5278969957081383</v>
      </c>
      <c r="T370">
        <f t="shared" si="104"/>
        <v>1</v>
      </c>
      <c r="U370">
        <v>370</v>
      </c>
      <c r="V370">
        <f t="shared" si="105"/>
        <v>369</v>
      </c>
      <c r="W370">
        <f t="shared" si="106"/>
        <v>1.5242812181054017</v>
      </c>
      <c r="X370">
        <f t="shared" si="107"/>
        <v>0.93519413988924505</v>
      </c>
    </row>
    <row r="371" spans="1:24">
      <c r="A371">
        <v>371</v>
      </c>
      <c r="B371">
        <f t="shared" si="90"/>
        <v>370</v>
      </c>
      <c r="C371">
        <f t="shared" si="91"/>
        <v>0.52682095616793412</v>
      </c>
      <c r="D371">
        <f t="shared" si="92"/>
        <v>1.0427354058196601</v>
      </c>
      <c r="E371">
        <v>371</v>
      </c>
      <c r="F371">
        <f t="shared" si="93"/>
        <v>370</v>
      </c>
      <c r="G371">
        <f t="shared" si="94"/>
        <v>0.52305869893947299</v>
      </c>
      <c r="H371">
        <f t="shared" si="95"/>
        <v>1.10687730344655</v>
      </c>
      <c r="I371">
        <v>371</v>
      </c>
      <c r="J371">
        <f t="shared" si="96"/>
        <v>370</v>
      </c>
      <c r="K371">
        <f t="shared" si="97"/>
        <v>1.513698908459485</v>
      </c>
      <c r="L371">
        <f t="shared" si="98"/>
        <v>1.26645031675154</v>
      </c>
      <c r="M371">
        <v>371</v>
      </c>
      <c r="N371">
        <f t="shared" si="99"/>
        <v>370</v>
      </c>
      <c r="O371">
        <f t="shared" si="100"/>
        <v>0.51443991739671402</v>
      </c>
      <c r="P371">
        <f t="shared" si="101"/>
        <v>0.253817018041334</v>
      </c>
      <c r="Q371">
        <v>371</v>
      </c>
      <c r="R371">
        <f t="shared" si="102"/>
        <v>370</v>
      </c>
      <c r="S371">
        <f t="shared" si="103"/>
        <v>1.529327610872659</v>
      </c>
      <c r="T371">
        <f t="shared" si="104"/>
        <v>0</v>
      </c>
      <c r="U371">
        <v>371</v>
      </c>
      <c r="V371">
        <f t="shared" si="105"/>
        <v>370</v>
      </c>
      <c r="W371">
        <f t="shared" si="106"/>
        <v>1.5255264087774738</v>
      </c>
      <c r="X371">
        <f t="shared" si="107"/>
        <v>6.4805860110755301E-2</v>
      </c>
    </row>
    <row r="372" spans="1:24">
      <c r="A372">
        <v>372</v>
      </c>
      <c r="B372">
        <f t="shared" si="90"/>
        <v>371</v>
      </c>
      <c r="C372">
        <f t="shared" si="91"/>
        <v>0.52812929549319965</v>
      </c>
      <c r="D372">
        <f t="shared" si="92"/>
        <v>1.9572645941803399</v>
      </c>
      <c r="E372">
        <v>372</v>
      </c>
      <c r="F372">
        <f t="shared" si="93"/>
        <v>371</v>
      </c>
      <c r="G372">
        <f t="shared" si="94"/>
        <v>0.52418351352188619</v>
      </c>
      <c r="H372">
        <f t="shared" si="95"/>
        <v>1.89312269655345</v>
      </c>
      <c r="I372">
        <v>372</v>
      </c>
      <c r="J372">
        <f t="shared" si="96"/>
        <v>371</v>
      </c>
      <c r="K372">
        <f t="shared" si="97"/>
        <v>1.5143671478965335</v>
      </c>
      <c r="L372">
        <f t="shared" si="98"/>
        <v>1.73354968324846</v>
      </c>
      <c r="M372">
        <v>372</v>
      </c>
      <c r="N372">
        <f t="shared" si="99"/>
        <v>371</v>
      </c>
      <c r="O372">
        <f t="shared" si="100"/>
        <v>0.51514430361118801</v>
      </c>
      <c r="P372">
        <f t="shared" si="101"/>
        <v>0.74618298195866595</v>
      </c>
      <c r="Q372">
        <v>372</v>
      </c>
      <c r="R372">
        <f t="shared" si="102"/>
        <v>371</v>
      </c>
      <c r="S372">
        <f t="shared" si="103"/>
        <v>1.5307582260371797</v>
      </c>
      <c r="T372">
        <f t="shared" si="104"/>
        <v>1</v>
      </c>
      <c r="U372">
        <v>372</v>
      </c>
      <c r="V372">
        <f t="shared" si="105"/>
        <v>371</v>
      </c>
      <c r="W372">
        <f t="shared" si="106"/>
        <v>1.5267715994495461</v>
      </c>
      <c r="X372">
        <f t="shared" si="107"/>
        <v>0.93519413988924505</v>
      </c>
    </row>
    <row r="373" spans="1:24">
      <c r="A373">
        <v>373</v>
      </c>
      <c r="B373">
        <f t="shared" si="90"/>
        <v>372</v>
      </c>
      <c r="C373">
        <f t="shared" si="91"/>
        <v>0.52943763481846529</v>
      </c>
      <c r="D373">
        <f t="shared" si="92"/>
        <v>1.0427354058196601</v>
      </c>
      <c r="E373">
        <v>373</v>
      </c>
      <c r="F373">
        <f t="shared" si="93"/>
        <v>372</v>
      </c>
      <c r="G373">
        <f t="shared" si="94"/>
        <v>0.52530832810429962</v>
      </c>
      <c r="H373">
        <f t="shared" si="95"/>
        <v>1.10687730344655</v>
      </c>
      <c r="I373">
        <v>373</v>
      </c>
      <c r="J373">
        <f t="shared" si="96"/>
        <v>372</v>
      </c>
      <c r="K373">
        <f t="shared" si="97"/>
        <v>1.515035387333582</v>
      </c>
      <c r="L373">
        <f t="shared" si="98"/>
        <v>1.26645031675154</v>
      </c>
      <c r="M373">
        <v>373</v>
      </c>
      <c r="N373">
        <f t="shared" si="99"/>
        <v>372</v>
      </c>
      <c r="O373">
        <f t="shared" si="100"/>
        <v>0.51584868982566201</v>
      </c>
      <c r="P373">
        <f t="shared" si="101"/>
        <v>0.253817018041334</v>
      </c>
      <c r="Q373">
        <v>373</v>
      </c>
      <c r="R373">
        <f t="shared" si="102"/>
        <v>372</v>
      </c>
      <c r="S373">
        <f t="shared" si="103"/>
        <v>1.5321888412017004</v>
      </c>
      <c r="T373">
        <f t="shared" si="104"/>
        <v>0</v>
      </c>
      <c r="U373">
        <v>373</v>
      </c>
      <c r="V373">
        <f t="shared" si="105"/>
        <v>372</v>
      </c>
      <c r="W373">
        <f t="shared" si="106"/>
        <v>1.5280167901216184</v>
      </c>
      <c r="X373">
        <f t="shared" si="107"/>
        <v>6.4805860110755301E-2</v>
      </c>
    </row>
    <row r="374" spans="1:24">
      <c r="A374">
        <v>374</v>
      </c>
      <c r="B374">
        <f t="shared" si="90"/>
        <v>373</v>
      </c>
      <c r="C374">
        <f t="shared" si="91"/>
        <v>0.53074597414373093</v>
      </c>
      <c r="D374">
        <f t="shared" si="92"/>
        <v>1.9572645941803399</v>
      </c>
      <c r="E374">
        <v>374</v>
      </c>
      <c r="F374">
        <f t="shared" si="93"/>
        <v>373</v>
      </c>
      <c r="G374">
        <f t="shared" si="94"/>
        <v>0.52643314268671282</v>
      </c>
      <c r="H374">
        <f t="shared" si="95"/>
        <v>1.89312269655345</v>
      </c>
      <c r="I374">
        <v>374</v>
      </c>
      <c r="J374">
        <f t="shared" si="96"/>
        <v>373</v>
      </c>
      <c r="K374">
        <f t="shared" si="97"/>
        <v>1.5157036267706305</v>
      </c>
      <c r="L374">
        <f t="shared" si="98"/>
        <v>1.73354968324846</v>
      </c>
      <c r="M374">
        <v>374</v>
      </c>
      <c r="N374">
        <f t="shared" si="99"/>
        <v>373</v>
      </c>
      <c r="O374">
        <f t="shared" si="100"/>
        <v>0.51655307604013601</v>
      </c>
      <c r="P374">
        <f t="shared" si="101"/>
        <v>0.74618298195866595</v>
      </c>
      <c r="Q374">
        <v>374</v>
      </c>
      <c r="R374">
        <f t="shared" si="102"/>
        <v>373</v>
      </c>
      <c r="S374">
        <f t="shared" si="103"/>
        <v>1.5336194563662211</v>
      </c>
      <c r="T374">
        <f t="shared" si="104"/>
        <v>1</v>
      </c>
      <c r="U374">
        <v>374</v>
      </c>
      <c r="V374">
        <f t="shared" si="105"/>
        <v>373</v>
      </c>
      <c r="W374">
        <f t="shared" si="106"/>
        <v>1.5292619807936905</v>
      </c>
      <c r="X374">
        <f t="shared" si="107"/>
        <v>0.93519413988924505</v>
      </c>
    </row>
    <row r="375" spans="1:24">
      <c r="A375">
        <v>375</v>
      </c>
      <c r="B375">
        <f t="shared" si="90"/>
        <v>374</v>
      </c>
      <c r="C375">
        <f t="shared" si="91"/>
        <v>0.53205431346899645</v>
      </c>
      <c r="D375">
        <f t="shared" si="92"/>
        <v>1.0427354058196601</v>
      </c>
      <c r="E375">
        <v>375</v>
      </c>
      <c r="F375">
        <f t="shared" si="93"/>
        <v>374</v>
      </c>
      <c r="G375">
        <f t="shared" si="94"/>
        <v>0.52755795726912613</v>
      </c>
      <c r="H375">
        <f t="shared" si="95"/>
        <v>1.10687730344655</v>
      </c>
      <c r="I375">
        <v>375</v>
      </c>
      <c r="J375">
        <f t="shared" si="96"/>
        <v>374</v>
      </c>
      <c r="K375">
        <f t="shared" si="97"/>
        <v>1.5163718662076788</v>
      </c>
      <c r="L375">
        <f t="shared" si="98"/>
        <v>1.26645031675154</v>
      </c>
      <c r="M375">
        <v>375</v>
      </c>
      <c r="N375">
        <f t="shared" si="99"/>
        <v>374</v>
      </c>
      <c r="O375">
        <f t="shared" si="100"/>
        <v>0.51725746225461</v>
      </c>
      <c r="P375">
        <f t="shared" si="101"/>
        <v>0.253817018041334</v>
      </c>
      <c r="Q375">
        <v>375</v>
      </c>
      <c r="R375">
        <f t="shared" si="102"/>
        <v>374</v>
      </c>
      <c r="S375">
        <f t="shared" si="103"/>
        <v>1.5350500715307418</v>
      </c>
      <c r="T375">
        <f t="shared" si="104"/>
        <v>0</v>
      </c>
      <c r="U375">
        <v>375</v>
      </c>
      <c r="V375">
        <f t="shared" si="105"/>
        <v>374</v>
      </c>
      <c r="W375">
        <f t="shared" si="106"/>
        <v>1.5305071714657628</v>
      </c>
      <c r="X375">
        <f t="shared" si="107"/>
        <v>6.4805860110755301E-2</v>
      </c>
    </row>
    <row r="376" spans="1:24">
      <c r="A376">
        <v>376</v>
      </c>
      <c r="B376">
        <f t="shared" si="90"/>
        <v>375</v>
      </c>
      <c r="C376">
        <f t="shared" si="91"/>
        <v>0.53336265279426209</v>
      </c>
      <c r="D376">
        <f t="shared" si="92"/>
        <v>1.9572645941803399</v>
      </c>
      <c r="E376">
        <v>376</v>
      </c>
      <c r="F376">
        <f t="shared" si="93"/>
        <v>375</v>
      </c>
      <c r="G376">
        <f t="shared" si="94"/>
        <v>0.52868277185153945</v>
      </c>
      <c r="H376">
        <f t="shared" si="95"/>
        <v>1.89312269655345</v>
      </c>
      <c r="I376">
        <v>376</v>
      </c>
      <c r="J376">
        <f t="shared" si="96"/>
        <v>375</v>
      </c>
      <c r="K376">
        <f t="shared" si="97"/>
        <v>1.5170401056447274</v>
      </c>
      <c r="L376">
        <f t="shared" si="98"/>
        <v>1.73354968324846</v>
      </c>
      <c r="M376">
        <v>376</v>
      </c>
      <c r="N376">
        <f t="shared" si="99"/>
        <v>375</v>
      </c>
      <c r="O376">
        <f t="shared" si="100"/>
        <v>0.517961848469084</v>
      </c>
      <c r="P376">
        <f t="shared" si="101"/>
        <v>0.74618298195866595</v>
      </c>
      <c r="Q376">
        <v>376</v>
      </c>
      <c r="R376">
        <f t="shared" si="102"/>
        <v>375</v>
      </c>
      <c r="S376">
        <f t="shared" si="103"/>
        <v>1.5364806866952625</v>
      </c>
      <c r="T376">
        <f t="shared" si="104"/>
        <v>1</v>
      </c>
      <c r="U376">
        <v>376</v>
      </c>
      <c r="V376">
        <f t="shared" si="105"/>
        <v>375</v>
      </c>
      <c r="W376">
        <f t="shared" si="106"/>
        <v>1.5317523621378348</v>
      </c>
      <c r="X376">
        <f t="shared" si="107"/>
        <v>0.93519413988924505</v>
      </c>
    </row>
    <row r="377" spans="1:24">
      <c r="A377">
        <v>377</v>
      </c>
      <c r="B377">
        <f t="shared" si="90"/>
        <v>376</v>
      </c>
      <c r="C377">
        <f t="shared" si="91"/>
        <v>0.53467099211952773</v>
      </c>
      <c r="D377">
        <f t="shared" si="92"/>
        <v>1.0427354058196601</v>
      </c>
      <c r="E377">
        <v>377</v>
      </c>
      <c r="F377">
        <f t="shared" si="93"/>
        <v>376</v>
      </c>
      <c r="G377">
        <f t="shared" si="94"/>
        <v>0.52980758643395276</v>
      </c>
      <c r="H377">
        <f t="shared" si="95"/>
        <v>1.10687730344655</v>
      </c>
      <c r="I377">
        <v>377</v>
      </c>
      <c r="J377">
        <f t="shared" si="96"/>
        <v>376</v>
      </c>
      <c r="K377">
        <f t="shared" si="97"/>
        <v>1.5177083450817759</v>
      </c>
      <c r="L377">
        <f t="shared" si="98"/>
        <v>1.26645031675154</v>
      </c>
      <c r="M377">
        <v>377</v>
      </c>
      <c r="N377">
        <f t="shared" si="99"/>
        <v>376</v>
      </c>
      <c r="O377">
        <f t="shared" si="100"/>
        <v>0.51866623468355799</v>
      </c>
      <c r="P377">
        <f t="shared" si="101"/>
        <v>0.253817018041334</v>
      </c>
      <c r="Q377">
        <v>377</v>
      </c>
      <c r="R377">
        <f t="shared" si="102"/>
        <v>376</v>
      </c>
      <c r="S377">
        <f t="shared" si="103"/>
        <v>1.5379113018597832</v>
      </c>
      <c r="T377">
        <f t="shared" si="104"/>
        <v>0</v>
      </c>
      <c r="U377">
        <v>377</v>
      </c>
      <c r="V377">
        <f t="shared" si="105"/>
        <v>376</v>
      </c>
      <c r="W377">
        <f t="shared" si="106"/>
        <v>1.5329975528099071</v>
      </c>
      <c r="X377">
        <f t="shared" si="107"/>
        <v>6.4805860110755301E-2</v>
      </c>
    </row>
    <row r="378" spans="1:24">
      <c r="A378">
        <v>378</v>
      </c>
      <c r="B378">
        <f t="shared" si="90"/>
        <v>377</v>
      </c>
      <c r="C378">
        <f t="shared" si="91"/>
        <v>0.53597933144479326</v>
      </c>
      <c r="D378">
        <f t="shared" si="92"/>
        <v>1.9572645941803399</v>
      </c>
      <c r="E378">
        <v>378</v>
      </c>
      <c r="F378">
        <f t="shared" si="93"/>
        <v>377</v>
      </c>
      <c r="G378">
        <f t="shared" si="94"/>
        <v>0.53093240101636607</v>
      </c>
      <c r="H378">
        <f t="shared" si="95"/>
        <v>1.89312269655345</v>
      </c>
      <c r="I378">
        <v>378</v>
      </c>
      <c r="J378">
        <f t="shared" si="96"/>
        <v>377</v>
      </c>
      <c r="K378">
        <f t="shared" si="97"/>
        <v>1.5183765845188244</v>
      </c>
      <c r="L378">
        <f t="shared" si="98"/>
        <v>1.73354968324846</v>
      </c>
      <c r="M378">
        <v>378</v>
      </c>
      <c r="N378">
        <f t="shared" si="99"/>
        <v>377</v>
      </c>
      <c r="O378">
        <f t="shared" si="100"/>
        <v>0.51937062089803199</v>
      </c>
      <c r="P378">
        <f t="shared" si="101"/>
        <v>0.74618298195866595</v>
      </c>
      <c r="Q378">
        <v>378</v>
      </c>
      <c r="R378">
        <f t="shared" si="102"/>
        <v>377</v>
      </c>
      <c r="S378">
        <f t="shared" si="103"/>
        <v>1.5393419170243039</v>
      </c>
      <c r="T378">
        <f t="shared" si="104"/>
        <v>1</v>
      </c>
      <c r="U378">
        <v>378</v>
      </c>
      <c r="V378">
        <f t="shared" si="105"/>
        <v>377</v>
      </c>
      <c r="W378">
        <f t="shared" si="106"/>
        <v>1.5342427434819794</v>
      </c>
      <c r="X378">
        <f t="shared" si="107"/>
        <v>0.93519413988924505</v>
      </c>
    </row>
    <row r="379" spans="1:24">
      <c r="A379">
        <v>379</v>
      </c>
      <c r="B379">
        <f t="shared" si="90"/>
        <v>378</v>
      </c>
      <c r="C379">
        <f t="shared" si="91"/>
        <v>0.5372876707700589</v>
      </c>
      <c r="D379">
        <f t="shared" si="92"/>
        <v>1.0427354058196601</v>
      </c>
      <c r="E379">
        <v>379</v>
      </c>
      <c r="F379">
        <f t="shared" si="93"/>
        <v>378</v>
      </c>
      <c r="G379">
        <f t="shared" si="94"/>
        <v>0.53205721559877939</v>
      </c>
      <c r="H379">
        <f t="shared" si="95"/>
        <v>1.10687730344655</v>
      </c>
      <c r="I379">
        <v>379</v>
      </c>
      <c r="J379">
        <f t="shared" si="96"/>
        <v>378</v>
      </c>
      <c r="K379">
        <f t="shared" si="97"/>
        <v>1.5190448239558729</v>
      </c>
      <c r="L379">
        <f t="shared" si="98"/>
        <v>1.26645031675154</v>
      </c>
      <c r="M379">
        <v>379</v>
      </c>
      <c r="N379">
        <f t="shared" si="99"/>
        <v>378</v>
      </c>
      <c r="O379">
        <f t="shared" si="100"/>
        <v>0.52007500711250598</v>
      </c>
      <c r="P379">
        <f t="shared" si="101"/>
        <v>0.253817018041334</v>
      </c>
      <c r="Q379">
        <v>379</v>
      </c>
      <c r="R379">
        <f t="shared" si="102"/>
        <v>378</v>
      </c>
      <c r="S379">
        <f t="shared" si="103"/>
        <v>1.5407725321888246</v>
      </c>
      <c r="T379">
        <f t="shared" si="104"/>
        <v>0</v>
      </c>
      <c r="U379">
        <v>379</v>
      </c>
      <c r="V379">
        <f t="shared" si="105"/>
        <v>378</v>
      </c>
      <c r="W379">
        <f t="shared" si="106"/>
        <v>1.5354879341540515</v>
      </c>
      <c r="X379">
        <f t="shared" si="107"/>
        <v>6.4805860110755301E-2</v>
      </c>
    </row>
    <row r="380" spans="1:24">
      <c r="A380">
        <v>380</v>
      </c>
      <c r="B380">
        <f t="shared" si="90"/>
        <v>379</v>
      </c>
      <c r="C380">
        <f t="shared" si="91"/>
        <v>0.53859601009532454</v>
      </c>
      <c r="D380">
        <f t="shared" si="92"/>
        <v>1.9572645941803399</v>
      </c>
      <c r="E380">
        <v>380</v>
      </c>
      <c r="F380">
        <f t="shared" si="93"/>
        <v>379</v>
      </c>
      <c r="G380">
        <f t="shared" si="94"/>
        <v>0.5331820301811927</v>
      </c>
      <c r="H380">
        <f t="shared" si="95"/>
        <v>1.89312269655345</v>
      </c>
      <c r="I380">
        <v>380</v>
      </c>
      <c r="J380">
        <f t="shared" si="96"/>
        <v>379</v>
      </c>
      <c r="K380">
        <f t="shared" si="97"/>
        <v>1.5197130633929214</v>
      </c>
      <c r="L380">
        <f t="shared" si="98"/>
        <v>1.73354968324846</v>
      </c>
      <c r="M380">
        <v>380</v>
      </c>
      <c r="N380">
        <f t="shared" si="99"/>
        <v>379</v>
      </c>
      <c r="O380">
        <f t="shared" si="100"/>
        <v>0.52077939332697998</v>
      </c>
      <c r="P380">
        <f t="shared" si="101"/>
        <v>0.74618298195866595</v>
      </c>
      <c r="Q380">
        <v>380</v>
      </c>
      <c r="R380">
        <f t="shared" si="102"/>
        <v>379</v>
      </c>
      <c r="S380">
        <f t="shared" si="103"/>
        <v>1.5422031473533453</v>
      </c>
      <c r="T380">
        <f t="shared" si="104"/>
        <v>1</v>
      </c>
      <c r="U380">
        <v>380</v>
      </c>
      <c r="V380">
        <f t="shared" si="105"/>
        <v>379</v>
      </c>
      <c r="W380">
        <f t="shared" si="106"/>
        <v>1.5367331248261238</v>
      </c>
      <c r="X380">
        <f t="shared" si="107"/>
        <v>0.93519413988924505</v>
      </c>
    </row>
    <row r="381" spans="1:24">
      <c r="A381">
        <v>381</v>
      </c>
      <c r="B381">
        <f t="shared" si="90"/>
        <v>380</v>
      </c>
      <c r="C381">
        <f t="shared" si="91"/>
        <v>0.53990434942059007</v>
      </c>
      <c r="D381">
        <f t="shared" si="92"/>
        <v>1.0427354058196601</v>
      </c>
      <c r="E381">
        <v>381</v>
      </c>
      <c r="F381">
        <f t="shared" si="93"/>
        <v>380</v>
      </c>
      <c r="G381">
        <f t="shared" si="94"/>
        <v>0.5343068447636059</v>
      </c>
      <c r="H381">
        <f t="shared" si="95"/>
        <v>1.10687730344655</v>
      </c>
      <c r="I381">
        <v>381</v>
      </c>
      <c r="J381">
        <f t="shared" si="96"/>
        <v>380</v>
      </c>
      <c r="K381">
        <f t="shared" si="97"/>
        <v>1.52038130282997</v>
      </c>
      <c r="L381">
        <f t="shared" si="98"/>
        <v>1.26645031675154</v>
      </c>
      <c r="M381">
        <v>381</v>
      </c>
      <c r="N381">
        <f t="shared" si="99"/>
        <v>380</v>
      </c>
      <c r="O381">
        <f t="shared" si="100"/>
        <v>0.52148377954145397</v>
      </c>
      <c r="P381">
        <f t="shared" si="101"/>
        <v>0.253817018041334</v>
      </c>
      <c r="Q381">
        <v>381</v>
      </c>
      <c r="R381">
        <f t="shared" si="102"/>
        <v>380</v>
      </c>
      <c r="S381">
        <f t="shared" si="103"/>
        <v>1.543633762517866</v>
      </c>
      <c r="T381">
        <f t="shared" si="104"/>
        <v>0</v>
      </c>
      <c r="U381">
        <v>381</v>
      </c>
      <c r="V381">
        <f t="shared" si="105"/>
        <v>380</v>
      </c>
      <c r="W381">
        <f t="shared" si="106"/>
        <v>1.5379783154981959</v>
      </c>
      <c r="X381">
        <f t="shared" si="107"/>
        <v>6.4805860110755301E-2</v>
      </c>
    </row>
    <row r="382" spans="1:24">
      <c r="A382">
        <v>382</v>
      </c>
      <c r="B382">
        <f t="shared" si="90"/>
        <v>381</v>
      </c>
      <c r="C382">
        <f t="shared" si="91"/>
        <v>0.54121268874585571</v>
      </c>
      <c r="D382">
        <f t="shared" si="92"/>
        <v>1.9572645941803399</v>
      </c>
      <c r="E382">
        <v>382</v>
      </c>
      <c r="F382">
        <f t="shared" si="93"/>
        <v>381</v>
      </c>
      <c r="G382">
        <f t="shared" si="94"/>
        <v>0.53543165934601933</v>
      </c>
      <c r="H382">
        <f t="shared" si="95"/>
        <v>1.89312269655345</v>
      </c>
      <c r="I382">
        <v>382</v>
      </c>
      <c r="J382">
        <f t="shared" si="96"/>
        <v>381</v>
      </c>
      <c r="K382">
        <f t="shared" si="97"/>
        <v>1.5210495422670185</v>
      </c>
      <c r="L382">
        <f t="shared" si="98"/>
        <v>1.73354968324846</v>
      </c>
      <c r="M382">
        <v>382</v>
      </c>
      <c r="N382">
        <f t="shared" si="99"/>
        <v>381</v>
      </c>
      <c r="O382">
        <f t="shared" si="100"/>
        <v>0.52218816575592797</v>
      </c>
      <c r="P382">
        <f t="shared" si="101"/>
        <v>0.74618298195866595</v>
      </c>
      <c r="Q382">
        <v>382</v>
      </c>
      <c r="R382">
        <f t="shared" si="102"/>
        <v>381</v>
      </c>
      <c r="S382">
        <f t="shared" si="103"/>
        <v>1.5450643776823867</v>
      </c>
      <c r="T382">
        <f t="shared" si="104"/>
        <v>1</v>
      </c>
      <c r="U382">
        <v>382</v>
      </c>
      <c r="V382">
        <f t="shared" si="105"/>
        <v>381</v>
      </c>
      <c r="W382">
        <f t="shared" si="106"/>
        <v>1.5392235061702682</v>
      </c>
      <c r="X382">
        <f t="shared" si="107"/>
        <v>0.93519413988924505</v>
      </c>
    </row>
    <row r="383" spans="1:24">
      <c r="A383">
        <v>383</v>
      </c>
      <c r="B383">
        <f t="shared" si="90"/>
        <v>382</v>
      </c>
      <c r="C383">
        <f t="shared" si="91"/>
        <v>0.54252102807112124</v>
      </c>
      <c r="D383">
        <f t="shared" si="92"/>
        <v>1.0427354058196601</v>
      </c>
      <c r="E383">
        <v>383</v>
      </c>
      <c r="F383">
        <f t="shared" si="93"/>
        <v>382</v>
      </c>
      <c r="G383">
        <f t="shared" si="94"/>
        <v>0.53655647392843253</v>
      </c>
      <c r="H383">
        <f t="shared" si="95"/>
        <v>1.10687730344655</v>
      </c>
      <c r="I383">
        <v>383</v>
      </c>
      <c r="J383">
        <f t="shared" si="96"/>
        <v>382</v>
      </c>
      <c r="K383">
        <f t="shared" si="97"/>
        <v>1.521717781704067</v>
      </c>
      <c r="L383">
        <f t="shared" si="98"/>
        <v>1.26645031675154</v>
      </c>
      <c r="M383">
        <v>383</v>
      </c>
      <c r="N383">
        <f t="shared" si="99"/>
        <v>382</v>
      </c>
      <c r="O383">
        <f t="shared" si="100"/>
        <v>0.52289255197040196</v>
      </c>
      <c r="P383">
        <f t="shared" si="101"/>
        <v>0.253817018041334</v>
      </c>
      <c r="Q383">
        <v>383</v>
      </c>
      <c r="R383">
        <f t="shared" si="102"/>
        <v>382</v>
      </c>
      <c r="S383">
        <f t="shared" si="103"/>
        <v>1.5464949928469074</v>
      </c>
      <c r="T383">
        <f t="shared" si="104"/>
        <v>0</v>
      </c>
      <c r="U383">
        <v>383</v>
      </c>
      <c r="V383">
        <f t="shared" si="105"/>
        <v>382</v>
      </c>
      <c r="W383">
        <f t="shared" si="106"/>
        <v>1.5404686968423404</v>
      </c>
      <c r="X383">
        <f t="shared" si="107"/>
        <v>6.4805860110755301E-2</v>
      </c>
    </row>
    <row r="384" spans="1:24">
      <c r="A384">
        <v>384</v>
      </c>
      <c r="B384">
        <f t="shared" si="90"/>
        <v>383</v>
      </c>
      <c r="C384">
        <f t="shared" si="91"/>
        <v>0.54382936739638688</v>
      </c>
      <c r="D384">
        <f t="shared" si="92"/>
        <v>1.9572645941803399</v>
      </c>
      <c r="E384">
        <v>384</v>
      </c>
      <c r="F384">
        <f t="shared" si="93"/>
        <v>383</v>
      </c>
      <c r="G384">
        <f t="shared" si="94"/>
        <v>0.53768128851084585</v>
      </c>
      <c r="H384">
        <f t="shared" si="95"/>
        <v>1.89312269655345</v>
      </c>
      <c r="I384">
        <v>384</v>
      </c>
      <c r="J384">
        <f t="shared" si="96"/>
        <v>383</v>
      </c>
      <c r="K384">
        <f t="shared" si="97"/>
        <v>1.5223860211411155</v>
      </c>
      <c r="L384">
        <f t="shared" si="98"/>
        <v>1.73354968324846</v>
      </c>
      <c r="M384">
        <v>384</v>
      </c>
      <c r="N384">
        <f t="shared" si="99"/>
        <v>383</v>
      </c>
      <c r="O384">
        <f t="shared" si="100"/>
        <v>0.52359693818487596</v>
      </c>
      <c r="P384">
        <f t="shared" si="101"/>
        <v>0.74618298195866595</v>
      </c>
      <c r="Q384">
        <v>384</v>
      </c>
      <c r="R384">
        <f t="shared" si="102"/>
        <v>383</v>
      </c>
      <c r="S384">
        <f t="shared" si="103"/>
        <v>1.5479256080114281</v>
      </c>
      <c r="T384">
        <f t="shared" si="104"/>
        <v>1</v>
      </c>
      <c r="U384">
        <v>384</v>
      </c>
      <c r="V384">
        <f t="shared" si="105"/>
        <v>383</v>
      </c>
      <c r="W384">
        <f t="shared" si="106"/>
        <v>1.5417138875144125</v>
      </c>
      <c r="X384">
        <f t="shared" si="107"/>
        <v>0.93519413988924505</v>
      </c>
    </row>
    <row r="385" spans="1:24">
      <c r="A385">
        <v>385</v>
      </c>
      <c r="B385">
        <f t="shared" ref="B385:B448" si="108">(A385-1)</f>
        <v>384</v>
      </c>
      <c r="C385">
        <f t="shared" ref="C385:C448" si="109">0.0427354058196621+B385*0.0013083393252656</f>
        <v>0.54513770672165252</v>
      </c>
      <c r="D385">
        <f t="shared" ref="D385:D448" si="110">IF(B385/2-INT(B385/2)&lt;0.1,1.04273540581966,1.95726459418034)</f>
        <v>1.0427354058196601</v>
      </c>
      <c r="E385">
        <v>385</v>
      </c>
      <c r="F385">
        <f t="shared" ref="F385:F448" si="111">(E385-1)</f>
        <v>384</v>
      </c>
      <c r="G385">
        <f t="shared" ref="G385:G448" si="112">0.106877303446552+F385*0.0011248145824133</f>
        <v>0.53880610309325916</v>
      </c>
      <c r="H385">
        <f t="shared" ref="H385:H448" si="113">IF(F385/2-INT(F385/2)&lt;0.1,1.10687730344655,1.89312269655345)</f>
        <v>1.10687730344655</v>
      </c>
      <c r="I385">
        <v>385</v>
      </c>
      <c r="J385">
        <f t="shared" ref="J385:J448" si="114">(I385-1)</f>
        <v>384</v>
      </c>
      <c r="K385">
        <f t="shared" ref="K385:K448" si="115">1.26645031675154+J385*0.0006682394370485</f>
        <v>1.5230542605781641</v>
      </c>
      <c r="L385">
        <f t="shared" ref="L385:L448" si="116">IF(J385/2-INT(J385/2)&lt;0.1,1.26645031675154,1.73354968324846)</f>
        <v>1.26645031675154</v>
      </c>
      <c r="M385">
        <v>385</v>
      </c>
      <c r="N385">
        <f t="shared" ref="N385:N448" si="117">(M385-1)</f>
        <v>384</v>
      </c>
      <c r="O385">
        <f t="shared" ref="O385:O448" si="118">0.253817018041334+N385*0.000704386214474</f>
        <v>0.52430132439934996</v>
      </c>
      <c r="P385">
        <f t="shared" ref="P385:P448" si="119">IF(N385/2-INT(N385/2)&lt;0.1,0.253817018041334,0.746182981958666)</f>
        <v>0.253817018041334</v>
      </c>
      <c r="Q385">
        <v>385</v>
      </c>
      <c r="R385">
        <f t="shared" ref="R385:R448" si="120">(Q385-1)</f>
        <v>384</v>
      </c>
      <c r="S385">
        <f t="shared" ref="S385:S448" si="121">1+R385*0.0014306151645207</f>
        <v>1.5493562231759488</v>
      </c>
      <c r="T385">
        <f t="shared" ref="T385:T448" si="122">IF(R385/2-INT(R385/2)&lt;0.1,0,1)</f>
        <v>0</v>
      </c>
      <c r="U385">
        <v>385</v>
      </c>
      <c r="V385">
        <f t="shared" ref="V385:V448" si="123">(U385-1)</f>
        <v>384</v>
      </c>
      <c r="W385">
        <f t="shared" ref="W385:W448" si="124">1.06480586011076+V385*0.0012451906720722</f>
        <v>1.5429590781864846</v>
      </c>
      <c r="X385">
        <f t="shared" ref="X385:X448" si="125">IF(V385/2-INT(V385/2)&lt;0.1,0.0648058601107553,0.935194139889245)</f>
        <v>6.4805860110755301E-2</v>
      </c>
    </row>
    <row r="386" spans="1:24">
      <c r="A386">
        <v>386</v>
      </c>
      <c r="B386">
        <f t="shared" si="108"/>
        <v>385</v>
      </c>
      <c r="C386">
        <f t="shared" si="109"/>
        <v>0.54644604604691804</v>
      </c>
      <c r="D386">
        <f t="shared" si="110"/>
        <v>1.9572645941803399</v>
      </c>
      <c r="E386">
        <v>386</v>
      </c>
      <c r="F386">
        <f t="shared" si="111"/>
        <v>385</v>
      </c>
      <c r="G386">
        <f t="shared" si="112"/>
        <v>0.53993091767567247</v>
      </c>
      <c r="H386">
        <f t="shared" si="113"/>
        <v>1.89312269655345</v>
      </c>
      <c r="I386">
        <v>386</v>
      </c>
      <c r="J386">
        <f t="shared" si="114"/>
        <v>385</v>
      </c>
      <c r="K386">
        <f t="shared" si="115"/>
        <v>1.5237225000152126</v>
      </c>
      <c r="L386">
        <f t="shared" si="116"/>
        <v>1.73354968324846</v>
      </c>
      <c r="M386">
        <v>386</v>
      </c>
      <c r="N386">
        <f t="shared" si="117"/>
        <v>385</v>
      </c>
      <c r="O386">
        <f t="shared" si="118"/>
        <v>0.52500571061382395</v>
      </c>
      <c r="P386">
        <f t="shared" si="119"/>
        <v>0.74618298195866595</v>
      </c>
      <c r="Q386">
        <v>386</v>
      </c>
      <c r="R386">
        <f t="shared" si="120"/>
        <v>385</v>
      </c>
      <c r="S386">
        <f t="shared" si="121"/>
        <v>1.5507868383404695</v>
      </c>
      <c r="T386">
        <f t="shared" si="122"/>
        <v>1</v>
      </c>
      <c r="U386">
        <v>386</v>
      </c>
      <c r="V386">
        <f t="shared" si="123"/>
        <v>385</v>
      </c>
      <c r="W386">
        <f t="shared" si="124"/>
        <v>1.5442042688585569</v>
      </c>
      <c r="X386">
        <f t="shared" si="125"/>
        <v>0.93519413988924505</v>
      </c>
    </row>
    <row r="387" spans="1:24">
      <c r="A387">
        <v>387</v>
      </c>
      <c r="B387">
        <f t="shared" si="108"/>
        <v>386</v>
      </c>
      <c r="C387">
        <f t="shared" si="109"/>
        <v>0.54775438537218368</v>
      </c>
      <c r="D387">
        <f t="shared" si="110"/>
        <v>1.0427354058196601</v>
      </c>
      <c r="E387">
        <v>387</v>
      </c>
      <c r="F387">
        <f t="shared" si="111"/>
        <v>386</v>
      </c>
      <c r="G387">
        <f t="shared" si="112"/>
        <v>0.54105573225808579</v>
      </c>
      <c r="H387">
        <f t="shared" si="113"/>
        <v>1.10687730344655</v>
      </c>
      <c r="I387">
        <v>387</v>
      </c>
      <c r="J387">
        <f t="shared" si="114"/>
        <v>386</v>
      </c>
      <c r="K387">
        <f t="shared" si="115"/>
        <v>1.5243907394522609</v>
      </c>
      <c r="L387">
        <f t="shared" si="116"/>
        <v>1.26645031675154</v>
      </c>
      <c r="M387">
        <v>387</v>
      </c>
      <c r="N387">
        <f t="shared" si="117"/>
        <v>386</v>
      </c>
      <c r="O387">
        <f t="shared" si="118"/>
        <v>0.52571009682829795</v>
      </c>
      <c r="P387">
        <f t="shared" si="119"/>
        <v>0.253817018041334</v>
      </c>
      <c r="Q387">
        <v>387</v>
      </c>
      <c r="R387">
        <f t="shared" si="120"/>
        <v>386</v>
      </c>
      <c r="S387">
        <f t="shared" si="121"/>
        <v>1.5522174535049902</v>
      </c>
      <c r="T387">
        <f t="shared" si="122"/>
        <v>0</v>
      </c>
      <c r="U387">
        <v>387</v>
      </c>
      <c r="V387">
        <f t="shared" si="123"/>
        <v>386</v>
      </c>
      <c r="W387">
        <f t="shared" si="124"/>
        <v>1.5454494595306292</v>
      </c>
      <c r="X387">
        <f t="shared" si="125"/>
        <v>6.4805860110755301E-2</v>
      </c>
    </row>
    <row r="388" spans="1:24">
      <c r="A388">
        <v>388</v>
      </c>
      <c r="B388">
        <f t="shared" si="108"/>
        <v>387</v>
      </c>
      <c r="C388">
        <f t="shared" si="109"/>
        <v>0.54906272469744921</v>
      </c>
      <c r="D388">
        <f t="shared" si="110"/>
        <v>1.9572645941803399</v>
      </c>
      <c r="E388">
        <v>388</v>
      </c>
      <c r="F388">
        <f t="shared" si="111"/>
        <v>387</v>
      </c>
      <c r="G388">
        <f t="shared" si="112"/>
        <v>0.54218054684049899</v>
      </c>
      <c r="H388">
        <f t="shared" si="113"/>
        <v>1.89312269655345</v>
      </c>
      <c r="I388">
        <v>388</v>
      </c>
      <c r="J388">
        <f t="shared" si="114"/>
        <v>387</v>
      </c>
      <c r="K388">
        <f t="shared" si="115"/>
        <v>1.5250589788893094</v>
      </c>
      <c r="L388">
        <f t="shared" si="116"/>
        <v>1.73354968324846</v>
      </c>
      <c r="M388">
        <v>388</v>
      </c>
      <c r="N388">
        <f t="shared" si="117"/>
        <v>387</v>
      </c>
      <c r="O388">
        <f t="shared" si="118"/>
        <v>0.52641448304277194</v>
      </c>
      <c r="P388">
        <f t="shared" si="119"/>
        <v>0.74618298195866595</v>
      </c>
      <c r="Q388">
        <v>388</v>
      </c>
      <c r="R388">
        <f t="shared" si="120"/>
        <v>387</v>
      </c>
      <c r="S388">
        <f t="shared" si="121"/>
        <v>1.5536480686695109</v>
      </c>
      <c r="T388">
        <f t="shared" si="122"/>
        <v>1</v>
      </c>
      <c r="U388">
        <v>388</v>
      </c>
      <c r="V388">
        <f t="shared" si="123"/>
        <v>387</v>
      </c>
      <c r="W388">
        <f t="shared" si="124"/>
        <v>1.5466946502027012</v>
      </c>
      <c r="X388">
        <f t="shared" si="125"/>
        <v>0.93519413988924505</v>
      </c>
    </row>
    <row r="389" spans="1:24">
      <c r="A389">
        <v>389</v>
      </c>
      <c r="B389">
        <f t="shared" si="108"/>
        <v>388</v>
      </c>
      <c r="C389">
        <f t="shared" si="109"/>
        <v>0.55037106402271485</v>
      </c>
      <c r="D389">
        <f t="shared" si="110"/>
        <v>1.0427354058196601</v>
      </c>
      <c r="E389">
        <v>389</v>
      </c>
      <c r="F389">
        <f t="shared" si="111"/>
        <v>388</v>
      </c>
      <c r="G389">
        <f t="shared" si="112"/>
        <v>0.54330536142291241</v>
      </c>
      <c r="H389">
        <f t="shared" si="113"/>
        <v>1.10687730344655</v>
      </c>
      <c r="I389">
        <v>389</v>
      </c>
      <c r="J389">
        <f t="shared" si="114"/>
        <v>388</v>
      </c>
      <c r="K389">
        <f t="shared" si="115"/>
        <v>1.5257272183263579</v>
      </c>
      <c r="L389">
        <f t="shared" si="116"/>
        <v>1.26645031675154</v>
      </c>
      <c r="M389">
        <v>389</v>
      </c>
      <c r="N389">
        <f t="shared" si="117"/>
        <v>388</v>
      </c>
      <c r="O389">
        <f t="shared" si="118"/>
        <v>0.52711886925724594</v>
      </c>
      <c r="P389">
        <f t="shared" si="119"/>
        <v>0.253817018041334</v>
      </c>
      <c r="Q389">
        <v>389</v>
      </c>
      <c r="R389">
        <f t="shared" si="120"/>
        <v>388</v>
      </c>
      <c r="S389">
        <f t="shared" si="121"/>
        <v>1.5550786838340316</v>
      </c>
      <c r="T389">
        <f t="shared" si="122"/>
        <v>0</v>
      </c>
      <c r="U389">
        <v>389</v>
      </c>
      <c r="V389">
        <f t="shared" si="123"/>
        <v>388</v>
      </c>
      <c r="W389">
        <f t="shared" si="124"/>
        <v>1.5479398408747735</v>
      </c>
      <c r="X389">
        <f t="shared" si="125"/>
        <v>6.4805860110755301E-2</v>
      </c>
    </row>
    <row r="390" spans="1:24">
      <c r="A390">
        <v>390</v>
      </c>
      <c r="B390">
        <f t="shared" si="108"/>
        <v>389</v>
      </c>
      <c r="C390">
        <f t="shared" si="109"/>
        <v>0.55167940334798049</v>
      </c>
      <c r="D390">
        <f t="shared" si="110"/>
        <v>1.9572645941803399</v>
      </c>
      <c r="E390">
        <v>390</v>
      </c>
      <c r="F390">
        <f t="shared" si="111"/>
        <v>389</v>
      </c>
      <c r="G390">
        <f t="shared" si="112"/>
        <v>0.54443017600532562</v>
      </c>
      <c r="H390">
        <f t="shared" si="113"/>
        <v>1.89312269655345</v>
      </c>
      <c r="I390">
        <v>390</v>
      </c>
      <c r="J390">
        <f t="shared" si="114"/>
        <v>389</v>
      </c>
      <c r="K390">
        <f t="shared" si="115"/>
        <v>1.5263954577634065</v>
      </c>
      <c r="L390">
        <f t="shared" si="116"/>
        <v>1.73354968324846</v>
      </c>
      <c r="M390">
        <v>390</v>
      </c>
      <c r="N390">
        <f t="shared" si="117"/>
        <v>389</v>
      </c>
      <c r="O390">
        <f t="shared" si="118"/>
        <v>0.52782325547171993</v>
      </c>
      <c r="P390">
        <f t="shared" si="119"/>
        <v>0.74618298195866595</v>
      </c>
      <c r="Q390">
        <v>390</v>
      </c>
      <c r="R390">
        <f t="shared" si="120"/>
        <v>389</v>
      </c>
      <c r="S390">
        <f t="shared" si="121"/>
        <v>1.5565092989985523</v>
      </c>
      <c r="T390">
        <f t="shared" si="122"/>
        <v>1</v>
      </c>
      <c r="U390">
        <v>390</v>
      </c>
      <c r="V390">
        <f t="shared" si="123"/>
        <v>389</v>
      </c>
      <c r="W390">
        <f t="shared" si="124"/>
        <v>1.5491850315468456</v>
      </c>
      <c r="X390">
        <f t="shared" si="125"/>
        <v>0.93519413988924505</v>
      </c>
    </row>
    <row r="391" spans="1:24">
      <c r="A391">
        <v>391</v>
      </c>
      <c r="B391">
        <f t="shared" si="108"/>
        <v>390</v>
      </c>
      <c r="C391">
        <f t="shared" si="109"/>
        <v>0.55298774267324602</v>
      </c>
      <c r="D391">
        <f t="shared" si="110"/>
        <v>1.0427354058196601</v>
      </c>
      <c r="E391">
        <v>391</v>
      </c>
      <c r="F391">
        <f t="shared" si="111"/>
        <v>390</v>
      </c>
      <c r="G391">
        <f t="shared" si="112"/>
        <v>0.54555499058773893</v>
      </c>
      <c r="H391">
        <f t="shared" si="113"/>
        <v>1.10687730344655</v>
      </c>
      <c r="I391">
        <v>391</v>
      </c>
      <c r="J391">
        <f t="shared" si="114"/>
        <v>390</v>
      </c>
      <c r="K391">
        <f t="shared" si="115"/>
        <v>1.527063697200455</v>
      </c>
      <c r="L391">
        <f t="shared" si="116"/>
        <v>1.26645031675154</v>
      </c>
      <c r="M391">
        <v>391</v>
      </c>
      <c r="N391">
        <f t="shared" si="117"/>
        <v>390</v>
      </c>
      <c r="O391">
        <f t="shared" si="118"/>
        <v>0.52852764168619393</v>
      </c>
      <c r="P391">
        <f t="shared" si="119"/>
        <v>0.253817018041334</v>
      </c>
      <c r="Q391">
        <v>391</v>
      </c>
      <c r="R391">
        <f t="shared" si="120"/>
        <v>390</v>
      </c>
      <c r="S391">
        <f t="shared" si="121"/>
        <v>1.557939914163073</v>
      </c>
      <c r="T391">
        <f t="shared" si="122"/>
        <v>0</v>
      </c>
      <c r="U391">
        <v>391</v>
      </c>
      <c r="V391">
        <f t="shared" si="123"/>
        <v>390</v>
      </c>
      <c r="W391">
        <f t="shared" si="124"/>
        <v>1.5504302222189179</v>
      </c>
      <c r="X391">
        <f t="shared" si="125"/>
        <v>6.4805860110755301E-2</v>
      </c>
    </row>
    <row r="392" spans="1:24">
      <c r="A392">
        <v>392</v>
      </c>
      <c r="B392">
        <f t="shared" si="108"/>
        <v>391</v>
      </c>
      <c r="C392">
        <f t="shared" si="109"/>
        <v>0.55429608199851166</v>
      </c>
      <c r="D392">
        <f t="shared" si="110"/>
        <v>1.9572645941803399</v>
      </c>
      <c r="E392">
        <v>392</v>
      </c>
      <c r="F392">
        <f t="shared" si="111"/>
        <v>391</v>
      </c>
      <c r="G392">
        <f t="shared" si="112"/>
        <v>0.54667980517015224</v>
      </c>
      <c r="H392">
        <f t="shared" si="113"/>
        <v>1.89312269655345</v>
      </c>
      <c r="I392">
        <v>392</v>
      </c>
      <c r="J392">
        <f t="shared" si="114"/>
        <v>391</v>
      </c>
      <c r="K392">
        <f t="shared" si="115"/>
        <v>1.5277319366375035</v>
      </c>
      <c r="L392">
        <f t="shared" si="116"/>
        <v>1.73354968324846</v>
      </c>
      <c r="M392">
        <v>392</v>
      </c>
      <c r="N392">
        <f t="shared" si="117"/>
        <v>391</v>
      </c>
      <c r="O392">
        <f t="shared" si="118"/>
        <v>0.52923202790066792</v>
      </c>
      <c r="P392">
        <f t="shared" si="119"/>
        <v>0.74618298195866595</v>
      </c>
      <c r="Q392">
        <v>392</v>
      </c>
      <c r="R392">
        <f t="shared" si="120"/>
        <v>391</v>
      </c>
      <c r="S392">
        <f t="shared" si="121"/>
        <v>1.5593705293275937</v>
      </c>
      <c r="T392">
        <f t="shared" si="122"/>
        <v>1</v>
      </c>
      <c r="U392">
        <v>392</v>
      </c>
      <c r="V392">
        <f t="shared" si="123"/>
        <v>391</v>
      </c>
      <c r="W392">
        <f t="shared" si="124"/>
        <v>1.5516754128909902</v>
      </c>
      <c r="X392">
        <f t="shared" si="125"/>
        <v>0.93519413988924505</v>
      </c>
    </row>
    <row r="393" spans="1:24">
      <c r="A393">
        <v>393</v>
      </c>
      <c r="B393">
        <f t="shared" si="108"/>
        <v>392</v>
      </c>
      <c r="C393">
        <f t="shared" si="109"/>
        <v>0.5556044213237773</v>
      </c>
      <c r="D393">
        <f t="shared" si="110"/>
        <v>1.0427354058196601</v>
      </c>
      <c r="E393">
        <v>393</v>
      </c>
      <c r="F393">
        <f t="shared" si="111"/>
        <v>392</v>
      </c>
      <c r="G393">
        <f t="shared" si="112"/>
        <v>0.54780461975256556</v>
      </c>
      <c r="H393">
        <f t="shared" si="113"/>
        <v>1.10687730344655</v>
      </c>
      <c r="I393">
        <v>393</v>
      </c>
      <c r="J393">
        <f t="shared" si="114"/>
        <v>392</v>
      </c>
      <c r="K393">
        <f t="shared" si="115"/>
        <v>1.528400176074552</v>
      </c>
      <c r="L393">
        <f t="shared" si="116"/>
        <v>1.26645031675154</v>
      </c>
      <c r="M393">
        <v>393</v>
      </c>
      <c r="N393">
        <f t="shared" si="117"/>
        <v>392</v>
      </c>
      <c r="O393">
        <f t="shared" si="118"/>
        <v>0.52993641411514192</v>
      </c>
      <c r="P393">
        <f t="shared" si="119"/>
        <v>0.253817018041334</v>
      </c>
      <c r="Q393">
        <v>393</v>
      </c>
      <c r="R393">
        <f t="shared" si="120"/>
        <v>392</v>
      </c>
      <c r="S393">
        <f t="shared" si="121"/>
        <v>1.5608011444921144</v>
      </c>
      <c r="T393">
        <f t="shared" si="122"/>
        <v>0</v>
      </c>
      <c r="U393">
        <v>393</v>
      </c>
      <c r="V393">
        <f t="shared" si="123"/>
        <v>392</v>
      </c>
      <c r="W393">
        <f t="shared" si="124"/>
        <v>1.5529206035630623</v>
      </c>
      <c r="X393">
        <f t="shared" si="125"/>
        <v>6.4805860110755301E-2</v>
      </c>
    </row>
    <row r="394" spans="1:24">
      <c r="A394">
        <v>394</v>
      </c>
      <c r="B394">
        <f t="shared" si="108"/>
        <v>393</v>
      </c>
      <c r="C394">
        <f t="shared" si="109"/>
        <v>0.55691276064904283</v>
      </c>
      <c r="D394">
        <f t="shared" si="110"/>
        <v>1.9572645941803399</v>
      </c>
      <c r="E394">
        <v>394</v>
      </c>
      <c r="F394">
        <f t="shared" si="111"/>
        <v>393</v>
      </c>
      <c r="G394">
        <f t="shared" si="112"/>
        <v>0.54892943433497887</v>
      </c>
      <c r="H394">
        <f t="shared" si="113"/>
        <v>1.89312269655345</v>
      </c>
      <c r="I394">
        <v>394</v>
      </c>
      <c r="J394">
        <f t="shared" si="114"/>
        <v>393</v>
      </c>
      <c r="K394">
        <f t="shared" si="115"/>
        <v>1.5290684155116003</v>
      </c>
      <c r="L394">
        <f t="shared" si="116"/>
        <v>1.73354968324846</v>
      </c>
      <c r="M394">
        <v>394</v>
      </c>
      <c r="N394">
        <f t="shared" si="117"/>
        <v>393</v>
      </c>
      <c r="O394">
        <f t="shared" si="118"/>
        <v>0.53064080032961591</v>
      </c>
      <c r="P394">
        <f t="shared" si="119"/>
        <v>0.74618298195866595</v>
      </c>
      <c r="Q394">
        <v>394</v>
      </c>
      <c r="R394">
        <f t="shared" si="120"/>
        <v>393</v>
      </c>
      <c r="S394">
        <f t="shared" si="121"/>
        <v>1.5622317596566351</v>
      </c>
      <c r="T394">
        <f t="shared" si="122"/>
        <v>1</v>
      </c>
      <c r="U394">
        <v>394</v>
      </c>
      <c r="V394">
        <f t="shared" si="123"/>
        <v>393</v>
      </c>
      <c r="W394">
        <f t="shared" si="124"/>
        <v>1.5541657942351346</v>
      </c>
      <c r="X394">
        <f t="shared" si="125"/>
        <v>0.93519413988924505</v>
      </c>
    </row>
    <row r="395" spans="1:24">
      <c r="A395">
        <v>395</v>
      </c>
      <c r="B395">
        <f t="shared" si="108"/>
        <v>394</v>
      </c>
      <c r="C395">
        <f t="shared" si="109"/>
        <v>0.55822109997430847</v>
      </c>
      <c r="D395">
        <f t="shared" si="110"/>
        <v>1.0427354058196601</v>
      </c>
      <c r="E395">
        <v>395</v>
      </c>
      <c r="F395">
        <f t="shared" si="111"/>
        <v>394</v>
      </c>
      <c r="G395">
        <f t="shared" si="112"/>
        <v>0.55005424891739219</v>
      </c>
      <c r="H395">
        <f t="shared" si="113"/>
        <v>1.10687730344655</v>
      </c>
      <c r="I395">
        <v>395</v>
      </c>
      <c r="J395">
        <f t="shared" si="114"/>
        <v>394</v>
      </c>
      <c r="K395">
        <f t="shared" si="115"/>
        <v>1.5297366549486489</v>
      </c>
      <c r="L395">
        <f t="shared" si="116"/>
        <v>1.26645031675154</v>
      </c>
      <c r="M395">
        <v>395</v>
      </c>
      <c r="N395">
        <f t="shared" si="117"/>
        <v>394</v>
      </c>
      <c r="O395">
        <f t="shared" si="118"/>
        <v>0.53134518654408991</v>
      </c>
      <c r="P395">
        <f t="shared" si="119"/>
        <v>0.253817018041334</v>
      </c>
      <c r="Q395">
        <v>395</v>
      </c>
      <c r="R395">
        <f t="shared" si="120"/>
        <v>394</v>
      </c>
      <c r="S395">
        <f t="shared" si="121"/>
        <v>1.5636623748211558</v>
      </c>
      <c r="T395">
        <f t="shared" si="122"/>
        <v>0</v>
      </c>
      <c r="U395">
        <v>395</v>
      </c>
      <c r="V395">
        <f t="shared" si="123"/>
        <v>394</v>
      </c>
      <c r="W395">
        <f t="shared" si="124"/>
        <v>1.5554109849072066</v>
      </c>
      <c r="X395">
        <f t="shared" si="125"/>
        <v>6.4805860110755301E-2</v>
      </c>
    </row>
    <row r="396" spans="1:24">
      <c r="A396">
        <v>396</v>
      </c>
      <c r="B396">
        <f t="shared" si="108"/>
        <v>395</v>
      </c>
      <c r="C396">
        <f t="shared" si="109"/>
        <v>0.55952943929957411</v>
      </c>
      <c r="D396">
        <f t="shared" si="110"/>
        <v>1.9572645941803399</v>
      </c>
      <c r="E396">
        <v>396</v>
      </c>
      <c r="F396">
        <f t="shared" si="111"/>
        <v>395</v>
      </c>
      <c r="G396">
        <f t="shared" si="112"/>
        <v>0.5511790634998055</v>
      </c>
      <c r="H396">
        <f t="shared" si="113"/>
        <v>1.89312269655345</v>
      </c>
      <c r="I396">
        <v>396</v>
      </c>
      <c r="J396">
        <f t="shared" si="114"/>
        <v>395</v>
      </c>
      <c r="K396">
        <f t="shared" si="115"/>
        <v>1.5304048943856974</v>
      </c>
      <c r="L396">
        <f t="shared" si="116"/>
        <v>1.73354968324846</v>
      </c>
      <c r="M396">
        <v>396</v>
      </c>
      <c r="N396">
        <f t="shared" si="117"/>
        <v>395</v>
      </c>
      <c r="O396">
        <f t="shared" si="118"/>
        <v>0.5320495727585639</v>
      </c>
      <c r="P396">
        <f t="shared" si="119"/>
        <v>0.74618298195866595</v>
      </c>
      <c r="Q396">
        <v>396</v>
      </c>
      <c r="R396">
        <f t="shared" si="120"/>
        <v>395</v>
      </c>
      <c r="S396">
        <f t="shared" si="121"/>
        <v>1.5650929899856765</v>
      </c>
      <c r="T396">
        <f t="shared" si="122"/>
        <v>1</v>
      </c>
      <c r="U396">
        <v>396</v>
      </c>
      <c r="V396">
        <f t="shared" si="123"/>
        <v>395</v>
      </c>
      <c r="W396">
        <f t="shared" si="124"/>
        <v>1.5566561755792789</v>
      </c>
      <c r="X396">
        <f t="shared" si="125"/>
        <v>0.93519413988924505</v>
      </c>
    </row>
    <row r="397" spans="1:24">
      <c r="A397">
        <v>397</v>
      </c>
      <c r="B397">
        <f t="shared" si="108"/>
        <v>396</v>
      </c>
      <c r="C397">
        <f t="shared" si="109"/>
        <v>0.56083777862483963</v>
      </c>
      <c r="D397">
        <f t="shared" si="110"/>
        <v>1.0427354058196601</v>
      </c>
      <c r="E397">
        <v>397</v>
      </c>
      <c r="F397">
        <f t="shared" si="111"/>
        <v>396</v>
      </c>
      <c r="G397">
        <f t="shared" si="112"/>
        <v>0.5523038780822187</v>
      </c>
      <c r="H397">
        <f t="shared" si="113"/>
        <v>1.10687730344655</v>
      </c>
      <c r="I397">
        <v>397</v>
      </c>
      <c r="J397">
        <f t="shared" si="114"/>
        <v>396</v>
      </c>
      <c r="K397">
        <f t="shared" si="115"/>
        <v>1.5310731338227459</v>
      </c>
      <c r="L397">
        <f t="shared" si="116"/>
        <v>1.26645031675154</v>
      </c>
      <c r="M397">
        <v>397</v>
      </c>
      <c r="N397">
        <f t="shared" si="117"/>
        <v>396</v>
      </c>
      <c r="O397">
        <f t="shared" si="118"/>
        <v>0.5327539589730379</v>
      </c>
      <c r="P397">
        <f t="shared" si="119"/>
        <v>0.253817018041334</v>
      </c>
      <c r="Q397">
        <v>397</v>
      </c>
      <c r="R397">
        <f t="shared" si="120"/>
        <v>396</v>
      </c>
      <c r="S397">
        <f t="shared" si="121"/>
        <v>1.5665236051501972</v>
      </c>
      <c r="T397">
        <f t="shared" si="122"/>
        <v>0</v>
      </c>
      <c r="U397">
        <v>397</v>
      </c>
      <c r="V397">
        <f t="shared" si="123"/>
        <v>396</v>
      </c>
      <c r="W397">
        <f t="shared" si="124"/>
        <v>1.5579013662513512</v>
      </c>
      <c r="X397">
        <f t="shared" si="125"/>
        <v>6.4805860110755301E-2</v>
      </c>
    </row>
    <row r="398" spans="1:24">
      <c r="A398">
        <v>398</v>
      </c>
      <c r="B398">
        <f t="shared" si="108"/>
        <v>397</v>
      </c>
      <c r="C398">
        <f t="shared" si="109"/>
        <v>0.56214611795010527</v>
      </c>
      <c r="D398">
        <f t="shared" si="110"/>
        <v>1.9572645941803399</v>
      </c>
      <c r="E398">
        <v>398</v>
      </c>
      <c r="F398">
        <f t="shared" si="111"/>
        <v>397</v>
      </c>
      <c r="G398">
        <f t="shared" si="112"/>
        <v>0.55342869266463213</v>
      </c>
      <c r="H398">
        <f t="shared" si="113"/>
        <v>1.89312269655345</v>
      </c>
      <c r="I398">
        <v>398</v>
      </c>
      <c r="J398">
        <f t="shared" si="114"/>
        <v>397</v>
      </c>
      <c r="K398">
        <f t="shared" si="115"/>
        <v>1.5317413732597944</v>
      </c>
      <c r="L398">
        <f t="shared" si="116"/>
        <v>1.73354968324846</v>
      </c>
      <c r="M398">
        <v>398</v>
      </c>
      <c r="N398">
        <f t="shared" si="117"/>
        <v>397</v>
      </c>
      <c r="O398">
        <f t="shared" si="118"/>
        <v>0.53345834518751201</v>
      </c>
      <c r="P398">
        <f t="shared" si="119"/>
        <v>0.74618298195866595</v>
      </c>
      <c r="Q398">
        <v>398</v>
      </c>
      <c r="R398">
        <f t="shared" si="120"/>
        <v>397</v>
      </c>
      <c r="S398">
        <f t="shared" si="121"/>
        <v>1.5679542203147179</v>
      </c>
      <c r="T398">
        <f t="shared" si="122"/>
        <v>1</v>
      </c>
      <c r="U398">
        <v>398</v>
      </c>
      <c r="V398">
        <f t="shared" si="123"/>
        <v>397</v>
      </c>
      <c r="W398">
        <f t="shared" si="124"/>
        <v>1.5591465569234233</v>
      </c>
      <c r="X398">
        <f t="shared" si="125"/>
        <v>0.93519413988924505</v>
      </c>
    </row>
    <row r="399" spans="1:24">
      <c r="A399">
        <v>399</v>
      </c>
      <c r="B399">
        <f t="shared" si="108"/>
        <v>398</v>
      </c>
      <c r="C399">
        <f t="shared" si="109"/>
        <v>0.56345445727537091</v>
      </c>
      <c r="D399">
        <f t="shared" si="110"/>
        <v>1.0427354058196601</v>
      </c>
      <c r="E399">
        <v>399</v>
      </c>
      <c r="F399">
        <f t="shared" si="111"/>
        <v>398</v>
      </c>
      <c r="G399">
        <f t="shared" si="112"/>
        <v>0.55455350724704533</v>
      </c>
      <c r="H399">
        <f t="shared" si="113"/>
        <v>1.10687730344655</v>
      </c>
      <c r="I399">
        <v>399</v>
      </c>
      <c r="J399">
        <f t="shared" si="114"/>
        <v>398</v>
      </c>
      <c r="K399">
        <f t="shared" si="115"/>
        <v>1.5324096126968429</v>
      </c>
      <c r="L399">
        <f t="shared" si="116"/>
        <v>1.26645031675154</v>
      </c>
      <c r="M399">
        <v>399</v>
      </c>
      <c r="N399">
        <f t="shared" si="117"/>
        <v>398</v>
      </c>
      <c r="O399">
        <f t="shared" si="118"/>
        <v>0.534162731401986</v>
      </c>
      <c r="P399">
        <f t="shared" si="119"/>
        <v>0.253817018041334</v>
      </c>
      <c r="Q399">
        <v>399</v>
      </c>
      <c r="R399">
        <f t="shared" si="120"/>
        <v>398</v>
      </c>
      <c r="S399">
        <f t="shared" si="121"/>
        <v>1.5693848354792386</v>
      </c>
      <c r="T399">
        <f t="shared" si="122"/>
        <v>0</v>
      </c>
      <c r="U399">
        <v>399</v>
      </c>
      <c r="V399">
        <f t="shared" si="123"/>
        <v>398</v>
      </c>
      <c r="W399">
        <f t="shared" si="124"/>
        <v>1.5603917475954956</v>
      </c>
      <c r="X399">
        <f t="shared" si="125"/>
        <v>6.4805860110755301E-2</v>
      </c>
    </row>
    <row r="400" spans="1:24">
      <c r="A400">
        <v>400</v>
      </c>
      <c r="B400">
        <f t="shared" si="108"/>
        <v>399</v>
      </c>
      <c r="C400">
        <f t="shared" si="109"/>
        <v>0.56476279660063644</v>
      </c>
      <c r="D400">
        <f t="shared" si="110"/>
        <v>1.9572645941803399</v>
      </c>
      <c r="E400">
        <v>400</v>
      </c>
      <c r="F400">
        <f t="shared" si="111"/>
        <v>399</v>
      </c>
      <c r="G400">
        <f t="shared" si="112"/>
        <v>0.55567832182945864</v>
      </c>
      <c r="H400">
        <f t="shared" si="113"/>
        <v>1.89312269655345</v>
      </c>
      <c r="I400">
        <v>400</v>
      </c>
      <c r="J400">
        <f t="shared" si="114"/>
        <v>399</v>
      </c>
      <c r="K400">
        <f t="shared" si="115"/>
        <v>1.5330778521338915</v>
      </c>
      <c r="L400">
        <f t="shared" si="116"/>
        <v>1.73354968324846</v>
      </c>
      <c r="M400">
        <v>400</v>
      </c>
      <c r="N400">
        <f t="shared" si="117"/>
        <v>399</v>
      </c>
      <c r="O400">
        <f t="shared" si="118"/>
        <v>0.53486711761646</v>
      </c>
      <c r="P400">
        <f t="shared" si="119"/>
        <v>0.74618298195866595</v>
      </c>
      <c r="Q400">
        <v>400</v>
      </c>
      <c r="R400">
        <f t="shared" si="120"/>
        <v>399</v>
      </c>
      <c r="S400">
        <f t="shared" si="121"/>
        <v>1.5708154506437593</v>
      </c>
      <c r="T400">
        <f t="shared" si="122"/>
        <v>1</v>
      </c>
      <c r="U400">
        <v>400</v>
      </c>
      <c r="V400">
        <f t="shared" si="123"/>
        <v>399</v>
      </c>
      <c r="W400">
        <f t="shared" si="124"/>
        <v>1.5616369382675677</v>
      </c>
      <c r="X400">
        <f t="shared" si="125"/>
        <v>0.93519413988924505</v>
      </c>
    </row>
    <row r="401" spans="1:24">
      <c r="A401">
        <v>401</v>
      </c>
      <c r="B401">
        <f t="shared" si="108"/>
        <v>400</v>
      </c>
      <c r="C401">
        <f t="shared" si="109"/>
        <v>0.56607113592590208</v>
      </c>
      <c r="D401">
        <f t="shared" si="110"/>
        <v>1.0427354058196601</v>
      </c>
      <c r="E401">
        <v>401</v>
      </c>
      <c r="F401">
        <f t="shared" si="111"/>
        <v>400</v>
      </c>
      <c r="G401">
        <f t="shared" si="112"/>
        <v>0.55680313641187196</v>
      </c>
      <c r="H401">
        <f t="shared" si="113"/>
        <v>1.10687730344655</v>
      </c>
      <c r="I401">
        <v>401</v>
      </c>
      <c r="J401">
        <f t="shared" si="114"/>
        <v>400</v>
      </c>
      <c r="K401">
        <f t="shared" si="115"/>
        <v>1.53374609157094</v>
      </c>
      <c r="L401">
        <f t="shared" si="116"/>
        <v>1.26645031675154</v>
      </c>
      <c r="M401">
        <v>401</v>
      </c>
      <c r="N401">
        <f t="shared" si="117"/>
        <v>400</v>
      </c>
      <c r="O401">
        <f t="shared" si="118"/>
        <v>0.53557150383093399</v>
      </c>
      <c r="P401">
        <f t="shared" si="119"/>
        <v>0.253817018041334</v>
      </c>
      <c r="Q401">
        <v>401</v>
      </c>
      <c r="R401">
        <f t="shared" si="120"/>
        <v>400</v>
      </c>
      <c r="S401">
        <f t="shared" si="121"/>
        <v>1.57224606580828</v>
      </c>
      <c r="T401">
        <f t="shared" si="122"/>
        <v>0</v>
      </c>
      <c r="U401">
        <v>401</v>
      </c>
      <c r="V401">
        <f t="shared" si="123"/>
        <v>400</v>
      </c>
      <c r="W401">
        <f t="shared" si="124"/>
        <v>1.56288212893964</v>
      </c>
      <c r="X401">
        <f t="shared" si="125"/>
        <v>6.4805860110755301E-2</v>
      </c>
    </row>
    <row r="402" spans="1:24">
      <c r="A402">
        <v>402</v>
      </c>
      <c r="B402">
        <f t="shared" si="108"/>
        <v>401</v>
      </c>
      <c r="C402">
        <f t="shared" si="109"/>
        <v>0.56737947525116761</v>
      </c>
      <c r="D402">
        <f t="shared" si="110"/>
        <v>1.9572645941803399</v>
      </c>
      <c r="E402">
        <v>402</v>
      </c>
      <c r="F402">
        <f t="shared" si="111"/>
        <v>401</v>
      </c>
      <c r="G402">
        <f t="shared" si="112"/>
        <v>0.55792795099428527</v>
      </c>
      <c r="H402">
        <f t="shared" si="113"/>
        <v>1.89312269655345</v>
      </c>
      <c r="I402">
        <v>402</v>
      </c>
      <c r="J402">
        <f t="shared" si="114"/>
        <v>401</v>
      </c>
      <c r="K402">
        <f t="shared" si="115"/>
        <v>1.5344143310079885</v>
      </c>
      <c r="L402">
        <f t="shared" si="116"/>
        <v>1.73354968324846</v>
      </c>
      <c r="M402">
        <v>402</v>
      </c>
      <c r="N402">
        <f t="shared" si="117"/>
        <v>401</v>
      </c>
      <c r="O402">
        <f t="shared" si="118"/>
        <v>0.53627589004540799</v>
      </c>
      <c r="P402">
        <f t="shared" si="119"/>
        <v>0.74618298195866595</v>
      </c>
      <c r="Q402">
        <v>402</v>
      </c>
      <c r="R402">
        <f t="shared" si="120"/>
        <v>401</v>
      </c>
      <c r="S402">
        <f t="shared" si="121"/>
        <v>1.5736766809728007</v>
      </c>
      <c r="T402">
        <f t="shared" si="122"/>
        <v>1</v>
      </c>
      <c r="U402">
        <v>402</v>
      </c>
      <c r="V402">
        <f t="shared" si="123"/>
        <v>401</v>
      </c>
      <c r="W402">
        <f t="shared" si="124"/>
        <v>1.5641273196117123</v>
      </c>
      <c r="X402">
        <f t="shared" si="125"/>
        <v>0.93519413988924505</v>
      </c>
    </row>
    <row r="403" spans="1:24">
      <c r="A403">
        <v>403</v>
      </c>
      <c r="B403">
        <f t="shared" si="108"/>
        <v>402</v>
      </c>
      <c r="C403">
        <f t="shared" si="109"/>
        <v>0.56868781457643325</v>
      </c>
      <c r="D403">
        <f t="shared" si="110"/>
        <v>1.0427354058196601</v>
      </c>
      <c r="E403">
        <v>403</v>
      </c>
      <c r="F403">
        <f t="shared" si="111"/>
        <v>402</v>
      </c>
      <c r="G403">
        <f t="shared" si="112"/>
        <v>0.55905276557669858</v>
      </c>
      <c r="H403">
        <f t="shared" si="113"/>
        <v>1.10687730344655</v>
      </c>
      <c r="I403">
        <v>403</v>
      </c>
      <c r="J403">
        <f t="shared" si="114"/>
        <v>402</v>
      </c>
      <c r="K403">
        <f t="shared" si="115"/>
        <v>1.535082570445037</v>
      </c>
      <c r="L403">
        <f t="shared" si="116"/>
        <v>1.26645031675154</v>
      </c>
      <c r="M403">
        <v>403</v>
      </c>
      <c r="N403">
        <f t="shared" si="117"/>
        <v>402</v>
      </c>
      <c r="O403">
        <f t="shared" si="118"/>
        <v>0.53698027625988198</v>
      </c>
      <c r="P403">
        <f t="shared" si="119"/>
        <v>0.253817018041334</v>
      </c>
      <c r="Q403">
        <v>403</v>
      </c>
      <c r="R403">
        <f t="shared" si="120"/>
        <v>402</v>
      </c>
      <c r="S403">
        <f t="shared" si="121"/>
        <v>1.5751072961373214</v>
      </c>
      <c r="T403">
        <f t="shared" si="122"/>
        <v>0</v>
      </c>
      <c r="U403">
        <v>403</v>
      </c>
      <c r="V403">
        <f t="shared" si="123"/>
        <v>402</v>
      </c>
      <c r="W403">
        <f t="shared" si="124"/>
        <v>1.5653725102837843</v>
      </c>
      <c r="X403">
        <f t="shared" si="125"/>
        <v>6.4805860110755301E-2</v>
      </c>
    </row>
    <row r="404" spans="1:24">
      <c r="A404">
        <v>404</v>
      </c>
      <c r="B404">
        <f t="shared" si="108"/>
        <v>403</v>
      </c>
      <c r="C404">
        <f t="shared" si="109"/>
        <v>0.56999615390169889</v>
      </c>
      <c r="D404">
        <f t="shared" si="110"/>
        <v>1.9572645941803399</v>
      </c>
      <c r="E404">
        <v>404</v>
      </c>
      <c r="F404">
        <f t="shared" si="111"/>
        <v>403</v>
      </c>
      <c r="G404">
        <f t="shared" si="112"/>
        <v>0.56017758015911179</v>
      </c>
      <c r="H404">
        <f t="shared" si="113"/>
        <v>1.89312269655345</v>
      </c>
      <c r="I404">
        <v>404</v>
      </c>
      <c r="J404">
        <f t="shared" si="114"/>
        <v>403</v>
      </c>
      <c r="K404">
        <f t="shared" si="115"/>
        <v>1.5357508098820856</v>
      </c>
      <c r="L404">
        <f t="shared" si="116"/>
        <v>1.73354968324846</v>
      </c>
      <c r="M404">
        <v>404</v>
      </c>
      <c r="N404">
        <f t="shared" si="117"/>
        <v>403</v>
      </c>
      <c r="O404">
        <f t="shared" si="118"/>
        <v>0.53768466247435598</v>
      </c>
      <c r="P404">
        <f t="shared" si="119"/>
        <v>0.74618298195866595</v>
      </c>
      <c r="Q404">
        <v>404</v>
      </c>
      <c r="R404">
        <f t="shared" si="120"/>
        <v>403</v>
      </c>
      <c r="S404">
        <f t="shared" si="121"/>
        <v>1.5765379113018421</v>
      </c>
      <c r="T404">
        <f t="shared" si="122"/>
        <v>1</v>
      </c>
      <c r="U404">
        <v>404</v>
      </c>
      <c r="V404">
        <f t="shared" si="123"/>
        <v>403</v>
      </c>
      <c r="W404">
        <f t="shared" si="124"/>
        <v>1.5666177009558564</v>
      </c>
      <c r="X404">
        <f t="shared" si="125"/>
        <v>0.93519413988924505</v>
      </c>
    </row>
    <row r="405" spans="1:24">
      <c r="A405">
        <v>405</v>
      </c>
      <c r="B405">
        <f t="shared" si="108"/>
        <v>404</v>
      </c>
      <c r="C405">
        <f t="shared" si="109"/>
        <v>0.57130449322696442</v>
      </c>
      <c r="D405">
        <f t="shared" si="110"/>
        <v>1.0427354058196601</v>
      </c>
      <c r="E405">
        <v>405</v>
      </c>
      <c r="F405">
        <f t="shared" si="111"/>
        <v>404</v>
      </c>
      <c r="G405">
        <f t="shared" si="112"/>
        <v>0.56130239474152521</v>
      </c>
      <c r="H405">
        <f t="shared" si="113"/>
        <v>1.10687730344655</v>
      </c>
      <c r="I405">
        <v>405</v>
      </c>
      <c r="J405">
        <f t="shared" si="114"/>
        <v>404</v>
      </c>
      <c r="K405">
        <f t="shared" si="115"/>
        <v>1.5364190493191341</v>
      </c>
      <c r="L405">
        <f t="shared" si="116"/>
        <v>1.26645031675154</v>
      </c>
      <c r="M405">
        <v>405</v>
      </c>
      <c r="N405">
        <f t="shared" si="117"/>
        <v>404</v>
      </c>
      <c r="O405">
        <f t="shared" si="118"/>
        <v>0.53838904868882997</v>
      </c>
      <c r="P405">
        <f t="shared" si="119"/>
        <v>0.253817018041334</v>
      </c>
      <c r="Q405">
        <v>405</v>
      </c>
      <c r="R405">
        <f t="shared" si="120"/>
        <v>404</v>
      </c>
      <c r="S405">
        <f t="shared" si="121"/>
        <v>1.5779685264663628</v>
      </c>
      <c r="T405">
        <f t="shared" si="122"/>
        <v>0</v>
      </c>
      <c r="U405">
        <v>405</v>
      </c>
      <c r="V405">
        <f t="shared" si="123"/>
        <v>404</v>
      </c>
      <c r="W405">
        <f t="shared" si="124"/>
        <v>1.5678628916279287</v>
      </c>
      <c r="X405">
        <f t="shared" si="125"/>
        <v>6.4805860110755301E-2</v>
      </c>
    </row>
    <row r="406" spans="1:24">
      <c r="A406">
        <v>406</v>
      </c>
      <c r="B406">
        <f t="shared" si="108"/>
        <v>405</v>
      </c>
      <c r="C406">
        <f t="shared" si="109"/>
        <v>0.57261283255223006</v>
      </c>
      <c r="D406">
        <f t="shared" si="110"/>
        <v>1.9572645941803399</v>
      </c>
      <c r="E406">
        <v>406</v>
      </c>
      <c r="F406">
        <f t="shared" si="111"/>
        <v>405</v>
      </c>
      <c r="G406">
        <f t="shared" si="112"/>
        <v>0.56242720932393842</v>
      </c>
      <c r="H406">
        <f t="shared" si="113"/>
        <v>1.89312269655345</v>
      </c>
      <c r="I406">
        <v>406</v>
      </c>
      <c r="J406">
        <f t="shared" si="114"/>
        <v>405</v>
      </c>
      <c r="K406">
        <f t="shared" si="115"/>
        <v>1.5370872887561824</v>
      </c>
      <c r="L406">
        <f t="shared" si="116"/>
        <v>1.73354968324846</v>
      </c>
      <c r="M406">
        <v>406</v>
      </c>
      <c r="N406">
        <f t="shared" si="117"/>
        <v>405</v>
      </c>
      <c r="O406">
        <f t="shared" si="118"/>
        <v>0.53909343490330397</v>
      </c>
      <c r="P406">
        <f t="shared" si="119"/>
        <v>0.74618298195866595</v>
      </c>
      <c r="Q406">
        <v>406</v>
      </c>
      <c r="R406">
        <f t="shared" si="120"/>
        <v>405</v>
      </c>
      <c r="S406">
        <f t="shared" si="121"/>
        <v>1.5793991416308835</v>
      </c>
      <c r="T406">
        <f t="shared" si="122"/>
        <v>1</v>
      </c>
      <c r="U406">
        <v>406</v>
      </c>
      <c r="V406">
        <f t="shared" si="123"/>
        <v>405</v>
      </c>
      <c r="W406">
        <f t="shared" si="124"/>
        <v>1.569108082300001</v>
      </c>
      <c r="X406">
        <f t="shared" si="125"/>
        <v>0.93519413988924505</v>
      </c>
    </row>
    <row r="407" spans="1:24">
      <c r="A407">
        <v>407</v>
      </c>
      <c r="B407">
        <f t="shared" si="108"/>
        <v>406</v>
      </c>
      <c r="C407">
        <f t="shared" si="109"/>
        <v>0.57392117187749569</v>
      </c>
      <c r="D407">
        <f t="shared" si="110"/>
        <v>1.0427354058196601</v>
      </c>
      <c r="E407">
        <v>407</v>
      </c>
      <c r="F407">
        <f t="shared" si="111"/>
        <v>406</v>
      </c>
      <c r="G407">
        <f t="shared" si="112"/>
        <v>0.56355202390635173</v>
      </c>
      <c r="H407">
        <f t="shared" si="113"/>
        <v>1.10687730344655</v>
      </c>
      <c r="I407">
        <v>407</v>
      </c>
      <c r="J407">
        <f t="shared" si="114"/>
        <v>406</v>
      </c>
      <c r="K407">
        <f t="shared" si="115"/>
        <v>1.5377555281932309</v>
      </c>
      <c r="L407">
        <f t="shared" si="116"/>
        <v>1.26645031675154</v>
      </c>
      <c r="M407">
        <v>407</v>
      </c>
      <c r="N407">
        <f t="shared" si="117"/>
        <v>406</v>
      </c>
      <c r="O407">
        <f t="shared" si="118"/>
        <v>0.53979782111777797</v>
      </c>
      <c r="P407">
        <f t="shared" si="119"/>
        <v>0.253817018041334</v>
      </c>
      <c r="Q407">
        <v>407</v>
      </c>
      <c r="R407">
        <f t="shared" si="120"/>
        <v>406</v>
      </c>
      <c r="S407">
        <f t="shared" si="121"/>
        <v>1.5808297567954042</v>
      </c>
      <c r="T407">
        <f t="shared" si="122"/>
        <v>0</v>
      </c>
      <c r="U407">
        <v>407</v>
      </c>
      <c r="V407">
        <f t="shared" si="123"/>
        <v>406</v>
      </c>
      <c r="W407">
        <f t="shared" si="124"/>
        <v>1.5703532729720733</v>
      </c>
      <c r="X407">
        <f t="shared" si="125"/>
        <v>6.4805860110755301E-2</v>
      </c>
    </row>
    <row r="408" spans="1:24">
      <c r="A408">
        <v>408</v>
      </c>
      <c r="B408">
        <f t="shared" si="108"/>
        <v>407</v>
      </c>
      <c r="C408">
        <f t="shared" si="109"/>
        <v>0.57522951120276122</v>
      </c>
      <c r="D408">
        <f t="shared" si="110"/>
        <v>1.9572645941803399</v>
      </c>
      <c r="E408">
        <v>408</v>
      </c>
      <c r="F408">
        <f t="shared" si="111"/>
        <v>407</v>
      </c>
      <c r="G408">
        <f t="shared" si="112"/>
        <v>0.56467683848876504</v>
      </c>
      <c r="H408">
        <f t="shared" si="113"/>
        <v>1.89312269655345</v>
      </c>
      <c r="I408">
        <v>408</v>
      </c>
      <c r="J408">
        <f t="shared" si="114"/>
        <v>407</v>
      </c>
      <c r="K408">
        <f t="shared" si="115"/>
        <v>1.5384237676302794</v>
      </c>
      <c r="L408">
        <f t="shared" si="116"/>
        <v>1.73354968324846</v>
      </c>
      <c r="M408">
        <v>408</v>
      </c>
      <c r="N408">
        <f t="shared" si="117"/>
        <v>407</v>
      </c>
      <c r="O408">
        <f t="shared" si="118"/>
        <v>0.54050220733225196</v>
      </c>
      <c r="P408">
        <f t="shared" si="119"/>
        <v>0.74618298195866595</v>
      </c>
      <c r="Q408">
        <v>408</v>
      </c>
      <c r="R408">
        <f t="shared" si="120"/>
        <v>407</v>
      </c>
      <c r="S408">
        <f t="shared" si="121"/>
        <v>1.5822603719599249</v>
      </c>
      <c r="T408">
        <f t="shared" si="122"/>
        <v>1</v>
      </c>
      <c r="U408">
        <v>408</v>
      </c>
      <c r="V408">
        <f t="shared" si="123"/>
        <v>407</v>
      </c>
      <c r="W408">
        <f t="shared" si="124"/>
        <v>1.5715984636441453</v>
      </c>
      <c r="X408">
        <f t="shared" si="125"/>
        <v>0.93519413988924505</v>
      </c>
    </row>
    <row r="409" spans="1:24">
      <c r="A409">
        <v>409</v>
      </c>
      <c r="B409">
        <f t="shared" si="108"/>
        <v>408</v>
      </c>
      <c r="C409">
        <f t="shared" si="109"/>
        <v>0.57653785052802686</v>
      </c>
      <c r="D409">
        <f t="shared" si="110"/>
        <v>1.0427354058196601</v>
      </c>
      <c r="E409">
        <v>409</v>
      </c>
      <c r="F409">
        <f t="shared" si="111"/>
        <v>408</v>
      </c>
      <c r="G409">
        <f t="shared" si="112"/>
        <v>0.56580165307117836</v>
      </c>
      <c r="H409">
        <f t="shared" si="113"/>
        <v>1.10687730344655</v>
      </c>
      <c r="I409">
        <v>409</v>
      </c>
      <c r="J409">
        <f t="shared" si="114"/>
        <v>408</v>
      </c>
      <c r="K409">
        <f t="shared" si="115"/>
        <v>1.539092007067328</v>
      </c>
      <c r="L409">
        <f t="shared" si="116"/>
        <v>1.26645031675154</v>
      </c>
      <c r="M409">
        <v>409</v>
      </c>
      <c r="N409">
        <f t="shared" si="117"/>
        <v>408</v>
      </c>
      <c r="O409">
        <f t="shared" si="118"/>
        <v>0.54120659354672596</v>
      </c>
      <c r="P409">
        <f t="shared" si="119"/>
        <v>0.253817018041334</v>
      </c>
      <c r="Q409">
        <v>409</v>
      </c>
      <c r="R409">
        <f t="shared" si="120"/>
        <v>408</v>
      </c>
      <c r="S409">
        <f t="shared" si="121"/>
        <v>1.5836909871244456</v>
      </c>
      <c r="T409">
        <f t="shared" si="122"/>
        <v>0</v>
      </c>
      <c r="U409">
        <v>409</v>
      </c>
      <c r="V409">
        <f t="shared" si="123"/>
        <v>408</v>
      </c>
      <c r="W409">
        <f t="shared" si="124"/>
        <v>1.5728436543162174</v>
      </c>
      <c r="X409">
        <f t="shared" si="125"/>
        <v>6.4805860110755301E-2</v>
      </c>
    </row>
    <row r="410" spans="1:24">
      <c r="A410">
        <v>410</v>
      </c>
      <c r="B410">
        <f t="shared" si="108"/>
        <v>409</v>
      </c>
      <c r="C410">
        <f t="shared" si="109"/>
        <v>0.5778461898532925</v>
      </c>
      <c r="D410">
        <f t="shared" si="110"/>
        <v>1.9572645941803399</v>
      </c>
      <c r="E410">
        <v>410</v>
      </c>
      <c r="F410">
        <f t="shared" si="111"/>
        <v>409</v>
      </c>
      <c r="G410">
        <f t="shared" si="112"/>
        <v>0.56692646765359167</v>
      </c>
      <c r="H410">
        <f t="shared" si="113"/>
        <v>1.89312269655345</v>
      </c>
      <c r="I410">
        <v>410</v>
      </c>
      <c r="J410">
        <f t="shared" si="114"/>
        <v>409</v>
      </c>
      <c r="K410">
        <f t="shared" si="115"/>
        <v>1.5397602465043765</v>
      </c>
      <c r="L410">
        <f t="shared" si="116"/>
        <v>1.73354968324846</v>
      </c>
      <c r="M410">
        <v>410</v>
      </c>
      <c r="N410">
        <f t="shared" si="117"/>
        <v>409</v>
      </c>
      <c r="O410">
        <f t="shared" si="118"/>
        <v>0.54191097976120006</v>
      </c>
      <c r="P410">
        <f t="shared" si="119"/>
        <v>0.74618298195866595</v>
      </c>
      <c r="Q410">
        <v>410</v>
      </c>
      <c r="R410">
        <f t="shared" si="120"/>
        <v>409</v>
      </c>
      <c r="S410">
        <f t="shared" si="121"/>
        <v>1.5851216022889663</v>
      </c>
      <c r="T410">
        <f t="shared" si="122"/>
        <v>1</v>
      </c>
      <c r="U410">
        <v>410</v>
      </c>
      <c r="V410">
        <f t="shared" si="123"/>
        <v>409</v>
      </c>
      <c r="W410">
        <f t="shared" si="124"/>
        <v>1.5740888449882897</v>
      </c>
      <c r="X410">
        <f t="shared" si="125"/>
        <v>0.93519413988924505</v>
      </c>
    </row>
    <row r="411" spans="1:24">
      <c r="A411">
        <v>411</v>
      </c>
      <c r="B411">
        <f t="shared" si="108"/>
        <v>410</v>
      </c>
      <c r="C411">
        <f t="shared" si="109"/>
        <v>0.57915452917855803</v>
      </c>
      <c r="D411">
        <f t="shared" si="110"/>
        <v>1.0427354058196601</v>
      </c>
      <c r="E411">
        <v>411</v>
      </c>
      <c r="F411">
        <f t="shared" si="111"/>
        <v>410</v>
      </c>
      <c r="G411">
        <f t="shared" si="112"/>
        <v>0.56805128223600498</v>
      </c>
      <c r="H411">
        <f t="shared" si="113"/>
        <v>1.10687730344655</v>
      </c>
      <c r="I411">
        <v>411</v>
      </c>
      <c r="J411">
        <f t="shared" si="114"/>
        <v>410</v>
      </c>
      <c r="K411">
        <f t="shared" si="115"/>
        <v>1.540428485941425</v>
      </c>
      <c r="L411">
        <f t="shared" si="116"/>
        <v>1.26645031675154</v>
      </c>
      <c r="M411">
        <v>411</v>
      </c>
      <c r="N411">
        <f t="shared" si="117"/>
        <v>410</v>
      </c>
      <c r="O411">
        <f t="shared" si="118"/>
        <v>0.54261536597567406</v>
      </c>
      <c r="P411">
        <f t="shared" si="119"/>
        <v>0.253817018041334</v>
      </c>
      <c r="Q411">
        <v>411</v>
      </c>
      <c r="R411">
        <f t="shared" si="120"/>
        <v>410</v>
      </c>
      <c r="S411">
        <f t="shared" si="121"/>
        <v>1.586552217453487</v>
      </c>
      <c r="T411">
        <f t="shared" si="122"/>
        <v>0</v>
      </c>
      <c r="U411">
        <v>411</v>
      </c>
      <c r="V411">
        <f t="shared" si="123"/>
        <v>410</v>
      </c>
      <c r="W411">
        <f t="shared" si="124"/>
        <v>1.575334035660362</v>
      </c>
      <c r="X411">
        <f t="shared" si="125"/>
        <v>6.4805860110755301E-2</v>
      </c>
    </row>
    <row r="412" spans="1:24">
      <c r="A412">
        <v>412</v>
      </c>
      <c r="B412">
        <f t="shared" si="108"/>
        <v>411</v>
      </c>
      <c r="C412">
        <f t="shared" si="109"/>
        <v>0.58046286850382367</v>
      </c>
      <c r="D412">
        <f t="shared" si="110"/>
        <v>1.9572645941803399</v>
      </c>
      <c r="E412">
        <v>412</v>
      </c>
      <c r="F412">
        <f t="shared" si="111"/>
        <v>411</v>
      </c>
      <c r="G412">
        <f t="shared" si="112"/>
        <v>0.5691760968184183</v>
      </c>
      <c r="H412">
        <f t="shared" si="113"/>
        <v>1.89312269655345</v>
      </c>
      <c r="I412">
        <v>412</v>
      </c>
      <c r="J412">
        <f t="shared" si="114"/>
        <v>411</v>
      </c>
      <c r="K412">
        <f t="shared" si="115"/>
        <v>1.5410967253784735</v>
      </c>
      <c r="L412">
        <f t="shared" si="116"/>
        <v>1.73354968324846</v>
      </c>
      <c r="M412">
        <v>412</v>
      </c>
      <c r="N412">
        <f t="shared" si="117"/>
        <v>411</v>
      </c>
      <c r="O412">
        <f t="shared" si="118"/>
        <v>0.54331975219014805</v>
      </c>
      <c r="P412">
        <f t="shared" si="119"/>
        <v>0.74618298195866595</v>
      </c>
      <c r="Q412">
        <v>412</v>
      </c>
      <c r="R412">
        <f t="shared" si="120"/>
        <v>411</v>
      </c>
      <c r="S412">
        <f t="shared" si="121"/>
        <v>1.5879828326180077</v>
      </c>
      <c r="T412">
        <f t="shared" si="122"/>
        <v>1</v>
      </c>
      <c r="U412">
        <v>412</v>
      </c>
      <c r="V412">
        <f t="shared" si="123"/>
        <v>411</v>
      </c>
      <c r="W412">
        <f t="shared" si="124"/>
        <v>1.5765792263324341</v>
      </c>
      <c r="X412">
        <f t="shared" si="125"/>
        <v>0.93519413988924505</v>
      </c>
    </row>
    <row r="413" spans="1:24">
      <c r="A413">
        <v>413</v>
      </c>
      <c r="B413">
        <f t="shared" si="108"/>
        <v>412</v>
      </c>
      <c r="C413">
        <f t="shared" si="109"/>
        <v>0.58177120782908931</v>
      </c>
      <c r="D413">
        <f t="shared" si="110"/>
        <v>1.0427354058196601</v>
      </c>
      <c r="E413">
        <v>413</v>
      </c>
      <c r="F413">
        <f t="shared" si="111"/>
        <v>412</v>
      </c>
      <c r="G413">
        <f t="shared" si="112"/>
        <v>0.5703009114008315</v>
      </c>
      <c r="H413">
        <f t="shared" si="113"/>
        <v>1.10687730344655</v>
      </c>
      <c r="I413">
        <v>413</v>
      </c>
      <c r="J413">
        <f t="shared" si="114"/>
        <v>412</v>
      </c>
      <c r="K413">
        <f t="shared" si="115"/>
        <v>1.5417649648155218</v>
      </c>
      <c r="L413">
        <f t="shared" si="116"/>
        <v>1.26645031675154</v>
      </c>
      <c r="M413">
        <v>413</v>
      </c>
      <c r="N413">
        <f t="shared" si="117"/>
        <v>412</v>
      </c>
      <c r="O413">
        <f t="shared" si="118"/>
        <v>0.54402413840462205</v>
      </c>
      <c r="P413">
        <f t="shared" si="119"/>
        <v>0.253817018041334</v>
      </c>
      <c r="Q413">
        <v>413</v>
      </c>
      <c r="R413">
        <f t="shared" si="120"/>
        <v>412</v>
      </c>
      <c r="S413">
        <f t="shared" si="121"/>
        <v>1.5894134477825284</v>
      </c>
      <c r="T413">
        <f t="shared" si="122"/>
        <v>0</v>
      </c>
      <c r="U413">
        <v>413</v>
      </c>
      <c r="V413">
        <f t="shared" si="123"/>
        <v>412</v>
      </c>
      <c r="W413">
        <f t="shared" si="124"/>
        <v>1.5778244170045064</v>
      </c>
      <c r="X413">
        <f t="shared" si="125"/>
        <v>6.4805860110755301E-2</v>
      </c>
    </row>
    <row r="414" spans="1:24">
      <c r="A414">
        <v>414</v>
      </c>
      <c r="B414">
        <f t="shared" si="108"/>
        <v>413</v>
      </c>
      <c r="C414">
        <f t="shared" si="109"/>
        <v>0.58307954715435484</v>
      </c>
      <c r="D414">
        <f t="shared" si="110"/>
        <v>1.9572645941803399</v>
      </c>
      <c r="E414">
        <v>414</v>
      </c>
      <c r="F414">
        <f t="shared" si="111"/>
        <v>413</v>
      </c>
      <c r="G414">
        <f t="shared" si="112"/>
        <v>0.57142572598324493</v>
      </c>
      <c r="H414">
        <f t="shared" si="113"/>
        <v>1.89312269655345</v>
      </c>
      <c r="I414">
        <v>414</v>
      </c>
      <c r="J414">
        <f t="shared" si="114"/>
        <v>413</v>
      </c>
      <c r="K414">
        <f t="shared" si="115"/>
        <v>1.5424332042525704</v>
      </c>
      <c r="L414">
        <f t="shared" si="116"/>
        <v>1.73354968324846</v>
      </c>
      <c r="M414">
        <v>414</v>
      </c>
      <c r="N414">
        <f t="shared" si="117"/>
        <v>413</v>
      </c>
      <c r="O414">
        <f t="shared" si="118"/>
        <v>0.54472852461909604</v>
      </c>
      <c r="P414">
        <f t="shared" si="119"/>
        <v>0.74618298195866595</v>
      </c>
      <c r="Q414">
        <v>414</v>
      </c>
      <c r="R414">
        <f t="shared" si="120"/>
        <v>413</v>
      </c>
      <c r="S414">
        <f t="shared" si="121"/>
        <v>1.5908440629470491</v>
      </c>
      <c r="T414">
        <f t="shared" si="122"/>
        <v>1</v>
      </c>
      <c r="U414">
        <v>414</v>
      </c>
      <c r="V414">
        <f t="shared" si="123"/>
        <v>413</v>
      </c>
      <c r="W414">
        <f t="shared" si="124"/>
        <v>1.5790696076765784</v>
      </c>
      <c r="X414">
        <f t="shared" si="125"/>
        <v>0.93519413988924505</v>
      </c>
    </row>
    <row r="415" spans="1:24">
      <c r="A415">
        <v>415</v>
      </c>
      <c r="B415">
        <f t="shared" si="108"/>
        <v>414</v>
      </c>
      <c r="C415">
        <f t="shared" si="109"/>
        <v>0.58438788647962048</v>
      </c>
      <c r="D415">
        <f t="shared" si="110"/>
        <v>1.0427354058196601</v>
      </c>
      <c r="E415">
        <v>415</v>
      </c>
      <c r="F415">
        <f t="shared" si="111"/>
        <v>414</v>
      </c>
      <c r="G415">
        <f t="shared" si="112"/>
        <v>0.57255054056565813</v>
      </c>
      <c r="H415">
        <f t="shared" si="113"/>
        <v>1.10687730344655</v>
      </c>
      <c r="I415">
        <v>415</v>
      </c>
      <c r="J415">
        <f t="shared" si="114"/>
        <v>414</v>
      </c>
      <c r="K415">
        <f t="shared" si="115"/>
        <v>1.5431014436896189</v>
      </c>
      <c r="L415">
        <f t="shared" si="116"/>
        <v>1.26645031675154</v>
      </c>
      <c r="M415">
        <v>415</v>
      </c>
      <c r="N415">
        <f t="shared" si="117"/>
        <v>414</v>
      </c>
      <c r="O415">
        <f t="shared" si="118"/>
        <v>0.54543291083357004</v>
      </c>
      <c r="P415">
        <f t="shared" si="119"/>
        <v>0.253817018041334</v>
      </c>
      <c r="Q415">
        <v>415</v>
      </c>
      <c r="R415">
        <f t="shared" si="120"/>
        <v>414</v>
      </c>
      <c r="S415">
        <f t="shared" si="121"/>
        <v>1.5922746781115698</v>
      </c>
      <c r="T415">
        <f t="shared" si="122"/>
        <v>0</v>
      </c>
      <c r="U415">
        <v>415</v>
      </c>
      <c r="V415">
        <f t="shared" si="123"/>
        <v>414</v>
      </c>
      <c r="W415">
        <f t="shared" si="124"/>
        <v>1.5803147983486507</v>
      </c>
      <c r="X415">
        <f t="shared" si="125"/>
        <v>6.4805860110755301E-2</v>
      </c>
    </row>
    <row r="416" spans="1:24">
      <c r="A416">
        <v>416</v>
      </c>
      <c r="B416">
        <f t="shared" si="108"/>
        <v>415</v>
      </c>
      <c r="C416">
        <f t="shared" si="109"/>
        <v>0.58569622580488601</v>
      </c>
      <c r="D416">
        <f t="shared" si="110"/>
        <v>1.9572645941803399</v>
      </c>
      <c r="E416">
        <v>416</v>
      </c>
      <c r="F416">
        <f t="shared" si="111"/>
        <v>415</v>
      </c>
      <c r="G416">
        <f t="shared" si="112"/>
        <v>0.57367535514807144</v>
      </c>
      <c r="H416">
        <f t="shared" si="113"/>
        <v>1.89312269655345</v>
      </c>
      <c r="I416">
        <v>416</v>
      </c>
      <c r="J416">
        <f t="shared" si="114"/>
        <v>415</v>
      </c>
      <c r="K416">
        <f t="shared" si="115"/>
        <v>1.5437696831266674</v>
      </c>
      <c r="L416">
        <f t="shared" si="116"/>
        <v>1.73354968324846</v>
      </c>
      <c r="M416">
        <v>416</v>
      </c>
      <c r="N416">
        <f t="shared" si="117"/>
        <v>415</v>
      </c>
      <c r="O416">
        <f t="shared" si="118"/>
        <v>0.54613729704804403</v>
      </c>
      <c r="P416">
        <f t="shared" si="119"/>
        <v>0.74618298195866595</v>
      </c>
      <c r="Q416">
        <v>416</v>
      </c>
      <c r="R416">
        <f t="shared" si="120"/>
        <v>415</v>
      </c>
      <c r="S416">
        <f t="shared" si="121"/>
        <v>1.5937052932760905</v>
      </c>
      <c r="T416">
        <f t="shared" si="122"/>
        <v>1</v>
      </c>
      <c r="U416">
        <v>416</v>
      </c>
      <c r="V416">
        <f t="shared" si="123"/>
        <v>415</v>
      </c>
      <c r="W416">
        <f t="shared" si="124"/>
        <v>1.581559989020723</v>
      </c>
      <c r="X416">
        <f t="shared" si="125"/>
        <v>0.93519413988924505</v>
      </c>
    </row>
    <row r="417" spans="1:24">
      <c r="A417">
        <v>417</v>
      </c>
      <c r="B417">
        <f t="shared" si="108"/>
        <v>416</v>
      </c>
      <c r="C417">
        <f t="shared" si="109"/>
        <v>0.58700456513015165</v>
      </c>
      <c r="D417">
        <f t="shared" si="110"/>
        <v>1.0427354058196601</v>
      </c>
      <c r="E417">
        <v>417</v>
      </c>
      <c r="F417">
        <f t="shared" si="111"/>
        <v>416</v>
      </c>
      <c r="G417">
        <f t="shared" si="112"/>
        <v>0.57480016973048476</v>
      </c>
      <c r="H417">
        <f t="shared" si="113"/>
        <v>1.10687730344655</v>
      </c>
      <c r="I417">
        <v>417</v>
      </c>
      <c r="J417">
        <f t="shared" si="114"/>
        <v>416</v>
      </c>
      <c r="K417">
        <f t="shared" si="115"/>
        <v>1.5444379225637159</v>
      </c>
      <c r="L417">
        <f t="shared" si="116"/>
        <v>1.26645031675154</v>
      </c>
      <c r="M417">
        <v>417</v>
      </c>
      <c r="N417">
        <f t="shared" si="117"/>
        <v>416</v>
      </c>
      <c r="O417">
        <f t="shared" si="118"/>
        <v>0.54684168326251803</v>
      </c>
      <c r="P417">
        <f t="shared" si="119"/>
        <v>0.253817018041334</v>
      </c>
      <c r="Q417">
        <v>417</v>
      </c>
      <c r="R417">
        <f t="shared" si="120"/>
        <v>416</v>
      </c>
      <c r="S417">
        <f t="shared" si="121"/>
        <v>1.5951359084406111</v>
      </c>
      <c r="T417">
        <f t="shared" si="122"/>
        <v>0</v>
      </c>
      <c r="U417">
        <v>417</v>
      </c>
      <c r="V417">
        <f t="shared" si="123"/>
        <v>416</v>
      </c>
      <c r="W417">
        <f t="shared" si="124"/>
        <v>1.5828051796927951</v>
      </c>
      <c r="X417">
        <f t="shared" si="125"/>
        <v>6.4805860110755301E-2</v>
      </c>
    </row>
    <row r="418" spans="1:24">
      <c r="A418">
        <v>418</v>
      </c>
      <c r="B418">
        <f t="shared" si="108"/>
        <v>417</v>
      </c>
      <c r="C418">
        <f t="shared" si="109"/>
        <v>0.58831290445541728</v>
      </c>
      <c r="D418">
        <f t="shared" si="110"/>
        <v>1.9572645941803399</v>
      </c>
      <c r="E418">
        <v>418</v>
      </c>
      <c r="F418">
        <f t="shared" si="111"/>
        <v>417</v>
      </c>
      <c r="G418">
        <f t="shared" si="112"/>
        <v>0.57592498431289807</v>
      </c>
      <c r="H418">
        <f t="shared" si="113"/>
        <v>1.89312269655345</v>
      </c>
      <c r="I418">
        <v>418</v>
      </c>
      <c r="J418">
        <f t="shared" si="114"/>
        <v>417</v>
      </c>
      <c r="K418">
        <f t="shared" si="115"/>
        <v>1.5451061620007644</v>
      </c>
      <c r="L418">
        <f t="shared" si="116"/>
        <v>1.73354968324846</v>
      </c>
      <c r="M418">
        <v>418</v>
      </c>
      <c r="N418">
        <f t="shared" si="117"/>
        <v>417</v>
      </c>
      <c r="O418">
        <f t="shared" si="118"/>
        <v>0.54754606947699203</v>
      </c>
      <c r="P418">
        <f t="shared" si="119"/>
        <v>0.74618298195866595</v>
      </c>
      <c r="Q418">
        <v>418</v>
      </c>
      <c r="R418">
        <f t="shared" si="120"/>
        <v>417</v>
      </c>
      <c r="S418">
        <f t="shared" si="121"/>
        <v>1.5965665236051318</v>
      </c>
      <c r="T418">
        <f t="shared" si="122"/>
        <v>1</v>
      </c>
      <c r="U418">
        <v>418</v>
      </c>
      <c r="V418">
        <f t="shared" si="123"/>
        <v>417</v>
      </c>
      <c r="W418">
        <f t="shared" si="124"/>
        <v>1.5840503703648672</v>
      </c>
      <c r="X418">
        <f t="shared" si="125"/>
        <v>0.93519413988924505</v>
      </c>
    </row>
    <row r="419" spans="1:24">
      <c r="A419">
        <v>419</v>
      </c>
      <c r="B419">
        <f t="shared" si="108"/>
        <v>418</v>
      </c>
      <c r="C419">
        <f t="shared" si="109"/>
        <v>0.58962124378068281</v>
      </c>
      <c r="D419">
        <f t="shared" si="110"/>
        <v>1.0427354058196601</v>
      </c>
      <c r="E419">
        <v>419</v>
      </c>
      <c r="F419">
        <f t="shared" si="111"/>
        <v>418</v>
      </c>
      <c r="G419">
        <f t="shared" si="112"/>
        <v>0.57704979889531138</v>
      </c>
      <c r="H419">
        <f t="shared" si="113"/>
        <v>1.10687730344655</v>
      </c>
      <c r="I419">
        <v>419</v>
      </c>
      <c r="J419">
        <f t="shared" si="114"/>
        <v>418</v>
      </c>
      <c r="K419">
        <f t="shared" si="115"/>
        <v>1.545774401437813</v>
      </c>
      <c r="L419">
        <f t="shared" si="116"/>
        <v>1.26645031675154</v>
      </c>
      <c r="M419">
        <v>419</v>
      </c>
      <c r="N419">
        <f t="shared" si="117"/>
        <v>418</v>
      </c>
      <c r="O419">
        <f t="shared" si="118"/>
        <v>0.54825045569146602</v>
      </c>
      <c r="P419">
        <f t="shared" si="119"/>
        <v>0.253817018041334</v>
      </c>
      <c r="Q419">
        <v>419</v>
      </c>
      <c r="R419">
        <f t="shared" si="120"/>
        <v>418</v>
      </c>
      <c r="S419">
        <f t="shared" si="121"/>
        <v>1.5979971387696525</v>
      </c>
      <c r="T419">
        <f t="shared" si="122"/>
        <v>0</v>
      </c>
      <c r="U419">
        <v>419</v>
      </c>
      <c r="V419">
        <f t="shared" si="123"/>
        <v>418</v>
      </c>
      <c r="W419">
        <f t="shared" si="124"/>
        <v>1.5852955610369395</v>
      </c>
      <c r="X419">
        <f t="shared" si="125"/>
        <v>6.4805860110755301E-2</v>
      </c>
    </row>
    <row r="420" spans="1:24">
      <c r="A420">
        <v>420</v>
      </c>
      <c r="B420">
        <f t="shared" si="108"/>
        <v>419</v>
      </c>
      <c r="C420">
        <f t="shared" si="109"/>
        <v>0.59092958310594845</v>
      </c>
      <c r="D420">
        <f t="shared" si="110"/>
        <v>1.9572645941803399</v>
      </c>
      <c r="E420">
        <v>420</v>
      </c>
      <c r="F420">
        <f t="shared" si="111"/>
        <v>419</v>
      </c>
      <c r="G420">
        <f t="shared" si="112"/>
        <v>0.57817461347772459</v>
      </c>
      <c r="H420">
        <f t="shared" si="113"/>
        <v>1.89312269655345</v>
      </c>
      <c r="I420">
        <v>420</v>
      </c>
      <c r="J420">
        <f t="shared" si="114"/>
        <v>419</v>
      </c>
      <c r="K420">
        <f t="shared" si="115"/>
        <v>1.5464426408748615</v>
      </c>
      <c r="L420">
        <f t="shared" si="116"/>
        <v>1.73354968324846</v>
      </c>
      <c r="M420">
        <v>420</v>
      </c>
      <c r="N420">
        <f t="shared" si="117"/>
        <v>419</v>
      </c>
      <c r="O420">
        <f t="shared" si="118"/>
        <v>0.54895484190594002</v>
      </c>
      <c r="P420">
        <f t="shared" si="119"/>
        <v>0.74618298195866595</v>
      </c>
      <c r="Q420">
        <v>420</v>
      </c>
      <c r="R420">
        <f t="shared" si="120"/>
        <v>419</v>
      </c>
      <c r="S420">
        <f t="shared" si="121"/>
        <v>1.5994277539341732</v>
      </c>
      <c r="T420">
        <f t="shared" si="122"/>
        <v>1</v>
      </c>
      <c r="U420">
        <v>420</v>
      </c>
      <c r="V420">
        <f t="shared" si="123"/>
        <v>419</v>
      </c>
      <c r="W420">
        <f t="shared" si="124"/>
        <v>1.5865407517090118</v>
      </c>
      <c r="X420">
        <f t="shared" si="125"/>
        <v>0.93519413988924505</v>
      </c>
    </row>
    <row r="421" spans="1:24">
      <c r="A421">
        <v>421</v>
      </c>
      <c r="B421">
        <f t="shared" si="108"/>
        <v>420</v>
      </c>
      <c r="C421">
        <f t="shared" si="109"/>
        <v>0.59223792243121409</v>
      </c>
      <c r="D421">
        <f t="shared" si="110"/>
        <v>1.0427354058196601</v>
      </c>
      <c r="E421">
        <v>421</v>
      </c>
      <c r="F421">
        <f t="shared" si="111"/>
        <v>420</v>
      </c>
      <c r="G421">
        <f t="shared" si="112"/>
        <v>0.57929942806013801</v>
      </c>
      <c r="H421">
        <f t="shared" si="113"/>
        <v>1.10687730344655</v>
      </c>
      <c r="I421">
        <v>421</v>
      </c>
      <c r="J421">
        <f t="shared" si="114"/>
        <v>420</v>
      </c>
      <c r="K421">
        <f t="shared" si="115"/>
        <v>1.54711088031191</v>
      </c>
      <c r="L421">
        <f t="shared" si="116"/>
        <v>1.26645031675154</v>
      </c>
      <c r="M421">
        <v>421</v>
      </c>
      <c r="N421">
        <f t="shared" si="117"/>
        <v>420</v>
      </c>
      <c r="O421">
        <f t="shared" si="118"/>
        <v>0.54965922812041401</v>
      </c>
      <c r="P421">
        <f t="shared" si="119"/>
        <v>0.253817018041334</v>
      </c>
      <c r="Q421">
        <v>421</v>
      </c>
      <c r="R421">
        <f t="shared" si="120"/>
        <v>420</v>
      </c>
      <c r="S421">
        <f t="shared" si="121"/>
        <v>1.6008583690986939</v>
      </c>
      <c r="T421">
        <f t="shared" si="122"/>
        <v>0</v>
      </c>
      <c r="U421">
        <v>421</v>
      </c>
      <c r="V421">
        <f t="shared" si="123"/>
        <v>420</v>
      </c>
      <c r="W421">
        <f t="shared" si="124"/>
        <v>1.5877859423810841</v>
      </c>
      <c r="X421">
        <f t="shared" si="125"/>
        <v>6.4805860110755301E-2</v>
      </c>
    </row>
    <row r="422" spans="1:24">
      <c r="A422">
        <v>422</v>
      </c>
      <c r="B422">
        <f t="shared" si="108"/>
        <v>421</v>
      </c>
      <c r="C422">
        <f t="shared" si="109"/>
        <v>0.59354626175647962</v>
      </c>
      <c r="D422">
        <f t="shared" si="110"/>
        <v>1.9572645941803399</v>
      </c>
      <c r="E422">
        <v>422</v>
      </c>
      <c r="F422">
        <f t="shared" si="111"/>
        <v>421</v>
      </c>
      <c r="G422">
        <f t="shared" si="112"/>
        <v>0.58042424264255121</v>
      </c>
      <c r="H422">
        <f t="shared" si="113"/>
        <v>1.89312269655345</v>
      </c>
      <c r="I422">
        <v>422</v>
      </c>
      <c r="J422">
        <f t="shared" si="114"/>
        <v>421</v>
      </c>
      <c r="K422">
        <f t="shared" si="115"/>
        <v>1.5477791197489585</v>
      </c>
      <c r="L422">
        <f t="shared" si="116"/>
        <v>1.73354968324846</v>
      </c>
      <c r="M422">
        <v>422</v>
      </c>
      <c r="N422">
        <f t="shared" si="117"/>
        <v>421</v>
      </c>
      <c r="O422">
        <f t="shared" si="118"/>
        <v>0.55036361433488801</v>
      </c>
      <c r="P422">
        <f t="shared" si="119"/>
        <v>0.74618298195866595</v>
      </c>
      <c r="Q422">
        <v>422</v>
      </c>
      <c r="R422">
        <f t="shared" si="120"/>
        <v>421</v>
      </c>
      <c r="S422">
        <f t="shared" si="121"/>
        <v>1.6022889842632146</v>
      </c>
      <c r="T422">
        <f t="shared" si="122"/>
        <v>1</v>
      </c>
      <c r="U422">
        <v>422</v>
      </c>
      <c r="V422">
        <f t="shared" si="123"/>
        <v>421</v>
      </c>
      <c r="W422">
        <f t="shared" si="124"/>
        <v>1.5890311330531561</v>
      </c>
      <c r="X422">
        <f t="shared" si="125"/>
        <v>0.93519413988924505</v>
      </c>
    </row>
    <row r="423" spans="1:24">
      <c r="A423">
        <v>423</v>
      </c>
      <c r="B423">
        <f t="shared" si="108"/>
        <v>422</v>
      </c>
      <c r="C423">
        <f t="shared" si="109"/>
        <v>0.59485460108174526</v>
      </c>
      <c r="D423">
        <f t="shared" si="110"/>
        <v>1.0427354058196601</v>
      </c>
      <c r="E423">
        <v>423</v>
      </c>
      <c r="F423">
        <f t="shared" si="111"/>
        <v>422</v>
      </c>
      <c r="G423">
        <f t="shared" si="112"/>
        <v>0.58154905722496453</v>
      </c>
      <c r="H423">
        <f t="shared" si="113"/>
        <v>1.10687730344655</v>
      </c>
      <c r="I423">
        <v>423</v>
      </c>
      <c r="J423">
        <f t="shared" si="114"/>
        <v>422</v>
      </c>
      <c r="K423">
        <f t="shared" si="115"/>
        <v>1.5484473591860071</v>
      </c>
      <c r="L423">
        <f t="shared" si="116"/>
        <v>1.26645031675154</v>
      </c>
      <c r="M423">
        <v>423</v>
      </c>
      <c r="N423">
        <f t="shared" si="117"/>
        <v>422</v>
      </c>
      <c r="O423">
        <f t="shared" si="118"/>
        <v>0.551068000549362</v>
      </c>
      <c r="P423">
        <f t="shared" si="119"/>
        <v>0.253817018041334</v>
      </c>
      <c r="Q423">
        <v>423</v>
      </c>
      <c r="R423">
        <f t="shared" si="120"/>
        <v>422</v>
      </c>
      <c r="S423">
        <f t="shared" si="121"/>
        <v>1.6037195994277353</v>
      </c>
      <c r="T423">
        <f t="shared" si="122"/>
        <v>0</v>
      </c>
      <c r="U423">
        <v>423</v>
      </c>
      <c r="V423">
        <f t="shared" si="123"/>
        <v>422</v>
      </c>
      <c r="W423">
        <f t="shared" si="124"/>
        <v>1.5902763237252282</v>
      </c>
      <c r="X423">
        <f t="shared" si="125"/>
        <v>6.4805860110755301E-2</v>
      </c>
    </row>
    <row r="424" spans="1:24">
      <c r="A424">
        <v>424</v>
      </c>
      <c r="B424">
        <f t="shared" si="108"/>
        <v>423</v>
      </c>
      <c r="C424">
        <f t="shared" si="109"/>
        <v>0.5961629404070109</v>
      </c>
      <c r="D424">
        <f t="shared" si="110"/>
        <v>1.9572645941803399</v>
      </c>
      <c r="E424">
        <v>424</v>
      </c>
      <c r="F424">
        <f t="shared" si="111"/>
        <v>423</v>
      </c>
      <c r="G424">
        <f t="shared" si="112"/>
        <v>0.58267387180737784</v>
      </c>
      <c r="H424">
        <f t="shared" si="113"/>
        <v>1.89312269655345</v>
      </c>
      <c r="I424">
        <v>424</v>
      </c>
      <c r="J424">
        <f t="shared" si="114"/>
        <v>423</v>
      </c>
      <c r="K424">
        <f t="shared" si="115"/>
        <v>1.5491155986230556</v>
      </c>
      <c r="L424">
        <f t="shared" si="116"/>
        <v>1.73354968324846</v>
      </c>
      <c r="M424">
        <v>424</v>
      </c>
      <c r="N424">
        <f t="shared" si="117"/>
        <v>423</v>
      </c>
      <c r="O424">
        <f t="shared" si="118"/>
        <v>0.551772386763836</v>
      </c>
      <c r="P424">
        <f t="shared" si="119"/>
        <v>0.74618298195866595</v>
      </c>
      <c r="Q424">
        <v>424</v>
      </c>
      <c r="R424">
        <f t="shared" si="120"/>
        <v>423</v>
      </c>
      <c r="S424">
        <f t="shared" si="121"/>
        <v>1.605150214592256</v>
      </c>
      <c r="T424">
        <f t="shared" si="122"/>
        <v>1</v>
      </c>
      <c r="U424">
        <v>424</v>
      </c>
      <c r="V424">
        <f t="shared" si="123"/>
        <v>423</v>
      </c>
      <c r="W424">
        <f t="shared" si="124"/>
        <v>1.5915215143973005</v>
      </c>
      <c r="X424">
        <f t="shared" si="125"/>
        <v>0.93519413988924505</v>
      </c>
    </row>
    <row r="425" spans="1:24">
      <c r="A425">
        <v>425</v>
      </c>
      <c r="B425">
        <f t="shared" si="108"/>
        <v>424</v>
      </c>
      <c r="C425">
        <f t="shared" si="109"/>
        <v>0.59747127973227643</v>
      </c>
      <c r="D425">
        <f t="shared" si="110"/>
        <v>1.0427354058196601</v>
      </c>
      <c r="E425">
        <v>425</v>
      </c>
      <c r="F425">
        <f t="shared" si="111"/>
        <v>424</v>
      </c>
      <c r="G425">
        <f t="shared" si="112"/>
        <v>0.58379868638979115</v>
      </c>
      <c r="H425">
        <f t="shared" si="113"/>
        <v>1.10687730344655</v>
      </c>
      <c r="I425">
        <v>425</v>
      </c>
      <c r="J425">
        <f t="shared" si="114"/>
        <v>424</v>
      </c>
      <c r="K425">
        <f t="shared" si="115"/>
        <v>1.5497838380601039</v>
      </c>
      <c r="L425">
        <f t="shared" si="116"/>
        <v>1.26645031675154</v>
      </c>
      <c r="M425">
        <v>425</v>
      </c>
      <c r="N425">
        <f t="shared" si="117"/>
        <v>424</v>
      </c>
      <c r="O425">
        <f t="shared" si="118"/>
        <v>0.55247677297830999</v>
      </c>
      <c r="P425">
        <f t="shared" si="119"/>
        <v>0.253817018041334</v>
      </c>
      <c r="Q425">
        <v>425</v>
      </c>
      <c r="R425">
        <f t="shared" si="120"/>
        <v>424</v>
      </c>
      <c r="S425">
        <f t="shared" si="121"/>
        <v>1.6065808297567767</v>
      </c>
      <c r="T425">
        <f t="shared" si="122"/>
        <v>0</v>
      </c>
      <c r="U425">
        <v>425</v>
      </c>
      <c r="V425">
        <f t="shared" si="123"/>
        <v>424</v>
      </c>
      <c r="W425">
        <f t="shared" si="124"/>
        <v>1.5927667050693728</v>
      </c>
      <c r="X425">
        <f t="shared" si="125"/>
        <v>6.4805860110755301E-2</v>
      </c>
    </row>
    <row r="426" spans="1:24">
      <c r="A426">
        <v>426</v>
      </c>
      <c r="B426">
        <f t="shared" si="108"/>
        <v>425</v>
      </c>
      <c r="C426">
        <f t="shared" si="109"/>
        <v>0.59877961905754207</v>
      </c>
      <c r="D426">
        <f t="shared" si="110"/>
        <v>1.9572645941803399</v>
      </c>
      <c r="E426">
        <v>426</v>
      </c>
      <c r="F426">
        <f t="shared" si="111"/>
        <v>425</v>
      </c>
      <c r="G426">
        <f t="shared" si="112"/>
        <v>0.58492350097220447</v>
      </c>
      <c r="H426">
        <f t="shared" si="113"/>
        <v>1.89312269655345</v>
      </c>
      <c r="I426">
        <v>426</v>
      </c>
      <c r="J426">
        <f t="shared" si="114"/>
        <v>425</v>
      </c>
      <c r="K426">
        <f t="shared" si="115"/>
        <v>1.5504520774971524</v>
      </c>
      <c r="L426">
        <f t="shared" si="116"/>
        <v>1.73354968324846</v>
      </c>
      <c r="M426">
        <v>426</v>
      </c>
      <c r="N426">
        <f t="shared" si="117"/>
        <v>425</v>
      </c>
      <c r="O426">
        <f t="shared" si="118"/>
        <v>0.55318115919278399</v>
      </c>
      <c r="P426">
        <f t="shared" si="119"/>
        <v>0.74618298195866595</v>
      </c>
      <c r="Q426">
        <v>426</v>
      </c>
      <c r="R426">
        <f t="shared" si="120"/>
        <v>425</v>
      </c>
      <c r="S426">
        <f t="shared" si="121"/>
        <v>1.6080114449212974</v>
      </c>
      <c r="T426">
        <f t="shared" si="122"/>
        <v>1</v>
      </c>
      <c r="U426">
        <v>426</v>
      </c>
      <c r="V426">
        <f t="shared" si="123"/>
        <v>425</v>
      </c>
      <c r="W426">
        <f t="shared" si="124"/>
        <v>1.5940118957414451</v>
      </c>
      <c r="X426">
        <f t="shared" si="125"/>
        <v>0.93519413988924505</v>
      </c>
    </row>
    <row r="427" spans="1:24">
      <c r="A427">
        <v>427</v>
      </c>
      <c r="B427">
        <f t="shared" si="108"/>
        <v>426</v>
      </c>
      <c r="C427">
        <f t="shared" si="109"/>
        <v>0.60008795838280771</v>
      </c>
      <c r="D427">
        <f t="shared" si="110"/>
        <v>1.0427354058196601</v>
      </c>
      <c r="E427">
        <v>427</v>
      </c>
      <c r="F427">
        <f t="shared" si="111"/>
        <v>426</v>
      </c>
      <c r="G427">
        <f t="shared" si="112"/>
        <v>0.58604831555461778</v>
      </c>
      <c r="H427">
        <f t="shared" si="113"/>
        <v>1.10687730344655</v>
      </c>
      <c r="I427">
        <v>427</v>
      </c>
      <c r="J427">
        <f t="shared" si="114"/>
        <v>426</v>
      </c>
      <c r="K427">
        <f t="shared" si="115"/>
        <v>1.5511203169342009</v>
      </c>
      <c r="L427">
        <f t="shared" si="116"/>
        <v>1.26645031675154</v>
      </c>
      <c r="M427">
        <v>427</v>
      </c>
      <c r="N427">
        <f t="shared" si="117"/>
        <v>426</v>
      </c>
      <c r="O427">
        <f t="shared" si="118"/>
        <v>0.55388554540725798</v>
      </c>
      <c r="P427">
        <f t="shared" si="119"/>
        <v>0.253817018041334</v>
      </c>
      <c r="Q427">
        <v>427</v>
      </c>
      <c r="R427">
        <f t="shared" si="120"/>
        <v>426</v>
      </c>
      <c r="S427">
        <f t="shared" si="121"/>
        <v>1.6094420600858181</v>
      </c>
      <c r="T427">
        <f t="shared" si="122"/>
        <v>0</v>
      </c>
      <c r="U427">
        <v>427</v>
      </c>
      <c r="V427">
        <f t="shared" si="123"/>
        <v>426</v>
      </c>
      <c r="W427">
        <f t="shared" si="124"/>
        <v>1.5952570864135172</v>
      </c>
      <c r="X427">
        <f t="shared" si="125"/>
        <v>6.4805860110755301E-2</v>
      </c>
    </row>
    <row r="428" spans="1:24">
      <c r="A428">
        <v>428</v>
      </c>
      <c r="B428">
        <f t="shared" si="108"/>
        <v>427</v>
      </c>
      <c r="C428">
        <f t="shared" si="109"/>
        <v>0.60139629770807324</v>
      </c>
      <c r="D428">
        <f t="shared" si="110"/>
        <v>1.9572645941803399</v>
      </c>
      <c r="E428">
        <v>428</v>
      </c>
      <c r="F428">
        <f t="shared" si="111"/>
        <v>427</v>
      </c>
      <c r="G428">
        <f t="shared" si="112"/>
        <v>0.5871731301370311</v>
      </c>
      <c r="H428">
        <f t="shared" si="113"/>
        <v>1.89312269655345</v>
      </c>
      <c r="I428">
        <v>428</v>
      </c>
      <c r="J428">
        <f t="shared" si="114"/>
        <v>427</v>
      </c>
      <c r="K428">
        <f t="shared" si="115"/>
        <v>1.5517885563712495</v>
      </c>
      <c r="L428">
        <f t="shared" si="116"/>
        <v>1.73354968324846</v>
      </c>
      <c r="M428">
        <v>428</v>
      </c>
      <c r="N428">
        <f t="shared" si="117"/>
        <v>427</v>
      </c>
      <c r="O428">
        <f t="shared" si="118"/>
        <v>0.55458993162173198</v>
      </c>
      <c r="P428">
        <f t="shared" si="119"/>
        <v>0.74618298195866595</v>
      </c>
      <c r="Q428">
        <v>428</v>
      </c>
      <c r="R428">
        <f t="shared" si="120"/>
        <v>427</v>
      </c>
      <c r="S428">
        <f t="shared" si="121"/>
        <v>1.6108726752503388</v>
      </c>
      <c r="T428">
        <f t="shared" si="122"/>
        <v>1</v>
      </c>
      <c r="U428">
        <v>428</v>
      </c>
      <c r="V428">
        <f t="shared" si="123"/>
        <v>427</v>
      </c>
      <c r="W428">
        <f t="shared" si="124"/>
        <v>1.5965022770855892</v>
      </c>
      <c r="X428">
        <f t="shared" si="125"/>
        <v>0.93519413988924505</v>
      </c>
    </row>
    <row r="429" spans="1:24">
      <c r="A429">
        <v>429</v>
      </c>
      <c r="B429">
        <f t="shared" si="108"/>
        <v>428</v>
      </c>
      <c r="C429">
        <f t="shared" si="109"/>
        <v>0.60270463703333887</v>
      </c>
      <c r="D429">
        <f t="shared" si="110"/>
        <v>1.0427354058196601</v>
      </c>
      <c r="E429">
        <v>429</v>
      </c>
      <c r="F429">
        <f t="shared" si="111"/>
        <v>428</v>
      </c>
      <c r="G429">
        <f t="shared" si="112"/>
        <v>0.5882979447194443</v>
      </c>
      <c r="H429">
        <f t="shared" si="113"/>
        <v>1.10687730344655</v>
      </c>
      <c r="I429">
        <v>429</v>
      </c>
      <c r="J429">
        <f t="shared" si="114"/>
        <v>428</v>
      </c>
      <c r="K429">
        <f t="shared" si="115"/>
        <v>1.552456795808298</v>
      </c>
      <c r="L429">
        <f t="shared" si="116"/>
        <v>1.26645031675154</v>
      </c>
      <c r="M429">
        <v>429</v>
      </c>
      <c r="N429">
        <f t="shared" si="117"/>
        <v>428</v>
      </c>
      <c r="O429">
        <f t="shared" si="118"/>
        <v>0.55529431783620598</v>
      </c>
      <c r="P429">
        <f t="shared" si="119"/>
        <v>0.253817018041334</v>
      </c>
      <c r="Q429">
        <v>429</v>
      </c>
      <c r="R429">
        <f t="shared" si="120"/>
        <v>428</v>
      </c>
      <c r="S429">
        <f t="shared" si="121"/>
        <v>1.6123032904148595</v>
      </c>
      <c r="T429">
        <f t="shared" si="122"/>
        <v>0</v>
      </c>
      <c r="U429">
        <v>429</v>
      </c>
      <c r="V429">
        <f t="shared" si="123"/>
        <v>428</v>
      </c>
      <c r="W429">
        <f t="shared" si="124"/>
        <v>1.5977474677576615</v>
      </c>
      <c r="X429">
        <f t="shared" si="125"/>
        <v>6.4805860110755301E-2</v>
      </c>
    </row>
    <row r="430" spans="1:24">
      <c r="A430">
        <v>430</v>
      </c>
      <c r="B430">
        <f t="shared" si="108"/>
        <v>429</v>
      </c>
      <c r="C430">
        <f t="shared" si="109"/>
        <v>0.60401297635860451</v>
      </c>
      <c r="D430">
        <f t="shared" si="110"/>
        <v>1.9572645941803399</v>
      </c>
      <c r="E430">
        <v>430</v>
      </c>
      <c r="F430">
        <f t="shared" si="111"/>
        <v>429</v>
      </c>
      <c r="G430">
        <f t="shared" si="112"/>
        <v>0.58942275930185772</v>
      </c>
      <c r="H430">
        <f t="shared" si="113"/>
        <v>1.89312269655345</v>
      </c>
      <c r="I430">
        <v>430</v>
      </c>
      <c r="J430">
        <f t="shared" si="114"/>
        <v>429</v>
      </c>
      <c r="K430">
        <f t="shared" si="115"/>
        <v>1.5531250352453465</v>
      </c>
      <c r="L430">
        <f t="shared" si="116"/>
        <v>1.73354968324846</v>
      </c>
      <c r="M430">
        <v>430</v>
      </c>
      <c r="N430">
        <f t="shared" si="117"/>
        <v>429</v>
      </c>
      <c r="O430">
        <f t="shared" si="118"/>
        <v>0.55599870405067997</v>
      </c>
      <c r="P430">
        <f t="shared" si="119"/>
        <v>0.74618298195866595</v>
      </c>
      <c r="Q430">
        <v>430</v>
      </c>
      <c r="R430">
        <f t="shared" si="120"/>
        <v>429</v>
      </c>
      <c r="S430">
        <f t="shared" si="121"/>
        <v>1.6137339055793802</v>
      </c>
      <c r="T430">
        <f t="shared" si="122"/>
        <v>1</v>
      </c>
      <c r="U430">
        <v>430</v>
      </c>
      <c r="V430">
        <f t="shared" si="123"/>
        <v>429</v>
      </c>
      <c r="W430">
        <f t="shared" si="124"/>
        <v>1.5989926584297338</v>
      </c>
      <c r="X430">
        <f t="shared" si="125"/>
        <v>0.93519413988924505</v>
      </c>
    </row>
    <row r="431" spans="1:24">
      <c r="A431">
        <v>431</v>
      </c>
      <c r="B431">
        <f t="shared" si="108"/>
        <v>430</v>
      </c>
      <c r="C431">
        <f t="shared" si="109"/>
        <v>0.60532131568387004</v>
      </c>
      <c r="D431">
        <f t="shared" si="110"/>
        <v>1.0427354058196601</v>
      </c>
      <c r="E431">
        <v>431</v>
      </c>
      <c r="F431">
        <f t="shared" si="111"/>
        <v>430</v>
      </c>
      <c r="G431">
        <f t="shared" si="112"/>
        <v>0.59054757388427093</v>
      </c>
      <c r="H431">
        <f t="shared" si="113"/>
        <v>1.10687730344655</v>
      </c>
      <c r="I431">
        <v>431</v>
      </c>
      <c r="J431">
        <f t="shared" si="114"/>
        <v>430</v>
      </c>
      <c r="K431">
        <f t="shared" si="115"/>
        <v>1.553793274682395</v>
      </c>
      <c r="L431">
        <f t="shared" si="116"/>
        <v>1.26645031675154</v>
      </c>
      <c r="M431">
        <v>431</v>
      </c>
      <c r="N431">
        <f t="shared" si="117"/>
        <v>430</v>
      </c>
      <c r="O431">
        <f t="shared" si="118"/>
        <v>0.55670309026515397</v>
      </c>
      <c r="P431">
        <f t="shared" si="119"/>
        <v>0.253817018041334</v>
      </c>
      <c r="Q431">
        <v>431</v>
      </c>
      <c r="R431">
        <f t="shared" si="120"/>
        <v>430</v>
      </c>
      <c r="S431">
        <f t="shared" si="121"/>
        <v>1.6151645207439009</v>
      </c>
      <c r="T431">
        <f t="shared" si="122"/>
        <v>0</v>
      </c>
      <c r="U431">
        <v>431</v>
      </c>
      <c r="V431">
        <f t="shared" si="123"/>
        <v>430</v>
      </c>
      <c r="W431">
        <f t="shared" si="124"/>
        <v>1.6002378491018059</v>
      </c>
      <c r="X431">
        <f t="shared" si="125"/>
        <v>6.4805860110755301E-2</v>
      </c>
    </row>
    <row r="432" spans="1:24">
      <c r="A432">
        <v>432</v>
      </c>
      <c r="B432">
        <f t="shared" si="108"/>
        <v>431</v>
      </c>
      <c r="C432">
        <f t="shared" si="109"/>
        <v>0.60662965500913568</v>
      </c>
      <c r="D432">
        <f t="shared" si="110"/>
        <v>1.9572645941803399</v>
      </c>
      <c r="E432">
        <v>432</v>
      </c>
      <c r="F432">
        <f t="shared" si="111"/>
        <v>431</v>
      </c>
      <c r="G432">
        <f t="shared" si="112"/>
        <v>0.59167238846668424</v>
      </c>
      <c r="H432">
        <f t="shared" si="113"/>
        <v>1.89312269655345</v>
      </c>
      <c r="I432">
        <v>432</v>
      </c>
      <c r="J432">
        <f t="shared" si="114"/>
        <v>431</v>
      </c>
      <c r="K432">
        <f t="shared" si="115"/>
        <v>1.5544615141194433</v>
      </c>
      <c r="L432">
        <f t="shared" si="116"/>
        <v>1.73354968324846</v>
      </c>
      <c r="M432">
        <v>432</v>
      </c>
      <c r="N432">
        <f t="shared" si="117"/>
        <v>431</v>
      </c>
      <c r="O432">
        <f t="shared" si="118"/>
        <v>0.55740747647962796</v>
      </c>
      <c r="P432">
        <f t="shared" si="119"/>
        <v>0.74618298195866595</v>
      </c>
      <c r="Q432">
        <v>432</v>
      </c>
      <c r="R432">
        <f t="shared" si="120"/>
        <v>431</v>
      </c>
      <c r="S432">
        <f t="shared" si="121"/>
        <v>1.6165951359084216</v>
      </c>
      <c r="T432">
        <f t="shared" si="122"/>
        <v>1</v>
      </c>
      <c r="U432">
        <v>432</v>
      </c>
      <c r="V432">
        <f t="shared" si="123"/>
        <v>431</v>
      </c>
      <c r="W432">
        <f t="shared" si="124"/>
        <v>1.6014830397738782</v>
      </c>
      <c r="X432">
        <f t="shared" si="125"/>
        <v>0.93519413988924505</v>
      </c>
    </row>
    <row r="433" spans="1:24">
      <c r="A433">
        <v>433</v>
      </c>
      <c r="B433">
        <f t="shared" si="108"/>
        <v>432</v>
      </c>
      <c r="C433">
        <f t="shared" si="109"/>
        <v>0.60793799433440121</v>
      </c>
      <c r="D433">
        <f t="shared" si="110"/>
        <v>1.0427354058196601</v>
      </c>
      <c r="E433">
        <v>433</v>
      </c>
      <c r="F433">
        <f t="shared" si="111"/>
        <v>432</v>
      </c>
      <c r="G433">
        <f t="shared" si="112"/>
        <v>0.59279720304909755</v>
      </c>
      <c r="H433">
        <f t="shared" si="113"/>
        <v>1.10687730344655</v>
      </c>
      <c r="I433">
        <v>433</v>
      </c>
      <c r="J433">
        <f t="shared" si="114"/>
        <v>432</v>
      </c>
      <c r="K433">
        <f t="shared" si="115"/>
        <v>1.5551297535564919</v>
      </c>
      <c r="L433">
        <f t="shared" si="116"/>
        <v>1.26645031675154</v>
      </c>
      <c r="M433">
        <v>433</v>
      </c>
      <c r="N433">
        <f t="shared" si="117"/>
        <v>432</v>
      </c>
      <c r="O433">
        <f t="shared" si="118"/>
        <v>0.55811186269410196</v>
      </c>
      <c r="P433">
        <f t="shared" si="119"/>
        <v>0.253817018041334</v>
      </c>
      <c r="Q433">
        <v>433</v>
      </c>
      <c r="R433">
        <f t="shared" si="120"/>
        <v>432</v>
      </c>
      <c r="S433">
        <f t="shared" si="121"/>
        <v>1.6180257510729423</v>
      </c>
      <c r="T433">
        <f t="shared" si="122"/>
        <v>0</v>
      </c>
      <c r="U433">
        <v>433</v>
      </c>
      <c r="V433">
        <f t="shared" si="123"/>
        <v>432</v>
      </c>
      <c r="W433">
        <f t="shared" si="124"/>
        <v>1.6027282304459503</v>
      </c>
      <c r="X433">
        <f t="shared" si="125"/>
        <v>6.4805860110755301E-2</v>
      </c>
    </row>
    <row r="434" spans="1:24">
      <c r="A434">
        <v>434</v>
      </c>
      <c r="B434">
        <f t="shared" si="108"/>
        <v>433</v>
      </c>
      <c r="C434">
        <f t="shared" si="109"/>
        <v>0.60924633365966685</v>
      </c>
      <c r="D434">
        <f t="shared" si="110"/>
        <v>1.9572645941803399</v>
      </c>
      <c r="E434">
        <v>434</v>
      </c>
      <c r="F434">
        <f t="shared" si="111"/>
        <v>433</v>
      </c>
      <c r="G434">
        <f t="shared" si="112"/>
        <v>0.59392201763151087</v>
      </c>
      <c r="H434">
        <f t="shared" si="113"/>
        <v>1.89312269655345</v>
      </c>
      <c r="I434">
        <v>434</v>
      </c>
      <c r="J434">
        <f t="shared" si="114"/>
        <v>433</v>
      </c>
      <c r="K434">
        <f t="shared" si="115"/>
        <v>1.5557979929935404</v>
      </c>
      <c r="L434">
        <f t="shared" si="116"/>
        <v>1.73354968324846</v>
      </c>
      <c r="M434">
        <v>434</v>
      </c>
      <c r="N434">
        <f t="shared" si="117"/>
        <v>433</v>
      </c>
      <c r="O434">
        <f t="shared" si="118"/>
        <v>0.55881624890857595</v>
      </c>
      <c r="P434">
        <f t="shared" si="119"/>
        <v>0.74618298195866595</v>
      </c>
      <c r="Q434">
        <v>434</v>
      </c>
      <c r="R434">
        <f t="shared" si="120"/>
        <v>433</v>
      </c>
      <c r="S434">
        <f t="shared" si="121"/>
        <v>1.619456366237463</v>
      </c>
      <c r="T434">
        <f t="shared" si="122"/>
        <v>1</v>
      </c>
      <c r="U434">
        <v>434</v>
      </c>
      <c r="V434">
        <f t="shared" si="123"/>
        <v>433</v>
      </c>
      <c r="W434">
        <f t="shared" si="124"/>
        <v>1.6039734211180225</v>
      </c>
      <c r="X434">
        <f t="shared" si="125"/>
        <v>0.93519413988924505</v>
      </c>
    </row>
    <row r="435" spans="1:24">
      <c r="A435">
        <v>435</v>
      </c>
      <c r="B435">
        <f t="shared" si="108"/>
        <v>434</v>
      </c>
      <c r="C435">
        <f t="shared" si="109"/>
        <v>0.61055467298493249</v>
      </c>
      <c r="D435">
        <f t="shared" si="110"/>
        <v>1.0427354058196601</v>
      </c>
      <c r="E435">
        <v>435</v>
      </c>
      <c r="F435">
        <f t="shared" si="111"/>
        <v>434</v>
      </c>
      <c r="G435">
        <f t="shared" si="112"/>
        <v>0.59504683221392418</v>
      </c>
      <c r="H435">
        <f t="shared" si="113"/>
        <v>1.10687730344655</v>
      </c>
      <c r="I435">
        <v>435</v>
      </c>
      <c r="J435">
        <f t="shared" si="114"/>
        <v>434</v>
      </c>
      <c r="K435">
        <f t="shared" si="115"/>
        <v>1.5564662324305889</v>
      </c>
      <c r="L435">
        <f t="shared" si="116"/>
        <v>1.26645031675154</v>
      </c>
      <c r="M435">
        <v>435</v>
      </c>
      <c r="N435">
        <f t="shared" si="117"/>
        <v>434</v>
      </c>
      <c r="O435">
        <f t="shared" si="118"/>
        <v>0.55952063512304995</v>
      </c>
      <c r="P435">
        <f t="shared" si="119"/>
        <v>0.253817018041334</v>
      </c>
      <c r="Q435">
        <v>435</v>
      </c>
      <c r="R435">
        <f t="shared" si="120"/>
        <v>434</v>
      </c>
      <c r="S435">
        <f t="shared" si="121"/>
        <v>1.6208869814019837</v>
      </c>
      <c r="T435">
        <f t="shared" si="122"/>
        <v>0</v>
      </c>
      <c r="U435">
        <v>435</v>
      </c>
      <c r="V435">
        <f t="shared" si="123"/>
        <v>434</v>
      </c>
      <c r="W435">
        <f t="shared" si="124"/>
        <v>1.6052186117900948</v>
      </c>
      <c r="X435">
        <f t="shared" si="125"/>
        <v>6.4805860110755301E-2</v>
      </c>
    </row>
    <row r="436" spans="1:24">
      <c r="A436">
        <v>436</v>
      </c>
      <c r="B436">
        <f t="shared" si="108"/>
        <v>435</v>
      </c>
      <c r="C436">
        <f t="shared" si="109"/>
        <v>0.61186301231019802</v>
      </c>
      <c r="D436">
        <f t="shared" si="110"/>
        <v>1.9572645941803399</v>
      </c>
      <c r="E436">
        <v>436</v>
      </c>
      <c r="F436">
        <f t="shared" si="111"/>
        <v>435</v>
      </c>
      <c r="G436">
        <f t="shared" si="112"/>
        <v>0.59617164679633738</v>
      </c>
      <c r="H436">
        <f t="shared" si="113"/>
        <v>1.89312269655345</v>
      </c>
      <c r="I436">
        <v>436</v>
      </c>
      <c r="J436">
        <f t="shared" si="114"/>
        <v>435</v>
      </c>
      <c r="K436">
        <f t="shared" si="115"/>
        <v>1.5571344718676374</v>
      </c>
      <c r="L436">
        <f t="shared" si="116"/>
        <v>1.73354968324846</v>
      </c>
      <c r="M436">
        <v>436</v>
      </c>
      <c r="N436">
        <f t="shared" si="117"/>
        <v>435</v>
      </c>
      <c r="O436">
        <f t="shared" si="118"/>
        <v>0.56022502133752394</v>
      </c>
      <c r="P436">
        <f t="shared" si="119"/>
        <v>0.74618298195866595</v>
      </c>
      <c r="Q436">
        <v>436</v>
      </c>
      <c r="R436">
        <f t="shared" si="120"/>
        <v>435</v>
      </c>
      <c r="S436">
        <f t="shared" si="121"/>
        <v>1.6223175965665044</v>
      </c>
      <c r="T436">
        <f t="shared" si="122"/>
        <v>1</v>
      </c>
      <c r="U436">
        <v>436</v>
      </c>
      <c r="V436">
        <f t="shared" si="123"/>
        <v>435</v>
      </c>
      <c r="W436">
        <f t="shared" si="124"/>
        <v>1.6064638024621669</v>
      </c>
      <c r="X436">
        <f t="shared" si="125"/>
        <v>0.93519413988924505</v>
      </c>
    </row>
    <row r="437" spans="1:24">
      <c r="A437">
        <v>437</v>
      </c>
      <c r="B437">
        <f t="shared" si="108"/>
        <v>436</v>
      </c>
      <c r="C437">
        <f t="shared" si="109"/>
        <v>0.61317135163546366</v>
      </c>
      <c r="D437">
        <f t="shared" si="110"/>
        <v>1.0427354058196601</v>
      </c>
      <c r="E437">
        <v>437</v>
      </c>
      <c r="F437">
        <f t="shared" si="111"/>
        <v>436</v>
      </c>
      <c r="G437">
        <f t="shared" si="112"/>
        <v>0.59729646137875081</v>
      </c>
      <c r="H437">
        <f t="shared" si="113"/>
        <v>1.10687730344655</v>
      </c>
      <c r="I437">
        <v>437</v>
      </c>
      <c r="J437">
        <f t="shared" si="114"/>
        <v>436</v>
      </c>
      <c r="K437">
        <f t="shared" si="115"/>
        <v>1.5578027113046859</v>
      </c>
      <c r="L437">
        <f t="shared" si="116"/>
        <v>1.26645031675154</v>
      </c>
      <c r="M437">
        <v>437</v>
      </c>
      <c r="N437">
        <f t="shared" si="117"/>
        <v>436</v>
      </c>
      <c r="O437">
        <f t="shared" si="118"/>
        <v>0.56092940755199794</v>
      </c>
      <c r="P437">
        <f t="shared" si="119"/>
        <v>0.253817018041334</v>
      </c>
      <c r="Q437">
        <v>437</v>
      </c>
      <c r="R437">
        <f t="shared" si="120"/>
        <v>436</v>
      </c>
      <c r="S437">
        <f t="shared" si="121"/>
        <v>1.6237482117310251</v>
      </c>
      <c r="T437">
        <f t="shared" si="122"/>
        <v>0</v>
      </c>
      <c r="U437">
        <v>437</v>
      </c>
      <c r="V437">
        <f t="shared" si="123"/>
        <v>436</v>
      </c>
      <c r="W437">
        <f t="shared" si="124"/>
        <v>1.607708993134239</v>
      </c>
      <c r="X437">
        <f t="shared" si="125"/>
        <v>6.4805860110755301E-2</v>
      </c>
    </row>
    <row r="438" spans="1:24">
      <c r="A438">
        <v>438</v>
      </c>
      <c r="B438">
        <f t="shared" si="108"/>
        <v>437</v>
      </c>
      <c r="C438">
        <f t="shared" si="109"/>
        <v>0.6144796909607293</v>
      </c>
      <c r="D438">
        <f t="shared" si="110"/>
        <v>1.9572645941803399</v>
      </c>
      <c r="E438">
        <v>438</v>
      </c>
      <c r="F438">
        <f t="shared" si="111"/>
        <v>437</v>
      </c>
      <c r="G438">
        <f t="shared" si="112"/>
        <v>0.59842127596116401</v>
      </c>
      <c r="H438">
        <f t="shared" si="113"/>
        <v>1.89312269655345</v>
      </c>
      <c r="I438">
        <v>438</v>
      </c>
      <c r="J438">
        <f t="shared" si="114"/>
        <v>437</v>
      </c>
      <c r="K438">
        <f t="shared" si="115"/>
        <v>1.5584709507417345</v>
      </c>
      <c r="L438">
        <f t="shared" si="116"/>
        <v>1.73354968324846</v>
      </c>
      <c r="M438">
        <v>438</v>
      </c>
      <c r="N438">
        <f t="shared" si="117"/>
        <v>437</v>
      </c>
      <c r="O438">
        <f t="shared" si="118"/>
        <v>0.56163379376647193</v>
      </c>
      <c r="P438">
        <f t="shared" si="119"/>
        <v>0.74618298195866595</v>
      </c>
      <c r="Q438">
        <v>438</v>
      </c>
      <c r="R438">
        <f t="shared" si="120"/>
        <v>437</v>
      </c>
      <c r="S438">
        <f t="shared" si="121"/>
        <v>1.6251788268955458</v>
      </c>
      <c r="T438">
        <f t="shared" si="122"/>
        <v>1</v>
      </c>
      <c r="U438">
        <v>438</v>
      </c>
      <c r="V438">
        <f t="shared" si="123"/>
        <v>437</v>
      </c>
      <c r="W438">
        <f t="shared" si="124"/>
        <v>1.6089541838063113</v>
      </c>
      <c r="X438">
        <f t="shared" si="125"/>
        <v>0.93519413988924505</v>
      </c>
    </row>
    <row r="439" spans="1:24">
      <c r="A439">
        <v>439</v>
      </c>
      <c r="B439">
        <f t="shared" si="108"/>
        <v>438</v>
      </c>
      <c r="C439">
        <f t="shared" si="109"/>
        <v>0.61578803028599483</v>
      </c>
      <c r="D439">
        <f t="shared" si="110"/>
        <v>1.0427354058196601</v>
      </c>
      <c r="E439">
        <v>439</v>
      </c>
      <c r="F439">
        <f t="shared" si="111"/>
        <v>438</v>
      </c>
      <c r="G439">
        <f t="shared" si="112"/>
        <v>0.59954609054357733</v>
      </c>
      <c r="H439">
        <f t="shared" si="113"/>
        <v>1.10687730344655</v>
      </c>
      <c r="I439">
        <v>439</v>
      </c>
      <c r="J439">
        <f t="shared" si="114"/>
        <v>438</v>
      </c>
      <c r="K439">
        <f t="shared" si="115"/>
        <v>1.559139190178783</v>
      </c>
      <c r="L439">
        <f t="shared" si="116"/>
        <v>1.26645031675154</v>
      </c>
      <c r="M439">
        <v>439</v>
      </c>
      <c r="N439">
        <f t="shared" si="117"/>
        <v>438</v>
      </c>
      <c r="O439">
        <f t="shared" si="118"/>
        <v>0.56233817998094593</v>
      </c>
      <c r="P439">
        <f t="shared" si="119"/>
        <v>0.253817018041334</v>
      </c>
      <c r="Q439">
        <v>439</v>
      </c>
      <c r="R439">
        <f t="shared" si="120"/>
        <v>438</v>
      </c>
      <c r="S439">
        <f t="shared" si="121"/>
        <v>1.6266094420600665</v>
      </c>
      <c r="T439">
        <f t="shared" si="122"/>
        <v>0</v>
      </c>
      <c r="U439">
        <v>439</v>
      </c>
      <c r="V439">
        <f t="shared" si="123"/>
        <v>438</v>
      </c>
      <c r="W439">
        <f t="shared" si="124"/>
        <v>1.6101993744783836</v>
      </c>
      <c r="X439">
        <f t="shared" si="125"/>
        <v>6.4805860110755301E-2</v>
      </c>
    </row>
    <row r="440" spans="1:24">
      <c r="A440">
        <v>440</v>
      </c>
      <c r="B440">
        <f t="shared" si="108"/>
        <v>439</v>
      </c>
      <c r="C440">
        <f t="shared" si="109"/>
        <v>0.61709636961126046</v>
      </c>
      <c r="D440">
        <f t="shared" si="110"/>
        <v>1.9572645941803399</v>
      </c>
      <c r="E440">
        <v>440</v>
      </c>
      <c r="F440">
        <f t="shared" si="111"/>
        <v>439</v>
      </c>
      <c r="G440">
        <f t="shared" si="112"/>
        <v>0.60067090512599064</v>
      </c>
      <c r="H440">
        <f t="shared" si="113"/>
        <v>1.89312269655345</v>
      </c>
      <c r="I440">
        <v>440</v>
      </c>
      <c r="J440">
        <f t="shared" si="114"/>
        <v>439</v>
      </c>
      <c r="K440">
        <f t="shared" si="115"/>
        <v>1.5598074296158315</v>
      </c>
      <c r="L440">
        <f t="shared" si="116"/>
        <v>1.73354968324846</v>
      </c>
      <c r="M440">
        <v>440</v>
      </c>
      <c r="N440">
        <f t="shared" si="117"/>
        <v>439</v>
      </c>
      <c r="O440">
        <f t="shared" si="118"/>
        <v>0.56304256619541992</v>
      </c>
      <c r="P440">
        <f t="shared" si="119"/>
        <v>0.74618298195866595</v>
      </c>
      <c r="Q440">
        <v>440</v>
      </c>
      <c r="R440">
        <f t="shared" si="120"/>
        <v>439</v>
      </c>
      <c r="S440">
        <f t="shared" si="121"/>
        <v>1.6280400572245872</v>
      </c>
      <c r="T440">
        <f t="shared" si="122"/>
        <v>1</v>
      </c>
      <c r="U440">
        <v>440</v>
      </c>
      <c r="V440">
        <f t="shared" si="123"/>
        <v>439</v>
      </c>
      <c r="W440">
        <f t="shared" si="124"/>
        <v>1.6114445651504559</v>
      </c>
      <c r="X440">
        <f t="shared" si="125"/>
        <v>0.93519413988924505</v>
      </c>
    </row>
    <row r="441" spans="1:24">
      <c r="A441">
        <v>441</v>
      </c>
      <c r="B441">
        <f t="shared" si="108"/>
        <v>440</v>
      </c>
      <c r="C441">
        <f t="shared" si="109"/>
        <v>0.6184047089365261</v>
      </c>
      <c r="D441">
        <f t="shared" si="110"/>
        <v>1.0427354058196601</v>
      </c>
      <c r="E441">
        <v>441</v>
      </c>
      <c r="F441">
        <f t="shared" si="111"/>
        <v>440</v>
      </c>
      <c r="G441">
        <f t="shared" si="112"/>
        <v>0.60179571970840395</v>
      </c>
      <c r="H441">
        <f t="shared" si="113"/>
        <v>1.10687730344655</v>
      </c>
      <c r="I441">
        <v>441</v>
      </c>
      <c r="J441">
        <f t="shared" si="114"/>
        <v>440</v>
      </c>
      <c r="K441">
        <f t="shared" si="115"/>
        <v>1.56047566905288</v>
      </c>
      <c r="L441">
        <f t="shared" si="116"/>
        <v>1.26645031675154</v>
      </c>
      <c r="M441">
        <v>441</v>
      </c>
      <c r="N441">
        <f t="shared" si="117"/>
        <v>440</v>
      </c>
      <c r="O441">
        <f t="shared" si="118"/>
        <v>0.56374695240989392</v>
      </c>
      <c r="P441">
        <f t="shared" si="119"/>
        <v>0.253817018041334</v>
      </c>
      <c r="Q441">
        <v>441</v>
      </c>
      <c r="R441">
        <f t="shared" si="120"/>
        <v>440</v>
      </c>
      <c r="S441">
        <f t="shared" si="121"/>
        <v>1.6294706723891079</v>
      </c>
      <c r="T441">
        <f t="shared" si="122"/>
        <v>0</v>
      </c>
      <c r="U441">
        <v>441</v>
      </c>
      <c r="V441">
        <f t="shared" si="123"/>
        <v>440</v>
      </c>
      <c r="W441">
        <f t="shared" si="124"/>
        <v>1.6126897558225279</v>
      </c>
      <c r="X441">
        <f t="shared" si="125"/>
        <v>6.4805860110755301E-2</v>
      </c>
    </row>
    <row r="442" spans="1:24">
      <c r="A442">
        <v>442</v>
      </c>
      <c r="B442">
        <f t="shared" si="108"/>
        <v>441</v>
      </c>
      <c r="C442">
        <f t="shared" si="109"/>
        <v>0.61971304826179163</v>
      </c>
      <c r="D442">
        <f t="shared" si="110"/>
        <v>1.9572645941803399</v>
      </c>
      <c r="E442">
        <v>442</v>
      </c>
      <c r="F442">
        <f t="shared" si="111"/>
        <v>441</v>
      </c>
      <c r="G442">
        <f t="shared" si="112"/>
        <v>0.60292053429081727</v>
      </c>
      <c r="H442">
        <f t="shared" si="113"/>
        <v>1.89312269655345</v>
      </c>
      <c r="I442">
        <v>442</v>
      </c>
      <c r="J442">
        <f t="shared" si="114"/>
        <v>441</v>
      </c>
      <c r="K442">
        <f t="shared" si="115"/>
        <v>1.5611439084899286</v>
      </c>
      <c r="L442">
        <f t="shared" si="116"/>
        <v>1.73354968324846</v>
      </c>
      <c r="M442">
        <v>442</v>
      </c>
      <c r="N442">
        <f t="shared" si="117"/>
        <v>441</v>
      </c>
      <c r="O442">
        <f t="shared" si="118"/>
        <v>0.56445133862436792</v>
      </c>
      <c r="P442">
        <f t="shared" si="119"/>
        <v>0.74618298195866595</v>
      </c>
      <c r="Q442">
        <v>442</v>
      </c>
      <c r="R442">
        <f t="shared" si="120"/>
        <v>441</v>
      </c>
      <c r="S442">
        <f t="shared" si="121"/>
        <v>1.6309012875536286</v>
      </c>
      <c r="T442">
        <f t="shared" si="122"/>
        <v>1</v>
      </c>
      <c r="U442">
        <v>442</v>
      </c>
      <c r="V442">
        <f t="shared" si="123"/>
        <v>441</v>
      </c>
      <c r="W442">
        <f t="shared" si="124"/>
        <v>1.6139349464946</v>
      </c>
      <c r="X442">
        <f t="shared" si="125"/>
        <v>0.93519413988924505</v>
      </c>
    </row>
    <row r="443" spans="1:24">
      <c r="A443">
        <v>443</v>
      </c>
      <c r="B443">
        <f t="shared" si="108"/>
        <v>442</v>
      </c>
      <c r="C443">
        <f t="shared" si="109"/>
        <v>0.62102138758705727</v>
      </c>
      <c r="D443">
        <f t="shared" si="110"/>
        <v>1.0427354058196601</v>
      </c>
      <c r="E443">
        <v>443</v>
      </c>
      <c r="F443">
        <f t="shared" si="111"/>
        <v>442</v>
      </c>
      <c r="G443">
        <f t="shared" si="112"/>
        <v>0.60404534887323058</v>
      </c>
      <c r="H443">
        <f t="shared" si="113"/>
        <v>1.10687730344655</v>
      </c>
      <c r="I443">
        <v>443</v>
      </c>
      <c r="J443">
        <f t="shared" si="114"/>
        <v>442</v>
      </c>
      <c r="K443">
        <f t="shared" si="115"/>
        <v>1.5618121479269771</v>
      </c>
      <c r="L443">
        <f t="shared" si="116"/>
        <v>1.26645031675154</v>
      </c>
      <c r="M443">
        <v>443</v>
      </c>
      <c r="N443">
        <f t="shared" si="117"/>
        <v>442</v>
      </c>
      <c r="O443">
        <f t="shared" si="118"/>
        <v>0.56515572483884191</v>
      </c>
      <c r="P443">
        <f t="shared" si="119"/>
        <v>0.253817018041334</v>
      </c>
      <c r="Q443">
        <v>443</v>
      </c>
      <c r="R443">
        <f t="shared" si="120"/>
        <v>442</v>
      </c>
      <c r="S443">
        <f t="shared" si="121"/>
        <v>1.6323319027181493</v>
      </c>
      <c r="T443">
        <f t="shared" si="122"/>
        <v>0</v>
      </c>
      <c r="U443">
        <v>443</v>
      </c>
      <c r="V443">
        <f t="shared" si="123"/>
        <v>442</v>
      </c>
      <c r="W443">
        <f t="shared" si="124"/>
        <v>1.6151801371666723</v>
      </c>
      <c r="X443">
        <f t="shared" si="125"/>
        <v>6.4805860110755301E-2</v>
      </c>
    </row>
    <row r="444" spans="1:24">
      <c r="A444">
        <v>444</v>
      </c>
      <c r="B444">
        <f t="shared" si="108"/>
        <v>443</v>
      </c>
      <c r="C444">
        <f t="shared" si="109"/>
        <v>0.62232972691232291</v>
      </c>
      <c r="D444">
        <f t="shared" si="110"/>
        <v>1.9572645941803399</v>
      </c>
      <c r="E444">
        <v>444</v>
      </c>
      <c r="F444">
        <f t="shared" si="111"/>
        <v>443</v>
      </c>
      <c r="G444">
        <f t="shared" si="112"/>
        <v>0.60517016345564389</v>
      </c>
      <c r="H444">
        <f t="shared" si="113"/>
        <v>1.89312269655345</v>
      </c>
      <c r="I444">
        <v>444</v>
      </c>
      <c r="J444">
        <f t="shared" si="114"/>
        <v>443</v>
      </c>
      <c r="K444">
        <f t="shared" si="115"/>
        <v>1.5624803873640254</v>
      </c>
      <c r="L444">
        <f t="shared" si="116"/>
        <v>1.73354968324846</v>
      </c>
      <c r="M444">
        <v>444</v>
      </c>
      <c r="N444">
        <f t="shared" si="117"/>
        <v>443</v>
      </c>
      <c r="O444">
        <f t="shared" si="118"/>
        <v>0.56586011105331591</v>
      </c>
      <c r="P444">
        <f t="shared" si="119"/>
        <v>0.74618298195866595</v>
      </c>
      <c r="Q444">
        <v>444</v>
      </c>
      <c r="R444">
        <f t="shared" si="120"/>
        <v>443</v>
      </c>
      <c r="S444">
        <f t="shared" si="121"/>
        <v>1.63376251788267</v>
      </c>
      <c r="T444">
        <f t="shared" si="122"/>
        <v>1</v>
      </c>
      <c r="U444">
        <v>444</v>
      </c>
      <c r="V444">
        <f t="shared" si="123"/>
        <v>443</v>
      </c>
      <c r="W444">
        <f t="shared" si="124"/>
        <v>1.6164253278387446</v>
      </c>
      <c r="X444">
        <f t="shared" si="125"/>
        <v>0.93519413988924505</v>
      </c>
    </row>
    <row r="445" spans="1:24">
      <c r="A445">
        <v>445</v>
      </c>
      <c r="B445">
        <f t="shared" si="108"/>
        <v>444</v>
      </c>
      <c r="C445">
        <f t="shared" si="109"/>
        <v>0.62363806623758844</v>
      </c>
      <c r="D445">
        <f t="shared" si="110"/>
        <v>1.0427354058196601</v>
      </c>
      <c r="E445">
        <v>445</v>
      </c>
      <c r="F445">
        <f t="shared" si="111"/>
        <v>444</v>
      </c>
      <c r="G445">
        <f t="shared" si="112"/>
        <v>0.6062949780380571</v>
      </c>
      <c r="H445">
        <f t="shared" si="113"/>
        <v>1.10687730344655</v>
      </c>
      <c r="I445">
        <v>445</v>
      </c>
      <c r="J445">
        <f t="shared" si="114"/>
        <v>444</v>
      </c>
      <c r="K445">
        <f t="shared" si="115"/>
        <v>1.5631486268010739</v>
      </c>
      <c r="L445">
        <f t="shared" si="116"/>
        <v>1.26645031675154</v>
      </c>
      <c r="M445">
        <v>445</v>
      </c>
      <c r="N445">
        <f t="shared" si="117"/>
        <v>444</v>
      </c>
      <c r="O445">
        <f t="shared" si="118"/>
        <v>0.5665644972677899</v>
      </c>
      <c r="P445">
        <f t="shared" si="119"/>
        <v>0.253817018041334</v>
      </c>
      <c r="Q445">
        <v>445</v>
      </c>
      <c r="R445">
        <f t="shared" si="120"/>
        <v>444</v>
      </c>
      <c r="S445">
        <f t="shared" si="121"/>
        <v>1.6351931330471907</v>
      </c>
      <c r="T445">
        <f t="shared" si="122"/>
        <v>0</v>
      </c>
      <c r="U445">
        <v>445</v>
      </c>
      <c r="V445">
        <f t="shared" si="123"/>
        <v>444</v>
      </c>
      <c r="W445">
        <f t="shared" si="124"/>
        <v>1.6176705185108169</v>
      </c>
      <c r="X445">
        <f t="shared" si="125"/>
        <v>6.4805860110755301E-2</v>
      </c>
    </row>
    <row r="446" spans="1:24">
      <c r="A446">
        <v>446</v>
      </c>
      <c r="B446">
        <f t="shared" si="108"/>
        <v>445</v>
      </c>
      <c r="C446">
        <f t="shared" si="109"/>
        <v>0.62494640556285408</v>
      </c>
      <c r="D446">
        <f t="shared" si="110"/>
        <v>1.9572645941803399</v>
      </c>
      <c r="E446">
        <v>446</v>
      </c>
      <c r="F446">
        <f t="shared" si="111"/>
        <v>445</v>
      </c>
      <c r="G446">
        <f t="shared" si="112"/>
        <v>0.60741979262047041</v>
      </c>
      <c r="H446">
        <f t="shared" si="113"/>
        <v>1.89312269655345</v>
      </c>
      <c r="I446">
        <v>446</v>
      </c>
      <c r="J446">
        <f t="shared" si="114"/>
        <v>445</v>
      </c>
      <c r="K446">
        <f t="shared" si="115"/>
        <v>1.5638168662381224</v>
      </c>
      <c r="L446">
        <f t="shared" si="116"/>
        <v>1.73354968324846</v>
      </c>
      <c r="M446">
        <v>446</v>
      </c>
      <c r="N446">
        <f t="shared" si="117"/>
        <v>445</v>
      </c>
      <c r="O446">
        <f t="shared" si="118"/>
        <v>0.56726888348226401</v>
      </c>
      <c r="P446">
        <f t="shared" si="119"/>
        <v>0.74618298195866595</v>
      </c>
      <c r="Q446">
        <v>446</v>
      </c>
      <c r="R446">
        <f t="shared" si="120"/>
        <v>445</v>
      </c>
      <c r="S446">
        <f t="shared" si="121"/>
        <v>1.6366237482117114</v>
      </c>
      <c r="T446">
        <f t="shared" si="122"/>
        <v>1</v>
      </c>
      <c r="U446">
        <v>446</v>
      </c>
      <c r="V446">
        <f t="shared" si="123"/>
        <v>445</v>
      </c>
      <c r="W446">
        <f t="shared" si="124"/>
        <v>1.618915709182889</v>
      </c>
      <c r="X446">
        <f t="shared" si="125"/>
        <v>0.93519413988924505</v>
      </c>
    </row>
    <row r="447" spans="1:24">
      <c r="A447">
        <v>447</v>
      </c>
      <c r="B447">
        <f t="shared" si="108"/>
        <v>446</v>
      </c>
      <c r="C447">
        <f t="shared" si="109"/>
        <v>0.62625474488811961</v>
      </c>
      <c r="D447">
        <f t="shared" si="110"/>
        <v>1.0427354058196601</v>
      </c>
      <c r="E447">
        <v>447</v>
      </c>
      <c r="F447">
        <f t="shared" si="111"/>
        <v>446</v>
      </c>
      <c r="G447">
        <f t="shared" si="112"/>
        <v>0.60854460720288372</v>
      </c>
      <c r="H447">
        <f t="shared" si="113"/>
        <v>1.10687730344655</v>
      </c>
      <c r="I447">
        <v>447</v>
      </c>
      <c r="J447">
        <f t="shared" si="114"/>
        <v>446</v>
      </c>
      <c r="K447">
        <f t="shared" si="115"/>
        <v>1.564485105675171</v>
      </c>
      <c r="L447">
        <f t="shared" si="116"/>
        <v>1.26645031675154</v>
      </c>
      <c r="M447">
        <v>447</v>
      </c>
      <c r="N447">
        <f t="shared" si="117"/>
        <v>446</v>
      </c>
      <c r="O447">
        <f t="shared" si="118"/>
        <v>0.567973269696738</v>
      </c>
      <c r="P447">
        <f t="shared" si="119"/>
        <v>0.253817018041334</v>
      </c>
      <c r="Q447">
        <v>447</v>
      </c>
      <c r="R447">
        <f t="shared" si="120"/>
        <v>446</v>
      </c>
      <c r="S447">
        <f t="shared" si="121"/>
        <v>1.6380543633762321</v>
      </c>
      <c r="T447">
        <f t="shared" si="122"/>
        <v>0</v>
      </c>
      <c r="U447">
        <v>447</v>
      </c>
      <c r="V447">
        <f t="shared" si="123"/>
        <v>446</v>
      </c>
      <c r="W447">
        <f t="shared" si="124"/>
        <v>1.620160899854961</v>
      </c>
      <c r="X447">
        <f t="shared" si="125"/>
        <v>6.4805860110755301E-2</v>
      </c>
    </row>
    <row r="448" spans="1:24">
      <c r="A448">
        <v>448</v>
      </c>
      <c r="B448">
        <f t="shared" si="108"/>
        <v>447</v>
      </c>
      <c r="C448">
        <f t="shared" si="109"/>
        <v>0.62756308421338525</v>
      </c>
      <c r="D448">
        <f t="shared" si="110"/>
        <v>1.9572645941803399</v>
      </c>
      <c r="E448">
        <v>448</v>
      </c>
      <c r="F448">
        <f t="shared" si="111"/>
        <v>447</v>
      </c>
      <c r="G448">
        <f t="shared" si="112"/>
        <v>0.60966942178529704</v>
      </c>
      <c r="H448">
        <f t="shared" si="113"/>
        <v>1.89312269655345</v>
      </c>
      <c r="I448">
        <v>448</v>
      </c>
      <c r="J448">
        <f t="shared" si="114"/>
        <v>447</v>
      </c>
      <c r="K448">
        <f t="shared" si="115"/>
        <v>1.5651533451122195</v>
      </c>
      <c r="L448">
        <f t="shared" si="116"/>
        <v>1.73354968324846</v>
      </c>
      <c r="M448">
        <v>448</v>
      </c>
      <c r="N448">
        <f t="shared" si="117"/>
        <v>447</v>
      </c>
      <c r="O448">
        <f t="shared" si="118"/>
        <v>0.568677655911212</v>
      </c>
      <c r="P448">
        <f t="shared" si="119"/>
        <v>0.74618298195866595</v>
      </c>
      <c r="Q448">
        <v>448</v>
      </c>
      <c r="R448">
        <f t="shared" si="120"/>
        <v>447</v>
      </c>
      <c r="S448">
        <f t="shared" si="121"/>
        <v>1.6394849785407528</v>
      </c>
      <c r="T448">
        <f t="shared" si="122"/>
        <v>1</v>
      </c>
      <c r="U448">
        <v>448</v>
      </c>
      <c r="V448">
        <f t="shared" si="123"/>
        <v>447</v>
      </c>
      <c r="W448">
        <f t="shared" si="124"/>
        <v>1.6214060905270333</v>
      </c>
      <c r="X448">
        <f t="shared" si="125"/>
        <v>0.93519413988924505</v>
      </c>
    </row>
    <row r="449" spans="1:24">
      <c r="A449">
        <v>449</v>
      </c>
      <c r="B449">
        <f t="shared" ref="B449:B512" si="126">(A449-1)</f>
        <v>448</v>
      </c>
      <c r="C449">
        <f t="shared" ref="C449:C512" si="127">0.0427354058196621+B449*0.0013083393252656</f>
        <v>0.62887142353865089</v>
      </c>
      <c r="D449">
        <f t="shared" ref="D449:D512" si="128">IF(B449/2-INT(B449/2)&lt;0.1,1.04273540581966,1.95726459418034)</f>
        <v>1.0427354058196601</v>
      </c>
      <c r="E449">
        <v>449</v>
      </c>
      <c r="F449">
        <f t="shared" ref="F449:F512" si="129">(E449-1)</f>
        <v>448</v>
      </c>
      <c r="G449">
        <f t="shared" ref="G449:G512" si="130">0.106877303446552+F449*0.0011248145824133</f>
        <v>0.61079423636771035</v>
      </c>
      <c r="H449">
        <f t="shared" ref="H449:H512" si="131">IF(F449/2-INT(F449/2)&lt;0.1,1.10687730344655,1.89312269655345)</f>
        <v>1.10687730344655</v>
      </c>
      <c r="I449">
        <v>449</v>
      </c>
      <c r="J449">
        <f t="shared" ref="J449:J512" si="132">(I449-1)</f>
        <v>448</v>
      </c>
      <c r="K449">
        <f t="shared" ref="K449:K512" si="133">1.26645031675154+J449*0.0006682394370485</f>
        <v>1.565821584549268</v>
      </c>
      <c r="L449">
        <f t="shared" ref="L449:L512" si="134">IF(J449/2-INT(J449/2)&lt;0.1,1.26645031675154,1.73354968324846)</f>
        <v>1.26645031675154</v>
      </c>
      <c r="M449">
        <v>449</v>
      </c>
      <c r="N449">
        <f t="shared" ref="N449:N512" si="135">(M449-1)</f>
        <v>448</v>
      </c>
      <c r="O449">
        <f t="shared" ref="O449:O512" si="136">0.253817018041334+N449*0.000704386214474</f>
        <v>0.56938204212568599</v>
      </c>
      <c r="P449">
        <f t="shared" ref="P449:P512" si="137">IF(N449/2-INT(N449/2)&lt;0.1,0.253817018041334,0.746182981958666)</f>
        <v>0.253817018041334</v>
      </c>
      <c r="Q449">
        <v>449</v>
      </c>
      <c r="R449">
        <f t="shared" ref="R449:R512" si="138">(Q449-1)</f>
        <v>448</v>
      </c>
      <c r="S449">
        <f t="shared" ref="S449:S512" si="139">1+R449*0.0014306151645207</f>
        <v>1.6409155937052735</v>
      </c>
      <c r="T449">
        <f t="shared" ref="T449:T512" si="140">IF(R449/2-INT(R449/2)&lt;0.1,0,1)</f>
        <v>0</v>
      </c>
      <c r="U449">
        <v>449</v>
      </c>
      <c r="V449">
        <f t="shared" ref="V449:V512" si="141">(U449-1)</f>
        <v>448</v>
      </c>
      <c r="W449">
        <f t="shared" ref="W449:W512" si="142">1.06480586011076+V449*0.0012451906720722</f>
        <v>1.6226512811991056</v>
      </c>
      <c r="X449">
        <f t="shared" ref="X449:X512" si="143">IF(V449/2-INT(V449/2)&lt;0.1,0.0648058601107553,0.935194139889245)</f>
        <v>6.4805860110755301E-2</v>
      </c>
    </row>
    <row r="450" spans="1:24">
      <c r="A450">
        <v>450</v>
      </c>
      <c r="B450">
        <f t="shared" si="126"/>
        <v>449</v>
      </c>
      <c r="C450">
        <f t="shared" si="127"/>
        <v>0.63017976286391642</v>
      </c>
      <c r="D450">
        <f t="shared" si="128"/>
        <v>1.9572645941803399</v>
      </c>
      <c r="E450">
        <v>450</v>
      </c>
      <c r="F450">
        <f t="shared" si="129"/>
        <v>449</v>
      </c>
      <c r="G450">
        <f t="shared" si="130"/>
        <v>0.61191905095012367</v>
      </c>
      <c r="H450">
        <f t="shared" si="131"/>
        <v>1.89312269655345</v>
      </c>
      <c r="I450">
        <v>450</v>
      </c>
      <c r="J450">
        <f t="shared" si="132"/>
        <v>449</v>
      </c>
      <c r="K450">
        <f t="shared" si="133"/>
        <v>1.5664898239863165</v>
      </c>
      <c r="L450">
        <f t="shared" si="134"/>
        <v>1.73354968324846</v>
      </c>
      <c r="M450">
        <v>450</v>
      </c>
      <c r="N450">
        <f t="shared" si="135"/>
        <v>449</v>
      </c>
      <c r="O450">
        <f t="shared" si="136"/>
        <v>0.57008642834015999</v>
      </c>
      <c r="P450">
        <f t="shared" si="137"/>
        <v>0.74618298195866595</v>
      </c>
      <c r="Q450">
        <v>450</v>
      </c>
      <c r="R450">
        <f t="shared" si="138"/>
        <v>449</v>
      </c>
      <c r="S450">
        <f t="shared" si="139"/>
        <v>1.6423462088697942</v>
      </c>
      <c r="T450">
        <f t="shared" si="140"/>
        <v>1</v>
      </c>
      <c r="U450">
        <v>450</v>
      </c>
      <c r="V450">
        <f t="shared" si="141"/>
        <v>449</v>
      </c>
      <c r="W450">
        <f t="shared" si="142"/>
        <v>1.6238964718711777</v>
      </c>
      <c r="X450">
        <f t="shared" si="143"/>
        <v>0.93519413988924505</v>
      </c>
    </row>
    <row r="451" spans="1:24">
      <c r="A451">
        <v>451</v>
      </c>
      <c r="B451">
        <f t="shared" si="126"/>
        <v>450</v>
      </c>
      <c r="C451">
        <f t="shared" si="127"/>
        <v>0.63148810218918205</v>
      </c>
      <c r="D451">
        <f t="shared" si="128"/>
        <v>1.0427354058196601</v>
      </c>
      <c r="E451">
        <v>451</v>
      </c>
      <c r="F451">
        <f t="shared" si="129"/>
        <v>450</v>
      </c>
      <c r="G451">
        <f t="shared" si="130"/>
        <v>0.61304386553253698</v>
      </c>
      <c r="H451">
        <f t="shared" si="131"/>
        <v>1.10687730344655</v>
      </c>
      <c r="I451">
        <v>451</v>
      </c>
      <c r="J451">
        <f t="shared" si="132"/>
        <v>450</v>
      </c>
      <c r="K451">
        <f t="shared" si="133"/>
        <v>1.5671580634233648</v>
      </c>
      <c r="L451">
        <f t="shared" si="134"/>
        <v>1.26645031675154</v>
      </c>
      <c r="M451">
        <v>451</v>
      </c>
      <c r="N451">
        <f t="shared" si="135"/>
        <v>450</v>
      </c>
      <c r="O451">
        <f t="shared" si="136"/>
        <v>0.57079081455463399</v>
      </c>
      <c r="P451">
        <f t="shared" si="137"/>
        <v>0.253817018041334</v>
      </c>
      <c r="Q451">
        <v>451</v>
      </c>
      <c r="R451">
        <f t="shared" si="138"/>
        <v>450</v>
      </c>
      <c r="S451">
        <f t="shared" si="139"/>
        <v>1.6437768240343149</v>
      </c>
      <c r="T451">
        <f t="shared" si="140"/>
        <v>0</v>
      </c>
      <c r="U451">
        <v>451</v>
      </c>
      <c r="V451">
        <f t="shared" si="141"/>
        <v>450</v>
      </c>
      <c r="W451">
        <f t="shared" si="142"/>
        <v>1.6251416625432498</v>
      </c>
      <c r="X451">
        <f t="shared" si="143"/>
        <v>6.4805860110755301E-2</v>
      </c>
    </row>
    <row r="452" spans="1:24">
      <c r="A452">
        <v>452</v>
      </c>
      <c r="B452">
        <f t="shared" si="126"/>
        <v>451</v>
      </c>
      <c r="C452">
        <f t="shared" si="127"/>
        <v>0.63279644151444769</v>
      </c>
      <c r="D452">
        <f t="shared" si="128"/>
        <v>1.9572645941803399</v>
      </c>
      <c r="E452">
        <v>452</v>
      </c>
      <c r="F452">
        <f t="shared" si="129"/>
        <v>451</v>
      </c>
      <c r="G452">
        <f t="shared" si="130"/>
        <v>0.61416868011495029</v>
      </c>
      <c r="H452">
        <f t="shared" si="131"/>
        <v>1.89312269655345</v>
      </c>
      <c r="I452">
        <v>452</v>
      </c>
      <c r="J452">
        <f t="shared" si="132"/>
        <v>451</v>
      </c>
      <c r="K452">
        <f t="shared" si="133"/>
        <v>1.5678263028604134</v>
      </c>
      <c r="L452">
        <f t="shared" si="134"/>
        <v>1.73354968324846</v>
      </c>
      <c r="M452">
        <v>452</v>
      </c>
      <c r="N452">
        <f t="shared" si="135"/>
        <v>451</v>
      </c>
      <c r="O452">
        <f t="shared" si="136"/>
        <v>0.57149520076910798</v>
      </c>
      <c r="P452">
        <f t="shared" si="137"/>
        <v>0.74618298195866595</v>
      </c>
      <c r="Q452">
        <v>452</v>
      </c>
      <c r="R452">
        <f t="shared" si="138"/>
        <v>451</v>
      </c>
      <c r="S452">
        <f t="shared" si="139"/>
        <v>1.6452074391988356</v>
      </c>
      <c r="T452">
        <f t="shared" si="140"/>
        <v>1</v>
      </c>
      <c r="U452">
        <v>452</v>
      </c>
      <c r="V452">
        <f t="shared" si="141"/>
        <v>451</v>
      </c>
      <c r="W452">
        <f t="shared" si="142"/>
        <v>1.6263868532153221</v>
      </c>
      <c r="X452">
        <f t="shared" si="143"/>
        <v>0.93519413988924505</v>
      </c>
    </row>
    <row r="453" spans="1:24">
      <c r="A453">
        <v>453</v>
      </c>
      <c r="B453">
        <f t="shared" si="126"/>
        <v>452</v>
      </c>
      <c r="C453">
        <f t="shared" si="127"/>
        <v>0.63410478083971322</v>
      </c>
      <c r="D453">
        <f t="shared" si="128"/>
        <v>1.0427354058196601</v>
      </c>
      <c r="E453">
        <v>453</v>
      </c>
      <c r="F453">
        <f t="shared" si="129"/>
        <v>452</v>
      </c>
      <c r="G453">
        <f t="shared" si="130"/>
        <v>0.61529349469736361</v>
      </c>
      <c r="H453">
        <f t="shared" si="131"/>
        <v>1.10687730344655</v>
      </c>
      <c r="I453">
        <v>453</v>
      </c>
      <c r="J453">
        <f t="shared" si="132"/>
        <v>452</v>
      </c>
      <c r="K453">
        <f t="shared" si="133"/>
        <v>1.5684945422974619</v>
      </c>
      <c r="L453">
        <f t="shared" si="134"/>
        <v>1.26645031675154</v>
      </c>
      <c r="M453">
        <v>453</v>
      </c>
      <c r="N453">
        <f t="shared" si="135"/>
        <v>452</v>
      </c>
      <c r="O453">
        <f t="shared" si="136"/>
        <v>0.57219958698358198</v>
      </c>
      <c r="P453">
        <f t="shared" si="137"/>
        <v>0.253817018041334</v>
      </c>
      <c r="Q453">
        <v>453</v>
      </c>
      <c r="R453">
        <f t="shared" si="138"/>
        <v>452</v>
      </c>
      <c r="S453">
        <f t="shared" si="139"/>
        <v>1.6466380543633563</v>
      </c>
      <c r="T453">
        <f t="shared" si="140"/>
        <v>0</v>
      </c>
      <c r="U453">
        <v>453</v>
      </c>
      <c r="V453">
        <f t="shared" si="141"/>
        <v>452</v>
      </c>
      <c r="W453">
        <f t="shared" si="142"/>
        <v>1.6276320438873944</v>
      </c>
      <c r="X453">
        <f t="shared" si="143"/>
        <v>6.4805860110755301E-2</v>
      </c>
    </row>
    <row r="454" spans="1:24">
      <c r="A454">
        <v>454</v>
      </c>
      <c r="B454">
        <f t="shared" si="126"/>
        <v>453</v>
      </c>
      <c r="C454">
        <f t="shared" si="127"/>
        <v>0.63541312016497886</v>
      </c>
      <c r="D454">
        <f t="shared" si="128"/>
        <v>1.9572645941803399</v>
      </c>
      <c r="E454">
        <v>454</v>
      </c>
      <c r="F454">
        <f t="shared" si="129"/>
        <v>453</v>
      </c>
      <c r="G454">
        <f t="shared" si="130"/>
        <v>0.61641830927977681</v>
      </c>
      <c r="H454">
        <f t="shared" si="131"/>
        <v>1.89312269655345</v>
      </c>
      <c r="I454">
        <v>454</v>
      </c>
      <c r="J454">
        <f t="shared" si="132"/>
        <v>453</v>
      </c>
      <c r="K454">
        <f t="shared" si="133"/>
        <v>1.5691627817345104</v>
      </c>
      <c r="L454">
        <f t="shared" si="134"/>
        <v>1.73354968324846</v>
      </c>
      <c r="M454">
        <v>454</v>
      </c>
      <c r="N454">
        <f t="shared" si="135"/>
        <v>453</v>
      </c>
      <c r="O454">
        <f t="shared" si="136"/>
        <v>0.57290397319805597</v>
      </c>
      <c r="P454">
        <f t="shared" si="137"/>
        <v>0.74618298195866595</v>
      </c>
      <c r="Q454">
        <v>454</v>
      </c>
      <c r="R454">
        <f t="shared" si="138"/>
        <v>453</v>
      </c>
      <c r="S454">
        <f t="shared" si="139"/>
        <v>1.648068669527877</v>
      </c>
      <c r="T454">
        <f t="shared" si="140"/>
        <v>1</v>
      </c>
      <c r="U454">
        <v>454</v>
      </c>
      <c r="V454">
        <f t="shared" si="141"/>
        <v>453</v>
      </c>
      <c r="W454">
        <f t="shared" si="142"/>
        <v>1.6288772345594666</v>
      </c>
      <c r="X454">
        <f t="shared" si="143"/>
        <v>0.93519413988924505</v>
      </c>
    </row>
    <row r="455" spans="1:24">
      <c r="A455">
        <v>455</v>
      </c>
      <c r="B455">
        <f t="shared" si="126"/>
        <v>454</v>
      </c>
      <c r="C455">
        <f t="shared" si="127"/>
        <v>0.6367214594902445</v>
      </c>
      <c r="D455">
        <f t="shared" si="128"/>
        <v>1.0427354058196601</v>
      </c>
      <c r="E455">
        <v>455</v>
      </c>
      <c r="F455">
        <f t="shared" si="129"/>
        <v>454</v>
      </c>
      <c r="G455">
        <f t="shared" si="130"/>
        <v>0.61754312386219012</v>
      </c>
      <c r="H455">
        <f t="shared" si="131"/>
        <v>1.10687730344655</v>
      </c>
      <c r="I455">
        <v>455</v>
      </c>
      <c r="J455">
        <f t="shared" si="132"/>
        <v>454</v>
      </c>
      <c r="K455">
        <f t="shared" si="133"/>
        <v>1.5698310211715589</v>
      </c>
      <c r="L455">
        <f t="shared" si="134"/>
        <v>1.26645031675154</v>
      </c>
      <c r="M455">
        <v>455</v>
      </c>
      <c r="N455">
        <f t="shared" si="135"/>
        <v>454</v>
      </c>
      <c r="O455">
        <f t="shared" si="136"/>
        <v>0.57360835941252997</v>
      </c>
      <c r="P455">
        <f t="shared" si="137"/>
        <v>0.253817018041334</v>
      </c>
      <c r="Q455">
        <v>455</v>
      </c>
      <c r="R455">
        <f t="shared" si="138"/>
        <v>454</v>
      </c>
      <c r="S455">
        <f t="shared" si="139"/>
        <v>1.6494992846923977</v>
      </c>
      <c r="T455">
        <f t="shared" si="140"/>
        <v>0</v>
      </c>
      <c r="U455">
        <v>455</v>
      </c>
      <c r="V455">
        <f t="shared" si="141"/>
        <v>454</v>
      </c>
      <c r="W455">
        <f t="shared" si="142"/>
        <v>1.6301224252315387</v>
      </c>
      <c r="X455">
        <f t="shared" si="143"/>
        <v>6.4805860110755301E-2</v>
      </c>
    </row>
    <row r="456" spans="1:24">
      <c r="A456">
        <v>456</v>
      </c>
      <c r="B456">
        <f t="shared" si="126"/>
        <v>455</v>
      </c>
      <c r="C456">
        <f t="shared" si="127"/>
        <v>0.63802979881551003</v>
      </c>
      <c r="D456">
        <f t="shared" si="128"/>
        <v>1.9572645941803399</v>
      </c>
      <c r="E456">
        <v>456</v>
      </c>
      <c r="F456">
        <f t="shared" si="129"/>
        <v>455</v>
      </c>
      <c r="G456">
        <f t="shared" si="130"/>
        <v>0.61866793844460344</v>
      </c>
      <c r="H456">
        <f t="shared" si="131"/>
        <v>1.89312269655345</v>
      </c>
      <c r="I456">
        <v>456</v>
      </c>
      <c r="J456">
        <f t="shared" si="132"/>
        <v>455</v>
      </c>
      <c r="K456">
        <f t="shared" si="133"/>
        <v>1.5704992606086075</v>
      </c>
      <c r="L456">
        <f t="shared" si="134"/>
        <v>1.73354968324846</v>
      </c>
      <c r="M456">
        <v>456</v>
      </c>
      <c r="N456">
        <f t="shared" si="135"/>
        <v>455</v>
      </c>
      <c r="O456">
        <f t="shared" si="136"/>
        <v>0.57431274562700396</v>
      </c>
      <c r="P456">
        <f t="shared" si="137"/>
        <v>0.74618298195866595</v>
      </c>
      <c r="Q456">
        <v>456</v>
      </c>
      <c r="R456">
        <f t="shared" si="138"/>
        <v>455</v>
      </c>
      <c r="S456">
        <f t="shared" si="139"/>
        <v>1.6509298998569184</v>
      </c>
      <c r="T456">
        <f t="shared" si="140"/>
        <v>1</v>
      </c>
      <c r="U456">
        <v>456</v>
      </c>
      <c r="V456">
        <f t="shared" si="141"/>
        <v>455</v>
      </c>
      <c r="W456">
        <f t="shared" si="142"/>
        <v>1.6313676159036108</v>
      </c>
      <c r="X456">
        <f t="shared" si="143"/>
        <v>0.93519413988924505</v>
      </c>
    </row>
    <row r="457" spans="1:24">
      <c r="A457">
        <v>457</v>
      </c>
      <c r="B457">
        <f t="shared" si="126"/>
        <v>456</v>
      </c>
      <c r="C457">
        <f t="shared" si="127"/>
        <v>0.63933813814077567</v>
      </c>
      <c r="D457">
        <f t="shared" si="128"/>
        <v>1.0427354058196601</v>
      </c>
      <c r="E457">
        <v>457</v>
      </c>
      <c r="F457">
        <f t="shared" si="129"/>
        <v>456</v>
      </c>
      <c r="G457">
        <f t="shared" si="130"/>
        <v>0.61979275302701675</v>
      </c>
      <c r="H457">
        <f t="shared" si="131"/>
        <v>1.10687730344655</v>
      </c>
      <c r="I457">
        <v>457</v>
      </c>
      <c r="J457">
        <f t="shared" si="132"/>
        <v>456</v>
      </c>
      <c r="K457">
        <f t="shared" si="133"/>
        <v>1.571167500045656</v>
      </c>
      <c r="L457">
        <f t="shared" si="134"/>
        <v>1.26645031675154</v>
      </c>
      <c r="M457">
        <v>457</v>
      </c>
      <c r="N457">
        <f t="shared" si="135"/>
        <v>456</v>
      </c>
      <c r="O457">
        <f t="shared" si="136"/>
        <v>0.57501713184147796</v>
      </c>
      <c r="P457">
        <f t="shared" si="137"/>
        <v>0.253817018041334</v>
      </c>
      <c r="Q457">
        <v>457</v>
      </c>
      <c r="R457">
        <f t="shared" si="138"/>
        <v>456</v>
      </c>
      <c r="S457">
        <f t="shared" si="139"/>
        <v>1.6523605150214391</v>
      </c>
      <c r="T457">
        <f t="shared" si="140"/>
        <v>0</v>
      </c>
      <c r="U457">
        <v>457</v>
      </c>
      <c r="V457">
        <f t="shared" si="141"/>
        <v>456</v>
      </c>
      <c r="W457">
        <f t="shared" si="142"/>
        <v>1.6326128065756831</v>
      </c>
      <c r="X457">
        <f t="shared" si="143"/>
        <v>6.4805860110755301E-2</v>
      </c>
    </row>
    <row r="458" spans="1:24">
      <c r="A458">
        <v>458</v>
      </c>
      <c r="B458">
        <f t="shared" si="126"/>
        <v>457</v>
      </c>
      <c r="C458">
        <f t="shared" si="127"/>
        <v>0.64064647746604131</v>
      </c>
      <c r="D458">
        <f t="shared" si="128"/>
        <v>1.9572645941803399</v>
      </c>
      <c r="E458">
        <v>458</v>
      </c>
      <c r="F458">
        <f t="shared" si="129"/>
        <v>457</v>
      </c>
      <c r="G458">
        <f t="shared" si="130"/>
        <v>0.62091756760943007</v>
      </c>
      <c r="H458">
        <f t="shared" si="131"/>
        <v>1.89312269655345</v>
      </c>
      <c r="I458">
        <v>458</v>
      </c>
      <c r="J458">
        <f t="shared" si="132"/>
        <v>457</v>
      </c>
      <c r="K458">
        <f t="shared" si="133"/>
        <v>1.5718357394827045</v>
      </c>
      <c r="L458">
        <f t="shared" si="134"/>
        <v>1.73354968324846</v>
      </c>
      <c r="M458">
        <v>458</v>
      </c>
      <c r="N458">
        <f t="shared" si="135"/>
        <v>457</v>
      </c>
      <c r="O458">
        <f t="shared" si="136"/>
        <v>0.57572151805595195</v>
      </c>
      <c r="P458">
        <f t="shared" si="137"/>
        <v>0.74618298195866595</v>
      </c>
      <c r="Q458">
        <v>458</v>
      </c>
      <c r="R458">
        <f t="shared" si="138"/>
        <v>457</v>
      </c>
      <c r="S458">
        <f t="shared" si="139"/>
        <v>1.6537911301859598</v>
      </c>
      <c r="T458">
        <f t="shared" si="140"/>
        <v>1</v>
      </c>
      <c r="U458">
        <v>458</v>
      </c>
      <c r="V458">
        <f t="shared" si="141"/>
        <v>457</v>
      </c>
      <c r="W458">
        <f t="shared" si="142"/>
        <v>1.6338579972477554</v>
      </c>
      <c r="X458">
        <f t="shared" si="143"/>
        <v>0.93519413988924505</v>
      </c>
    </row>
    <row r="459" spans="1:24">
      <c r="A459">
        <v>459</v>
      </c>
      <c r="B459">
        <f t="shared" si="126"/>
        <v>458</v>
      </c>
      <c r="C459">
        <f t="shared" si="127"/>
        <v>0.64195481679130684</v>
      </c>
      <c r="D459">
        <f t="shared" si="128"/>
        <v>1.0427354058196601</v>
      </c>
      <c r="E459">
        <v>459</v>
      </c>
      <c r="F459">
        <f t="shared" si="129"/>
        <v>458</v>
      </c>
      <c r="G459">
        <f t="shared" si="130"/>
        <v>0.62204238219184338</v>
      </c>
      <c r="H459">
        <f t="shared" si="131"/>
        <v>1.10687730344655</v>
      </c>
      <c r="I459">
        <v>459</v>
      </c>
      <c r="J459">
        <f t="shared" si="132"/>
        <v>458</v>
      </c>
      <c r="K459">
        <f t="shared" si="133"/>
        <v>1.572503978919753</v>
      </c>
      <c r="L459">
        <f t="shared" si="134"/>
        <v>1.26645031675154</v>
      </c>
      <c r="M459">
        <v>459</v>
      </c>
      <c r="N459">
        <f t="shared" si="135"/>
        <v>458</v>
      </c>
      <c r="O459">
        <f t="shared" si="136"/>
        <v>0.57642590427042606</v>
      </c>
      <c r="P459">
        <f t="shared" si="137"/>
        <v>0.253817018041334</v>
      </c>
      <c r="Q459">
        <v>459</v>
      </c>
      <c r="R459">
        <f t="shared" si="138"/>
        <v>458</v>
      </c>
      <c r="S459">
        <f t="shared" si="139"/>
        <v>1.6552217453504805</v>
      </c>
      <c r="T459">
        <f t="shared" si="140"/>
        <v>0</v>
      </c>
      <c r="U459">
        <v>459</v>
      </c>
      <c r="V459">
        <f t="shared" si="141"/>
        <v>458</v>
      </c>
      <c r="W459">
        <f t="shared" si="142"/>
        <v>1.6351031879198277</v>
      </c>
      <c r="X459">
        <f t="shared" si="143"/>
        <v>6.4805860110755301E-2</v>
      </c>
    </row>
    <row r="460" spans="1:24">
      <c r="A460">
        <v>460</v>
      </c>
      <c r="B460">
        <f t="shared" si="126"/>
        <v>459</v>
      </c>
      <c r="C460">
        <f t="shared" si="127"/>
        <v>0.64326315611657248</v>
      </c>
      <c r="D460">
        <f t="shared" si="128"/>
        <v>1.9572645941803399</v>
      </c>
      <c r="E460">
        <v>460</v>
      </c>
      <c r="F460">
        <f t="shared" si="129"/>
        <v>459</v>
      </c>
      <c r="G460">
        <f t="shared" si="130"/>
        <v>0.62316719677425669</v>
      </c>
      <c r="H460">
        <f t="shared" si="131"/>
        <v>1.89312269655345</v>
      </c>
      <c r="I460">
        <v>460</v>
      </c>
      <c r="J460">
        <f t="shared" si="132"/>
        <v>459</v>
      </c>
      <c r="K460">
        <f t="shared" si="133"/>
        <v>1.5731722183568015</v>
      </c>
      <c r="L460">
        <f t="shared" si="134"/>
        <v>1.73354968324846</v>
      </c>
      <c r="M460">
        <v>460</v>
      </c>
      <c r="N460">
        <f t="shared" si="135"/>
        <v>459</v>
      </c>
      <c r="O460">
        <f t="shared" si="136"/>
        <v>0.57713029048490005</v>
      </c>
      <c r="P460">
        <f t="shared" si="137"/>
        <v>0.74618298195866595</v>
      </c>
      <c r="Q460">
        <v>460</v>
      </c>
      <c r="R460">
        <f t="shared" si="138"/>
        <v>459</v>
      </c>
      <c r="S460">
        <f t="shared" si="139"/>
        <v>1.6566523605150012</v>
      </c>
      <c r="T460">
        <f t="shared" si="140"/>
        <v>1</v>
      </c>
      <c r="U460">
        <v>460</v>
      </c>
      <c r="V460">
        <f t="shared" si="141"/>
        <v>459</v>
      </c>
      <c r="W460">
        <f t="shared" si="142"/>
        <v>1.6363483785918997</v>
      </c>
      <c r="X460">
        <f t="shared" si="143"/>
        <v>0.93519413988924505</v>
      </c>
    </row>
    <row r="461" spans="1:24">
      <c r="A461">
        <v>461</v>
      </c>
      <c r="B461">
        <f t="shared" si="126"/>
        <v>460</v>
      </c>
      <c r="C461">
        <f t="shared" si="127"/>
        <v>0.644571495441838</v>
      </c>
      <c r="D461">
        <f t="shared" si="128"/>
        <v>1.0427354058196601</v>
      </c>
      <c r="E461">
        <v>461</v>
      </c>
      <c r="F461">
        <f t="shared" si="129"/>
        <v>460</v>
      </c>
      <c r="G461">
        <f t="shared" si="130"/>
        <v>0.6242920113566699</v>
      </c>
      <c r="H461">
        <f t="shared" si="131"/>
        <v>1.10687730344655</v>
      </c>
      <c r="I461">
        <v>461</v>
      </c>
      <c r="J461">
        <f t="shared" si="132"/>
        <v>460</v>
      </c>
      <c r="K461">
        <f t="shared" si="133"/>
        <v>1.5738404577938501</v>
      </c>
      <c r="L461">
        <f t="shared" si="134"/>
        <v>1.26645031675154</v>
      </c>
      <c r="M461">
        <v>461</v>
      </c>
      <c r="N461">
        <f t="shared" si="135"/>
        <v>460</v>
      </c>
      <c r="O461">
        <f t="shared" si="136"/>
        <v>0.57783467669937405</v>
      </c>
      <c r="P461">
        <f t="shared" si="137"/>
        <v>0.253817018041334</v>
      </c>
      <c r="Q461">
        <v>461</v>
      </c>
      <c r="R461">
        <f t="shared" si="138"/>
        <v>460</v>
      </c>
      <c r="S461">
        <f t="shared" si="139"/>
        <v>1.6580829756795219</v>
      </c>
      <c r="T461">
        <f t="shared" si="140"/>
        <v>0</v>
      </c>
      <c r="U461">
        <v>461</v>
      </c>
      <c r="V461">
        <f t="shared" si="141"/>
        <v>460</v>
      </c>
      <c r="W461">
        <f t="shared" si="142"/>
        <v>1.6375935692639718</v>
      </c>
      <c r="X461">
        <f t="shared" si="143"/>
        <v>6.4805860110755301E-2</v>
      </c>
    </row>
    <row r="462" spans="1:24">
      <c r="A462">
        <v>462</v>
      </c>
      <c r="B462">
        <f t="shared" si="126"/>
        <v>461</v>
      </c>
      <c r="C462">
        <f t="shared" si="127"/>
        <v>0.64587983476710364</v>
      </c>
      <c r="D462">
        <f t="shared" si="128"/>
        <v>1.9572645941803399</v>
      </c>
      <c r="E462">
        <v>462</v>
      </c>
      <c r="F462">
        <f t="shared" si="129"/>
        <v>461</v>
      </c>
      <c r="G462">
        <f t="shared" si="130"/>
        <v>0.62541682593908321</v>
      </c>
      <c r="H462">
        <f t="shared" si="131"/>
        <v>1.89312269655345</v>
      </c>
      <c r="I462">
        <v>462</v>
      </c>
      <c r="J462">
        <f t="shared" si="132"/>
        <v>461</v>
      </c>
      <c r="K462">
        <f t="shared" si="133"/>
        <v>1.5745086972308986</v>
      </c>
      <c r="L462">
        <f t="shared" si="134"/>
        <v>1.73354968324846</v>
      </c>
      <c r="M462">
        <v>462</v>
      </c>
      <c r="N462">
        <f t="shared" si="135"/>
        <v>461</v>
      </c>
      <c r="O462">
        <f t="shared" si="136"/>
        <v>0.57853906291384805</v>
      </c>
      <c r="P462">
        <f t="shared" si="137"/>
        <v>0.74618298195866595</v>
      </c>
      <c r="Q462">
        <v>462</v>
      </c>
      <c r="R462">
        <f t="shared" si="138"/>
        <v>461</v>
      </c>
      <c r="S462">
        <f t="shared" si="139"/>
        <v>1.6595135908440426</v>
      </c>
      <c r="T462">
        <f t="shared" si="140"/>
        <v>1</v>
      </c>
      <c r="U462">
        <v>462</v>
      </c>
      <c r="V462">
        <f t="shared" si="141"/>
        <v>461</v>
      </c>
      <c r="W462">
        <f t="shared" si="142"/>
        <v>1.6388387599360441</v>
      </c>
      <c r="X462">
        <f t="shared" si="143"/>
        <v>0.93519413988924505</v>
      </c>
    </row>
    <row r="463" spans="1:24">
      <c r="A463">
        <v>463</v>
      </c>
      <c r="B463">
        <f t="shared" si="126"/>
        <v>462</v>
      </c>
      <c r="C463">
        <f t="shared" si="127"/>
        <v>0.64718817409236928</v>
      </c>
      <c r="D463">
        <f t="shared" si="128"/>
        <v>1.0427354058196601</v>
      </c>
      <c r="E463">
        <v>463</v>
      </c>
      <c r="F463">
        <f t="shared" si="129"/>
        <v>462</v>
      </c>
      <c r="G463">
        <f t="shared" si="130"/>
        <v>0.62654164052149652</v>
      </c>
      <c r="H463">
        <f t="shared" si="131"/>
        <v>1.10687730344655</v>
      </c>
      <c r="I463">
        <v>463</v>
      </c>
      <c r="J463">
        <f t="shared" si="132"/>
        <v>462</v>
      </c>
      <c r="K463">
        <f t="shared" si="133"/>
        <v>1.5751769366679469</v>
      </c>
      <c r="L463">
        <f t="shared" si="134"/>
        <v>1.26645031675154</v>
      </c>
      <c r="M463">
        <v>463</v>
      </c>
      <c r="N463">
        <f t="shared" si="135"/>
        <v>462</v>
      </c>
      <c r="O463">
        <f t="shared" si="136"/>
        <v>0.57924344912832204</v>
      </c>
      <c r="P463">
        <f t="shared" si="137"/>
        <v>0.253817018041334</v>
      </c>
      <c r="Q463">
        <v>463</v>
      </c>
      <c r="R463">
        <f t="shared" si="138"/>
        <v>462</v>
      </c>
      <c r="S463">
        <f t="shared" si="139"/>
        <v>1.6609442060085633</v>
      </c>
      <c r="T463">
        <f t="shared" si="140"/>
        <v>0</v>
      </c>
      <c r="U463">
        <v>463</v>
      </c>
      <c r="V463">
        <f t="shared" si="141"/>
        <v>462</v>
      </c>
      <c r="W463">
        <f t="shared" si="142"/>
        <v>1.6400839506081164</v>
      </c>
      <c r="X463">
        <f t="shared" si="143"/>
        <v>6.4805860110755301E-2</v>
      </c>
    </row>
    <row r="464" spans="1:24">
      <c r="A464">
        <v>464</v>
      </c>
      <c r="B464">
        <f t="shared" si="126"/>
        <v>463</v>
      </c>
      <c r="C464">
        <f t="shared" si="127"/>
        <v>0.64849651341763481</v>
      </c>
      <c r="D464">
        <f t="shared" si="128"/>
        <v>1.9572645941803399</v>
      </c>
      <c r="E464">
        <v>464</v>
      </c>
      <c r="F464">
        <f t="shared" si="129"/>
        <v>463</v>
      </c>
      <c r="G464">
        <f t="shared" si="130"/>
        <v>0.62766645510390984</v>
      </c>
      <c r="H464">
        <f t="shared" si="131"/>
        <v>1.89312269655345</v>
      </c>
      <c r="I464">
        <v>464</v>
      </c>
      <c r="J464">
        <f t="shared" si="132"/>
        <v>463</v>
      </c>
      <c r="K464">
        <f t="shared" si="133"/>
        <v>1.5758451761049954</v>
      </c>
      <c r="L464">
        <f t="shared" si="134"/>
        <v>1.73354968324846</v>
      </c>
      <c r="M464">
        <v>464</v>
      </c>
      <c r="N464">
        <f t="shared" si="135"/>
        <v>463</v>
      </c>
      <c r="O464">
        <f t="shared" si="136"/>
        <v>0.57994783534279604</v>
      </c>
      <c r="P464">
        <f t="shared" si="137"/>
        <v>0.74618298195866595</v>
      </c>
      <c r="Q464">
        <v>464</v>
      </c>
      <c r="R464">
        <f t="shared" si="138"/>
        <v>463</v>
      </c>
      <c r="S464">
        <f t="shared" si="139"/>
        <v>1.662374821173084</v>
      </c>
      <c r="T464">
        <f t="shared" si="140"/>
        <v>1</v>
      </c>
      <c r="U464">
        <v>464</v>
      </c>
      <c r="V464">
        <f t="shared" si="141"/>
        <v>463</v>
      </c>
      <c r="W464">
        <f t="shared" si="142"/>
        <v>1.6413291412801885</v>
      </c>
      <c r="X464">
        <f t="shared" si="143"/>
        <v>0.93519413988924505</v>
      </c>
    </row>
    <row r="465" spans="1:24">
      <c r="A465">
        <v>465</v>
      </c>
      <c r="B465">
        <f t="shared" si="126"/>
        <v>464</v>
      </c>
      <c r="C465">
        <f t="shared" si="127"/>
        <v>0.64980485274290045</v>
      </c>
      <c r="D465">
        <f t="shared" si="128"/>
        <v>1.0427354058196601</v>
      </c>
      <c r="E465">
        <v>465</v>
      </c>
      <c r="F465">
        <f t="shared" si="129"/>
        <v>464</v>
      </c>
      <c r="G465">
        <f t="shared" si="130"/>
        <v>0.62879126968632315</v>
      </c>
      <c r="H465">
        <f t="shared" si="131"/>
        <v>1.10687730344655</v>
      </c>
      <c r="I465">
        <v>465</v>
      </c>
      <c r="J465">
        <f t="shared" si="132"/>
        <v>464</v>
      </c>
      <c r="K465">
        <f t="shared" si="133"/>
        <v>1.5765134155420439</v>
      </c>
      <c r="L465">
        <f t="shared" si="134"/>
        <v>1.26645031675154</v>
      </c>
      <c r="M465">
        <v>465</v>
      </c>
      <c r="N465">
        <f t="shared" si="135"/>
        <v>464</v>
      </c>
      <c r="O465">
        <f t="shared" si="136"/>
        <v>0.58065222155727003</v>
      </c>
      <c r="P465">
        <f t="shared" si="137"/>
        <v>0.253817018041334</v>
      </c>
      <c r="Q465">
        <v>465</v>
      </c>
      <c r="R465">
        <f t="shared" si="138"/>
        <v>464</v>
      </c>
      <c r="S465">
        <f t="shared" si="139"/>
        <v>1.6638054363376047</v>
      </c>
      <c r="T465">
        <f t="shared" si="140"/>
        <v>0</v>
      </c>
      <c r="U465">
        <v>465</v>
      </c>
      <c r="V465">
        <f t="shared" si="141"/>
        <v>464</v>
      </c>
      <c r="W465">
        <f t="shared" si="142"/>
        <v>1.6425743319522608</v>
      </c>
      <c r="X465">
        <f t="shared" si="143"/>
        <v>6.4805860110755301E-2</v>
      </c>
    </row>
    <row r="466" spans="1:24">
      <c r="A466">
        <v>466</v>
      </c>
      <c r="B466">
        <f t="shared" si="126"/>
        <v>465</v>
      </c>
      <c r="C466">
        <f t="shared" si="127"/>
        <v>0.65111319206816609</v>
      </c>
      <c r="D466">
        <f t="shared" si="128"/>
        <v>1.9572645941803399</v>
      </c>
      <c r="E466">
        <v>466</v>
      </c>
      <c r="F466">
        <f t="shared" si="129"/>
        <v>465</v>
      </c>
      <c r="G466">
        <f t="shared" si="130"/>
        <v>0.62991608426873646</v>
      </c>
      <c r="H466">
        <f t="shared" si="131"/>
        <v>1.89312269655345</v>
      </c>
      <c r="I466">
        <v>466</v>
      </c>
      <c r="J466">
        <f t="shared" si="132"/>
        <v>465</v>
      </c>
      <c r="K466">
        <f t="shared" si="133"/>
        <v>1.5771816549790925</v>
      </c>
      <c r="L466">
        <f t="shared" si="134"/>
        <v>1.73354968324846</v>
      </c>
      <c r="M466">
        <v>466</v>
      </c>
      <c r="N466">
        <f t="shared" si="135"/>
        <v>465</v>
      </c>
      <c r="O466">
        <f t="shared" si="136"/>
        <v>0.58135660777174403</v>
      </c>
      <c r="P466">
        <f t="shared" si="137"/>
        <v>0.74618298195866595</v>
      </c>
      <c r="Q466">
        <v>466</v>
      </c>
      <c r="R466">
        <f t="shared" si="138"/>
        <v>465</v>
      </c>
      <c r="S466">
        <f t="shared" si="139"/>
        <v>1.6652360515021254</v>
      </c>
      <c r="T466">
        <f t="shared" si="140"/>
        <v>1</v>
      </c>
      <c r="U466">
        <v>466</v>
      </c>
      <c r="V466">
        <f t="shared" si="141"/>
        <v>465</v>
      </c>
      <c r="W466">
        <f t="shared" si="142"/>
        <v>1.6438195226243328</v>
      </c>
      <c r="X466">
        <f t="shared" si="143"/>
        <v>0.93519413988924505</v>
      </c>
    </row>
    <row r="467" spans="1:24">
      <c r="A467">
        <v>467</v>
      </c>
      <c r="B467">
        <f t="shared" si="126"/>
        <v>466</v>
      </c>
      <c r="C467">
        <f t="shared" si="127"/>
        <v>0.65242153139343162</v>
      </c>
      <c r="D467">
        <f t="shared" si="128"/>
        <v>1.0427354058196601</v>
      </c>
      <c r="E467">
        <v>467</v>
      </c>
      <c r="F467">
        <f t="shared" si="129"/>
        <v>466</v>
      </c>
      <c r="G467">
        <f t="shared" si="130"/>
        <v>0.63104089885114978</v>
      </c>
      <c r="H467">
        <f t="shared" si="131"/>
        <v>1.10687730344655</v>
      </c>
      <c r="I467">
        <v>467</v>
      </c>
      <c r="J467">
        <f t="shared" si="132"/>
        <v>466</v>
      </c>
      <c r="K467">
        <f t="shared" si="133"/>
        <v>1.577849894416141</v>
      </c>
      <c r="L467">
        <f t="shared" si="134"/>
        <v>1.26645031675154</v>
      </c>
      <c r="M467">
        <v>467</v>
      </c>
      <c r="N467">
        <f t="shared" si="135"/>
        <v>466</v>
      </c>
      <c r="O467">
        <f t="shared" si="136"/>
        <v>0.58206099398621802</v>
      </c>
      <c r="P467">
        <f t="shared" si="137"/>
        <v>0.253817018041334</v>
      </c>
      <c r="Q467">
        <v>467</v>
      </c>
      <c r="R467">
        <f t="shared" si="138"/>
        <v>466</v>
      </c>
      <c r="S467">
        <f t="shared" si="139"/>
        <v>1.6666666666666461</v>
      </c>
      <c r="T467">
        <f t="shared" si="140"/>
        <v>0</v>
      </c>
      <c r="U467">
        <v>467</v>
      </c>
      <c r="V467">
        <f t="shared" si="141"/>
        <v>466</v>
      </c>
      <c r="W467">
        <f t="shared" si="142"/>
        <v>1.6450647132964051</v>
      </c>
      <c r="X467">
        <f t="shared" si="143"/>
        <v>6.4805860110755301E-2</v>
      </c>
    </row>
    <row r="468" spans="1:24">
      <c r="A468">
        <v>468</v>
      </c>
      <c r="B468">
        <f t="shared" si="126"/>
        <v>467</v>
      </c>
      <c r="C468">
        <f t="shared" si="127"/>
        <v>0.65372987071869726</v>
      </c>
      <c r="D468">
        <f t="shared" si="128"/>
        <v>1.9572645941803399</v>
      </c>
      <c r="E468">
        <v>468</v>
      </c>
      <c r="F468">
        <f t="shared" si="129"/>
        <v>467</v>
      </c>
      <c r="G468">
        <f t="shared" si="130"/>
        <v>0.63216571343356309</v>
      </c>
      <c r="H468">
        <f t="shared" si="131"/>
        <v>1.89312269655345</v>
      </c>
      <c r="I468">
        <v>468</v>
      </c>
      <c r="J468">
        <f t="shared" si="132"/>
        <v>467</v>
      </c>
      <c r="K468">
        <f t="shared" si="133"/>
        <v>1.5785181338531895</v>
      </c>
      <c r="L468">
        <f t="shared" si="134"/>
        <v>1.73354968324846</v>
      </c>
      <c r="M468">
        <v>468</v>
      </c>
      <c r="N468">
        <f t="shared" si="135"/>
        <v>467</v>
      </c>
      <c r="O468">
        <f t="shared" si="136"/>
        <v>0.58276538020069202</v>
      </c>
      <c r="P468">
        <f t="shared" si="137"/>
        <v>0.74618298195866595</v>
      </c>
      <c r="Q468">
        <v>468</v>
      </c>
      <c r="R468">
        <f t="shared" si="138"/>
        <v>467</v>
      </c>
      <c r="S468">
        <f t="shared" si="139"/>
        <v>1.6680972818311668</v>
      </c>
      <c r="T468">
        <f t="shared" si="140"/>
        <v>1</v>
      </c>
      <c r="U468">
        <v>468</v>
      </c>
      <c r="V468">
        <f t="shared" si="141"/>
        <v>467</v>
      </c>
      <c r="W468">
        <f t="shared" si="142"/>
        <v>1.6463099039684774</v>
      </c>
      <c r="X468">
        <f t="shared" si="143"/>
        <v>0.93519413988924505</v>
      </c>
    </row>
    <row r="469" spans="1:24">
      <c r="A469">
        <v>469</v>
      </c>
      <c r="B469">
        <f t="shared" si="126"/>
        <v>468</v>
      </c>
      <c r="C469">
        <f t="shared" si="127"/>
        <v>0.6550382100439629</v>
      </c>
      <c r="D469">
        <f t="shared" si="128"/>
        <v>1.0427354058196601</v>
      </c>
      <c r="E469">
        <v>469</v>
      </c>
      <c r="F469">
        <f t="shared" si="129"/>
        <v>468</v>
      </c>
      <c r="G469">
        <f t="shared" si="130"/>
        <v>0.63329052801597641</v>
      </c>
      <c r="H469">
        <f t="shared" si="131"/>
        <v>1.10687730344655</v>
      </c>
      <c r="I469">
        <v>469</v>
      </c>
      <c r="J469">
        <f t="shared" si="132"/>
        <v>468</v>
      </c>
      <c r="K469">
        <f t="shared" si="133"/>
        <v>1.579186373290238</v>
      </c>
      <c r="L469">
        <f t="shared" si="134"/>
        <v>1.26645031675154</v>
      </c>
      <c r="M469">
        <v>469</v>
      </c>
      <c r="N469">
        <f t="shared" si="135"/>
        <v>468</v>
      </c>
      <c r="O469">
        <f t="shared" si="136"/>
        <v>0.58346976641516601</v>
      </c>
      <c r="P469">
        <f t="shared" si="137"/>
        <v>0.253817018041334</v>
      </c>
      <c r="Q469">
        <v>469</v>
      </c>
      <c r="R469">
        <f t="shared" si="138"/>
        <v>468</v>
      </c>
      <c r="S469">
        <f t="shared" si="139"/>
        <v>1.6695278969956875</v>
      </c>
      <c r="T469">
        <f t="shared" si="140"/>
        <v>0</v>
      </c>
      <c r="U469">
        <v>469</v>
      </c>
      <c r="V469">
        <f t="shared" si="141"/>
        <v>468</v>
      </c>
      <c r="W469">
        <f t="shared" si="142"/>
        <v>1.6475550946405495</v>
      </c>
      <c r="X469">
        <f t="shared" si="143"/>
        <v>6.4805860110755301E-2</v>
      </c>
    </row>
    <row r="470" spans="1:24">
      <c r="A470">
        <v>470</v>
      </c>
      <c r="B470">
        <f t="shared" si="126"/>
        <v>469</v>
      </c>
      <c r="C470">
        <f t="shared" si="127"/>
        <v>0.65634654936922843</v>
      </c>
      <c r="D470">
        <f t="shared" si="128"/>
        <v>1.9572645941803399</v>
      </c>
      <c r="E470">
        <v>470</v>
      </c>
      <c r="F470">
        <f t="shared" si="129"/>
        <v>469</v>
      </c>
      <c r="G470">
        <f t="shared" si="130"/>
        <v>0.63441534259838961</v>
      </c>
      <c r="H470">
        <f t="shared" si="131"/>
        <v>1.89312269655345</v>
      </c>
      <c r="I470">
        <v>470</v>
      </c>
      <c r="J470">
        <f t="shared" si="132"/>
        <v>469</v>
      </c>
      <c r="K470">
        <f t="shared" si="133"/>
        <v>1.5798546127272863</v>
      </c>
      <c r="L470">
        <f t="shared" si="134"/>
        <v>1.73354968324846</v>
      </c>
      <c r="M470">
        <v>470</v>
      </c>
      <c r="N470">
        <f t="shared" si="135"/>
        <v>469</v>
      </c>
      <c r="O470">
        <f t="shared" si="136"/>
        <v>0.58417415262964001</v>
      </c>
      <c r="P470">
        <f t="shared" si="137"/>
        <v>0.74618298195866595</v>
      </c>
      <c r="Q470">
        <v>470</v>
      </c>
      <c r="R470">
        <f t="shared" si="138"/>
        <v>469</v>
      </c>
      <c r="S470">
        <f t="shared" si="139"/>
        <v>1.6709585121602082</v>
      </c>
      <c r="T470">
        <f t="shared" si="140"/>
        <v>1</v>
      </c>
      <c r="U470">
        <v>470</v>
      </c>
      <c r="V470">
        <f t="shared" si="141"/>
        <v>469</v>
      </c>
      <c r="W470">
        <f t="shared" si="142"/>
        <v>1.6488002853126216</v>
      </c>
      <c r="X470">
        <f t="shared" si="143"/>
        <v>0.93519413988924505</v>
      </c>
    </row>
    <row r="471" spans="1:24">
      <c r="A471">
        <v>471</v>
      </c>
      <c r="B471">
        <f t="shared" si="126"/>
        <v>470</v>
      </c>
      <c r="C471">
        <f t="shared" si="127"/>
        <v>0.65765488869449407</v>
      </c>
      <c r="D471">
        <f t="shared" si="128"/>
        <v>1.0427354058196601</v>
      </c>
      <c r="E471">
        <v>471</v>
      </c>
      <c r="F471">
        <f t="shared" si="129"/>
        <v>470</v>
      </c>
      <c r="G471">
        <f t="shared" si="130"/>
        <v>0.63554015718080292</v>
      </c>
      <c r="H471">
        <f t="shared" si="131"/>
        <v>1.10687730344655</v>
      </c>
      <c r="I471">
        <v>471</v>
      </c>
      <c r="J471">
        <f t="shared" si="132"/>
        <v>470</v>
      </c>
      <c r="K471">
        <f t="shared" si="133"/>
        <v>1.5805228521643349</v>
      </c>
      <c r="L471">
        <f t="shared" si="134"/>
        <v>1.26645031675154</v>
      </c>
      <c r="M471">
        <v>471</v>
      </c>
      <c r="N471">
        <f t="shared" si="135"/>
        <v>470</v>
      </c>
      <c r="O471">
        <f t="shared" si="136"/>
        <v>0.584878538844114</v>
      </c>
      <c r="P471">
        <f t="shared" si="137"/>
        <v>0.253817018041334</v>
      </c>
      <c r="Q471">
        <v>471</v>
      </c>
      <c r="R471">
        <f t="shared" si="138"/>
        <v>470</v>
      </c>
      <c r="S471">
        <f t="shared" si="139"/>
        <v>1.6723891273247289</v>
      </c>
      <c r="T471">
        <f t="shared" si="140"/>
        <v>0</v>
      </c>
      <c r="U471">
        <v>471</v>
      </c>
      <c r="V471">
        <f t="shared" si="141"/>
        <v>470</v>
      </c>
      <c r="W471">
        <f t="shared" si="142"/>
        <v>1.6500454759846939</v>
      </c>
      <c r="X471">
        <f t="shared" si="143"/>
        <v>6.4805860110755301E-2</v>
      </c>
    </row>
    <row r="472" spans="1:24">
      <c r="A472">
        <v>472</v>
      </c>
      <c r="B472">
        <f t="shared" si="126"/>
        <v>471</v>
      </c>
      <c r="C472">
        <f t="shared" si="127"/>
        <v>0.65896322801975971</v>
      </c>
      <c r="D472">
        <f t="shared" si="128"/>
        <v>1.9572645941803399</v>
      </c>
      <c r="E472">
        <v>472</v>
      </c>
      <c r="F472">
        <f t="shared" si="129"/>
        <v>471</v>
      </c>
      <c r="G472">
        <f t="shared" si="130"/>
        <v>0.63666497176321624</v>
      </c>
      <c r="H472">
        <f t="shared" si="131"/>
        <v>1.89312269655345</v>
      </c>
      <c r="I472">
        <v>472</v>
      </c>
      <c r="J472">
        <f t="shared" si="132"/>
        <v>471</v>
      </c>
      <c r="K472">
        <f t="shared" si="133"/>
        <v>1.5811910916013834</v>
      </c>
      <c r="L472">
        <f t="shared" si="134"/>
        <v>1.73354968324846</v>
      </c>
      <c r="M472">
        <v>472</v>
      </c>
      <c r="N472">
        <f t="shared" si="135"/>
        <v>471</v>
      </c>
      <c r="O472">
        <f t="shared" si="136"/>
        <v>0.585582925058588</v>
      </c>
      <c r="P472">
        <f t="shared" si="137"/>
        <v>0.74618298195866595</v>
      </c>
      <c r="Q472">
        <v>472</v>
      </c>
      <c r="R472">
        <f t="shared" si="138"/>
        <v>471</v>
      </c>
      <c r="S472">
        <f t="shared" si="139"/>
        <v>1.6738197424892496</v>
      </c>
      <c r="T472">
        <f t="shared" si="140"/>
        <v>1</v>
      </c>
      <c r="U472">
        <v>472</v>
      </c>
      <c r="V472">
        <f t="shared" si="141"/>
        <v>471</v>
      </c>
      <c r="W472">
        <f t="shared" si="142"/>
        <v>1.6512906666567662</v>
      </c>
      <c r="X472">
        <f t="shared" si="143"/>
        <v>0.93519413988924505</v>
      </c>
    </row>
    <row r="473" spans="1:24">
      <c r="A473">
        <v>473</v>
      </c>
      <c r="B473">
        <f t="shared" si="126"/>
        <v>472</v>
      </c>
      <c r="C473">
        <f t="shared" si="127"/>
        <v>0.66027156734502523</v>
      </c>
      <c r="D473">
        <f t="shared" si="128"/>
        <v>1.0427354058196601</v>
      </c>
      <c r="E473">
        <v>473</v>
      </c>
      <c r="F473">
        <f t="shared" si="129"/>
        <v>472</v>
      </c>
      <c r="G473">
        <f t="shared" si="130"/>
        <v>0.63778978634562955</v>
      </c>
      <c r="H473">
        <f t="shared" si="131"/>
        <v>1.10687730344655</v>
      </c>
      <c r="I473">
        <v>473</v>
      </c>
      <c r="J473">
        <f t="shared" si="132"/>
        <v>472</v>
      </c>
      <c r="K473">
        <f t="shared" si="133"/>
        <v>1.5818593310384319</v>
      </c>
      <c r="L473">
        <f t="shared" si="134"/>
        <v>1.26645031675154</v>
      </c>
      <c r="M473">
        <v>473</v>
      </c>
      <c r="N473">
        <f t="shared" si="135"/>
        <v>472</v>
      </c>
      <c r="O473">
        <f t="shared" si="136"/>
        <v>0.586287311273062</v>
      </c>
      <c r="P473">
        <f t="shared" si="137"/>
        <v>0.253817018041334</v>
      </c>
      <c r="Q473">
        <v>473</v>
      </c>
      <c r="R473">
        <f t="shared" si="138"/>
        <v>472</v>
      </c>
      <c r="S473">
        <f t="shared" si="139"/>
        <v>1.6752503576537703</v>
      </c>
      <c r="T473">
        <f t="shared" si="140"/>
        <v>0</v>
      </c>
      <c r="U473">
        <v>473</v>
      </c>
      <c r="V473">
        <f t="shared" si="141"/>
        <v>472</v>
      </c>
      <c r="W473">
        <f t="shared" si="142"/>
        <v>1.6525358573288385</v>
      </c>
      <c r="X473">
        <f t="shared" si="143"/>
        <v>6.4805860110755301E-2</v>
      </c>
    </row>
    <row r="474" spans="1:24">
      <c r="A474">
        <v>474</v>
      </c>
      <c r="B474">
        <f t="shared" si="126"/>
        <v>473</v>
      </c>
      <c r="C474">
        <f t="shared" si="127"/>
        <v>0.66157990667029087</v>
      </c>
      <c r="D474">
        <f t="shared" si="128"/>
        <v>1.9572645941803399</v>
      </c>
      <c r="E474">
        <v>474</v>
      </c>
      <c r="F474">
        <f t="shared" si="129"/>
        <v>473</v>
      </c>
      <c r="G474">
        <f t="shared" si="130"/>
        <v>0.63891460092804286</v>
      </c>
      <c r="H474">
        <f t="shared" si="131"/>
        <v>1.89312269655345</v>
      </c>
      <c r="I474">
        <v>474</v>
      </c>
      <c r="J474">
        <f t="shared" si="132"/>
        <v>473</v>
      </c>
      <c r="K474">
        <f t="shared" si="133"/>
        <v>1.5825275704754804</v>
      </c>
      <c r="L474">
        <f t="shared" si="134"/>
        <v>1.73354968324846</v>
      </c>
      <c r="M474">
        <v>474</v>
      </c>
      <c r="N474">
        <f t="shared" si="135"/>
        <v>473</v>
      </c>
      <c r="O474">
        <f t="shared" si="136"/>
        <v>0.58699169748753599</v>
      </c>
      <c r="P474">
        <f t="shared" si="137"/>
        <v>0.74618298195866595</v>
      </c>
      <c r="Q474">
        <v>474</v>
      </c>
      <c r="R474">
        <f t="shared" si="138"/>
        <v>473</v>
      </c>
      <c r="S474">
        <f t="shared" si="139"/>
        <v>1.676680972818291</v>
      </c>
      <c r="T474">
        <f t="shared" si="140"/>
        <v>1</v>
      </c>
      <c r="U474">
        <v>474</v>
      </c>
      <c r="V474">
        <f t="shared" si="141"/>
        <v>473</v>
      </c>
      <c r="W474">
        <f t="shared" si="142"/>
        <v>1.6537810480009105</v>
      </c>
      <c r="X474">
        <f t="shared" si="143"/>
        <v>0.93519413988924505</v>
      </c>
    </row>
    <row r="475" spans="1:24">
      <c r="A475">
        <v>475</v>
      </c>
      <c r="B475">
        <f t="shared" si="126"/>
        <v>474</v>
      </c>
      <c r="C475">
        <f t="shared" si="127"/>
        <v>0.66288824599555651</v>
      </c>
      <c r="D475">
        <f t="shared" si="128"/>
        <v>1.0427354058196601</v>
      </c>
      <c r="E475">
        <v>475</v>
      </c>
      <c r="F475">
        <f t="shared" si="129"/>
        <v>474</v>
      </c>
      <c r="G475">
        <f t="shared" si="130"/>
        <v>0.64003941551045618</v>
      </c>
      <c r="H475">
        <f t="shared" si="131"/>
        <v>1.10687730344655</v>
      </c>
      <c r="I475">
        <v>475</v>
      </c>
      <c r="J475">
        <f t="shared" si="132"/>
        <v>474</v>
      </c>
      <c r="K475">
        <f t="shared" si="133"/>
        <v>1.583195809912529</v>
      </c>
      <c r="L475">
        <f t="shared" si="134"/>
        <v>1.26645031675154</v>
      </c>
      <c r="M475">
        <v>475</v>
      </c>
      <c r="N475">
        <f t="shared" si="135"/>
        <v>474</v>
      </c>
      <c r="O475">
        <f t="shared" si="136"/>
        <v>0.58769608370200999</v>
      </c>
      <c r="P475">
        <f t="shared" si="137"/>
        <v>0.253817018041334</v>
      </c>
      <c r="Q475">
        <v>475</v>
      </c>
      <c r="R475">
        <f t="shared" si="138"/>
        <v>474</v>
      </c>
      <c r="S475">
        <f t="shared" si="139"/>
        <v>1.6781115879828117</v>
      </c>
      <c r="T475">
        <f t="shared" si="140"/>
        <v>0</v>
      </c>
      <c r="U475">
        <v>475</v>
      </c>
      <c r="V475">
        <f t="shared" si="141"/>
        <v>474</v>
      </c>
      <c r="W475">
        <f t="shared" si="142"/>
        <v>1.6550262386729826</v>
      </c>
      <c r="X475">
        <f t="shared" si="143"/>
        <v>6.4805860110755301E-2</v>
      </c>
    </row>
    <row r="476" spans="1:24">
      <c r="A476">
        <v>476</v>
      </c>
      <c r="B476">
        <f t="shared" si="126"/>
        <v>475</v>
      </c>
      <c r="C476">
        <f t="shared" si="127"/>
        <v>0.66419658532082204</v>
      </c>
      <c r="D476">
        <f t="shared" si="128"/>
        <v>1.9572645941803399</v>
      </c>
      <c r="E476">
        <v>476</v>
      </c>
      <c r="F476">
        <f t="shared" si="129"/>
        <v>475</v>
      </c>
      <c r="G476">
        <f t="shared" si="130"/>
        <v>0.64116423009286949</v>
      </c>
      <c r="H476">
        <f t="shared" si="131"/>
        <v>1.89312269655345</v>
      </c>
      <c r="I476">
        <v>476</v>
      </c>
      <c r="J476">
        <f t="shared" si="132"/>
        <v>475</v>
      </c>
      <c r="K476">
        <f t="shared" si="133"/>
        <v>1.5838640493495775</v>
      </c>
      <c r="L476">
        <f t="shared" si="134"/>
        <v>1.73354968324846</v>
      </c>
      <c r="M476">
        <v>476</v>
      </c>
      <c r="N476">
        <f t="shared" si="135"/>
        <v>475</v>
      </c>
      <c r="O476">
        <f t="shared" si="136"/>
        <v>0.58840046991648398</v>
      </c>
      <c r="P476">
        <f t="shared" si="137"/>
        <v>0.74618298195866595</v>
      </c>
      <c r="Q476">
        <v>476</v>
      </c>
      <c r="R476">
        <f t="shared" si="138"/>
        <v>475</v>
      </c>
      <c r="S476">
        <f t="shared" si="139"/>
        <v>1.6795422031473324</v>
      </c>
      <c r="T476">
        <f t="shared" si="140"/>
        <v>1</v>
      </c>
      <c r="U476">
        <v>476</v>
      </c>
      <c r="V476">
        <f t="shared" si="141"/>
        <v>475</v>
      </c>
      <c r="W476">
        <f t="shared" si="142"/>
        <v>1.6562714293450549</v>
      </c>
      <c r="X476">
        <f t="shared" si="143"/>
        <v>0.93519413988924505</v>
      </c>
    </row>
    <row r="477" spans="1:24">
      <c r="A477">
        <v>477</v>
      </c>
      <c r="B477">
        <f t="shared" si="126"/>
        <v>476</v>
      </c>
      <c r="C477">
        <f t="shared" si="127"/>
        <v>0.66550492464608768</v>
      </c>
      <c r="D477">
        <f t="shared" si="128"/>
        <v>1.0427354058196601</v>
      </c>
      <c r="E477">
        <v>477</v>
      </c>
      <c r="F477">
        <f t="shared" si="129"/>
        <v>476</v>
      </c>
      <c r="G477">
        <f t="shared" si="130"/>
        <v>0.64228904467528269</v>
      </c>
      <c r="H477">
        <f t="shared" si="131"/>
        <v>1.10687730344655</v>
      </c>
      <c r="I477">
        <v>477</v>
      </c>
      <c r="J477">
        <f t="shared" si="132"/>
        <v>476</v>
      </c>
      <c r="K477">
        <f t="shared" si="133"/>
        <v>1.584532288786626</v>
      </c>
      <c r="L477">
        <f t="shared" si="134"/>
        <v>1.26645031675154</v>
      </c>
      <c r="M477">
        <v>477</v>
      </c>
      <c r="N477">
        <f t="shared" si="135"/>
        <v>476</v>
      </c>
      <c r="O477">
        <f t="shared" si="136"/>
        <v>0.58910485613095798</v>
      </c>
      <c r="P477">
        <f t="shared" si="137"/>
        <v>0.253817018041334</v>
      </c>
      <c r="Q477">
        <v>477</v>
      </c>
      <c r="R477">
        <f t="shared" si="138"/>
        <v>476</v>
      </c>
      <c r="S477">
        <f t="shared" si="139"/>
        <v>1.6809728183118531</v>
      </c>
      <c r="T477">
        <f t="shared" si="140"/>
        <v>0</v>
      </c>
      <c r="U477">
        <v>477</v>
      </c>
      <c r="V477">
        <f t="shared" si="141"/>
        <v>476</v>
      </c>
      <c r="W477">
        <f t="shared" si="142"/>
        <v>1.6575166200171272</v>
      </c>
      <c r="X477">
        <f t="shared" si="143"/>
        <v>6.4805860110755301E-2</v>
      </c>
    </row>
    <row r="478" spans="1:24">
      <c r="A478">
        <v>478</v>
      </c>
      <c r="B478">
        <f t="shared" si="126"/>
        <v>477</v>
      </c>
      <c r="C478">
        <f t="shared" si="127"/>
        <v>0.66681326397135321</v>
      </c>
      <c r="D478">
        <f t="shared" si="128"/>
        <v>1.9572645941803399</v>
      </c>
      <c r="E478">
        <v>478</v>
      </c>
      <c r="F478">
        <f t="shared" si="129"/>
        <v>477</v>
      </c>
      <c r="G478">
        <f t="shared" si="130"/>
        <v>0.64341385925769601</v>
      </c>
      <c r="H478">
        <f t="shared" si="131"/>
        <v>1.89312269655345</v>
      </c>
      <c r="I478">
        <v>478</v>
      </c>
      <c r="J478">
        <f t="shared" si="132"/>
        <v>477</v>
      </c>
      <c r="K478">
        <f t="shared" si="133"/>
        <v>1.5852005282236745</v>
      </c>
      <c r="L478">
        <f t="shared" si="134"/>
        <v>1.73354968324846</v>
      </c>
      <c r="M478">
        <v>478</v>
      </c>
      <c r="N478">
        <f t="shared" si="135"/>
        <v>477</v>
      </c>
      <c r="O478">
        <f t="shared" si="136"/>
        <v>0.58980924234543197</v>
      </c>
      <c r="P478">
        <f t="shared" si="137"/>
        <v>0.74618298195866595</v>
      </c>
      <c r="Q478">
        <v>478</v>
      </c>
      <c r="R478">
        <f t="shared" si="138"/>
        <v>477</v>
      </c>
      <c r="S478">
        <f t="shared" si="139"/>
        <v>1.6824034334763738</v>
      </c>
      <c r="T478">
        <f t="shared" si="140"/>
        <v>1</v>
      </c>
      <c r="U478">
        <v>478</v>
      </c>
      <c r="V478">
        <f t="shared" si="141"/>
        <v>477</v>
      </c>
      <c r="W478">
        <f t="shared" si="142"/>
        <v>1.6587618106891995</v>
      </c>
      <c r="X478">
        <f t="shared" si="143"/>
        <v>0.93519413988924505</v>
      </c>
    </row>
    <row r="479" spans="1:24">
      <c r="A479">
        <v>479</v>
      </c>
      <c r="B479">
        <f t="shared" si="126"/>
        <v>478</v>
      </c>
      <c r="C479">
        <f t="shared" si="127"/>
        <v>0.66812160329661885</v>
      </c>
      <c r="D479">
        <f t="shared" si="128"/>
        <v>1.0427354058196601</v>
      </c>
      <c r="E479">
        <v>479</v>
      </c>
      <c r="F479">
        <f t="shared" si="129"/>
        <v>478</v>
      </c>
      <c r="G479">
        <f t="shared" si="130"/>
        <v>0.64453867384010932</v>
      </c>
      <c r="H479">
        <f t="shared" si="131"/>
        <v>1.10687730344655</v>
      </c>
      <c r="I479">
        <v>479</v>
      </c>
      <c r="J479">
        <f t="shared" si="132"/>
        <v>478</v>
      </c>
      <c r="K479">
        <f t="shared" si="133"/>
        <v>1.585868767660723</v>
      </c>
      <c r="L479">
        <f t="shared" si="134"/>
        <v>1.26645031675154</v>
      </c>
      <c r="M479">
        <v>479</v>
      </c>
      <c r="N479">
        <f t="shared" si="135"/>
        <v>478</v>
      </c>
      <c r="O479">
        <f t="shared" si="136"/>
        <v>0.59051362855990597</v>
      </c>
      <c r="P479">
        <f t="shared" si="137"/>
        <v>0.253817018041334</v>
      </c>
      <c r="Q479">
        <v>479</v>
      </c>
      <c r="R479">
        <f t="shared" si="138"/>
        <v>478</v>
      </c>
      <c r="S479">
        <f t="shared" si="139"/>
        <v>1.6838340486408945</v>
      </c>
      <c r="T479">
        <f t="shared" si="140"/>
        <v>0</v>
      </c>
      <c r="U479">
        <v>479</v>
      </c>
      <c r="V479">
        <f t="shared" si="141"/>
        <v>478</v>
      </c>
      <c r="W479">
        <f t="shared" si="142"/>
        <v>1.6600070013612716</v>
      </c>
      <c r="X479">
        <f t="shared" si="143"/>
        <v>6.4805860110755301E-2</v>
      </c>
    </row>
    <row r="480" spans="1:24">
      <c r="A480">
        <v>480</v>
      </c>
      <c r="B480">
        <f t="shared" si="126"/>
        <v>479</v>
      </c>
      <c r="C480">
        <f t="shared" si="127"/>
        <v>0.66942994262188449</v>
      </c>
      <c r="D480">
        <f t="shared" si="128"/>
        <v>1.9572645941803399</v>
      </c>
      <c r="E480">
        <v>480</v>
      </c>
      <c r="F480">
        <f t="shared" si="129"/>
        <v>479</v>
      </c>
      <c r="G480">
        <f t="shared" si="130"/>
        <v>0.64566348842252264</v>
      </c>
      <c r="H480">
        <f t="shared" si="131"/>
        <v>1.89312269655345</v>
      </c>
      <c r="I480">
        <v>480</v>
      </c>
      <c r="J480">
        <f t="shared" si="132"/>
        <v>479</v>
      </c>
      <c r="K480">
        <f t="shared" si="133"/>
        <v>1.5865370070977716</v>
      </c>
      <c r="L480">
        <f t="shared" si="134"/>
        <v>1.73354968324846</v>
      </c>
      <c r="M480">
        <v>480</v>
      </c>
      <c r="N480">
        <f t="shared" si="135"/>
        <v>479</v>
      </c>
      <c r="O480">
        <f t="shared" si="136"/>
        <v>0.59121801477437996</v>
      </c>
      <c r="P480">
        <f t="shared" si="137"/>
        <v>0.74618298195866595</v>
      </c>
      <c r="Q480">
        <v>480</v>
      </c>
      <c r="R480">
        <f t="shared" si="138"/>
        <v>479</v>
      </c>
      <c r="S480">
        <f t="shared" si="139"/>
        <v>1.6852646638054152</v>
      </c>
      <c r="T480">
        <f t="shared" si="140"/>
        <v>1</v>
      </c>
      <c r="U480">
        <v>480</v>
      </c>
      <c r="V480">
        <f t="shared" si="141"/>
        <v>479</v>
      </c>
      <c r="W480">
        <f t="shared" si="142"/>
        <v>1.6612521920333436</v>
      </c>
      <c r="X480">
        <f t="shared" si="143"/>
        <v>0.93519413988924505</v>
      </c>
    </row>
    <row r="481" spans="1:24">
      <c r="A481">
        <v>481</v>
      </c>
      <c r="B481">
        <f t="shared" si="126"/>
        <v>480</v>
      </c>
      <c r="C481">
        <f t="shared" si="127"/>
        <v>0.67073828194715002</v>
      </c>
      <c r="D481">
        <f t="shared" si="128"/>
        <v>1.0427354058196601</v>
      </c>
      <c r="E481">
        <v>481</v>
      </c>
      <c r="F481">
        <f t="shared" si="129"/>
        <v>480</v>
      </c>
      <c r="G481">
        <f t="shared" si="130"/>
        <v>0.64678830300493595</v>
      </c>
      <c r="H481">
        <f t="shared" si="131"/>
        <v>1.10687730344655</v>
      </c>
      <c r="I481">
        <v>481</v>
      </c>
      <c r="J481">
        <f t="shared" si="132"/>
        <v>480</v>
      </c>
      <c r="K481">
        <f t="shared" si="133"/>
        <v>1.5872052465348201</v>
      </c>
      <c r="L481">
        <f t="shared" si="134"/>
        <v>1.26645031675154</v>
      </c>
      <c r="M481">
        <v>481</v>
      </c>
      <c r="N481">
        <f t="shared" si="135"/>
        <v>480</v>
      </c>
      <c r="O481">
        <f t="shared" si="136"/>
        <v>0.59192240098885396</v>
      </c>
      <c r="P481">
        <f t="shared" si="137"/>
        <v>0.253817018041334</v>
      </c>
      <c r="Q481">
        <v>481</v>
      </c>
      <c r="R481">
        <f t="shared" si="138"/>
        <v>480</v>
      </c>
      <c r="S481">
        <f t="shared" si="139"/>
        <v>1.6866952789699359</v>
      </c>
      <c r="T481">
        <f t="shared" si="140"/>
        <v>0</v>
      </c>
      <c r="U481">
        <v>481</v>
      </c>
      <c r="V481">
        <f t="shared" si="141"/>
        <v>480</v>
      </c>
      <c r="W481">
        <f t="shared" si="142"/>
        <v>1.6624973827054159</v>
      </c>
      <c r="X481">
        <f t="shared" si="143"/>
        <v>6.4805860110755301E-2</v>
      </c>
    </row>
    <row r="482" spans="1:24">
      <c r="A482">
        <v>482</v>
      </c>
      <c r="B482">
        <f t="shared" si="126"/>
        <v>481</v>
      </c>
      <c r="C482">
        <f t="shared" si="127"/>
        <v>0.67204662127241566</v>
      </c>
      <c r="D482">
        <f t="shared" si="128"/>
        <v>1.9572645941803399</v>
      </c>
      <c r="E482">
        <v>482</v>
      </c>
      <c r="F482">
        <f t="shared" si="129"/>
        <v>481</v>
      </c>
      <c r="G482">
        <f t="shared" si="130"/>
        <v>0.64791311758734926</v>
      </c>
      <c r="H482">
        <f t="shared" si="131"/>
        <v>1.89312269655345</v>
      </c>
      <c r="I482">
        <v>482</v>
      </c>
      <c r="J482">
        <f t="shared" si="132"/>
        <v>481</v>
      </c>
      <c r="K482">
        <f t="shared" si="133"/>
        <v>1.5878734859718684</v>
      </c>
      <c r="L482">
        <f t="shared" si="134"/>
        <v>1.73354968324846</v>
      </c>
      <c r="M482">
        <v>482</v>
      </c>
      <c r="N482">
        <f t="shared" si="135"/>
        <v>481</v>
      </c>
      <c r="O482">
        <f t="shared" si="136"/>
        <v>0.59262678720332795</v>
      </c>
      <c r="P482">
        <f t="shared" si="137"/>
        <v>0.74618298195866595</v>
      </c>
      <c r="Q482">
        <v>482</v>
      </c>
      <c r="R482">
        <f t="shared" si="138"/>
        <v>481</v>
      </c>
      <c r="S482">
        <f t="shared" si="139"/>
        <v>1.6881258941344566</v>
      </c>
      <c r="T482">
        <f t="shared" si="140"/>
        <v>1</v>
      </c>
      <c r="U482">
        <v>482</v>
      </c>
      <c r="V482">
        <f t="shared" si="141"/>
        <v>481</v>
      </c>
      <c r="W482">
        <f t="shared" si="142"/>
        <v>1.6637425733774882</v>
      </c>
      <c r="X482">
        <f t="shared" si="143"/>
        <v>0.93519413988924505</v>
      </c>
    </row>
    <row r="483" spans="1:24">
      <c r="A483">
        <v>483</v>
      </c>
      <c r="B483">
        <f t="shared" si="126"/>
        <v>482</v>
      </c>
      <c r="C483">
        <f t="shared" si="127"/>
        <v>0.6733549605976813</v>
      </c>
      <c r="D483">
        <f t="shared" si="128"/>
        <v>1.0427354058196601</v>
      </c>
      <c r="E483">
        <v>483</v>
      </c>
      <c r="F483">
        <f t="shared" si="129"/>
        <v>482</v>
      </c>
      <c r="G483">
        <f t="shared" si="130"/>
        <v>0.64903793216976258</v>
      </c>
      <c r="H483">
        <f t="shared" si="131"/>
        <v>1.10687730344655</v>
      </c>
      <c r="I483">
        <v>483</v>
      </c>
      <c r="J483">
        <f t="shared" si="132"/>
        <v>482</v>
      </c>
      <c r="K483">
        <f t="shared" si="133"/>
        <v>1.5885417254089169</v>
      </c>
      <c r="L483">
        <f t="shared" si="134"/>
        <v>1.26645031675154</v>
      </c>
      <c r="M483">
        <v>483</v>
      </c>
      <c r="N483">
        <f t="shared" si="135"/>
        <v>482</v>
      </c>
      <c r="O483">
        <f t="shared" si="136"/>
        <v>0.59333117341780195</v>
      </c>
      <c r="P483">
        <f t="shared" si="137"/>
        <v>0.253817018041334</v>
      </c>
      <c r="Q483">
        <v>483</v>
      </c>
      <c r="R483">
        <f t="shared" si="138"/>
        <v>482</v>
      </c>
      <c r="S483">
        <f t="shared" si="139"/>
        <v>1.6895565092989773</v>
      </c>
      <c r="T483">
        <f t="shared" si="140"/>
        <v>0</v>
      </c>
      <c r="U483">
        <v>483</v>
      </c>
      <c r="V483">
        <f t="shared" si="141"/>
        <v>482</v>
      </c>
      <c r="W483">
        <f t="shared" si="142"/>
        <v>1.6649877640495603</v>
      </c>
      <c r="X483">
        <f t="shared" si="143"/>
        <v>6.4805860110755301E-2</v>
      </c>
    </row>
    <row r="484" spans="1:24">
      <c r="A484">
        <v>484</v>
      </c>
      <c r="B484">
        <f t="shared" si="126"/>
        <v>483</v>
      </c>
      <c r="C484">
        <f t="shared" si="127"/>
        <v>0.67466329992294682</v>
      </c>
      <c r="D484">
        <f t="shared" si="128"/>
        <v>1.9572645941803399</v>
      </c>
      <c r="E484">
        <v>484</v>
      </c>
      <c r="F484">
        <f t="shared" si="129"/>
        <v>483</v>
      </c>
      <c r="G484">
        <f t="shared" si="130"/>
        <v>0.65016274675217589</v>
      </c>
      <c r="H484">
        <f t="shared" si="131"/>
        <v>1.89312269655345</v>
      </c>
      <c r="I484">
        <v>484</v>
      </c>
      <c r="J484">
        <f t="shared" si="132"/>
        <v>483</v>
      </c>
      <c r="K484">
        <f t="shared" si="133"/>
        <v>1.5892099648459654</v>
      </c>
      <c r="L484">
        <f t="shared" si="134"/>
        <v>1.73354968324846</v>
      </c>
      <c r="M484">
        <v>484</v>
      </c>
      <c r="N484">
        <f t="shared" si="135"/>
        <v>483</v>
      </c>
      <c r="O484">
        <f t="shared" si="136"/>
        <v>0.59403555963227594</v>
      </c>
      <c r="P484">
        <f t="shared" si="137"/>
        <v>0.74618298195866595</v>
      </c>
      <c r="Q484">
        <v>484</v>
      </c>
      <c r="R484">
        <f t="shared" si="138"/>
        <v>483</v>
      </c>
      <c r="S484">
        <f t="shared" si="139"/>
        <v>1.690987124463498</v>
      </c>
      <c r="T484">
        <f t="shared" si="140"/>
        <v>1</v>
      </c>
      <c r="U484">
        <v>484</v>
      </c>
      <c r="V484">
        <f t="shared" si="141"/>
        <v>483</v>
      </c>
      <c r="W484">
        <f t="shared" si="142"/>
        <v>1.6662329547216326</v>
      </c>
      <c r="X484">
        <f t="shared" si="143"/>
        <v>0.93519413988924505</v>
      </c>
    </row>
    <row r="485" spans="1:24">
      <c r="A485">
        <v>485</v>
      </c>
      <c r="B485">
        <f t="shared" si="126"/>
        <v>484</v>
      </c>
      <c r="C485">
        <f t="shared" si="127"/>
        <v>0.67597163924821246</v>
      </c>
      <c r="D485">
        <f t="shared" si="128"/>
        <v>1.0427354058196601</v>
      </c>
      <c r="E485">
        <v>485</v>
      </c>
      <c r="F485">
        <f t="shared" si="129"/>
        <v>484</v>
      </c>
      <c r="G485">
        <f t="shared" si="130"/>
        <v>0.6512875613345892</v>
      </c>
      <c r="H485">
        <f t="shared" si="131"/>
        <v>1.10687730344655</v>
      </c>
      <c r="I485">
        <v>485</v>
      </c>
      <c r="J485">
        <f t="shared" si="132"/>
        <v>484</v>
      </c>
      <c r="K485">
        <f t="shared" si="133"/>
        <v>1.589878204283014</v>
      </c>
      <c r="L485">
        <f t="shared" si="134"/>
        <v>1.26645031675154</v>
      </c>
      <c r="M485">
        <v>485</v>
      </c>
      <c r="N485">
        <f t="shared" si="135"/>
        <v>484</v>
      </c>
      <c r="O485">
        <f t="shared" si="136"/>
        <v>0.59473994584674994</v>
      </c>
      <c r="P485">
        <f t="shared" si="137"/>
        <v>0.253817018041334</v>
      </c>
      <c r="Q485">
        <v>485</v>
      </c>
      <c r="R485">
        <f t="shared" si="138"/>
        <v>484</v>
      </c>
      <c r="S485">
        <f t="shared" si="139"/>
        <v>1.6924177396280187</v>
      </c>
      <c r="T485">
        <f t="shared" si="140"/>
        <v>0</v>
      </c>
      <c r="U485">
        <v>485</v>
      </c>
      <c r="V485">
        <f t="shared" si="141"/>
        <v>484</v>
      </c>
      <c r="W485">
        <f t="shared" si="142"/>
        <v>1.6674781453937046</v>
      </c>
      <c r="X485">
        <f t="shared" si="143"/>
        <v>6.4805860110755301E-2</v>
      </c>
    </row>
    <row r="486" spans="1:24">
      <c r="A486">
        <v>486</v>
      </c>
      <c r="B486">
        <f t="shared" si="126"/>
        <v>485</v>
      </c>
      <c r="C486">
        <f t="shared" si="127"/>
        <v>0.6772799785734781</v>
      </c>
      <c r="D486">
        <f t="shared" si="128"/>
        <v>1.9572645941803399</v>
      </c>
      <c r="E486">
        <v>486</v>
      </c>
      <c r="F486">
        <f t="shared" si="129"/>
        <v>485</v>
      </c>
      <c r="G486">
        <f t="shared" si="130"/>
        <v>0.65241237591700241</v>
      </c>
      <c r="H486">
        <f t="shared" si="131"/>
        <v>1.89312269655345</v>
      </c>
      <c r="I486">
        <v>486</v>
      </c>
      <c r="J486">
        <f t="shared" si="132"/>
        <v>485</v>
      </c>
      <c r="K486">
        <f t="shared" si="133"/>
        <v>1.5905464437200625</v>
      </c>
      <c r="L486">
        <f t="shared" si="134"/>
        <v>1.73354968324846</v>
      </c>
      <c r="M486">
        <v>486</v>
      </c>
      <c r="N486">
        <f t="shared" si="135"/>
        <v>485</v>
      </c>
      <c r="O486">
        <f t="shared" si="136"/>
        <v>0.59544433206122394</v>
      </c>
      <c r="P486">
        <f t="shared" si="137"/>
        <v>0.74618298195866595</v>
      </c>
      <c r="Q486">
        <v>486</v>
      </c>
      <c r="R486">
        <f t="shared" si="138"/>
        <v>485</v>
      </c>
      <c r="S486">
        <f t="shared" si="139"/>
        <v>1.6938483547925394</v>
      </c>
      <c r="T486">
        <f t="shared" si="140"/>
        <v>1</v>
      </c>
      <c r="U486">
        <v>486</v>
      </c>
      <c r="V486">
        <f t="shared" si="141"/>
        <v>485</v>
      </c>
      <c r="W486">
        <f t="shared" si="142"/>
        <v>1.6687233360657769</v>
      </c>
      <c r="X486">
        <f t="shared" si="143"/>
        <v>0.93519413988924505</v>
      </c>
    </row>
    <row r="487" spans="1:24">
      <c r="A487">
        <v>487</v>
      </c>
      <c r="B487">
        <f t="shared" si="126"/>
        <v>486</v>
      </c>
      <c r="C487">
        <f t="shared" si="127"/>
        <v>0.67858831789874363</v>
      </c>
      <c r="D487">
        <f t="shared" si="128"/>
        <v>1.0427354058196601</v>
      </c>
      <c r="E487">
        <v>487</v>
      </c>
      <c r="F487">
        <f t="shared" si="129"/>
        <v>486</v>
      </c>
      <c r="G487">
        <f t="shared" si="130"/>
        <v>0.65353719049941572</v>
      </c>
      <c r="H487">
        <f t="shared" si="131"/>
        <v>1.10687730344655</v>
      </c>
      <c r="I487">
        <v>487</v>
      </c>
      <c r="J487">
        <f t="shared" si="132"/>
        <v>486</v>
      </c>
      <c r="K487">
        <f t="shared" si="133"/>
        <v>1.591214683157111</v>
      </c>
      <c r="L487">
        <f t="shared" si="134"/>
        <v>1.26645031675154</v>
      </c>
      <c r="M487">
        <v>487</v>
      </c>
      <c r="N487">
        <f t="shared" si="135"/>
        <v>486</v>
      </c>
      <c r="O487">
        <f t="shared" si="136"/>
        <v>0.59614871827569793</v>
      </c>
      <c r="P487">
        <f t="shared" si="137"/>
        <v>0.253817018041334</v>
      </c>
      <c r="Q487">
        <v>487</v>
      </c>
      <c r="R487">
        <f t="shared" si="138"/>
        <v>486</v>
      </c>
      <c r="S487">
        <f t="shared" si="139"/>
        <v>1.6952789699570601</v>
      </c>
      <c r="T487">
        <f t="shared" si="140"/>
        <v>0</v>
      </c>
      <c r="U487">
        <v>487</v>
      </c>
      <c r="V487">
        <f t="shared" si="141"/>
        <v>486</v>
      </c>
      <c r="W487">
        <f t="shared" si="142"/>
        <v>1.6699685267378492</v>
      </c>
      <c r="X487">
        <f t="shared" si="143"/>
        <v>6.4805860110755301E-2</v>
      </c>
    </row>
    <row r="488" spans="1:24">
      <c r="A488">
        <v>488</v>
      </c>
      <c r="B488">
        <f t="shared" si="126"/>
        <v>487</v>
      </c>
      <c r="C488">
        <f t="shared" si="127"/>
        <v>0.67989665722400927</v>
      </c>
      <c r="D488">
        <f t="shared" si="128"/>
        <v>1.9572645941803399</v>
      </c>
      <c r="E488">
        <v>488</v>
      </c>
      <c r="F488">
        <f t="shared" si="129"/>
        <v>487</v>
      </c>
      <c r="G488">
        <f t="shared" si="130"/>
        <v>0.65466200508182903</v>
      </c>
      <c r="H488">
        <f t="shared" si="131"/>
        <v>1.89312269655345</v>
      </c>
      <c r="I488">
        <v>488</v>
      </c>
      <c r="J488">
        <f t="shared" si="132"/>
        <v>487</v>
      </c>
      <c r="K488">
        <f t="shared" si="133"/>
        <v>1.5918829225941595</v>
      </c>
      <c r="L488">
        <f t="shared" si="134"/>
        <v>1.73354968324846</v>
      </c>
      <c r="M488">
        <v>488</v>
      </c>
      <c r="N488">
        <f t="shared" si="135"/>
        <v>487</v>
      </c>
      <c r="O488">
        <f t="shared" si="136"/>
        <v>0.59685310449017193</v>
      </c>
      <c r="P488">
        <f t="shared" si="137"/>
        <v>0.74618298195866595</v>
      </c>
      <c r="Q488">
        <v>488</v>
      </c>
      <c r="R488">
        <f t="shared" si="138"/>
        <v>487</v>
      </c>
      <c r="S488">
        <f t="shared" si="139"/>
        <v>1.6967095851215808</v>
      </c>
      <c r="T488">
        <f t="shared" si="140"/>
        <v>1</v>
      </c>
      <c r="U488">
        <v>488</v>
      </c>
      <c r="V488">
        <f t="shared" si="141"/>
        <v>487</v>
      </c>
      <c r="W488">
        <f t="shared" si="142"/>
        <v>1.6712137174099213</v>
      </c>
      <c r="X488">
        <f t="shared" si="143"/>
        <v>0.93519413988924505</v>
      </c>
    </row>
    <row r="489" spans="1:24">
      <c r="A489">
        <v>489</v>
      </c>
      <c r="B489">
        <f t="shared" si="126"/>
        <v>488</v>
      </c>
      <c r="C489">
        <f t="shared" si="127"/>
        <v>0.68120499654927491</v>
      </c>
      <c r="D489">
        <f t="shared" si="128"/>
        <v>1.0427354058196601</v>
      </c>
      <c r="E489">
        <v>489</v>
      </c>
      <c r="F489">
        <f t="shared" si="129"/>
        <v>488</v>
      </c>
      <c r="G489">
        <f t="shared" si="130"/>
        <v>0.65578681966424235</v>
      </c>
      <c r="H489">
        <f t="shared" si="131"/>
        <v>1.10687730344655</v>
      </c>
      <c r="I489">
        <v>489</v>
      </c>
      <c r="J489">
        <f t="shared" si="132"/>
        <v>488</v>
      </c>
      <c r="K489">
        <f t="shared" si="133"/>
        <v>1.5925511620312078</v>
      </c>
      <c r="L489">
        <f t="shared" si="134"/>
        <v>1.26645031675154</v>
      </c>
      <c r="M489">
        <v>489</v>
      </c>
      <c r="N489">
        <f t="shared" si="135"/>
        <v>488</v>
      </c>
      <c r="O489">
        <f t="shared" si="136"/>
        <v>0.59755749070464592</v>
      </c>
      <c r="P489">
        <f t="shared" si="137"/>
        <v>0.253817018041334</v>
      </c>
      <c r="Q489">
        <v>489</v>
      </c>
      <c r="R489">
        <f t="shared" si="138"/>
        <v>488</v>
      </c>
      <c r="S489">
        <f t="shared" si="139"/>
        <v>1.6981402002861015</v>
      </c>
      <c r="T489">
        <f t="shared" si="140"/>
        <v>0</v>
      </c>
      <c r="U489">
        <v>489</v>
      </c>
      <c r="V489">
        <f t="shared" si="141"/>
        <v>488</v>
      </c>
      <c r="W489">
        <f t="shared" si="142"/>
        <v>1.6724589080819934</v>
      </c>
      <c r="X489">
        <f t="shared" si="143"/>
        <v>6.4805860110755301E-2</v>
      </c>
    </row>
    <row r="490" spans="1:24">
      <c r="A490">
        <v>490</v>
      </c>
      <c r="B490">
        <f t="shared" si="126"/>
        <v>489</v>
      </c>
      <c r="C490">
        <f t="shared" si="127"/>
        <v>0.68251333587454044</v>
      </c>
      <c r="D490">
        <f t="shared" si="128"/>
        <v>1.9572645941803399</v>
      </c>
      <c r="E490">
        <v>490</v>
      </c>
      <c r="F490">
        <f t="shared" si="129"/>
        <v>489</v>
      </c>
      <c r="G490">
        <f t="shared" si="130"/>
        <v>0.65691163424665566</v>
      </c>
      <c r="H490">
        <f t="shared" si="131"/>
        <v>1.89312269655345</v>
      </c>
      <c r="I490">
        <v>490</v>
      </c>
      <c r="J490">
        <f t="shared" si="132"/>
        <v>489</v>
      </c>
      <c r="K490">
        <f t="shared" si="133"/>
        <v>1.5932194014682564</v>
      </c>
      <c r="L490">
        <f t="shared" si="134"/>
        <v>1.73354968324846</v>
      </c>
      <c r="M490">
        <v>490</v>
      </c>
      <c r="N490">
        <f t="shared" si="135"/>
        <v>489</v>
      </c>
      <c r="O490">
        <f t="shared" si="136"/>
        <v>0.59826187691911992</v>
      </c>
      <c r="P490">
        <f t="shared" si="137"/>
        <v>0.74618298195866595</v>
      </c>
      <c r="Q490">
        <v>490</v>
      </c>
      <c r="R490">
        <f t="shared" si="138"/>
        <v>489</v>
      </c>
      <c r="S490">
        <f t="shared" si="139"/>
        <v>1.6995708154506222</v>
      </c>
      <c r="T490">
        <f t="shared" si="140"/>
        <v>1</v>
      </c>
      <c r="U490">
        <v>490</v>
      </c>
      <c r="V490">
        <f t="shared" si="141"/>
        <v>489</v>
      </c>
      <c r="W490">
        <f t="shared" si="142"/>
        <v>1.6737040987540657</v>
      </c>
      <c r="X490">
        <f t="shared" si="143"/>
        <v>0.93519413988924505</v>
      </c>
    </row>
    <row r="491" spans="1:24">
      <c r="A491">
        <v>491</v>
      </c>
      <c r="B491">
        <f t="shared" si="126"/>
        <v>490</v>
      </c>
      <c r="C491">
        <f t="shared" si="127"/>
        <v>0.68382167519980608</v>
      </c>
      <c r="D491">
        <f t="shared" si="128"/>
        <v>1.0427354058196601</v>
      </c>
      <c r="E491">
        <v>491</v>
      </c>
      <c r="F491">
        <f t="shared" si="129"/>
        <v>490</v>
      </c>
      <c r="G491">
        <f t="shared" si="130"/>
        <v>0.65803644882906898</v>
      </c>
      <c r="H491">
        <f t="shared" si="131"/>
        <v>1.10687730344655</v>
      </c>
      <c r="I491">
        <v>491</v>
      </c>
      <c r="J491">
        <f t="shared" si="132"/>
        <v>490</v>
      </c>
      <c r="K491">
        <f t="shared" si="133"/>
        <v>1.5938876409053049</v>
      </c>
      <c r="L491">
        <f t="shared" si="134"/>
        <v>1.26645031675154</v>
      </c>
      <c r="M491">
        <v>491</v>
      </c>
      <c r="N491">
        <f t="shared" si="135"/>
        <v>490</v>
      </c>
      <c r="O491">
        <f t="shared" si="136"/>
        <v>0.59896626313359391</v>
      </c>
      <c r="P491">
        <f t="shared" si="137"/>
        <v>0.253817018041334</v>
      </c>
      <c r="Q491">
        <v>491</v>
      </c>
      <c r="R491">
        <f t="shared" si="138"/>
        <v>490</v>
      </c>
      <c r="S491">
        <f t="shared" si="139"/>
        <v>1.7010014306151429</v>
      </c>
      <c r="T491">
        <f t="shared" si="140"/>
        <v>0</v>
      </c>
      <c r="U491">
        <v>491</v>
      </c>
      <c r="V491">
        <f t="shared" si="141"/>
        <v>490</v>
      </c>
      <c r="W491">
        <f t="shared" si="142"/>
        <v>1.674949289426138</v>
      </c>
      <c r="X491">
        <f t="shared" si="143"/>
        <v>6.4805860110755301E-2</v>
      </c>
    </row>
    <row r="492" spans="1:24">
      <c r="A492">
        <v>492</v>
      </c>
      <c r="B492">
        <f t="shared" si="126"/>
        <v>491</v>
      </c>
      <c r="C492">
        <f t="shared" si="127"/>
        <v>0.68513001452507161</v>
      </c>
      <c r="D492">
        <f t="shared" si="128"/>
        <v>1.9572645941803399</v>
      </c>
      <c r="E492">
        <v>492</v>
      </c>
      <c r="F492">
        <f t="shared" si="129"/>
        <v>491</v>
      </c>
      <c r="G492">
        <f t="shared" si="130"/>
        <v>0.65916126341148229</v>
      </c>
      <c r="H492">
        <f t="shared" si="131"/>
        <v>1.89312269655345</v>
      </c>
      <c r="I492">
        <v>492</v>
      </c>
      <c r="J492">
        <f t="shared" si="132"/>
        <v>491</v>
      </c>
      <c r="K492">
        <f t="shared" si="133"/>
        <v>1.5945558803423534</v>
      </c>
      <c r="L492">
        <f t="shared" si="134"/>
        <v>1.73354968324846</v>
      </c>
      <c r="M492">
        <v>492</v>
      </c>
      <c r="N492">
        <f t="shared" si="135"/>
        <v>491</v>
      </c>
      <c r="O492">
        <f t="shared" si="136"/>
        <v>0.59967064934806791</v>
      </c>
      <c r="P492">
        <f t="shared" si="137"/>
        <v>0.74618298195866595</v>
      </c>
      <c r="Q492">
        <v>492</v>
      </c>
      <c r="R492">
        <f t="shared" si="138"/>
        <v>491</v>
      </c>
      <c r="S492">
        <f t="shared" si="139"/>
        <v>1.7024320457796636</v>
      </c>
      <c r="T492">
        <f t="shared" si="140"/>
        <v>1</v>
      </c>
      <c r="U492">
        <v>492</v>
      </c>
      <c r="V492">
        <f t="shared" si="141"/>
        <v>491</v>
      </c>
      <c r="W492">
        <f t="shared" si="142"/>
        <v>1.6761944800982103</v>
      </c>
      <c r="X492">
        <f t="shared" si="143"/>
        <v>0.93519413988924505</v>
      </c>
    </row>
    <row r="493" spans="1:24">
      <c r="A493">
        <v>493</v>
      </c>
      <c r="B493">
        <f t="shared" si="126"/>
        <v>492</v>
      </c>
      <c r="C493">
        <f t="shared" si="127"/>
        <v>0.68643835385033725</v>
      </c>
      <c r="D493">
        <f t="shared" si="128"/>
        <v>1.0427354058196601</v>
      </c>
      <c r="E493">
        <v>493</v>
      </c>
      <c r="F493">
        <f t="shared" si="129"/>
        <v>492</v>
      </c>
      <c r="G493">
        <f t="shared" si="130"/>
        <v>0.66028607799389549</v>
      </c>
      <c r="H493">
        <f t="shared" si="131"/>
        <v>1.10687730344655</v>
      </c>
      <c r="I493">
        <v>493</v>
      </c>
      <c r="J493">
        <f t="shared" si="132"/>
        <v>492</v>
      </c>
      <c r="K493">
        <f t="shared" si="133"/>
        <v>1.5952241197794019</v>
      </c>
      <c r="L493">
        <f t="shared" si="134"/>
        <v>1.26645031675154</v>
      </c>
      <c r="M493">
        <v>493</v>
      </c>
      <c r="N493">
        <f t="shared" si="135"/>
        <v>492</v>
      </c>
      <c r="O493">
        <f t="shared" si="136"/>
        <v>0.6003750355625419</v>
      </c>
      <c r="P493">
        <f t="shared" si="137"/>
        <v>0.253817018041334</v>
      </c>
      <c r="Q493">
        <v>493</v>
      </c>
      <c r="R493">
        <f t="shared" si="138"/>
        <v>492</v>
      </c>
      <c r="S493">
        <f t="shared" si="139"/>
        <v>1.7038626609441843</v>
      </c>
      <c r="T493">
        <f t="shared" si="140"/>
        <v>0</v>
      </c>
      <c r="U493">
        <v>493</v>
      </c>
      <c r="V493">
        <f t="shared" si="141"/>
        <v>492</v>
      </c>
      <c r="W493">
        <f t="shared" si="142"/>
        <v>1.6774396707702823</v>
      </c>
      <c r="X493">
        <f t="shared" si="143"/>
        <v>6.4805860110755301E-2</v>
      </c>
    </row>
    <row r="494" spans="1:24">
      <c r="A494">
        <v>494</v>
      </c>
      <c r="B494">
        <f t="shared" si="126"/>
        <v>493</v>
      </c>
      <c r="C494">
        <f t="shared" si="127"/>
        <v>0.68774669317560289</v>
      </c>
      <c r="D494">
        <f t="shared" si="128"/>
        <v>1.9572645941803399</v>
      </c>
      <c r="E494">
        <v>494</v>
      </c>
      <c r="F494">
        <f t="shared" si="129"/>
        <v>493</v>
      </c>
      <c r="G494">
        <f t="shared" si="130"/>
        <v>0.66141089257630881</v>
      </c>
      <c r="H494">
        <f t="shared" si="131"/>
        <v>1.89312269655345</v>
      </c>
      <c r="I494">
        <v>494</v>
      </c>
      <c r="J494">
        <f t="shared" si="132"/>
        <v>493</v>
      </c>
      <c r="K494">
        <f t="shared" si="133"/>
        <v>1.5958923592164505</v>
      </c>
      <c r="L494">
        <f t="shared" si="134"/>
        <v>1.73354968324846</v>
      </c>
      <c r="M494">
        <v>494</v>
      </c>
      <c r="N494">
        <f t="shared" si="135"/>
        <v>493</v>
      </c>
      <c r="O494">
        <f t="shared" si="136"/>
        <v>0.6010794217770159</v>
      </c>
      <c r="P494">
        <f t="shared" si="137"/>
        <v>0.74618298195866595</v>
      </c>
      <c r="Q494">
        <v>494</v>
      </c>
      <c r="R494">
        <f t="shared" si="138"/>
        <v>493</v>
      </c>
      <c r="S494">
        <f t="shared" si="139"/>
        <v>1.705293276108705</v>
      </c>
      <c r="T494">
        <f t="shared" si="140"/>
        <v>1</v>
      </c>
      <c r="U494">
        <v>494</v>
      </c>
      <c r="V494">
        <f t="shared" si="141"/>
        <v>493</v>
      </c>
      <c r="W494">
        <f t="shared" si="142"/>
        <v>1.6786848614423544</v>
      </c>
      <c r="X494">
        <f t="shared" si="143"/>
        <v>0.93519413988924505</v>
      </c>
    </row>
    <row r="495" spans="1:24">
      <c r="A495">
        <v>495</v>
      </c>
      <c r="B495">
        <f t="shared" si="126"/>
        <v>494</v>
      </c>
      <c r="C495">
        <f t="shared" si="127"/>
        <v>0.68905503250086841</v>
      </c>
      <c r="D495">
        <f t="shared" si="128"/>
        <v>1.0427354058196601</v>
      </c>
      <c r="E495">
        <v>495</v>
      </c>
      <c r="F495">
        <f t="shared" si="129"/>
        <v>494</v>
      </c>
      <c r="G495">
        <f t="shared" si="130"/>
        <v>0.66253570715872212</v>
      </c>
      <c r="H495">
        <f t="shared" si="131"/>
        <v>1.10687730344655</v>
      </c>
      <c r="I495">
        <v>495</v>
      </c>
      <c r="J495">
        <f t="shared" si="132"/>
        <v>494</v>
      </c>
      <c r="K495">
        <f t="shared" si="133"/>
        <v>1.596560598653499</v>
      </c>
      <c r="L495">
        <f t="shared" si="134"/>
        <v>1.26645031675154</v>
      </c>
      <c r="M495">
        <v>495</v>
      </c>
      <c r="N495">
        <f t="shared" si="135"/>
        <v>494</v>
      </c>
      <c r="O495">
        <f t="shared" si="136"/>
        <v>0.60178380799149001</v>
      </c>
      <c r="P495">
        <f t="shared" si="137"/>
        <v>0.253817018041334</v>
      </c>
      <c r="Q495">
        <v>495</v>
      </c>
      <c r="R495">
        <f t="shared" si="138"/>
        <v>494</v>
      </c>
      <c r="S495">
        <f t="shared" si="139"/>
        <v>1.7067238912732257</v>
      </c>
      <c r="T495">
        <f t="shared" si="140"/>
        <v>0</v>
      </c>
      <c r="U495">
        <v>495</v>
      </c>
      <c r="V495">
        <f t="shared" si="141"/>
        <v>494</v>
      </c>
      <c r="W495">
        <f t="shared" si="142"/>
        <v>1.6799300521144267</v>
      </c>
      <c r="X495">
        <f t="shared" si="143"/>
        <v>6.4805860110755301E-2</v>
      </c>
    </row>
    <row r="496" spans="1:24">
      <c r="A496">
        <v>496</v>
      </c>
      <c r="B496">
        <f t="shared" si="126"/>
        <v>495</v>
      </c>
      <c r="C496">
        <f t="shared" si="127"/>
        <v>0.69036337182613405</v>
      </c>
      <c r="D496">
        <f t="shared" si="128"/>
        <v>1.9572645941803399</v>
      </c>
      <c r="E496">
        <v>496</v>
      </c>
      <c r="F496">
        <f t="shared" si="129"/>
        <v>495</v>
      </c>
      <c r="G496">
        <f t="shared" si="130"/>
        <v>0.66366052174113543</v>
      </c>
      <c r="H496">
        <f t="shared" si="131"/>
        <v>1.89312269655345</v>
      </c>
      <c r="I496">
        <v>496</v>
      </c>
      <c r="J496">
        <f t="shared" si="132"/>
        <v>495</v>
      </c>
      <c r="K496">
        <f t="shared" si="133"/>
        <v>1.5972288380905475</v>
      </c>
      <c r="L496">
        <f t="shared" si="134"/>
        <v>1.73354968324846</v>
      </c>
      <c r="M496">
        <v>496</v>
      </c>
      <c r="N496">
        <f t="shared" si="135"/>
        <v>495</v>
      </c>
      <c r="O496">
        <f t="shared" si="136"/>
        <v>0.602488194205964</v>
      </c>
      <c r="P496">
        <f t="shared" si="137"/>
        <v>0.74618298195866595</v>
      </c>
      <c r="Q496">
        <v>496</v>
      </c>
      <c r="R496">
        <f t="shared" si="138"/>
        <v>495</v>
      </c>
      <c r="S496">
        <f t="shared" si="139"/>
        <v>1.7081545064377464</v>
      </c>
      <c r="T496">
        <f t="shared" si="140"/>
        <v>1</v>
      </c>
      <c r="U496">
        <v>496</v>
      </c>
      <c r="V496">
        <f t="shared" si="141"/>
        <v>495</v>
      </c>
      <c r="W496">
        <f t="shared" si="142"/>
        <v>1.681175242786499</v>
      </c>
      <c r="X496">
        <f t="shared" si="143"/>
        <v>0.93519413988924505</v>
      </c>
    </row>
    <row r="497" spans="1:24">
      <c r="A497">
        <v>497</v>
      </c>
      <c r="B497">
        <f t="shared" si="126"/>
        <v>496</v>
      </c>
      <c r="C497">
        <f t="shared" si="127"/>
        <v>0.69167171115139969</v>
      </c>
      <c r="D497">
        <f t="shared" si="128"/>
        <v>1.0427354058196601</v>
      </c>
      <c r="E497">
        <v>497</v>
      </c>
      <c r="F497">
        <f t="shared" si="129"/>
        <v>496</v>
      </c>
      <c r="G497">
        <f t="shared" si="130"/>
        <v>0.66478533632354875</v>
      </c>
      <c r="H497">
        <f t="shared" si="131"/>
        <v>1.10687730344655</v>
      </c>
      <c r="I497">
        <v>497</v>
      </c>
      <c r="J497">
        <f t="shared" si="132"/>
        <v>496</v>
      </c>
      <c r="K497">
        <f t="shared" si="133"/>
        <v>1.597897077527596</v>
      </c>
      <c r="L497">
        <f t="shared" si="134"/>
        <v>1.26645031675154</v>
      </c>
      <c r="M497">
        <v>497</v>
      </c>
      <c r="N497">
        <f t="shared" si="135"/>
        <v>496</v>
      </c>
      <c r="O497">
        <f t="shared" si="136"/>
        <v>0.603192580420438</v>
      </c>
      <c r="P497">
        <f t="shared" si="137"/>
        <v>0.253817018041334</v>
      </c>
      <c r="Q497">
        <v>497</v>
      </c>
      <c r="R497">
        <f t="shared" si="138"/>
        <v>496</v>
      </c>
      <c r="S497">
        <f t="shared" si="139"/>
        <v>1.7095851216022671</v>
      </c>
      <c r="T497">
        <f t="shared" si="140"/>
        <v>0</v>
      </c>
      <c r="U497">
        <v>497</v>
      </c>
      <c r="V497">
        <f t="shared" si="141"/>
        <v>496</v>
      </c>
      <c r="W497">
        <f t="shared" si="142"/>
        <v>1.6824204334585713</v>
      </c>
      <c r="X497">
        <f t="shared" si="143"/>
        <v>6.4805860110755301E-2</v>
      </c>
    </row>
    <row r="498" spans="1:24">
      <c r="A498">
        <v>498</v>
      </c>
      <c r="B498">
        <f t="shared" si="126"/>
        <v>497</v>
      </c>
      <c r="C498">
        <f t="shared" si="127"/>
        <v>0.69298005047666522</v>
      </c>
      <c r="D498">
        <f t="shared" si="128"/>
        <v>1.9572645941803399</v>
      </c>
      <c r="E498">
        <v>498</v>
      </c>
      <c r="F498">
        <f t="shared" si="129"/>
        <v>497</v>
      </c>
      <c r="G498">
        <f t="shared" si="130"/>
        <v>0.66591015090596206</v>
      </c>
      <c r="H498">
        <f t="shared" si="131"/>
        <v>1.89312269655345</v>
      </c>
      <c r="I498">
        <v>498</v>
      </c>
      <c r="J498">
        <f t="shared" si="132"/>
        <v>497</v>
      </c>
      <c r="K498">
        <f t="shared" si="133"/>
        <v>1.5985653169646445</v>
      </c>
      <c r="L498">
        <f t="shared" si="134"/>
        <v>1.73354968324846</v>
      </c>
      <c r="M498">
        <v>498</v>
      </c>
      <c r="N498">
        <f t="shared" si="135"/>
        <v>497</v>
      </c>
      <c r="O498">
        <f t="shared" si="136"/>
        <v>0.60389696663491199</v>
      </c>
      <c r="P498">
        <f t="shared" si="137"/>
        <v>0.74618298195866595</v>
      </c>
      <c r="Q498">
        <v>498</v>
      </c>
      <c r="R498">
        <f t="shared" si="138"/>
        <v>497</v>
      </c>
      <c r="S498">
        <f t="shared" si="139"/>
        <v>1.7110157367667878</v>
      </c>
      <c r="T498">
        <f t="shared" si="140"/>
        <v>1</v>
      </c>
      <c r="U498">
        <v>498</v>
      </c>
      <c r="V498">
        <f t="shared" si="141"/>
        <v>497</v>
      </c>
      <c r="W498">
        <f t="shared" si="142"/>
        <v>1.6836656241306434</v>
      </c>
      <c r="X498">
        <f t="shared" si="143"/>
        <v>0.93519413988924505</v>
      </c>
    </row>
    <row r="499" spans="1:24">
      <c r="A499">
        <v>499</v>
      </c>
      <c r="B499">
        <f t="shared" si="126"/>
        <v>498</v>
      </c>
      <c r="C499">
        <f t="shared" si="127"/>
        <v>0.69428838980193086</v>
      </c>
      <c r="D499">
        <f t="shared" si="128"/>
        <v>1.0427354058196601</v>
      </c>
      <c r="E499">
        <v>499</v>
      </c>
      <c r="F499">
        <f t="shared" si="129"/>
        <v>498</v>
      </c>
      <c r="G499">
        <f t="shared" si="130"/>
        <v>0.66703496548837538</v>
      </c>
      <c r="H499">
        <f t="shared" si="131"/>
        <v>1.10687730344655</v>
      </c>
      <c r="I499">
        <v>499</v>
      </c>
      <c r="J499">
        <f t="shared" si="132"/>
        <v>498</v>
      </c>
      <c r="K499">
        <f t="shared" si="133"/>
        <v>1.5992335564016931</v>
      </c>
      <c r="L499">
        <f t="shared" si="134"/>
        <v>1.26645031675154</v>
      </c>
      <c r="M499">
        <v>499</v>
      </c>
      <c r="N499">
        <f t="shared" si="135"/>
        <v>498</v>
      </c>
      <c r="O499">
        <f t="shared" si="136"/>
        <v>0.60460135284938599</v>
      </c>
      <c r="P499">
        <f t="shared" si="137"/>
        <v>0.253817018041334</v>
      </c>
      <c r="Q499">
        <v>499</v>
      </c>
      <c r="R499">
        <f t="shared" si="138"/>
        <v>498</v>
      </c>
      <c r="S499">
        <f t="shared" si="139"/>
        <v>1.7124463519313085</v>
      </c>
      <c r="T499">
        <f t="shared" si="140"/>
        <v>0</v>
      </c>
      <c r="U499">
        <v>499</v>
      </c>
      <c r="V499">
        <f t="shared" si="141"/>
        <v>498</v>
      </c>
      <c r="W499">
        <f t="shared" si="142"/>
        <v>1.6849108148027154</v>
      </c>
      <c r="X499">
        <f t="shared" si="143"/>
        <v>6.4805860110755301E-2</v>
      </c>
    </row>
    <row r="500" spans="1:24">
      <c r="A500">
        <v>500</v>
      </c>
      <c r="B500">
        <f t="shared" si="126"/>
        <v>499</v>
      </c>
      <c r="C500">
        <f t="shared" si="127"/>
        <v>0.6955967291271965</v>
      </c>
      <c r="D500">
        <f t="shared" si="128"/>
        <v>1.9572645941803399</v>
      </c>
      <c r="E500">
        <v>500</v>
      </c>
      <c r="F500">
        <f t="shared" si="129"/>
        <v>499</v>
      </c>
      <c r="G500">
        <f t="shared" si="130"/>
        <v>0.66815978007078869</v>
      </c>
      <c r="H500">
        <f t="shared" si="131"/>
        <v>1.89312269655345</v>
      </c>
      <c r="I500">
        <v>500</v>
      </c>
      <c r="J500">
        <f t="shared" si="132"/>
        <v>499</v>
      </c>
      <c r="K500">
        <f t="shared" si="133"/>
        <v>1.5999017958387414</v>
      </c>
      <c r="L500">
        <f t="shared" si="134"/>
        <v>1.73354968324846</v>
      </c>
      <c r="M500">
        <v>500</v>
      </c>
      <c r="N500">
        <f t="shared" si="135"/>
        <v>499</v>
      </c>
      <c r="O500">
        <f t="shared" si="136"/>
        <v>0.60530573906385998</v>
      </c>
      <c r="P500">
        <f t="shared" si="137"/>
        <v>0.74618298195866595</v>
      </c>
      <c r="Q500">
        <v>500</v>
      </c>
      <c r="R500">
        <f t="shared" si="138"/>
        <v>499</v>
      </c>
      <c r="S500">
        <f t="shared" si="139"/>
        <v>1.7138769670958292</v>
      </c>
      <c r="T500">
        <f t="shared" si="140"/>
        <v>1</v>
      </c>
      <c r="U500">
        <v>500</v>
      </c>
      <c r="V500">
        <f t="shared" si="141"/>
        <v>499</v>
      </c>
      <c r="W500">
        <f t="shared" si="142"/>
        <v>1.6861560054747877</v>
      </c>
      <c r="X500">
        <f t="shared" si="143"/>
        <v>0.93519413988924505</v>
      </c>
    </row>
    <row r="501" spans="1:24">
      <c r="A501">
        <v>501</v>
      </c>
      <c r="B501">
        <f t="shared" si="126"/>
        <v>500</v>
      </c>
      <c r="C501">
        <f t="shared" si="127"/>
        <v>0.69690506845246203</v>
      </c>
      <c r="D501">
        <f t="shared" si="128"/>
        <v>1.0427354058196601</v>
      </c>
      <c r="E501">
        <v>501</v>
      </c>
      <c r="F501">
        <f t="shared" si="129"/>
        <v>500</v>
      </c>
      <c r="G501">
        <f t="shared" si="130"/>
        <v>0.669284594653202</v>
      </c>
      <c r="H501">
        <f t="shared" si="131"/>
        <v>1.10687730344655</v>
      </c>
      <c r="I501">
        <v>501</v>
      </c>
      <c r="J501">
        <f t="shared" si="132"/>
        <v>500</v>
      </c>
      <c r="K501">
        <f t="shared" si="133"/>
        <v>1.6005700352757899</v>
      </c>
      <c r="L501">
        <f t="shared" si="134"/>
        <v>1.26645031675154</v>
      </c>
      <c r="M501">
        <v>501</v>
      </c>
      <c r="N501">
        <f t="shared" si="135"/>
        <v>500</v>
      </c>
      <c r="O501">
        <f t="shared" si="136"/>
        <v>0.60601012527833398</v>
      </c>
      <c r="P501">
        <f t="shared" si="137"/>
        <v>0.253817018041334</v>
      </c>
      <c r="Q501">
        <v>501</v>
      </c>
      <c r="R501">
        <f t="shared" si="138"/>
        <v>500</v>
      </c>
      <c r="S501">
        <f t="shared" si="139"/>
        <v>1.7153075822603499</v>
      </c>
      <c r="T501">
        <f t="shared" si="140"/>
        <v>0</v>
      </c>
      <c r="U501">
        <v>501</v>
      </c>
      <c r="V501">
        <f t="shared" si="141"/>
        <v>500</v>
      </c>
      <c r="W501">
        <f t="shared" si="142"/>
        <v>1.68740119614686</v>
      </c>
      <c r="X501">
        <f t="shared" si="143"/>
        <v>6.4805860110755301E-2</v>
      </c>
    </row>
    <row r="502" spans="1:24">
      <c r="A502">
        <v>502</v>
      </c>
      <c r="B502">
        <f t="shared" si="126"/>
        <v>501</v>
      </c>
      <c r="C502">
        <f t="shared" si="127"/>
        <v>0.69821340777772767</v>
      </c>
      <c r="D502">
        <f t="shared" si="128"/>
        <v>1.9572645941803399</v>
      </c>
      <c r="E502">
        <v>502</v>
      </c>
      <c r="F502">
        <f t="shared" si="129"/>
        <v>501</v>
      </c>
      <c r="G502">
        <f t="shared" si="130"/>
        <v>0.67040940923561521</v>
      </c>
      <c r="H502">
        <f t="shared" si="131"/>
        <v>1.89312269655345</v>
      </c>
      <c r="I502">
        <v>502</v>
      </c>
      <c r="J502">
        <f t="shared" si="132"/>
        <v>501</v>
      </c>
      <c r="K502">
        <f t="shared" si="133"/>
        <v>1.6012382747128384</v>
      </c>
      <c r="L502">
        <f t="shared" si="134"/>
        <v>1.73354968324846</v>
      </c>
      <c r="M502">
        <v>502</v>
      </c>
      <c r="N502">
        <f t="shared" si="135"/>
        <v>501</v>
      </c>
      <c r="O502">
        <f t="shared" si="136"/>
        <v>0.60671451149280797</v>
      </c>
      <c r="P502">
        <f t="shared" si="137"/>
        <v>0.74618298195866595</v>
      </c>
      <c r="Q502">
        <v>502</v>
      </c>
      <c r="R502">
        <f t="shared" si="138"/>
        <v>501</v>
      </c>
      <c r="S502">
        <f t="shared" si="139"/>
        <v>1.7167381974248705</v>
      </c>
      <c r="T502">
        <f t="shared" si="140"/>
        <v>1</v>
      </c>
      <c r="U502">
        <v>502</v>
      </c>
      <c r="V502">
        <f t="shared" si="141"/>
        <v>501</v>
      </c>
      <c r="W502">
        <f t="shared" si="142"/>
        <v>1.6886463868189321</v>
      </c>
      <c r="X502">
        <f t="shared" si="143"/>
        <v>0.93519413988924505</v>
      </c>
    </row>
    <row r="503" spans="1:24">
      <c r="A503">
        <v>503</v>
      </c>
      <c r="B503">
        <f t="shared" si="126"/>
        <v>502</v>
      </c>
      <c r="C503">
        <f t="shared" si="127"/>
        <v>0.69952174710299331</v>
      </c>
      <c r="D503">
        <f t="shared" si="128"/>
        <v>1.0427354058196601</v>
      </c>
      <c r="E503">
        <v>503</v>
      </c>
      <c r="F503">
        <f t="shared" si="129"/>
        <v>502</v>
      </c>
      <c r="G503">
        <f t="shared" si="130"/>
        <v>0.67153422381802852</v>
      </c>
      <c r="H503">
        <f t="shared" si="131"/>
        <v>1.10687730344655</v>
      </c>
      <c r="I503">
        <v>503</v>
      </c>
      <c r="J503">
        <f t="shared" si="132"/>
        <v>502</v>
      </c>
      <c r="K503">
        <f t="shared" si="133"/>
        <v>1.6019065141498869</v>
      </c>
      <c r="L503">
        <f t="shared" si="134"/>
        <v>1.26645031675154</v>
      </c>
      <c r="M503">
        <v>503</v>
      </c>
      <c r="N503">
        <f t="shared" si="135"/>
        <v>502</v>
      </c>
      <c r="O503">
        <f t="shared" si="136"/>
        <v>0.60741889770728197</v>
      </c>
      <c r="P503">
        <f t="shared" si="137"/>
        <v>0.253817018041334</v>
      </c>
      <c r="Q503">
        <v>503</v>
      </c>
      <c r="R503">
        <f t="shared" si="138"/>
        <v>502</v>
      </c>
      <c r="S503">
        <f t="shared" si="139"/>
        <v>1.7181688125893912</v>
      </c>
      <c r="T503">
        <f t="shared" si="140"/>
        <v>0</v>
      </c>
      <c r="U503">
        <v>503</v>
      </c>
      <c r="V503">
        <f t="shared" si="141"/>
        <v>502</v>
      </c>
      <c r="W503">
        <f t="shared" si="142"/>
        <v>1.6898915774910042</v>
      </c>
      <c r="X503">
        <f t="shared" si="143"/>
        <v>6.4805860110755301E-2</v>
      </c>
    </row>
    <row r="504" spans="1:24">
      <c r="A504">
        <v>504</v>
      </c>
      <c r="B504">
        <f t="shared" si="126"/>
        <v>503</v>
      </c>
      <c r="C504">
        <f t="shared" si="127"/>
        <v>0.70083008642825884</v>
      </c>
      <c r="D504">
        <f t="shared" si="128"/>
        <v>1.9572645941803399</v>
      </c>
      <c r="E504">
        <v>504</v>
      </c>
      <c r="F504">
        <f t="shared" si="129"/>
        <v>503</v>
      </c>
      <c r="G504">
        <f t="shared" si="130"/>
        <v>0.67265903840044183</v>
      </c>
      <c r="H504">
        <f t="shared" si="131"/>
        <v>1.89312269655345</v>
      </c>
      <c r="I504">
        <v>504</v>
      </c>
      <c r="J504">
        <f t="shared" si="132"/>
        <v>503</v>
      </c>
      <c r="K504">
        <f t="shared" si="133"/>
        <v>1.6025747535869355</v>
      </c>
      <c r="L504">
        <f t="shared" si="134"/>
        <v>1.73354968324846</v>
      </c>
      <c r="M504">
        <v>504</v>
      </c>
      <c r="N504">
        <f t="shared" si="135"/>
        <v>503</v>
      </c>
      <c r="O504">
        <f t="shared" si="136"/>
        <v>0.60812328392175596</v>
      </c>
      <c r="P504">
        <f t="shared" si="137"/>
        <v>0.74618298195866595</v>
      </c>
      <c r="Q504">
        <v>504</v>
      </c>
      <c r="R504">
        <f t="shared" si="138"/>
        <v>503</v>
      </c>
      <c r="S504">
        <f t="shared" si="139"/>
        <v>1.7195994277539119</v>
      </c>
      <c r="T504">
        <f t="shared" si="140"/>
        <v>1</v>
      </c>
      <c r="U504">
        <v>504</v>
      </c>
      <c r="V504">
        <f t="shared" si="141"/>
        <v>503</v>
      </c>
      <c r="W504">
        <f t="shared" si="142"/>
        <v>1.6911367681630765</v>
      </c>
      <c r="X504">
        <f t="shared" si="143"/>
        <v>0.93519413988924505</v>
      </c>
    </row>
    <row r="505" spans="1:24">
      <c r="A505">
        <v>505</v>
      </c>
      <c r="B505">
        <f t="shared" si="126"/>
        <v>504</v>
      </c>
      <c r="C505">
        <f t="shared" si="127"/>
        <v>0.70213842575352448</v>
      </c>
      <c r="D505">
        <f t="shared" si="128"/>
        <v>1.0427354058196601</v>
      </c>
      <c r="E505">
        <v>505</v>
      </c>
      <c r="F505">
        <f t="shared" si="129"/>
        <v>504</v>
      </c>
      <c r="G505">
        <f t="shared" si="130"/>
        <v>0.67378385298285515</v>
      </c>
      <c r="H505">
        <f t="shared" si="131"/>
        <v>1.10687730344655</v>
      </c>
      <c r="I505">
        <v>505</v>
      </c>
      <c r="J505">
        <f t="shared" si="132"/>
        <v>504</v>
      </c>
      <c r="K505">
        <f t="shared" si="133"/>
        <v>1.603242993023984</v>
      </c>
      <c r="L505">
        <f t="shared" si="134"/>
        <v>1.26645031675154</v>
      </c>
      <c r="M505">
        <v>505</v>
      </c>
      <c r="N505">
        <f t="shared" si="135"/>
        <v>504</v>
      </c>
      <c r="O505">
        <f t="shared" si="136"/>
        <v>0.60882767013622996</v>
      </c>
      <c r="P505">
        <f t="shared" si="137"/>
        <v>0.253817018041334</v>
      </c>
      <c r="Q505">
        <v>505</v>
      </c>
      <c r="R505">
        <f t="shared" si="138"/>
        <v>504</v>
      </c>
      <c r="S505">
        <f t="shared" si="139"/>
        <v>1.7210300429184326</v>
      </c>
      <c r="T505">
        <f t="shared" si="140"/>
        <v>0</v>
      </c>
      <c r="U505">
        <v>505</v>
      </c>
      <c r="V505">
        <f t="shared" si="141"/>
        <v>504</v>
      </c>
      <c r="W505">
        <f t="shared" si="142"/>
        <v>1.6923819588351487</v>
      </c>
      <c r="X505">
        <f t="shared" si="143"/>
        <v>6.4805860110755301E-2</v>
      </c>
    </row>
    <row r="506" spans="1:24">
      <c r="A506">
        <v>506</v>
      </c>
      <c r="B506">
        <f t="shared" si="126"/>
        <v>505</v>
      </c>
      <c r="C506">
        <f t="shared" si="127"/>
        <v>0.70344676507879</v>
      </c>
      <c r="D506">
        <f t="shared" si="128"/>
        <v>1.9572645941803399</v>
      </c>
      <c r="E506">
        <v>506</v>
      </c>
      <c r="F506">
        <f t="shared" si="129"/>
        <v>505</v>
      </c>
      <c r="G506">
        <f t="shared" si="130"/>
        <v>0.67490866756526846</v>
      </c>
      <c r="H506">
        <f t="shared" si="131"/>
        <v>1.89312269655345</v>
      </c>
      <c r="I506">
        <v>506</v>
      </c>
      <c r="J506">
        <f t="shared" si="132"/>
        <v>505</v>
      </c>
      <c r="K506">
        <f t="shared" si="133"/>
        <v>1.6039112324610325</v>
      </c>
      <c r="L506">
        <f t="shared" si="134"/>
        <v>1.73354968324846</v>
      </c>
      <c r="M506">
        <v>506</v>
      </c>
      <c r="N506">
        <f t="shared" si="135"/>
        <v>505</v>
      </c>
      <c r="O506">
        <f t="shared" si="136"/>
        <v>0.60953205635070395</v>
      </c>
      <c r="P506">
        <f t="shared" si="137"/>
        <v>0.74618298195866595</v>
      </c>
      <c r="Q506">
        <v>506</v>
      </c>
      <c r="R506">
        <f t="shared" si="138"/>
        <v>505</v>
      </c>
      <c r="S506">
        <f t="shared" si="139"/>
        <v>1.7224606580829533</v>
      </c>
      <c r="T506">
        <f t="shared" si="140"/>
        <v>1</v>
      </c>
      <c r="U506">
        <v>506</v>
      </c>
      <c r="V506">
        <f t="shared" si="141"/>
        <v>505</v>
      </c>
      <c r="W506">
        <f t="shared" si="142"/>
        <v>1.693627149507221</v>
      </c>
      <c r="X506">
        <f t="shared" si="143"/>
        <v>0.93519413988924505</v>
      </c>
    </row>
    <row r="507" spans="1:24">
      <c r="A507">
        <v>507</v>
      </c>
      <c r="B507">
        <f t="shared" si="126"/>
        <v>506</v>
      </c>
      <c r="C507">
        <f t="shared" si="127"/>
        <v>0.70475510440405564</v>
      </c>
      <c r="D507">
        <f t="shared" si="128"/>
        <v>1.0427354058196601</v>
      </c>
      <c r="E507">
        <v>507</v>
      </c>
      <c r="F507">
        <f t="shared" si="129"/>
        <v>506</v>
      </c>
      <c r="G507">
        <f t="shared" si="130"/>
        <v>0.67603348214768177</v>
      </c>
      <c r="H507">
        <f t="shared" si="131"/>
        <v>1.10687730344655</v>
      </c>
      <c r="I507">
        <v>507</v>
      </c>
      <c r="J507">
        <f t="shared" si="132"/>
        <v>506</v>
      </c>
      <c r="K507">
        <f t="shared" si="133"/>
        <v>1.604579471898081</v>
      </c>
      <c r="L507">
        <f t="shared" si="134"/>
        <v>1.26645031675154</v>
      </c>
      <c r="M507">
        <v>507</v>
      </c>
      <c r="N507">
        <f t="shared" si="135"/>
        <v>506</v>
      </c>
      <c r="O507">
        <f t="shared" si="136"/>
        <v>0.61023644256517806</v>
      </c>
      <c r="P507">
        <f t="shared" si="137"/>
        <v>0.253817018041334</v>
      </c>
      <c r="Q507">
        <v>507</v>
      </c>
      <c r="R507">
        <f t="shared" si="138"/>
        <v>506</v>
      </c>
      <c r="S507">
        <f t="shared" si="139"/>
        <v>1.723891273247474</v>
      </c>
      <c r="T507">
        <f t="shared" si="140"/>
        <v>0</v>
      </c>
      <c r="U507">
        <v>507</v>
      </c>
      <c r="V507">
        <f t="shared" si="141"/>
        <v>506</v>
      </c>
      <c r="W507">
        <f t="shared" si="142"/>
        <v>1.6948723401792931</v>
      </c>
      <c r="X507">
        <f t="shared" si="143"/>
        <v>6.4805860110755301E-2</v>
      </c>
    </row>
    <row r="508" spans="1:24">
      <c r="A508">
        <v>508</v>
      </c>
      <c r="B508">
        <f t="shared" si="126"/>
        <v>507</v>
      </c>
      <c r="C508">
        <f t="shared" si="127"/>
        <v>0.70606344372932128</v>
      </c>
      <c r="D508">
        <f t="shared" si="128"/>
        <v>1.9572645941803399</v>
      </c>
      <c r="E508">
        <v>508</v>
      </c>
      <c r="F508">
        <f t="shared" si="129"/>
        <v>507</v>
      </c>
      <c r="G508">
        <f t="shared" si="130"/>
        <v>0.67715829673009509</v>
      </c>
      <c r="H508">
        <f t="shared" si="131"/>
        <v>1.89312269655345</v>
      </c>
      <c r="I508">
        <v>508</v>
      </c>
      <c r="J508">
        <f t="shared" si="132"/>
        <v>507</v>
      </c>
      <c r="K508">
        <f t="shared" si="133"/>
        <v>1.6052477113351293</v>
      </c>
      <c r="L508">
        <f t="shared" si="134"/>
        <v>1.73354968324846</v>
      </c>
      <c r="M508">
        <v>508</v>
      </c>
      <c r="N508">
        <f t="shared" si="135"/>
        <v>507</v>
      </c>
      <c r="O508">
        <f t="shared" si="136"/>
        <v>0.61094082877965206</v>
      </c>
      <c r="P508">
        <f t="shared" si="137"/>
        <v>0.74618298195866595</v>
      </c>
      <c r="Q508">
        <v>508</v>
      </c>
      <c r="R508">
        <f t="shared" si="138"/>
        <v>507</v>
      </c>
      <c r="S508">
        <f t="shared" si="139"/>
        <v>1.7253218884119947</v>
      </c>
      <c r="T508">
        <f t="shared" si="140"/>
        <v>1</v>
      </c>
      <c r="U508">
        <v>508</v>
      </c>
      <c r="V508">
        <f t="shared" si="141"/>
        <v>507</v>
      </c>
      <c r="W508">
        <f t="shared" si="142"/>
        <v>1.6961175308513652</v>
      </c>
      <c r="X508">
        <f t="shared" si="143"/>
        <v>0.93519413988924505</v>
      </c>
    </row>
    <row r="509" spans="1:24">
      <c r="A509">
        <v>509</v>
      </c>
      <c r="B509">
        <f t="shared" si="126"/>
        <v>508</v>
      </c>
      <c r="C509">
        <f t="shared" si="127"/>
        <v>0.70737178305458681</v>
      </c>
      <c r="D509">
        <f t="shared" si="128"/>
        <v>1.0427354058196601</v>
      </c>
      <c r="E509">
        <v>509</v>
      </c>
      <c r="F509">
        <f t="shared" si="129"/>
        <v>508</v>
      </c>
      <c r="G509">
        <f t="shared" si="130"/>
        <v>0.67828311131250829</v>
      </c>
      <c r="H509">
        <f t="shared" si="131"/>
        <v>1.10687730344655</v>
      </c>
      <c r="I509">
        <v>509</v>
      </c>
      <c r="J509">
        <f t="shared" si="132"/>
        <v>508</v>
      </c>
      <c r="K509">
        <f t="shared" si="133"/>
        <v>1.6059159507721779</v>
      </c>
      <c r="L509">
        <f t="shared" si="134"/>
        <v>1.26645031675154</v>
      </c>
      <c r="M509">
        <v>509</v>
      </c>
      <c r="N509">
        <f t="shared" si="135"/>
        <v>508</v>
      </c>
      <c r="O509">
        <f t="shared" si="136"/>
        <v>0.61164521499412605</v>
      </c>
      <c r="P509">
        <f t="shared" si="137"/>
        <v>0.253817018041334</v>
      </c>
      <c r="Q509">
        <v>509</v>
      </c>
      <c r="R509">
        <f t="shared" si="138"/>
        <v>508</v>
      </c>
      <c r="S509">
        <f t="shared" si="139"/>
        <v>1.7267525035765154</v>
      </c>
      <c r="T509">
        <f t="shared" si="140"/>
        <v>0</v>
      </c>
      <c r="U509">
        <v>509</v>
      </c>
      <c r="V509">
        <f t="shared" si="141"/>
        <v>508</v>
      </c>
      <c r="W509">
        <f t="shared" si="142"/>
        <v>1.6973627215234375</v>
      </c>
      <c r="X509">
        <f t="shared" si="143"/>
        <v>6.4805860110755301E-2</v>
      </c>
    </row>
    <row r="510" spans="1:24">
      <c r="A510">
        <v>510</v>
      </c>
      <c r="B510">
        <f t="shared" si="126"/>
        <v>509</v>
      </c>
      <c r="C510">
        <f t="shared" si="127"/>
        <v>0.70868012237985245</v>
      </c>
      <c r="D510">
        <f t="shared" si="128"/>
        <v>1.9572645941803399</v>
      </c>
      <c r="E510">
        <v>510</v>
      </c>
      <c r="F510">
        <f t="shared" si="129"/>
        <v>509</v>
      </c>
      <c r="G510">
        <f t="shared" si="130"/>
        <v>0.6794079258949216</v>
      </c>
      <c r="H510">
        <f t="shared" si="131"/>
        <v>1.89312269655345</v>
      </c>
      <c r="I510">
        <v>510</v>
      </c>
      <c r="J510">
        <f t="shared" si="132"/>
        <v>509</v>
      </c>
      <c r="K510">
        <f t="shared" si="133"/>
        <v>1.6065841902092264</v>
      </c>
      <c r="L510">
        <f t="shared" si="134"/>
        <v>1.73354968324846</v>
      </c>
      <c r="M510">
        <v>510</v>
      </c>
      <c r="N510">
        <f t="shared" si="135"/>
        <v>509</v>
      </c>
      <c r="O510">
        <f t="shared" si="136"/>
        <v>0.61234960120860005</v>
      </c>
      <c r="P510">
        <f t="shared" si="137"/>
        <v>0.74618298195866595</v>
      </c>
      <c r="Q510">
        <v>510</v>
      </c>
      <c r="R510">
        <f t="shared" si="138"/>
        <v>509</v>
      </c>
      <c r="S510">
        <f t="shared" si="139"/>
        <v>1.7281831187410361</v>
      </c>
      <c r="T510">
        <f t="shared" si="140"/>
        <v>1</v>
      </c>
      <c r="U510">
        <v>510</v>
      </c>
      <c r="V510">
        <f t="shared" si="141"/>
        <v>509</v>
      </c>
      <c r="W510">
        <f t="shared" si="142"/>
        <v>1.6986079121955098</v>
      </c>
      <c r="X510">
        <f t="shared" si="143"/>
        <v>0.93519413988924505</v>
      </c>
    </row>
    <row r="511" spans="1:24">
      <c r="A511">
        <v>511</v>
      </c>
      <c r="B511">
        <f t="shared" si="126"/>
        <v>510</v>
      </c>
      <c r="C511">
        <f t="shared" si="127"/>
        <v>0.70998846170511809</v>
      </c>
      <c r="D511">
        <f t="shared" si="128"/>
        <v>1.0427354058196601</v>
      </c>
      <c r="E511">
        <v>511</v>
      </c>
      <c r="F511">
        <f t="shared" si="129"/>
        <v>510</v>
      </c>
      <c r="G511">
        <f t="shared" si="130"/>
        <v>0.68053274047733492</v>
      </c>
      <c r="H511">
        <f t="shared" si="131"/>
        <v>1.10687730344655</v>
      </c>
      <c r="I511">
        <v>511</v>
      </c>
      <c r="J511">
        <f t="shared" si="132"/>
        <v>510</v>
      </c>
      <c r="K511">
        <f t="shared" si="133"/>
        <v>1.6072524296462749</v>
      </c>
      <c r="L511">
        <f t="shared" si="134"/>
        <v>1.26645031675154</v>
      </c>
      <c r="M511">
        <v>511</v>
      </c>
      <c r="N511">
        <f t="shared" si="135"/>
        <v>510</v>
      </c>
      <c r="O511">
        <f t="shared" si="136"/>
        <v>0.61305398742307404</v>
      </c>
      <c r="P511">
        <f t="shared" si="137"/>
        <v>0.253817018041334</v>
      </c>
      <c r="Q511">
        <v>511</v>
      </c>
      <c r="R511">
        <f t="shared" si="138"/>
        <v>510</v>
      </c>
      <c r="S511">
        <f t="shared" si="139"/>
        <v>1.7296137339055568</v>
      </c>
      <c r="T511">
        <f t="shared" si="140"/>
        <v>0</v>
      </c>
      <c r="U511">
        <v>511</v>
      </c>
      <c r="V511">
        <f t="shared" si="141"/>
        <v>510</v>
      </c>
      <c r="W511">
        <f t="shared" si="142"/>
        <v>1.6998531028675821</v>
      </c>
      <c r="X511">
        <f t="shared" si="143"/>
        <v>6.4805860110755301E-2</v>
      </c>
    </row>
    <row r="512" spans="1:24">
      <c r="A512">
        <v>512</v>
      </c>
      <c r="B512">
        <f t="shared" si="126"/>
        <v>511</v>
      </c>
      <c r="C512">
        <f t="shared" si="127"/>
        <v>0.71129680103038362</v>
      </c>
      <c r="D512">
        <f t="shared" si="128"/>
        <v>1.9572645941803399</v>
      </c>
      <c r="E512">
        <v>512</v>
      </c>
      <c r="F512">
        <f t="shared" si="129"/>
        <v>511</v>
      </c>
      <c r="G512">
        <f t="shared" si="130"/>
        <v>0.68165755505974823</v>
      </c>
      <c r="H512">
        <f t="shared" si="131"/>
        <v>1.89312269655345</v>
      </c>
      <c r="I512">
        <v>512</v>
      </c>
      <c r="J512">
        <f t="shared" si="132"/>
        <v>511</v>
      </c>
      <c r="K512">
        <f t="shared" si="133"/>
        <v>1.6079206690833234</v>
      </c>
      <c r="L512">
        <f t="shared" si="134"/>
        <v>1.73354968324846</v>
      </c>
      <c r="M512">
        <v>512</v>
      </c>
      <c r="N512">
        <f t="shared" si="135"/>
        <v>511</v>
      </c>
      <c r="O512">
        <f t="shared" si="136"/>
        <v>0.61375837363754804</v>
      </c>
      <c r="P512">
        <f t="shared" si="137"/>
        <v>0.74618298195866595</v>
      </c>
      <c r="Q512">
        <v>512</v>
      </c>
      <c r="R512">
        <f t="shared" si="138"/>
        <v>511</v>
      </c>
      <c r="S512">
        <f t="shared" si="139"/>
        <v>1.7310443490700775</v>
      </c>
      <c r="T512">
        <f t="shared" si="140"/>
        <v>1</v>
      </c>
      <c r="U512">
        <v>512</v>
      </c>
      <c r="V512">
        <f t="shared" si="141"/>
        <v>511</v>
      </c>
      <c r="W512">
        <f t="shared" si="142"/>
        <v>1.7010982935396541</v>
      </c>
      <c r="X512">
        <f t="shared" si="143"/>
        <v>0.93519413988924505</v>
      </c>
    </row>
    <row r="513" spans="1:24">
      <c r="A513">
        <v>513</v>
      </c>
      <c r="B513">
        <f t="shared" ref="B513:B576" si="144">(A513-1)</f>
        <v>512</v>
      </c>
      <c r="C513">
        <f t="shared" ref="C513:C576" si="145">0.0427354058196621+B513*0.0013083393252656</f>
        <v>0.71260514035564926</v>
      </c>
      <c r="D513">
        <f t="shared" ref="D513:D576" si="146">IF(B513/2-INT(B513/2)&lt;0.1,1.04273540581966,1.95726459418034)</f>
        <v>1.0427354058196601</v>
      </c>
      <c r="E513">
        <v>513</v>
      </c>
      <c r="F513">
        <f t="shared" ref="F513:F576" si="147">(E513-1)</f>
        <v>512</v>
      </c>
      <c r="G513">
        <f t="shared" ref="G513:G576" si="148">0.106877303446552+F513*0.0011248145824133</f>
        <v>0.68278236964216155</v>
      </c>
      <c r="H513">
        <f t="shared" ref="H513:H576" si="149">IF(F513/2-INT(F513/2)&lt;0.1,1.10687730344655,1.89312269655345)</f>
        <v>1.10687730344655</v>
      </c>
      <c r="I513">
        <v>513</v>
      </c>
      <c r="J513">
        <f t="shared" ref="J513:J576" si="150">(I513-1)</f>
        <v>512</v>
      </c>
      <c r="K513">
        <f t="shared" ref="K513:K576" si="151">1.26645031675154+J513*0.0006682394370485</f>
        <v>1.608588908520372</v>
      </c>
      <c r="L513">
        <f t="shared" ref="L513:L576" si="152">IF(J513/2-INT(J513/2)&lt;0.1,1.26645031675154,1.73354968324846)</f>
        <v>1.26645031675154</v>
      </c>
      <c r="M513">
        <v>513</v>
      </c>
      <c r="N513">
        <f t="shared" ref="N513:N576" si="153">(M513-1)</f>
        <v>512</v>
      </c>
      <c r="O513">
        <f t="shared" ref="O513:O576" si="154">0.253817018041334+N513*0.000704386214474</f>
        <v>0.61446275985202203</v>
      </c>
      <c r="P513">
        <f t="shared" ref="P513:P576" si="155">IF(N513/2-INT(N513/2)&lt;0.1,0.253817018041334,0.746182981958666)</f>
        <v>0.253817018041334</v>
      </c>
      <c r="Q513">
        <v>513</v>
      </c>
      <c r="R513">
        <f t="shared" ref="R513:R576" si="156">(Q513-1)</f>
        <v>512</v>
      </c>
      <c r="S513">
        <f t="shared" ref="S513:S576" si="157">1+R513*0.0014306151645207</f>
        <v>1.7324749642345982</v>
      </c>
      <c r="T513">
        <f t="shared" ref="T513:T576" si="158">IF(R513/2-INT(R513/2)&lt;0.1,0,1)</f>
        <v>0</v>
      </c>
      <c r="U513">
        <v>513</v>
      </c>
      <c r="V513">
        <f t="shared" ref="V513:V576" si="159">(U513-1)</f>
        <v>512</v>
      </c>
      <c r="W513">
        <f t="shared" ref="W513:W576" si="160">1.06480586011076+V513*0.0012451906720722</f>
        <v>1.7023434842117262</v>
      </c>
      <c r="X513">
        <f t="shared" ref="X513:X576" si="161">IF(V513/2-INT(V513/2)&lt;0.1,0.0648058601107553,0.935194139889245)</f>
        <v>6.4805860110755301E-2</v>
      </c>
    </row>
    <row r="514" spans="1:24">
      <c r="A514">
        <v>514</v>
      </c>
      <c r="B514">
        <f t="shared" si="144"/>
        <v>513</v>
      </c>
      <c r="C514">
        <f t="shared" si="145"/>
        <v>0.7139134796809149</v>
      </c>
      <c r="D514">
        <f t="shared" si="146"/>
        <v>1.9572645941803399</v>
      </c>
      <c r="E514">
        <v>514</v>
      </c>
      <c r="F514">
        <f t="shared" si="147"/>
        <v>513</v>
      </c>
      <c r="G514">
        <f t="shared" si="148"/>
        <v>0.68390718422457486</v>
      </c>
      <c r="H514">
        <f t="shared" si="149"/>
        <v>1.89312269655345</v>
      </c>
      <c r="I514">
        <v>514</v>
      </c>
      <c r="J514">
        <f t="shared" si="150"/>
        <v>513</v>
      </c>
      <c r="K514">
        <f t="shared" si="151"/>
        <v>1.6092571479574205</v>
      </c>
      <c r="L514">
        <f t="shared" si="152"/>
        <v>1.73354968324846</v>
      </c>
      <c r="M514">
        <v>514</v>
      </c>
      <c r="N514">
        <f t="shared" si="153"/>
        <v>513</v>
      </c>
      <c r="O514">
        <f t="shared" si="154"/>
        <v>0.61516714606649603</v>
      </c>
      <c r="P514">
        <f t="shared" si="155"/>
        <v>0.74618298195866595</v>
      </c>
      <c r="Q514">
        <v>514</v>
      </c>
      <c r="R514">
        <f t="shared" si="156"/>
        <v>513</v>
      </c>
      <c r="S514">
        <f t="shared" si="157"/>
        <v>1.7339055793991189</v>
      </c>
      <c r="T514">
        <f t="shared" si="158"/>
        <v>1</v>
      </c>
      <c r="U514">
        <v>514</v>
      </c>
      <c r="V514">
        <f t="shared" si="159"/>
        <v>513</v>
      </c>
      <c r="W514">
        <f t="shared" si="160"/>
        <v>1.7035886748837985</v>
      </c>
      <c r="X514">
        <f t="shared" si="161"/>
        <v>0.93519413988924505</v>
      </c>
    </row>
    <row r="515" spans="1:24">
      <c r="A515">
        <v>515</v>
      </c>
      <c r="B515">
        <f t="shared" si="144"/>
        <v>514</v>
      </c>
      <c r="C515">
        <f t="shared" si="145"/>
        <v>0.71522181900618043</v>
      </c>
      <c r="D515">
        <f t="shared" si="146"/>
        <v>1.0427354058196601</v>
      </c>
      <c r="E515">
        <v>515</v>
      </c>
      <c r="F515">
        <f t="shared" si="147"/>
        <v>514</v>
      </c>
      <c r="G515">
        <f t="shared" si="148"/>
        <v>0.68503199880698817</v>
      </c>
      <c r="H515">
        <f t="shared" si="149"/>
        <v>1.10687730344655</v>
      </c>
      <c r="I515">
        <v>515</v>
      </c>
      <c r="J515">
        <f t="shared" si="150"/>
        <v>514</v>
      </c>
      <c r="K515">
        <f t="shared" si="151"/>
        <v>1.609925387394469</v>
      </c>
      <c r="L515">
        <f t="shared" si="152"/>
        <v>1.26645031675154</v>
      </c>
      <c r="M515">
        <v>515</v>
      </c>
      <c r="N515">
        <f t="shared" si="153"/>
        <v>514</v>
      </c>
      <c r="O515">
        <f t="shared" si="154"/>
        <v>0.61587153228097002</v>
      </c>
      <c r="P515">
        <f t="shared" si="155"/>
        <v>0.253817018041334</v>
      </c>
      <c r="Q515">
        <v>515</v>
      </c>
      <c r="R515">
        <f t="shared" si="156"/>
        <v>514</v>
      </c>
      <c r="S515">
        <f t="shared" si="157"/>
        <v>1.7353361945636396</v>
      </c>
      <c r="T515">
        <f t="shared" si="158"/>
        <v>0</v>
      </c>
      <c r="U515">
        <v>515</v>
      </c>
      <c r="V515">
        <f t="shared" si="159"/>
        <v>514</v>
      </c>
      <c r="W515">
        <f t="shared" si="160"/>
        <v>1.7048338655558708</v>
      </c>
      <c r="X515">
        <f t="shared" si="161"/>
        <v>6.4805860110755301E-2</v>
      </c>
    </row>
    <row r="516" spans="1:24">
      <c r="A516">
        <v>516</v>
      </c>
      <c r="B516">
        <f t="shared" si="144"/>
        <v>515</v>
      </c>
      <c r="C516">
        <f t="shared" si="145"/>
        <v>0.71653015833144607</v>
      </c>
      <c r="D516">
        <f t="shared" si="146"/>
        <v>1.9572645941803399</v>
      </c>
      <c r="E516">
        <v>516</v>
      </c>
      <c r="F516">
        <f t="shared" si="147"/>
        <v>515</v>
      </c>
      <c r="G516">
        <f t="shared" si="148"/>
        <v>0.68615681338940149</v>
      </c>
      <c r="H516">
        <f t="shared" si="149"/>
        <v>1.89312269655345</v>
      </c>
      <c r="I516">
        <v>516</v>
      </c>
      <c r="J516">
        <f t="shared" si="150"/>
        <v>515</v>
      </c>
      <c r="K516">
        <f t="shared" si="151"/>
        <v>1.6105936268315175</v>
      </c>
      <c r="L516">
        <f t="shared" si="152"/>
        <v>1.73354968324846</v>
      </c>
      <c r="M516">
        <v>516</v>
      </c>
      <c r="N516">
        <f t="shared" si="153"/>
        <v>515</v>
      </c>
      <c r="O516">
        <f t="shared" si="154"/>
        <v>0.61657591849544402</v>
      </c>
      <c r="P516">
        <f t="shared" si="155"/>
        <v>0.74618298195866595</v>
      </c>
      <c r="Q516">
        <v>516</v>
      </c>
      <c r="R516">
        <f t="shared" si="156"/>
        <v>515</v>
      </c>
      <c r="S516">
        <f t="shared" si="157"/>
        <v>1.7367668097281603</v>
      </c>
      <c r="T516">
        <f t="shared" si="158"/>
        <v>1</v>
      </c>
      <c r="U516">
        <v>516</v>
      </c>
      <c r="V516">
        <f t="shared" si="159"/>
        <v>515</v>
      </c>
      <c r="W516">
        <f t="shared" si="160"/>
        <v>1.7060790562279429</v>
      </c>
      <c r="X516">
        <f t="shared" si="161"/>
        <v>0.93519413988924505</v>
      </c>
    </row>
    <row r="517" spans="1:24">
      <c r="A517">
        <v>517</v>
      </c>
      <c r="B517">
        <f t="shared" si="144"/>
        <v>516</v>
      </c>
      <c r="C517">
        <f t="shared" si="145"/>
        <v>0.7178384976567117</v>
      </c>
      <c r="D517">
        <f t="shared" si="146"/>
        <v>1.0427354058196601</v>
      </c>
      <c r="E517">
        <v>517</v>
      </c>
      <c r="F517">
        <f t="shared" si="147"/>
        <v>516</v>
      </c>
      <c r="G517">
        <f t="shared" si="148"/>
        <v>0.6872816279718148</v>
      </c>
      <c r="H517">
        <f t="shared" si="149"/>
        <v>1.10687730344655</v>
      </c>
      <c r="I517">
        <v>517</v>
      </c>
      <c r="J517">
        <f t="shared" si="150"/>
        <v>516</v>
      </c>
      <c r="K517">
        <f t="shared" si="151"/>
        <v>1.611261866268566</v>
      </c>
      <c r="L517">
        <f t="shared" si="152"/>
        <v>1.26645031675154</v>
      </c>
      <c r="M517">
        <v>517</v>
      </c>
      <c r="N517">
        <f t="shared" si="153"/>
        <v>516</v>
      </c>
      <c r="O517">
        <f t="shared" si="154"/>
        <v>0.61728030470991802</v>
      </c>
      <c r="P517">
        <f t="shared" si="155"/>
        <v>0.253817018041334</v>
      </c>
      <c r="Q517">
        <v>517</v>
      </c>
      <c r="R517">
        <f t="shared" si="156"/>
        <v>516</v>
      </c>
      <c r="S517">
        <f t="shared" si="157"/>
        <v>1.738197424892681</v>
      </c>
      <c r="T517">
        <f t="shared" si="158"/>
        <v>0</v>
      </c>
      <c r="U517">
        <v>517</v>
      </c>
      <c r="V517">
        <f t="shared" si="159"/>
        <v>516</v>
      </c>
      <c r="W517">
        <f t="shared" si="160"/>
        <v>1.7073242469000152</v>
      </c>
      <c r="X517">
        <f t="shared" si="161"/>
        <v>6.4805860110755301E-2</v>
      </c>
    </row>
    <row r="518" spans="1:24">
      <c r="A518">
        <v>518</v>
      </c>
      <c r="B518">
        <f t="shared" si="144"/>
        <v>517</v>
      </c>
      <c r="C518">
        <f t="shared" si="145"/>
        <v>0.71914683698197723</v>
      </c>
      <c r="D518">
        <f t="shared" si="146"/>
        <v>1.9572645941803399</v>
      </c>
      <c r="E518">
        <v>518</v>
      </c>
      <c r="F518">
        <f t="shared" si="147"/>
        <v>517</v>
      </c>
      <c r="G518">
        <f t="shared" si="148"/>
        <v>0.688406442554228</v>
      </c>
      <c r="H518">
        <f t="shared" si="149"/>
        <v>1.89312269655345</v>
      </c>
      <c r="I518">
        <v>518</v>
      </c>
      <c r="J518">
        <f t="shared" si="150"/>
        <v>517</v>
      </c>
      <c r="K518">
        <f t="shared" si="151"/>
        <v>1.6119301057056146</v>
      </c>
      <c r="L518">
        <f t="shared" si="152"/>
        <v>1.73354968324846</v>
      </c>
      <c r="M518">
        <v>518</v>
      </c>
      <c r="N518">
        <f t="shared" si="153"/>
        <v>517</v>
      </c>
      <c r="O518">
        <f t="shared" si="154"/>
        <v>0.61798469092439201</v>
      </c>
      <c r="P518">
        <f t="shared" si="155"/>
        <v>0.74618298195866595</v>
      </c>
      <c r="Q518">
        <v>518</v>
      </c>
      <c r="R518">
        <f t="shared" si="156"/>
        <v>517</v>
      </c>
      <c r="S518">
        <f t="shared" si="157"/>
        <v>1.7396280400572017</v>
      </c>
      <c r="T518">
        <f t="shared" si="158"/>
        <v>1</v>
      </c>
      <c r="U518">
        <v>518</v>
      </c>
      <c r="V518">
        <f t="shared" si="159"/>
        <v>517</v>
      </c>
      <c r="W518">
        <f t="shared" si="160"/>
        <v>1.7085694375720872</v>
      </c>
      <c r="X518">
        <f t="shared" si="161"/>
        <v>0.93519413988924505</v>
      </c>
    </row>
    <row r="519" spans="1:24">
      <c r="A519">
        <v>519</v>
      </c>
      <c r="B519">
        <f t="shared" si="144"/>
        <v>518</v>
      </c>
      <c r="C519">
        <f t="shared" si="145"/>
        <v>0.72045517630724287</v>
      </c>
      <c r="D519">
        <f t="shared" si="146"/>
        <v>1.0427354058196601</v>
      </c>
      <c r="E519">
        <v>519</v>
      </c>
      <c r="F519">
        <f t="shared" si="147"/>
        <v>518</v>
      </c>
      <c r="G519">
        <f t="shared" si="148"/>
        <v>0.68953125713664132</v>
      </c>
      <c r="H519">
        <f t="shared" si="149"/>
        <v>1.10687730344655</v>
      </c>
      <c r="I519">
        <v>519</v>
      </c>
      <c r="J519">
        <f t="shared" si="150"/>
        <v>518</v>
      </c>
      <c r="K519">
        <f t="shared" si="151"/>
        <v>1.6125983451426629</v>
      </c>
      <c r="L519">
        <f t="shared" si="152"/>
        <v>1.26645031675154</v>
      </c>
      <c r="M519">
        <v>519</v>
      </c>
      <c r="N519">
        <f t="shared" si="153"/>
        <v>518</v>
      </c>
      <c r="O519">
        <f t="shared" si="154"/>
        <v>0.61868907713886601</v>
      </c>
      <c r="P519">
        <f t="shared" si="155"/>
        <v>0.253817018041334</v>
      </c>
      <c r="Q519">
        <v>519</v>
      </c>
      <c r="R519">
        <f t="shared" si="156"/>
        <v>518</v>
      </c>
      <c r="S519">
        <f t="shared" si="157"/>
        <v>1.7410586552217224</v>
      </c>
      <c r="T519">
        <f t="shared" si="158"/>
        <v>0</v>
      </c>
      <c r="U519">
        <v>519</v>
      </c>
      <c r="V519">
        <f t="shared" si="159"/>
        <v>518</v>
      </c>
      <c r="W519">
        <f t="shared" si="160"/>
        <v>1.7098146282441595</v>
      </c>
      <c r="X519">
        <f t="shared" si="161"/>
        <v>6.4805860110755301E-2</v>
      </c>
    </row>
    <row r="520" spans="1:24">
      <c r="A520">
        <v>520</v>
      </c>
      <c r="B520">
        <f t="shared" si="144"/>
        <v>519</v>
      </c>
      <c r="C520">
        <f t="shared" si="145"/>
        <v>0.72176351563250851</v>
      </c>
      <c r="D520">
        <f t="shared" si="146"/>
        <v>1.9572645941803399</v>
      </c>
      <c r="E520">
        <v>520</v>
      </c>
      <c r="F520">
        <f t="shared" si="147"/>
        <v>519</v>
      </c>
      <c r="G520">
        <f t="shared" si="148"/>
        <v>0.69065607171905463</v>
      </c>
      <c r="H520">
        <f t="shared" si="149"/>
        <v>1.89312269655345</v>
      </c>
      <c r="I520">
        <v>520</v>
      </c>
      <c r="J520">
        <f t="shared" si="150"/>
        <v>519</v>
      </c>
      <c r="K520">
        <f t="shared" si="151"/>
        <v>1.6132665845797114</v>
      </c>
      <c r="L520">
        <f t="shared" si="152"/>
        <v>1.73354968324846</v>
      </c>
      <c r="M520">
        <v>520</v>
      </c>
      <c r="N520">
        <f t="shared" si="153"/>
        <v>519</v>
      </c>
      <c r="O520">
        <f t="shared" si="154"/>
        <v>0.61939346335334</v>
      </c>
      <c r="P520">
        <f t="shared" si="155"/>
        <v>0.74618298195866595</v>
      </c>
      <c r="Q520">
        <v>520</v>
      </c>
      <c r="R520">
        <f t="shared" si="156"/>
        <v>519</v>
      </c>
      <c r="S520">
        <f t="shared" si="157"/>
        <v>1.7424892703862431</v>
      </c>
      <c r="T520">
        <f t="shared" si="158"/>
        <v>1</v>
      </c>
      <c r="U520">
        <v>520</v>
      </c>
      <c r="V520">
        <f t="shared" si="159"/>
        <v>519</v>
      </c>
      <c r="W520">
        <f t="shared" si="160"/>
        <v>1.7110598189162318</v>
      </c>
      <c r="X520">
        <f t="shared" si="161"/>
        <v>0.93519413988924505</v>
      </c>
    </row>
    <row r="521" spans="1:24">
      <c r="A521">
        <v>521</v>
      </c>
      <c r="B521">
        <f t="shared" si="144"/>
        <v>520</v>
      </c>
      <c r="C521">
        <f t="shared" si="145"/>
        <v>0.72307185495777404</v>
      </c>
      <c r="D521">
        <f t="shared" si="146"/>
        <v>1.0427354058196601</v>
      </c>
      <c r="E521">
        <v>521</v>
      </c>
      <c r="F521">
        <f t="shared" si="147"/>
        <v>520</v>
      </c>
      <c r="G521">
        <f t="shared" si="148"/>
        <v>0.69178088630146795</v>
      </c>
      <c r="H521">
        <f t="shared" si="149"/>
        <v>1.10687730344655</v>
      </c>
      <c r="I521">
        <v>521</v>
      </c>
      <c r="J521">
        <f t="shared" si="150"/>
        <v>520</v>
      </c>
      <c r="K521">
        <f t="shared" si="151"/>
        <v>1.6139348240167599</v>
      </c>
      <c r="L521">
        <f t="shared" si="152"/>
        <v>1.26645031675154</v>
      </c>
      <c r="M521">
        <v>521</v>
      </c>
      <c r="N521">
        <f t="shared" si="153"/>
        <v>520</v>
      </c>
      <c r="O521">
        <f t="shared" si="154"/>
        <v>0.620097849567814</v>
      </c>
      <c r="P521">
        <f t="shared" si="155"/>
        <v>0.253817018041334</v>
      </c>
      <c r="Q521">
        <v>521</v>
      </c>
      <c r="R521">
        <f t="shared" si="156"/>
        <v>520</v>
      </c>
      <c r="S521">
        <f t="shared" si="157"/>
        <v>1.7439198855507638</v>
      </c>
      <c r="T521">
        <f t="shared" si="158"/>
        <v>0</v>
      </c>
      <c r="U521">
        <v>521</v>
      </c>
      <c r="V521">
        <f t="shared" si="159"/>
        <v>520</v>
      </c>
      <c r="W521">
        <f t="shared" si="160"/>
        <v>1.7123050095883039</v>
      </c>
      <c r="X521">
        <f t="shared" si="161"/>
        <v>6.4805860110755301E-2</v>
      </c>
    </row>
    <row r="522" spans="1:24">
      <c r="A522">
        <v>522</v>
      </c>
      <c r="B522">
        <f t="shared" si="144"/>
        <v>521</v>
      </c>
      <c r="C522">
        <f t="shared" si="145"/>
        <v>0.72438019428303968</v>
      </c>
      <c r="D522">
        <f t="shared" si="146"/>
        <v>1.9572645941803399</v>
      </c>
      <c r="E522">
        <v>522</v>
      </c>
      <c r="F522">
        <f t="shared" si="147"/>
        <v>521</v>
      </c>
      <c r="G522">
        <f t="shared" si="148"/>
        <v>0.69290570088388126</v>
      </c>
      <c r="H522">
        <f t="shared" si="149"/>
        <v>1.89312269655345</v>
      </c>
      <c r="I522">
        <v>522</v>
      </c>
      <c r="J522">
        <f t="shared" si="150"/>
        <v>521</v>
      </c>
      <c r="K522">
        <f t="shared" si="151"/>
        <v>1.6146030634538084</v>
      </c>
      <c r="L522">
        <f t="shared" si="152"/>
        <v>1.73354968324846</v>
      </c>
      <c r="M522">
        <v>522</v>
      </c>
      <c r="N522">
        <f t="shared" si="153"/>
        <v>521</v>
      </c>
      <c r="O522">
        <f t="shared" si="154"/>
        <v>0.62080223578228799</v>
      </c>
      <c r="P522">
        <f t="shared" si="155"/>
        <v>0.74618298195866595</v>
      </c>
      <c r="Q522">
        <v>522</v>
      </c>
      <c r="R522">
        <f t="shared" si="156"/>
        <v>521</v>
      </c>
      <c r="S522">
        <f t="shared" si="157"/>
        <v>1.7453505007152845</v>
      </c>
      <c r="T522">
        <f t="shared" si="158"/>
        <v>1</v>
      </c>
      <c r="U522">
        <v>522</v>
      </c>
      <c r="V522">
        <f t="shared" si="159"/>
        <v>521</v>
      </c>
      <c r="W522">
        <f t="shared" si="160"/>
        <v>1.713550200260376</v>
      </c>
      <c r="X522">
        <f t="shared" si="161"/>
        <v>0.93519413988924505</v>
      </c>
    </row>
    <row r="523" spans="1:24">
      <c r="A523">
        <v>523</v>
      </c>
      <c r="B523">
        <f t="shared" si="144"/>
        <v>522</v>
      </c>
      <c r="C523">
        <f t="shared" si="145"/>
        <v>0.72568853360830521</v>
      </c>
      <c r="D523">
        <f t="shared" si="146"/>
        <v>1.0427354058196601</v>
      </c>
      <c r="E523">
        <v>523</v>
      </c>
      <c r="F523">
        <f t="shared" si="147"/>
        <v>522</v>
      </c>
      <c r="G523">
        <f t="shared" si="148"/>
        <v>0.69403051546629457</v>
      </c>
      <c r="H523">
        <f t="shared" si="149"/>
        <v>1.10687730344655</v>
      </c>
      <c r="I523">
        <v>523</v>
      </c>
      <c r="J523">
        <f t="shared" si="150"/>
        <v>522</v>
      </c>
      <c r="K523">
        <f t="shared" si="151"/>
        <v>1.615271302890857</v>
      </c>
      <c r="L523">
        <f t="shared" si="152"/>
        <v>1.26645031675154</v>
      </c>
      <c r="M523">
        <v>523</v>
      </c>
      <c r="N523">
        <f t="shared" si="153"/>
        <v>522</v>
      </c>
      <c r="O523">
        <f t="shared" si="154"/>
        <v>0.62150662199676199</v>
      </c>
      <c r="P523">
        <f t="shared" si="155"/>
        <v>0.253817018041334</v>
      </c>
      <c r="Q523">
        <v>523</v>
      </c>
      <c r="R523">
        <f t="shared" si="156"/>
        <v>522</v>
      </c>
      <c r="S523">
        <f t="shared" si="157"/>
        <v>1.7467811158798052</v>
      </c>
      <c r="T523">
        <f t="shared" si="158"/>
        <v>0</v>
      </c>
      <c r="U523">
        <v>523</v>
      </c>
      <c r="V523">
        <f t="shared" si="159"/>
        <v>522</v>
      </c>
      <c r="W523">
        <f t="shared" si="160"/>
        <v>1.7147953909324483</v>
      </c>
      <c r="X523">
        <f t="shared" si="161"/>
        <v>6.4805860110755301E-2</v>
      </c>
    </row>
    <row r="524" spans="1:24">
      <c r="A524">
        <v>524</v>
      </c>
      <c r="B524">
        <f t="shared" si="144"/>
        <v>523</v>
      </c>
      <c r="C524">
        <f t="shared" si="145"/>
        <v>0.72699687293357085</v>
      </c>
      <c r="D524">
        <f t="shared" si="146"/>
        <v>1.9572645941803399</v>
      </c>
      <c r="E524">
        <v>524</v>
      </c>
      <c r="F524">
        <f t="shared" si="147"/>
        <v>523</v>
      </c>
      <c r="G524">
        <f t="shared" si="148"/>
        <v>0.69515533004870789</v>
      </c>
      <c r="H524">
        <f t="shared" si="149"/>
        <v>1.89312269655345</v>
      </c>
      <c r="I524">
        <v>524</v>
      </c>
      <c r="J524">
        <f t="shared" si="150"/>
        <v>523</v>
      </c>
      <c r="K524">
        <f t="shared" si="151"/>
        <v>1.6159395423279055</v>
      </c>
      <c r="L524">
        <f t="shared" si="152"/>
        <v>1.73354968324846</v>
      </c>
      <c r="M524">
        <v>524</v>
      </c>
      <c r="N524">
        <f t="shared" si="153"/>
        <v>523</v>
      </c>
      <c r="O524">
        <f t="shared" si="154"/>
        <v>0.62221100821123598</v>
      </c>
      <c r="P524">
        <f t="shared" si="155"/>
        <v>0.74618298195866595</v>
      </c>
      <c r="Q524">
        <v>524</v>
      </c>
      <c r="R524">
        <f t="shared" si="156"/>
        <v>523</v>
      </c>
      <c r="S524">
        <f t="shared" si="157"/>
        <v>1.7482117310443259</v>
      </c>
      <c r="T524">
        <f t="shared" si="158"/>
        <v>1</v>
      </c>
      <c r="U524">
        <v>524</v>
      </c>
      <c r="V524">
        <f t="shared" si="159"/>
        <v>523</v>
      </c>
      <c r="W524">
        <f t="shared" si="160"/>
        <v>1.7160405816045206</v>
      </c>
      <c r="X524">
        <f t="shared" si="161"/>
        <v>0.93519413988924505</v>
      </c>
    </row>
    <row r="525" spans="1:24">
      <c r="A525">
        <v>525</v>
      </c>
      <c r="B525">
        <f t="shared" si="144"/>
        <v>524</v>
      </c>
      <c r="C525">
        <f t="shared" si="145"/>
        <v>0.72830521225883649</v>
      </c>
      <c r="D525">
        <f t="shared" si="146"/>
        <v>1.0427354058196601</v>
      </c>
      <c r="E525">
        <v>525</v>
      </c>
      <c r="F525">
        <f t="shared" si="147"/>
        <v>524</v>
      </c>
      <c r="G525">
        <f t="shared" si="148"/>
        <v>0.69628014463112109</v>
      </c>
      <c r="H525">
        <f t="shared" si="149"/>
        <v>1.10687730344655</v>
      </c>
      <c r="I525">
        <v>525</v>
      </c>
      <c r="J525">
        <f t="shared" si="150"/>
        <v>524</v>
      </c>
      <c r="K525">
        <f t="shared" si="151"/>
        <v>1.616607781764954</v>
      </c>
      <c r="L525">
        <f t="shared" si="152"/>
        <v>1.26645031675154</v>
      </c>
      <c r="M525">
        <v>525</v>
      </c>
      <c r="N525">
        <f t="shared" si="153"/>
        <v>524</v>
      </c>
      <c r="O525">
        <f t="shared" si="154"/>
        <v>0.62291539442570998</v>
      </c>
      <c r="P525">
        <f t="shared" si="155"/>
        <v>0.253817018041334</v>
      </c>
      <c r="Q525">
        <v>525</v>
      </c>
      <c r="R525">
        <f t="shared" si="156"/>
        <v>524</v>
      </c>
      <c r="S525">
        <f t="shared" si="157"/>
        <v>1.7496423462088466</v>
      </c>
      <c r="T525">
        <f t="shared" si="158"/>
        <v>0</v>
      </c>
      <c r="U525">
        <v>525</v>
      </c>
      <c r="V525">
        <f t="shared" si="159"/>
        <v>524</v>
      </c>
      <c r="W525">
        <f t="shared" si="160"/>
        <v>1.7172857722765928</v>
      </c>
      <c r="X525">
        <f t="shared" si="161"/>
        <v>6.4805860110755301E-2</v>
      </c>
    </row>
    <row r="526" spans="1:24">
      <c r="A526">
        <v>526</v>
      </c>
      <c r="B526">
        <f t="shared" si="144"/>
        <v>525</v>
      </c>
      <c r="C526">
        <f t="shared" si="145"/>
        <v>0.72961355158410202</v>
      </c>
      <c r="D526">
        <f t="shared" si="146"/>
        <v>1.9572645941803399</v>
      </c>
      <c r="E526">
        <v>526</v>
      </c>
      <c r="F526">
        <f t="shared" si="147"/>
        <v>525</v>
      </c>
      <c r="G526">
        <f t="shared" si="148"/>
        <v>0.6974049592135344</v>
      </c>
      <c r="H526">
        <f t="shared" si="149"/>
        <v>1.89312269655345</v>
      </c>
      <c r="I526">
        <v>526</v>
      </c>
      <c r="J526">
        <f t="shared" si="150"/>
        <v>525</v>
      </c>
      <c r="K526">
        <f t="shared" si="151"/>
        <v>1.6172760212020025</v>
      </c>
      <c r="L526">
        <f t="shared" si="152"/>
        <v>1.73354968324846</v>
      </c>
      <c r="M526">
        <v>526</v>
      </c>
      <c r="N526">
        <f t="shared" si="153"/>
        <v>525</v>
      </c>
      <c r="O526">
        <f t="shared" si="154"/>
        <v>0.62361978064018397</v>
      </c>
      <c r="P526">
        <f t="shared" si="155"/>
        <v>0.74618298195866595</v>
      </c>
      <c r="Q526">
        <v>526</v>
      </c>
      <c r="R526">
        <f t="shared" si="156"/>
        <v>525</v>
      </c>
      <c r="S526">
        <f t="shared" si="157"/>
        <v>1.7510729613733673</v>
      </c>
      <c r="T526">
        <f t="shared" si="158"/>
        <v>1</v>
      </c>
      <c r="U526">
        <v>526</v>
      </c>
      <c r="V526">
        <f t="shared" si="159"/>
        <v>525</v>
      </c>
      <c r="W526">
        <f t="shared" si="160"/>
        <v>1.7185309629486649</v>
      </c>
      <c r="X526">
        <f t="shared" si="161"/>
        <v>0.93519413988924505</v>
      </c>
    </row>
    <row r="527" spans="1:24">
      <c r="A527">
        <v>527</v>
      </c>
      <c r="B527">
        <f t="shared" si="144"/>
        <v>526</v>
      </c>
      <c r="C527">
        <f t="shared" si="145"/>
        <v>0.73092189090936766</v>
      </c>
      <c r="D527">
        <f t="shared" si="146"/>
        <v>1.0427354058196601</v>
      </c>
      <c r="E527">
        <v>527</v>
      </c>
      <c r="F527">
        <f t="shared" si="147"/>
        <v>526</v>
      </c>
      <c r="G527">
        <f t="shared" si="148"/>
        <v>0.69852977379594772</v>
      </c>
      <c r="H527">
        <f t="shared" si="149"/>
        <v>1.10687730344655</v>
      </c>
      <c r="I527">
        <v>527</v>
      </c>
      <c r="J527">
        <f t="shared" si="150"/>
        <v>526</v>
      </c>
      <c r="K527">
        <f t="shared" si="151"/>
        <v>1.6179442606390508</v>
      </c>
      <c r="L527">
        <f t="shared" si="152"/>
        <v>1.26645031675154</v>
      </c>
      <c r="M527">
        <v>527</v>
      </c>
      <c r="N527">
        <f t="shared" si="153"/>
        <v>526</v>
      </c>
      <c r="O527">
        <f t="shared" si="154"/>
        <v>0.62432416685465797</v>
      </c>
      <c r="P527">
        <f t="shared" si="155"/>
        <v>0.253817018041334</v>
      </c>
      <c r="Q527">
        <v>527</v>
      </c>
      <c r="R527">
        <f t="shared" si="156"/>
        <v>526</v>
      </c>
      <c r="S527">
        <f t="shared" si="157"/>
        <v>1.752503576537888</v>
      </c>
      <c r="T527">
        <f t="shared" si="158"/>
        <v>0</v>
      </c>
      <c r="U527">
        <v>527</v>
      </c>
      <c r="V527">
        <f t="shared" si="159"/>
        <v>526</v>
      </c>
      <c r="W527">
        <f t="shared" si="160"/>
        <v>1.719776153620737</v>
      </c>
      <c r="X527">
        <f t="shared" si="161"/>
        <v>6.4805860110755301E-2</v>
      </c>
    </row>
    <row r="528" spans="1:24">
      <c r="A528">
        <v>528</v>
      </c>
      <c r="B528">
        <f t="shared" si="144"/>
        <v>527</v>
      </c>
      <c r="C528">
        <f t="shared" si="145"/>
        <v>0.73223023023463329</v>
      </c>
      <c r="D528">
        <f t="shared" si="146"/>
        <v>1.9572645941803399</v>
      </c>
      <c r="E528">
        <v>528</v>
      </c>
      <c r="F528">
        <f t="shared" si="147"/>
        <v>527</v>
      </c>
      <c r="G528">
        <f t="shared" si="148"/>
        <v>0.69965458837836103</v>
      </c>
      <c r="H528">
        <f t="shared" si="149"/>
        <v>1.89312269655345</v>
      </c>
      <c r="I528">
        <v>528</v>
      </c>
      <c r="J528">
        <f t="shared" si="150"/>
        <v>527</v>
      </c>
      <c r="K528">
        <f t="shared" si="151"/>
        <v>1.6186125000760994</v>
      </c>
      <c r="L528">
        <f t="shared" si="152"/>
        <v>1.73354968324846</v>
      </c>
      <c r="M528">
        <v>528</v>
      </c>
      <c r="N528">
        <f t="shared" si="153"/>
        <v>527</v>
      </c>
      <c r="O528">
        <f t="shared" si="154"/>
        <v>0.62502855306913196</v>
      </c>
      <c r="P528">
        <f t="shared" si="155"/>
        <v>0.74618298195866595</v>
      </c>
      <c r="Q528">
        <v>528</v>
      </c>
      <c r="R528">
        <f t="shared" si="156"/>
        <v>527</v>
      </c>
      <c r="S528">
        <f t="shared" si="157"/>
        <v>1.7539341917024087</v>
      </c>
      <c r="T528">
        <f t="shared" si="158"/>
        <v>1</v>
      </c>
      <c r="U528">
        <v>528</v>
      </c>
      <c r="V528">
        <f t="shared" si="159"/>
        <v>527</v>
      </c>
      <c r="W528">
        <f t="shared" si="160"/>
        <v>1.7210213442928093</v>
      </c>
      <c r="X528">
        <f t="shared" si="161"/>
        <v>0.93519413988924505</v>
      </c>
    </row>
    <row r="529" spans="1:24">
      <c r="A529">
        <v>529</v>
      </c>
      <c r="B529">
        <f t="shared" si="144"/>
        <v>528</v>
      </c>
      <c r="C529">
        <f t="shared" si="145"/>
        <v>0.73353856955989882</v>
      </c>
      <c r="D529">
        <f t="shared" si="146"/>
        <v>1.0427354058196601</v>
      </c>
      <c r="E529">
        <v>529</v>
      </c>
      <c r="F529">
        <f t="shared" si="147"/>
        <v>528</v>
      </c>
      <c r="G529">
        <f t="shared" si="148"/>
        <v>0.70077940296077434</v>
      </c>
      <c r="H529">
        <f t="shared" si="149"/>
        <v>1.10687730344655</v>
      </c>
      <c r="I529">
        <v>529</v>
      </c>
      <c r="J529">
        <f t="shared" si="150"/>
        <v>528</v>
      </c>
      <c r="K529">
        <f t="shared" si="151"/>
        <v>1.6192807395131479</v>
      </c>
      <c r="L529">
        <f t="shared" si="152"/>
        <v>1.26645031675154</v>
      </c>
      <c r="M529">
        <v>529</v>
      </c>
      <c r="N529">
        <f t="shared" si="153"/>
        <v>528</v>
      </c>
      <c r="O529">
        <f t="shared" si="154"/>
        <v>0.62573293928360596</v>
      </c>
      <c r="P529">
        <f t="shared" si="155"/>
        <v>0.253817018041334</v>
      </c>
      <c r="Q529">
        <v>529</v>
      </c>
      <c r="R529">
        <f t="shared" si="156"/>
        <v>528</v>
      </c>
      <c r="S529">
        <f t="shared" si="157"/>
        <v>1.7553648068669294</v>
      </c>
      <c r="T529">
        <f t="shared" si="158"/>
        <v>0</v>
      </c>
      <c r="U529">
        <v>529</v>
      </c>
      <c r="V529">
        <f t="shared" si="159"/>
        <v>528</v>
      </c>
      <c r="W529">
        <f t="shared" si="160"/>
        <v>1.7222665349648816</v>
      </c>
      <c r="X529">
        <f t="shared" si="161"/>
        <v>6.4805860110755301E-2</v>
      </c>
    </row>
    <row r="530" spans="1:24">
      <c r="A530">
        <v>530</v>
      </c>
      <c r="B530">
        <f t="shared" si="144"/>
        <v>529</v>
      </c>
      <c r="C530">
        <f t="shared" si="145"/>
        <v>0.73484690888516446</v>
      </c>
      <c r="D530">
        <f t="shared" si="146"/>
        <v>1.9572645941803399</v>
      </c>
      <c r="E530">
        <v>530</v>
      </c>
      <c r="F530">
        <f t="shared" si="147"/>
        <v>529</v>
      </c>
      <c r="G530">
        <f t="shared" si="148"/>
        <v>0.70190421754318766</v>
      </c>
      <c r="H530">
        <f t="shared" si="149"/>
        <v>1.89312269655345</v>
      </c>
      <c r="I530">
        <v>530</v>
      </c>
      <c r="J530">
        <f t="shared" si="150"/>
        <v>529</v>
      </c>
      <c r="K530">
        <f t="shared" si="151"/>
        <v>1.6199489789501964</v>
      </c>
      <c r="L530">
        <f t="shared" si="152"/>
        <v>1.73354968324846</v>
      </c>
      <c r="M530">
        <v>530</v>
      </c>
      <c r="N530">
        <f t="shared" si="153"/>
        <v>529</v>
      </c>
      <c r="O530">
        <f t="shared" si="154"/>
        <v>0.62643732549807996</v>
      </c>
      <c r="P530">
        <f t="shared" si="155"/>
        <v>0.74618298195866595</v>
      </c>
      <c r="Q530">
        <v>530</v>
      </c>
      <c r="R530">
        <f t="shared" si="156"/>
        <v>529</v>
      </c>
      <c r="S530">
        <f t="shared" si="157"/>
        <v>1.7567954220314501</v>
      </c>
      <c r="T530">
        <f t="shared" si="158"/>
        <v>1</v>
      </c>
      <c r="U530">
        <v>530</v>
      </c>
      <c r="V530">
        <f t="shared" si="159"/>
        <v>529</v>
      </c>
      <c r="W530">
        <f t="shared" si="160"/>
        <v>1.7235117256369539</v>
      </c>
      <c r="X530">
        <f t="shared" si="161"/>
        <v>0.93519413988924505</v>
      </c>
    </row>
    <row r="531" spans="1:24">
      <c r="A531">
        <v>531</v>
      </c>
      <c r="B531">
        <f t="shared" si="144"/>
        <v>530</v>
      </c>
      <c r="C531">
        <f t="shared" si="145"/>
        <v>0.7361552482104301</v>
      </c>
      <c r="D531">
        <f t="shared" si="146"/>
        <v>1.0427354058196601</v>
      </c>
      <c r="E531">
        <v>531</v>
      </c>
      <c r="F531">
        <f t="shared" si="147"/>
        <v>530</v>
      </c>
      <c r="G531">
        <f t="shared" si="148"/>
        <v>0.70302903212560097</v>
      </c>
      <c r="H531">
        <f t="shared" si="149"/>
        <v>1.10687730344655</v>
      </c>
      <c r="I531">
        <v>531</v>
      </c>
      <c r="J531">
        <f t="shared" si="150"/>
        <v>530</v>
      </c>
      <c r="K531">
        <f t="shared" si="151"/>
        <v>1.6206172183872449</v>
      </c>
      <c r="L531">
        <f t="shared" si="152"/>
        <v>1.26645031675154</v>
      </c>
      <c r="M531">
        <v>531</v>
      </c>
      <c r="N531">
        <f t="shared" si="153"/>
        <v>530</v>
      </c>
      <c r="O531">
        <f t="shared" si="154"/>
        <v>0.62714171171255395</v>
      </c>
      <c r="P531">
        <f t="shared" si="155"/>
        <v>0.253817018041334</v>
      </c>
      <c r="Q531">
        <v>531</v>
      </c>
      <c r="R531">
        <f t="shared" si="156"/>
        <v>530</v>
      </c>
      <c r="S531">
        <f t="shared" si="157"/>
        <v>1.7582260371959708</v>
      </c>
      <c r="T531">
        <f t="shared" si="158"/>
        <v>0</v>
      </c>
      <c r="U531">
        <v>531</v>
      </c>
      <c r="V531">
        <f t="shared" si="159"/>
        <v>530</v>
      </c>
      <c r="W531">
        <f t="shared" si="160"/>
        <v>1.7247569163090259</v>
      </c>
      <c r="X531">
        <f t="shared" si="161"/>
        <v>6.4805860110755301E-2</v>
      </c>
    </row>
    <row r="532" spans="1:24">
      <c r="A532">
        <v>532</v>
      </c>
      <c r="B532">
        <f t="shared" si="144"/>
        <v>531</v>
      </c>
      <c r="C532">
        <f t="shared" si="145"/>
        <v>0.73746358753569563</v>
      </c>
      <c r="D532">
        <f t="shared" si="146"/>
        <v>1.9572645941803399</v>
      </c>
      <c r="E532">
        <v>532</v>
      </c>
      <c r="F532">
        <f t="shared" si="147"/>
        <v>531</v>
      </c>
      <c r="G532">
        <f t="shared" si="148"/>
        <v>0.70415384670801429</v>
      </c>
      <c r="H532">
        <f t="shared" si="149"/>
        <v>1.89312269655345</v>
      </c>
      <c r="I532">
        <v>532</v>
      </c>
      <c r="J532">
        <f t="shared" si="150"/>
        <v>531</v>
      </c>
      <c r="K532">
        <f t="shared" si="151"/>
        <v>1.6212854578242935</v>
      </c>
      <c r="L532">
        <f t="shared" si="152"/>
        <v>1.73354968324846</v>
      </c>
      <c r="M532">
        <v>532</v>
      </c>
      <c r="N532">
        <f t="shared" si="153"/>
        <v>531</v>
      </c>
      <c r="O532">
        <f t="shared" si="154"/>
        <v>0.62784609792702795</v>
      </c>
      <c r="P532">
        <f t="shared" si="155"/>
        <v>0.74618298195866595</v>
      </c>
      <c r="Q532">
        <v>532</v>
      </c>
      <c r="R532">
        <f t="shared" si="156"/>
        <v>531</v>
      </c>
      <c r="S532">
        <f t="shared" si="157"/>
        <v>1.7596566523604915</v>
      </c>
      <c r="T532">
        <f t="shared" si="158"/>
        <v>1</v>
      </c>
      <c r="U532">
        <v>532</v>
      </c>
      <c r="V532">
        <f t="shared" si="159"/>
        <v>531</v>
      </c>
      <c r="W532">
        <f t="shared" si="160"/>
        <v>1.726002106981098</v>
      </c>
      <c r="X532">
        <f t="shared" si="161"/>
        <v>0.93519413988924505</v>
      </c>
    </row>
    <row r="533" spans="1:24">
      <c r="A533">
        <v>533</v>
      </c>
      <c r="B533">
        <f t="shared" si="144"/>
        <v>532</v>
      </c>
      <c r="C533">
        <f t="shared" si="145"/>
        <v>0.73877192686096127</v>
      </c>
      <c r="D533">
        <f t="shared" si="146"/>
        <v>1.0427354058196601</v>
      </c>
      <c r="E533">
        <v>533</v>
      </c>
      <c r="F533">
        <f t="shared" si="147"/>
        <v>532</v>
      </c>
      <c r="G533">
        <f t="shared" si="148"/>
        <v>0.7052786612904276</v>
      </c>
      <c r="H533">
        <f t="shared" si="149"/>
        <v>1.10687730344655</v>
      </c>
      <c r="I533">
        <v>533</v>
      </c>
      <c r="J533">
        <f t="shared" si="150"/>
        <v>532</v>
      </c>
      <c r="K533">
        <f t="shared" si="151"/>
        <v>1.621953697261342</v>
      </c>
      <c r="L533">
        <f t="shared" si="152"/>
        <v>1.26645031675154</v>
      </c>
      <c r="M533">
        <v>533</v>
      </c>
      <c r="N533">
        <f t="shared" si="153"/>
        <v>532</v>
      </c>
      <c r="O533">
        <f t="shared" si="154"/>
        <v>0.62855048414150194</v>
      </c>
      <c r="P533">
        <f t="shared" si="155"/>
        <v>0.253817018041334</v>
      </c>
      <c r="Q533">
        <v>533</v>
      </c>
      <c r="R533">
        <f t="shared" si="156"/>
        <v>532</v>
      </c>
      <c r="S533">
        <f t="shared" si="157"/>
        <v>1.7610872675250122</v>
      </c>
      <c r="T533">
        <f t="shared" si="158"/>
        <v>0</v>
      </c>
      <c r="U533">
        <v>533</v>
      </c>
      <c r="V533">
        <f t="shared" si="159"/>
        <v>532</v>
      </c>
      <c r="W533">
        <f t="shared" si="160"/>
        <v>1.7272472976531703</v>
      </c>
      <c r="X533">
        <f t="shared" si="161"/>
        <v>6.4805860110755301E-2</v>
      </c>
    </row>
    <row r="534" spans="1:24">
      <c r="A534">
        <v>534</v>
      </c>
      <c r="B534">
        <f t="shared" si="144"/>
        <v>533</v>
      </c>
      <c r="C534">
        <f t="shared" si="145"/>
        <v>0.74008026618622691</v>
      </c>
      <c r="D534">
        <f t="shared" si="146"/>
        <v>1.9572645941803399</v>
      </c>
      <c r="E534">
        <v>534</v>
      </c>
      <c r="F534">
        <f t="shared" si="147"/>
        <v>533</v>
      </c>
      <c r="G534">
        <f t="shared" si="148"/>
        <v>0.7064034758728408</v>
      </c>
      <c r="H534">
        <f t="shared" si="149"/>
        <v>1.89312269655345</v>
      </c>
      <c r="I534">
        <v>534</v>
      </c>
      <c r="J534">
        <f t="shared" si="150"/>
        <v>533</v>
      </c>
      <c r="K534">
        <f t="shared" si="151"/>
        <v>1.6226219366983905</v>
      </c>
      <c r="L534">
        <f t="shared" si="152"/>
        <v>1.73354968324846</v>
      </c>
      <c r="M534">
        <v>534</v>
      </c>
      <c r="N534">
        <f t="shared" si="153"/>
        <v>533</v>
      </c>
      <c r="O534">
        <f t="shared" si="154"/>
        <v>0.62925487035597594</v>
      </c>
      <c r="P534">
        <f t="shared" si="155"/>
        <v>0.74618298195866595</v>
      </c>
      <c r="Q534">
        <v>534</v>
      </c>
      <c r="R534">
        <f t="shared" si="156"/>
        <v>533</v>
      </c>
      <c r="S534">
        <f t="shared" si="157"/>
        <v>1.7625178826895329</v>
      </c>
      <c r="T534">
        <f t="shared" si="158"/>
        <v>1</v>
      </c>
      <c r="U534">
        <v>534</v>
      </c>
      <c r="V534">
        <f t="shared" si="159"/>
        <v>533</v>
      </c>
      <c r="W534">
        <f t="shared" si="160"/>
        <v>1.7284924883252426</v>
      </c>
      <c r="X534">
        <f t="shared" si="161"/>
        <v>0.93519413988924505</v>
      </c>
    </row>
    <row r="535" spans="1:24">
      <c r="A535">
        <v>535</v>
      </c>
      <c r="B535">
        <f t="shared" si="144"/>
        <v>534</v>
      </c>
      <c r="C535">
        <f t="shared" si="145"/>
        <v>0.74138860551149244</v>
      </c>
      <c r="D535">
        <f t="shared" si="146"/>
        <v>1.0427354058196601</v>
      </c>
      <c r="E535">
        <v>535</v>
      </c>
      <c r="F535">
        <f t="shared" si="147"/>
        <v>534</v>
      </c>
      <c r="G535">
        <f t="shared" si="148"/>
        <v>0.70752829045525412</v>
      </c>
      <c r="H535">
        <f t="shared" si="149"/>
        <v>1.10687730344655</v>
      </c>
      <c r="I535">
        <v>535</v>
      </c>
      <c r="J535">
        <f t="shared" si="150"/>
        <v>534</v>
      </c>
      <c r="K535">
        <f t="shared" si="151"/>
        <v>1.623290176135439</v>
      </c>
      <c r="L535">
        <f t="shared" si="152"/>
        <v>1.26645031675154</v>
      </c>
      <c r="M535">
        <v>535</v>
      </c>
      <c r="N535">
        <f t="shared" si="153"/>
        <v>534</v>
      </c>
      <c r="O535">
        <f t="shared" si="154"/>
        <v>0.62995925657044993</v>
      </c>
      <c r="P535">
        <f t="shared" si="155"/>
        <v>0.253817018041334</v>
      </c>
      <c r="Q535">
        <v>535</v>
      </c>
      <c r="R535">
        <f t="shared" si="156"/>
        <v>534</v>
      </c>
      <c r="S535">
        <f t="shared" si="157"/>
        <v>1.7639484978540536</v>
      </c>
      <c r="T535">
        <f t="shared" si="158"/>
        <v>0</v>
      </c>
      <c r="U535">
        <v>535</v>
      </c>
      <c r="V535">
        <f t="shared" si="159"/>
        <v>534</v>
      </c>
      <c r="W535">
        <f t="shared" si="160"/>
        <v>1.7297376789973147</v>
      </c>
      <c r="X535">
        <f t="shared" si="161"/>
        <v>6.4805860110755301E-2</v>
      </c>
    </row>
    <row r="536" spans="1:24">
      <c r="A536">
        <v>536</v>
      </c>
      <c r="B536">
        <f t="shared" si="144"/>
        <v>535</v>
      </c>
      <c r="C536">
        <f t="shared" si="145"/>
        <v>0.74269694483675808</v>
      </c>
      <c r="D536">
        <f t="shared" si="146"/>
        <v>1.9572645941803399</v>
      </c>
      <c r="E536">
        <v>536</v>
      </c>
      <c r="F536">
        <f t="shared" si="147"/>
        <v>535</v>
      </c>
      <c r="G536">
        <f t="shared" si="148"/>
        <v>0.70865310503766743</v>
      </c>
      <c r="H536">
        <f t="shared" si="149"/>
        <v>1.89312269655345</v>
      </c>
      <c r="I536">
        <v>536</v>
      </c>
      <c r="J536">
        <f t="shared" si="150"/>
        <v>535</v>
      </c>
      <c r="K536">
        <f t="shared" si="151"/>
        <v>1.6239584155724875</v>
      </c>
      <c r="L536">
        <f t="shared" si="152"/>
        <v>1.73354968324846</v>
      </c>
      <c r="M536">
        <v>536</v>
      </c>
      <c r="N536">
        <f t="shared" si="153"/>
        <v>535</v>
      </c>
      <c r="O536">
        <f t="shared" si="154"/>
        <v>0.63066364278492393</v>
      </c>
      <c r="P536">
        <f t="shared" si="155"/>
        <v>0.74618298195866595</v>
      </c>
      <c r="Q536">
        <v>536</v>
      </c>
      <c r="R536">
        <f t="shared" si="156"/>
        <v>535</v>
      </c>
      <c r="S536">
        <f t="shared" si="157"/>
        <v>1.7653791130185743</v>
      </c>
      <c r="T536">
        <f t="shared" si="158"/>
        <v>1</v>
      </c>
      <c r="U536">
        <v>536</v>
      </c>
      <c r="V536">
        <f t="shared" si="159"/>
        <v>535</v>
      </c>
      <c r="W536">
        <f t="shared" si="160"/>
        <v>1.730982869669387</v>
      </c>
      <c r="X536">
        <f t="shared" si="161"/>
        <v>0.93519413988924505</v>
      </c>
    </row>
    <row r="537" spans="1:24">
      <c r="A537">
        <v>537</v>
      </c>
      <c r="B537">
        <f t="shared" si="144"/>
        <v>536</v>
      </c>
      <c r="C537">
        <f t="shared" si="145"/>
        <v>0.74400528416202361</v>
      </c>
      <c r="D537">
        <f t="shared" si="146"/>
        <v>1.0427354058196601</v>
      </c>
      <c r="E537">
        <v>537</v>
      </c>
      <c r="F537">
        <f t="shared" si="147"/>
        <v>536</v>
      </c>
      <c r="G537">
        <f t="shared" si="148"/>
        <v>0.70977791962008074</v>
      </c>
      <c r="H537">
        <f t="shared" si="149"/>
        <v>1.10687730344655</v>
      </c>
      <c r="I537">
        <v>537</v>
      </c>
      <c r="J537">
        <f t="shared" si="150"/>
        <v>536</v>
      </c>
      <c r="K537">
        <f t="shared" si="151"/>
        <v>1.6246266550095361</v>
      </c>
      <c r="L537">
        <f t="shared" si="152"/>
        <v>1.26645031675154</v>
      </c>
      <c r="M537">
        <v>537</v>
      </c>
      <c r="N537">
        <f t="shared" si="153"/>
        <v>536</v>
      </c>
      <c r="O537">
        <f t="shared" si="154"/>
        <v>0.63136802899939792</v>
      </c>
      <c r="P537">
        <f t="shared" si="155"/>
        <v>0.253817018041334</v>
      </c>
      <c r="Q537">
        <v>537</v>
      </c>
      <c r="R537">
        <f t="shared" si="156"/>
        <v>536</v>
      </c>
      <c r="S537">
        <f t="shared" si="157"/>
        <v>1.766809728183095</v>
      </c>
      <c r="T537">
        <f t="shared" si="158"/>
        <v>0</v>
      </c>
      <c r="U537">
        <v>537</v>
      </c>
      <c r="V537">
        <f t="shared" si="159"/>
        <v>536</v>
      </c>
      <c r="W537">
        <f t="shared" si="160"/>
        <v>1.732228060341459</v>
      </c>
      <c r="X537">
        <f t="shared" si="161"/>
        <v>6.4805860110755301E-2</v>
      </c>
    </row>
    <row r="538" spans="1:24">
      <c r="A538">
        <v>538</v>
      </c>
      <c r="B538">
        <f t="shared" si="144"/>
        <v>537</v>
      </c>
      <c r="C538">
        <f t="shared" si="145"/>
        <v>0.74531362348728925</v>
      </c>
      <c r="D538">
        <f t="shared" si="146"/>
        <v>1.9572645941803399</v>
      </c>
      <c r="E538">
        <v>538</v>
      </c>
      <c r="F538">
        <f t="shared" si="147"/>
        <v>537</v>
      </c>
      <c r="G538">
        <f t="shared" si="148"/>
        <v>0.71090273420249406</v>
      </c>
      <c r="H538">
        <f t="shared" si="149"/>
        <v>1.89312269655345</v>
      </c>
      <c r="I538">
        <v>538</v>
      </c>
      <c r="J538">
        <f t="shared" si="150"/>
        <v>537</v>
      </c>
      <c r="K538">
        <f t="shared" si="151"/>
        <v>1.6252948944465844</v>
      </c>
      <c r="L538">
        <f t="shared" si="152"/>
        <v>1.73354968324846</v>
      </c>
      <c r="M538">
        <v>538</v>
      </c>
      <c r="N538">
        <f t="shared" si="153"/>
        <v>537</v>
      </c>
      <c r="O538">
        <f t="shared" si="154"/>
        <v>0.63207241521387192</v>
      </c>
      <c r="P538">
        <f t="shared" si="155"/>
        <v>0.74618298195866595</v>
      </c>
      <c r="Q538">
        <v>538</v>
      </c>
      <c r="R538">
        <f t="shared" si="156"/>
        <v>537</v>
      </c>
      <c r="S538">
        <f t="shared" si="157"/>
        <v>1.7682403433476157</v>
      </c>
      <c r="T538">
        <f t="shared" si="158"/>
        <v>1</v>
      </c>
      <c r="U538">
        <v>538</v>
      </c>
      <c r="V538">
        <f t="shared" si="159"/>
        <v>537</v>
      </c>
      <c r="W538">
        <f t="shared" si="160"/>
        <v>1.7334732510135313</v>
      </c>
      <c r="X538">
        <f t="shared" si="161"/>
        <v>0.93519413988924505</v>
      </c>
    </row>
    <row r="539" spans="1:24">
      <c r="A539">
        <v>539</v>
      </c>
      <c r="B539">
        <f t="shared" si="144"/>
        <v>538</v>
      </c>
      <c r="C539">
        <f t="shared" si="145"/>
        <v>0.74662196281255488</v>
      </c>
      <c r="D539">
        <f t="shared" si="146"/>
        <v>1.0427354058196601</v>
      </c>
      <c r="E539">
        <v>539</v>
      </c>
      <c r="F539">
        <f t="shared" si="147"/>
        <v>538</v>
      </c>
      <c r="G539">
        <f t="shared" si="148"/>
        <v>0.71202754878490737</v>
      </c>
      <c r="H539">
        <f t="shared" si="149"/>
        <v>1.10687730344655</v>
      </c>
      <c r="I539">
        <v>539</v>
      </c>
      <c r="J539">
        <f t="shared" si="150"/>
        <v>538</v>
      </c>
      <c r="K539">
        <f t="shared" si="151"/>
        <v>1.6259631338836329</v>
      </c>
      <c r="L539">
        <f t="shared" si="152"/>
        <v>1.26645031675154</v>
      </c>
      <c r="M539">
        <v>539</v>
      </c>
      <c r="N539">
        <f t="shared" si="153"/>
        <v>538</v>
      </c>
      <c r="O539">
        <f t="shared" si="154"/>
        <v>0.63277680142834591</v>
      </c>
      <c r="P539">
        <f t="shared" si="155"/>
        <v>0.253817018041334</v>
      </c>
      <c r="Q539">
        <v>539</v>
      </c>
      <c r="R539">
        <f t="shared" si="156"/>
        <v>538</v>
      </c>
      <c r="S539">
        <f t="shared" si="157"/>
        <v>1.7696709585121364</v>
      </c>
      <c r="T539">
        <f t="shared" si="158"/>
        <v>0</v>
      </c>
      <c r="U539">
        <v>539</v>
      </c>
      <c r="V539">
        <f t="shared" si="159"/>
        <v>538</v>
      </c>
      <c r="W539">
        <f t="shared" si="160"/>
        <v>1.7347184416856036</v>
      </c>
      <c r="X539">
        <f t="shared" si="161"/>
        <v>6.4805860110755301E-2</v>
      </c>
    </row>
    <row r="540" spans="1:24">
      <c r="A540">
        <v>540</v>
      </c>
      <c r="B540">
        <f t="shared" si="144"/>
        <v>539</v>
      </c>
      <c r="C540">
        <f t="shared" si="145"/>
        <v>0.74793030213782041</v>
      </c>
      <c r="D540">
        <f t="shared" si="146"/>
        <v>1.9572645941803399</v>
      </c>
      <c r="E540">
        <v>540</v>
      </c>
      <c r="F540">
        <f t="shared" si="147"/>
        <v>539</v>
      </c>
      <c r="G540">
        <f t="shared" si="148"/>
        <v>0.71315236336732069</v>
      </c>
      <c r="H540">
        <f t="shared" si="149"/>
        <v>1.89312269655345</v>
      </c>
      <c r="I540">
        <v>540</v>
      </c>
      <c r="J540">
        <f t="shared" si="150"/>
        <v>539</v>
      </c>
      <c r="K540">
        <f t="shared" si="151"/>
        <v>1.6266313733206814</v>
      </c>
      <c r="L540">
        <f t="shared" si="152"/>
        <v>1.73354968324846</v>
      </c>
      <c r="M540">
        <v>540</v>
      </c>
      <c r="N540">
        <f t="shared" si="153"/>
        <v>539</v>
      </c>
      <c r="O540">
        <f t="shared" si="154"/>
        <v>0.63348118764281991</v>
      </c>
      <c r="P540">
        <f t="shared" si="155"/>
        <v>0.74618298195866595</v>
      </c>
      <c r="Q540">
        <v>540</v>
      </c>
      <c r="R540">
        <f t="shared" si="156"/>
        <v>539</v>
      </c>
      <c r="S540">
        <f t="shared" si="157"/>
        <v>1.7711015736766571</v>
      </c>
      <c r="T540">
        <f t="shared" si="158"/>
        <v>1</v>
      </c>
      <c r="U540">
        <v>540</v>
      </c>
      <c r="V540">
        <f t="shared" si="159"/>
        <v>539</v>
      </c>
      <c r="W540">
        <f t="shared" si="160"/>
        <v>1.7359636323576757</v>
      </c>
      <c r="X540">
        <f t="shared" si="161"/>
        <v>0.93519413988924505</v>
      </c>
    </row>
    <row r="541" spans="1:24">
      <c r="A541">
        <v>541</v>
      </c>
      <c r="B541">
        <f t="shared" si="144"/>
        <v>540</v>
      </c>
      <c r="C541">
        <f t="shared" si="145"/>
        <v>0.74923864146308605</v>
      </c>
      <c r="D541">
        <f t="shared" si="146"/>
        <v>1.0427354058196601</v>
      </c>
      <c r="E541">
        <v>541</v>
      </c>
      <c r="F541">
        <f t="shared" si="147"/>
        <v>540</v>
      </c>
      <c r="G541">
        <f t="shared" si="148"/>
        <v>0.71427717794973389</v>
      </c>
      <c r="H541">
        <f t="shared" si="149"/>
        <v>1.10687730344655</v>
      </c>
      <c r="I541">
        <v>541</v>
      </c>
      <c r="J541">
        <f t="shared" si="150"/>
        <v>540</v>
      </c>
      <c r="K541">
        <f t="shared" si="151"/>
        <v>1.6272996127577299</v>
      </c>
      <c r="L541">
        <f t="shared" si="152"/>
        <v>1.26645031675154</v>
      </c>
      <c r="M541">
        <v>541</v>
      </c>
      <c r="N541">
        <f t="shared" si="153"/>
        <v>540</v>
      </c>
      <c r="O541">
        <f t="shared" si="154"/>
        <v>0.6341855738572939</v>
      </c>
      <c r="P541">
        <f t="shared" si="155"/>
        <v>0.253817018041334</v>
      </c>
      <c r="Q541">
        <v>541</v>
      </c>
      <c r="R541">
        <f t="shared" si="156"/>
        <v>540</v>
      </c>
      <c r="S541">
        <f t="shared" si="157"/>
        <v>1.7725321888411778</v>
      </c>
      <c r="T541">
        <f t="shared" si="158"/>
        <v>0</v>
      </c>
      <c r="U541">
        <v>541</v>
      </c>
      <c r="V541">
        <f t="shared" si="159"/>
        <v>540</v>
      </c>
      <c r="W541">
        <f t="shared" si="160"/>
        <v>1.7372088230297478</v>
      </c>
      <c r="X541">
        <f t="shared" si="161"/>
        <v>6.4805860110755301E-2</v>
      </c>
    </row>
    <row r="542" spans="1:24">
      <c r="A542">
        <v>542</v>
      </c>
      <c r="B542">
        <f t="shared" si="144"/>
        <v>541</v>
      </c>
      <c r="C542">
        <f t="shared" si="145"/>
        <v>0.75054698078835169</v>
      </c>
      <c r="D542">
        <f t="shared" si="146"/>
        <v>1.9572645941803399</v>
      </c>
      <c r="E542">
        <v>542</v>
      </c>
      <c r="F542">
        <f t="shared" si="147"/>
        <v>541</v>
      </c>
      <c r="G542">
        <f t="shared" si="148"/>
        <v>0.7154019925321472</v>
      </c>
      <c r="H542">
        <f t="shared" si="149"/>
        <v>1.89312269655345</v>
      </c>
      <c r="I542">
        <v>542</v>
      </c>
      <c r="J542">
        <f t="shared" si="150"/>
        <v>541</v>
      </c>
      <c r="K542">
        <f t="shared" si="151"/>
        <v>1.6279678521947785</v>
      </c>
      <c r="L542">
        <f t="shared" si="152"/>
        <v>1.73354968324846</v>
      </c>
      <c r="M542">
        <v>542</v>
      </c>
      <c r="N542">
        <f t="shared" si="153"/>
        <v>541</v>
      </c>
      <c r="O542">
        <f t="shared" si="154"/>
        <v>0.6348899600717679</v>
      </c>
      <c r="P542">
        <f t="shared" si="155"/>
        <v>0.74618298195866595</v>
      </c>
      <c r="Q542">
        <v>542</v>
      </c>
      <c r="R542">
        <f t="shared" si="156"/>
        <v>541</v>
      </c>
      <c r="S542">
        <f t="shared" si="157"/>
        <v>1.7739628040056985</v>
      </c>
      <c r="T542">
        <f t="shared" si="158"/>
        <v>1</v>
      </c>
      <c r="U542">
        <v>542</v>
      </c>
      <c r="V542">
        <f t="shared" si="159"/>
        <v>541</v>
      </c>
      <c r="W542">
        <f t="shared" si="160"/>
        <v>1.7384540137018201</v>
      </c>
      <c r="X542">
        <f t="shared" si="161"/>
        <v>0.93519413988924505</v>
      </c>
    </row>
    <row r="543" spans="1:24">
      <c r="A543">
        <v>543</v>
      </c>
      <c r="B543">
        <f t="shared" si="144"/>
        <v>542</v>
      </c>
      <c r="C543">
        <f t="shared" si="145"/>
        <v>0.75185532011361722</v>
      </c>
      <c r="D543">
        <f t="shared" si="146"/>
        <v>1.0427354058196601</v>
      </c>
      <c r="E543">
        <v>543</v>
      </c>
      <c r="F543">
        <f t="shared" si="147"/>
        <v>542</v>
      </c>
      <c r="G543">
        <f t="shared" si="148"/>
        <v>0.71652680711456052</v>
      </c>
      <c r="H543">
        <f t="shared" si="149"/>
        <v>1.10687730344655</v>
      </c>
      <c r="I543">
        <v>543</v>
      </c>
      <c r="J543">
        <f t="shared" si="150"/>
        <v>542</v>
      </c>
      <c r="K543">
        <f t="shared" si="151"/>
        <v>1.628636091631827</v>
      </c>
      <c r="L543">
        <f t="shared" si="152"/>
        <v>1.26645031675154</v>
      </c>
      <c r="M543">
        <v>543</v>
      </c>
      <c r="N543">
        <f t="shared" si="153"/>
        <v>542</v>
      </c>
      <c r="O543">
        <f t="shared" si="154"/>
        <v>0.6355943462862419</v>
      </c>
      <c r="P543">
        <f t="shared" si="155"/>
        <v>0.253817018041334</v>
      </c>
      <c r="Q543">
        <v>543</v>
      </c>
      <c r="R543">
        <f t="shared" si="156"/>
        <v>542</v>
      </c>
      <c r="S543">
        <f t="shared" si="157"/>
        <v>1.7753934191702192</v>
      </c>
      <c r="T543">
        <f t="shared" si="158"/>
        <v>0</v>
      </c>
      <c r="U543">
        <v>543</v>
      </c>
      <c r="V543">
        <f t="shared" si="159"/>
        <v>542</v>
      </c>
      <c r="W543">
        <f t="shared" si="160"/>
        <v>1.7396992043738924</v>
      </c>
      <c r="X543">
        <f t="shared" si="161"/>
        <v>6.4805860110755301E-2</v>
      </c>
    </row>
    <row r="544" spans="1:24">
      <c r="A544">
        <v>544</v>
      </c>
      <c r="B544">
        <f t="shared" si="144"/>
        <v>543</v>
      </c>
      <c r="C544">
        <f t="shared" si="145"/>
        <v>0.75316365943888286</v>
      </c>
      <c r="D544">
        <f t="shared" si="146"/>
        <v>1.9572645941803399</v>
      </c>
      <c r="E544">
        <v>544</v>
      </c>
      <c r="F544">
        <f t="shared" si="147"/>
        <v>543</v>
      </c>
      <c r="G544">
        <f t="shared" si="148"/>
        <v>0.71765162169697383</v>
      </c>
      <c r="H544">
        <f t="shared" si="149"/>
        <v>1.89312269655345</v>
      </c>
      <c r="I544">
        <v>544</v>
      </c>
      <c r="J544">
        <f t="shared" si="150"/>
        <v>543</v>
      </c>
      <c r="K544">
        <f t="shared" si="151"/>
        <v>1.6293043310688755</v>
      </c>
      <c r="L544">
        <f t="shared" si="152"/>
        <v>1.73354968324846</v>
      </c>
      <c r="M544">
        <v>544</v>
      </c>
      <c r="N544">
        <f t="shared" si="153"/>
        <v>543</v>
      </c>
      <c r="O544">
        <f t="shared" si="154"/>
        <v>0.636298732500716</v>
      </c>
      <c r="P544">
        <f t="shared" si="155"/>
        <v>0.74618298195866595</v>
      </c>
      <c r="Q544">
        <v>544</v>
      </c>
      <c r="R544">
        <f t="shared" si="156"/>
        <v>543</v>
      </c>
      <c r="S544">
        <f t="shared" si="157"/>
        <v>1.7768240343347399</v>
      </c>
      <c r="T544">
        <f t="shared" si="158"/>
        <v>1</v>
      </c>
      <c r="U544">
        <v>544</v>
      </c>
      <c r="V544">
        <f t="shared" si="159"/>
        <v>543</v>
      </c>
      <c r="W544">
        <f t="shared" si="160"/>
        <v>1.7409443950459647</v>
      </c>
      <c r="X544">
        <f t="shared" si="161"/>
        <v>0.93519413988924505</v>
      </c>
    </row>
    <row r="545" spans="1:24">
      <c r="A545">
        <v>545</v>
      </c>
      <c r="B545">
        <f t="shared" si="144"/>
        <v>544</v>
      </c>
      <c r="C545">
        <f t="shared" si="145"/>
        <v>0.7544719987641485</v>
      </c>
      <c r="D545">
        <f t="shared" si="146"/>
        <v>1.0427354058196601</v>
      </c>
      <c r="E545">
        <v>545</v>
      </c>
      <c r="F545">
        <f t="shared" si="147"/>
        <v>544</v>
      </c>
      <c r="G545">
        <f t="shared" si="148"/>
        <v>0.71877643627938714</v>
      </c>
      <c r="H545">
        <f t="shared" si="149"/>
        <v>1.10687730344655</v>
      </c>
      <c r="I545">
        <v>545</v>
      </c>
      <c r="J545">
        <f t="shared" si="150"/>
        <v>544</v>
      </c>
      <c r="K545">
        <f t="shared" si="151"/>
        <v>1.6299725705059238</v>
      </c>
      <c r="L545">
        <f t="shared" si="152"/>
        <v>1.26645031675154</v>
      </c>
      <c r="M545">
        <v>545</v>
      </c>
      <c r="N545">
        <f t="shared" si="153"/>
        <v>544</v>
      </c>
      <c r="O545">
        <f t="shared" si="154"/>
        <v>0.63700311871519</v>
      </c>
      <c r="P545">
        <f t="shared" si="155"/>
        <v>0.253817018041334</v>
      </c>
      <c r="Q545">
        <v>545</v>
      </c>
      <c r="R545">
        <f t="shared" si="156"/>
        <v>544</v>
      </c>
      <c r="S545">
        <f t="shared" si="157"/>
        <v>1.7782546494992606</v>
      </c>
      <c r="T545">
        <f t="shared" si="158"/>
        <v>0</v>
      </c>
      <c r="U545">
        <v>545</v>
      </c>
      <c r="V545">
        <f t="shared" si="159"/>
        <v>544</v>
      </c>
      <c r="W545">
        <f t="shared" si="160"/>
        <v>1.7421895857180367</v>
      </c>
      <c r="X545">
        <f t="shared" si="161"/>
        <v>6.4805860110755301E-2</v>
      </c>
    </row>
    <row r="546" spans="1:24">
      <c r="A546">
        <v>546</v>
      </c>
      <c r="B546">
        <f t="shared" si="144"/>
        <v>545</v>
      </c>
      <c r="C546">
        <f t="shared" si="145"/>
        <v>0.75578033808941403</v>
      </c>
      <c r="D546">
        <f t="shared" si="146"/>
        <v>1.9572645941803399</v>
      </c>
      <c r="E546">
        <v>546</v>
      </c>
      <c r="F546">
        <f t="shared" si="147"/>
        <v>545</v>
      </c>
      <c r="G546">
        <f t="shared" si="148"/>
        <v>0.71990125086180046</v>
      </c>
      <c r="H546">
        <f t="shared" si="149"/>
        <v>1.89312269655345</v>
      </c>
      <c r="I546">
        <v>546</v>
      </c>
      <c r="J546">
        <f t="shared" si="150"/>
        <v>545</v>
      </c>
      <c r="K546">
        <f t="shared" si="151"/>
        <v>1.6306408099429723</v>
      </c>
      <c r="L546">
        <f t="shared" si="152"/>
        <v>1.73354968324846</v>
      </c>
      <c r="M546">
        <v>546</v>
      </c>
      <c r="N546">
        <f t="shared" si="153"/>
        <v>545</v>
      </c>
      <c r="O546">
        <f t="shared" si="154"/>
        <v>0.63770750492966399</v>
      </c>
      <c r="P546">
        <f t="shared" si="155"/>
        <v>0.74618298195866595</v>
      </c>
      <c r="Q546">
        <v>546</v>
      </c>
      <c r="R546">
        <f t="shared" si="156"/>
        <v>545</v>
      </c>
      <c r="S546">
        <f t="shared" si="157"/>
        <v>1.7796852646637813</v>
      </c>
      <c r="T546">
        <f t="shared" si="158"/>
        <v>1</v>
      </c>
      <c r="U546">
        <v>546</v>
      </c>
      <c r="V546">
        <f t="shared" si="159"/>
        <v>545</v>
      </c>
      <c r="W546">
        <f t="shared" si="160"/>
        <v>1.7434347763901088</v>
      </c>
      <c r="X546">
        <f t="shared" si="161"/>
        <v>0.93519413988924505</v>
      </c>
    </row>
    <row r="547" spans="1:24">
      <c r="A547">
        <v>547</v>
      </c>
      <c r="B547">
        <f t="shared" si="144"/>
        <v>546</v>
      </c>
      <c r="C547">
        <f t="shared" si="145"/>
        <v>0.75708867741467967</v>
      </c>
      <c r="D547">
        <f t="shared" si="146"/>
        <v>1.0427354058196601</v>
      </c>
      <c r="E547">
        <v>547</v>
      </c>
      <c r="F547">
        <f t="shared" si="147"/>
        <v>546</v>
      </c>
      <c r="G547">
        <f t="shared" si="148"/>
        <v>0.72102606544421377</v>
      </c>
      <c r="H547">
        <f t="shared" si="149"/>
        <v>1.10687730344655</v>
      </c>
      <c r="I547">
        <v>547</v>
      </c>
      <c r="J547">
        <f t="shared" si="150"/>
        <v>546</v>
      </c>
      <c r="K547">
        <f t="shared" si="151"/>
        <v>1.6313090493800209</v>
      </c>
      <c r="L547">
        <f t="shared" si="152"/>
        <v>1.26645031675154</v>
      </c>
      <c r="M547">
        <v>547</v>
      </c>
      <c r="N547">
        <f t="shared" si="153"/>
        <v>546</v>
      </c>
      <c r="O547">
        <f t="shared" si="154"/>
        <v>0.63841189114413799</v>
      </c>
      <c r="P547">
        <f t="shared" si="155"/>
        <v>0.253817018041334</v>
      </c>
      <c r="Q547">
        <v>547</v>
      </c>
      <c r="R547">
        <f t="shared" si="156"/>
        <v>546</v>
      </c>
      <c r="S547">
        <f t="shared" si="157"/>
        <v>1.781115879828302</v>
      </c>
      <c r="T547">
        <f t="shared" si="158"/>
        <v>0</v>
      </c>
      <c r="U547">
        <v>547</v>
      </c>
      <c r="V547">
        <f t="shared" si="159"/>
        <v>546</v>
      </c>
      <c r="W547">
        <f t="shared" si="160"/>
        <v>1.7446799670621811</v>
      </c>
      <c r="X547">
        <f t="shared" si="161"/>
        <v>6.4805860110755301E-2</v>
      </c>
    </row>
    <row r="548" spans="1:24">
      <c r="A548">
        <v>548</v>
      </c>
      <c r="B548">
        <f t="shared" si="144"/>
        <v>547</v>
      </c>
      <c r="C548">
        <f t="shared" si="145"/>
        <v>0.75839701673994531</v>
      </c>
      <c r="D548">
        <f t="shared" si="146"/>
        <v>1.9572645941803399</v>
      </c>
      <c r="E548">
        <v>548</v>
      </c>
      <c r="F548">
        <f t="shared" si="147"/>
        <v>547</v>
      </c>
      <c r="G548">
        <f t="shared" si="148"/>
        <v>0.72215088002662708</v>
      </c>
      <c r="H548">
        <f t="shared" si="149"/>
        <v>1.89312269655345</v>
      </c>
      <c r="I548">
        <v>548</v>
      </c>
      <c r="J548">
        <f t="shared" si="150"/>
        <v>547</v>
      </c>
      <c r="K548">
        <f t="shared" si="151"/>
        <v>1.6319772888170694</v>
      </c>
      <c r="L548">
        <f t="shared" si="152"/>
        <v>1.73354968324846</v>
      </c>
      <c r="M548">
        <v>548</v>
      </c>
      <c r="N548">
        <f t="shared" si="153"/>
        <v>547</v>
      </c>
      <c r="O548">
        <f t="shared" si="154"/>
        <v>0.63911627735861198</v>
      </c>
      <c r="P548">
        <f t="shared" si="155"/>
        <v>0.74618298195866595</v>
      </c>
      <c r="Q548">
        <v>548</v>
      </c>
      <c r="R548">
        <f t="shared" si="156"/>
        <v>547</v>
      </c>
      <c r="S548">
        <f t="shared" si="157"/>
        <v>1.7825464949928227</v>
      </c>
      <c r="T548">
        <f t="shared" si="158"/>
        <v>1</v>
      </c>
      <c r="U548">
        <v>548</v>
      </c>
      <c r="V548">
        <f t="shared" si="159"/>
        <v>547</v>
      </c>
      <c r="W548">
        <f t="shared" si="160"/>
        <v>1.7459251577342534</v>
      </c>
      <c r="X548">
        <f t="shared" si="161"/>
        <v>0.93519413988924505</v>
      </c>
    </row>
    <row r="549" spans="1:24">
      <c r="A549">
        <v>549</v>
      </c>
      <c r="B549">
        <f t="shared" si="144"/>
        <v>548</v>
      </c>
      <c r="C549">
        <f t="shared" si="145"/>
        <v>0.75970535606521084</v>
      </c>
      <c r="D549">
        <f t="shared" si="146"/>
        <v>1.0427354058196601</v>
      </c>
      <c r="E549">
        <v>549</v>
      </c>
      <c r="F549">
        <f t="shared" si="147"/>
        <v>548</v>
      </c>
      <c r="G549">
        <f t="shared" si="148"/>
        <v>0.7232756946090404</v>
      </c>
      <c r="H549">
        <f t="shared" si="149"/>
        <v>1.10687730344655</v>
      </c>
      <c r="I549">
        <v>549</v>
      </c>
      <c r="J549">
        <f t="shared" si="150"/>
        <v>548</v>
      </c>
      <c r="K549">
        <f t="shared" si="151"/>
        <v>1.6326455282541179</v>
      </c>
      <c r="L549">
        <f t="shared" si="152"/>
        <v>1.26645031675154</v>
      </c>
      <c r="M549">
        <v>549</v>
      </c>
      <c r="N549">
        <f t="shared" si="153"/>
        <v>548</v>
      </c>
      <c r="O549">
        <f t="shared" si="154"/>
        <v>0.63982066357308598</v>
      </c>
      <c r="P549">
        <f t="shared" si="155"/>
        <v>0.253817018041334</v>
      </c>
      <c r="Q549">
        <v>549</v>
      </c>
      <c r="R549">
        <f t="shared" si="156"/>
        <v>548</v>
      </c>
      <c r="S549">
        <f t="shared" si="157"/>
        <v>1.7839771101573434</v>
      </c>
      <c r="T549">
        <f t="shared" si="158"/>
        <v>0</v>
      </c>
      <c r="U549">
        <v>549</v>
      </c>
      <c r="V549">
        <f t="shared" si="159"/>
        <v>548</v>
      </c>
      <c r="W549">
        <f t="shared" si="160"/>
        <v>1.7471703484063257</v>
      </c>
      <c r="X549">
        <f t="shared" si="161"/>
        <v>6.4805860110755301E-2</v>
      </c>
    </row>
    <row r="550" spans="1:24">
      <c r="A550">
        <v>550</v>
      </c>
      <c r="B550">
        <f t="shared" si="144"/>
        <v>549</v>
      </c>
      <c r="C550">
        <f t="shared" si="145"/>
        <v>0.76101369539047647</v>
      </c>
      <c r="D550">
        <f t="shared" si="146"/>
        <v>1.9572645941803399</v>
      </c>
      <c r="E550">
        <v>550</v>
      </c>
      <c r="F550">
        <f t="shared" si="147"/>
        <v>549</v>
      </c>
      <c r="G550">
        <f t="shared" si="148"/>
        <v>0.7244005091914536</v>
      </c>
      <c r="H550">
        <f t="shared" si="149"/>
        <v>1.89312269655345</v>
      </c>
      <c r="I550">
        <v>550</v>
      </c>
      <c r="J550">
        <f t="shared" si="150"/>
        <v>549</v>
      </c>
      <c r="K550">
        <f t="shared" si="151"/>
        <v>1.6333137676911664</v>
      </c>
      <c r="L550">
        <f t="shared" si="152"/>
        <v>1.73354968324846</v>
      </c>
      <c r="M550">
        <v>550</v>
      </c>
      <c r="N550">
        <f t="shared" si="153"/>
        <v>549</v>
      </c>
      <c r="O550">
        <f t="shared" si="154"/>
        <v>0.64052504978755997</v>
      </c>
      <c r="P550">
        <f t="shared" si="155"/>
        <v>0.74618298195866595</v>
      </c>
      <c r="Q550">
        <v>550</v>
      </c>
      <c r="R550">
        <f t="shared" si="156"/>
        <v>549</v>
      </c>
      <c r="S550">
        <f t="shared" si="157"/>
        <v>1.7854077253218641</v>
      </c>
      <c r="T550">
        <f t="shared" si="158"/>
        <v>1</v>
      </c>
      <c r="U550">
        <v>550</v>
      </c>
      <c r="V550">
        <f t="shared" si="159"/>
        <v>549</v>
      </c>
      <c r="W550">
        <f t="shared" si="160"/>
        <v>1.7484155390783978</v>
      </c>
      <c r="X550">
        <f t="shared" si="161"/>
        <v>0.93519413988924505</v>
      </c>
    </row>
    <row r="551" spans="1:24">
      <c r="A551">
        <v>551</v>
      </c>
      <c r="B551">
        <f t="shared" si="144"/>
        <v>550</v>
      </c>
      <c r="C551">
        <f t="shared" si="145"/>
        <v>0.762322034715742</v>
      </c>
      <c r="D551">
        <f t="shared" si="146"/>
        <v>1.0427354058196601</v>
      </c>
      <c r="E551">
        <v>551</v>
      </c>
      <c r="F551">
        <f t="shared" si="147"/>
        <v>550</v>
      </c>
      <c r="G551">
        <f t="shared" si="148"/>
        <v>0.72552532377386691</v>
      </c>
      <c r="H551">
        <f t="shared" si="149"/>
        <v>1.10687730344655</v>
      </c>
      <c r="I551">
        <v>551</v>
      </c>
      <c r="J551">
        <f t="shared" si="150"/>
        <v>550</v>
      </c>
      <c r="K551">
        <f t="shared" si="151"/>
        <v>1.633982007128215</v>
      </c>
      <c r="L551">
        <f t="shared" si="152"/>
        <v>1.26645031675154</v>
      </c>
      <c r="M551">
        <v>551</v>
      </c>
      <c r="N551">
        <f t="shared" si="153"/>
        <v>550</v>
      </c>
      <c r="O551">
        <f t="shared" si="154"/>
        <v>0.64122943600203397</v>
      </c>
      <c r="P551">
        <f t="shared" si="155"/>
        <v>0.253817018041334</v>
      </c>
      <c r="Q551">
        <v>551</v>
      </c>
      <c r="R551">
        <f t="shared" si="156"/>
        <v>550</v>
      </c>
      <c r="S551">
        <f t="shared" si="157"/>
        <v>1.7868383404863848</v>
      </c>
      <c r="T551">
        <f t="shared" si="158"/>
        <v>0</v>
      </c>
      <c r="U551">
        <v>551</v>
      </c>
      <c r="V551">
        <f t="shared" si="159"/>
        <v>550</v>
      </c>
      <c r="W551">
        <f t="shared" si="160"/>
        <v>1.7496607297504698</v>
      </c>
      <c r="X551">
        <f t="shared" si="161"/>
        <v>6.4805860110755301E-2</v>
      </c>
    </row>
    <row r="552" spans="1:24">
      <c r="A552">
        <v>552</v>
      </c>
      <c r="B552">
        <f t="shared" si="144"/>
        <v>551</v>
      </c>
      <c r="C552">
        <f t="shared" si="145"/>
        <v>0.76363037404100764</v>
      </c>
      <c r="D552">
        <f t="shared" si="146"/>
        <v>1.9572645941803399</v>
      </c>
      <c r="E552">
        <v>552</v>
      </c>
      <c r="F552">
        <f t="shared" si="147"/>
        <v>551</v>
      </c>
      <c r="G552">
        <f t="shared" si="148"/>
        <v>0.72665013835628023</v>
      </c>
      <c r="H552">
        <f t="shared" si="149"/>
        <v>1.89312269655345</v>
      </c>
      <c r="I552">
        <v>552</v>
      </c>
      <c r="J552">
        <f t="shared" si="150"/>
        <v>551</v>
      </c>
      <c r="K552">
        <f t="shared" si="151"/>
        <v>1.6346502465652635</v>
      </c>
      <c r="L552">
        <f t="shared" si="152"/>
        <v>1.73354968324846</v>
      </c>
      <c r="M552">
        <v>552</v>
      </c>
      <c r="N552">
        <f t="shared" si="153"/>
        <v>551</v>
      </c>
      <c r="O552">
        <f t="shared" si="154"/>
        <v>0.64193382221650797</v>
      </c>
      <c r="P552">
        <f t="shared" si="155"/>
        <v>0.74618298195866595</v>
      </c>
      <c r="Q552">
        <v>552</v>
      </c>
      <c r="R552">
        <f t="shared" si="156"/>
        <v>551</v>
      </c>
      <c r="S552">
        <f t="shared" si="157"/>
        <v>1.7882689556509055</v>
      </c>
      <c r="T552">
        <f t="shared" si="158"/>
        <v>1</v>
      </c>
      <c r="U552">
        <v>552</v>
      </c>
      <c r="V552">
        <f t="shared" si="159"/>
        <v>551</v>
      </c>
      <c r="W552">
        <f t="shared" si="160"/>
        <v>1.7509059204225421</v>
      </c>
      <c r="X552">
        <f t="shared" si="161"/>
        <v>0.93519413988924505</v>
      </c>
    </row>
    <row r="553" spans="1:24">
      <c r="A553">
        <v>553</v>
      </c>
      <c r="B553">
        <f t="shared" si="144"/>
        <v>552</v>
      </c>
      <c r="C553">
        <f t="shared" si="145"/>
        <v>0.76493871336627328</v>
      </c>
      <c r="D553">
        <f t="shared" si="146"/>
        <v>1.0427354058196601</v>
      </c>
      <c r="E553">
        <v>553</v>
      </c>
      <c r="F553">
        <f t="shared" si="147"/>
        <v>552</v>
      </c>
      <c r="G553">
        <f t="shared" si="148"/>
        <v>0.72777495293869354</v>
      </c>
      <c r="H553">
        <f t="shared" si="149"/>
        <v>1.10687730344655</v>
      </c>
      <c r="I553">
        <v>553</v>
      </c>
      <c r="J553">
        <f t="shared" si="150"/>
        <v>552</v>
      </c>
      <c r="K553">
        <f t="shared" si="151"/>
        <v>1.635318486002312</v>
      </c>
      <c r="L553">
        <f t="shared" si="152"/>
        <v>1.26645031675154</v>
      </c>
      <c r="M553">
        <v>553</v>
      </c>
      <c r="N553">
        <f t="shared" si="153"/>
        <v>552</v>
      </c>
      <c r="O553">
        <f t="shared" si="154"/>
        <v>0.64263820843098196</v>
      </c>
      <c r="P553">
        <f t="shared" si="155"/>
        <v>0.253817018041334</v>
      </c>
      <c r="Q553">
        <v>553</v>
      </c>
      <c r="R553">
        <f t="shared" si="156"/>
        <v>552</v>
      </c>
      <c r="S553">
        <f t="shared" si="157"/>
        <v>1.7896995708154262</v>
      </c>
      <c r="T553">
        <f t="shared" si="158"/>
        <v>0</v>
      </c>
      <c r="U553">
        <v>553</v>
      </c>
      <c r="V553">
        <f t="shared" si="159"/>
        <v>552</v>
      </c>
      <c r="W553">
        <f t="shared" si="160"/>
        <v>1.7521511110946144</v>
      </c>
      <c r="X553">
        <f t="shared" si="161"/>
        <v>6.4805860110755301E-2</v>
      </c>
    </row>
    <row r="554" spans="1:24">
      <c r="A554">
        <v>554</v>
      </c>
      <c r="B554">
        <f t="shared" si="144"/>
        <v>553</v>
      </c>
      <c r="C554">
        <f t="shared" si="145"/>
        <v>0.76624705269153881</v>
      </c>
      <c r="D554">
        <f t="shared" si="146"/>
        <v>1.9572645941803399</v>
      </c>
      <c r="E554">
        <v>554</v>
      </c>
      <c r="F554">
        <f t="shared" si="147"/>
        <v>553</v>
      </c>
      <c r="G554">
        <f t="shared" si="148"/>
        <v>0.72889976752110686</v>
      </c>
      <c r="H554">
        <f t="shared" si="149"/>
        <v>1.89312269655345</v>
      </c>
      <c r="I554">
        <v>554</v>
      </c>
      <c r="J554">
        <f t="shared" si="150"/>
        <v>553</v>
      </c>
      <c r="K554">
        <f t="shared" si="151"/>
        <v>1.6359867254393605</v>
      </c>
      <c r="L554">
        <f t="shared" si="152"/>
        <v>1.73354968324846</v>
      </c>
      <c r="M554">
        <v>554</v>
      </c>
      <c r="N554">
        <f t="shared" si="153"/>
        <v>553</v>
      </c>
      <c r="O554">
        <f t="shared" si="154"/>
        <v>0.64334259464545596</v>
      </c>
      <c r="P554">
        <f t="shared" si="155"/>
        <v>0.74618298195866595</v>
      </c>
      <c r="Q554">
        <v>554</v>
      </c>
      <c r="R554">
        <f t="shared" si="156"/>
        <v>553</v>
      </c>
      <c r="S554">
        <f t="shared" si="157"/>
        <v>1.7911301859799469</v>
      </c>
      <c r="T554">
        <f t="shared" si="158"/>
        <v>1</v>
      </c>
      <c r="U554">
        <v>554</v>
      </c>
      <c r="V554">
        <f t="shared" si="159"/>
        <v>553</v>
      </c>
      <c r="W554">
        <f t="shared" si="160"/>
        <v>1.7533963017666865</v>
      </c>
      <c r="X554">
        <f t="shared" si="161"/>
        <v>0.93519413988924505</v>
      </c>
    </row>
    <row r="555" spans="1:24">
      <c r="A555">
        <v>555</v>
      </c>
      <c r="B555">
        <f t="shared" si="144"/>
        <v>554</v>
      </c>
      <c r="C555">
        <f t="shared" si="145"/>
        <v>0.76755539201680445</v>
      </c>
      <c r="D555">
        <f t="shared" si="146"/>
        <v>1.0427354058196601</v>
      </c>
      <c r="E555">
        <v>555</v>
      </c>
      <c r="F555">
        <f t="shared" si="147"/>
        <v>554</v>
      </c>
      <c r="G555">
        <f t="shared" si="148"/>
        <v>0.73002458210352017</v>
      </c>
      <c r="H555">
        <f t="shared" si="149"/>
        <v>1.10687730344655</v>
      </c>
      <c r="I555">
        <v>555</v>
      </c>
      <c r="J555">
        <f t="shared" si="150"/>
        <v>554</v>
      </c>
      <c r="K555">
        <f t="shared" si="151"/>
        <v>1.636654964876409</v>
      </c>
      <c r="L555">
        <f t="shared" si="152"/>
        <v>1.26645031675154</v>
      </c>
      <c r="M555">
        <v>555</v>
      </c>
      <c r="N555">
        <f t="shared" si="153"/>
        <v>554</v>
      </c>
      <c r="O555">
        <f t="shared" si="154"/>
        <v>0.64404698085992995</v>
      </c>
      <c r="P555">
        <f t="shared" si="155"/>
        <v>0.253817018041334</v>
      </c>
      <c r="Q555">
        <v>555</v>
      </c>
      <c r="R555">
        <f t="shared" si="156"/>
        <v>554</v>
      </c>
      <c r="S555">
        <f t="shared" si="157"/>
        <v>1.7925608011444676</v>
      </c>
      <c r="T555">
        <f t="shared" si="158"/>
        <v>0</v>
      </c>
      <c r="U555">
        <v>555</v>
      </c>
      <c r="V555">
        <f t="shared" si="159"/>
        <v>554</v>
      </c>
      <c r="W555">
        <f t="shared" si="160"/>
        <v>1.7546414924387586</v>
      </c>
      <c r="X555">
        <f t="shared" si="161"/>
        <v>6.4805860110755301E-2</v>
      </c>
    </row>
    <row r="556" spans="1:24">
      <c r="A556">
        <v>556</v>
      </c>
      <c r="B556">
        <f t="shared" si="144"/>
        <v>555</v>
      </c>
      <c r="C556">
        <f t="shared" si="145"/>
        <v>0.76886373134207009</v>
      </c>
      <c r="D556">
        <f t="shared" si="146"/>
        <v>1.9572645941803399</v>
      </c>
      <c r="E556">
        <v>556</v>
      </c>
      <c r="F556">
        <f t="shared" si="147"/>
        <v>555</v>
      </c>
      <c r="G556">
        <f t="shared" si="148"/>
        <v>0.73114939668593348</v>
      </c>
      <c r="H556">
        <f t="shared" si="149"/>
        <v>1.89312269655345</v>
      </c>
      <c r="I556">
        <v>556</v>
      </c>
      <c r="J556">
        <f t="shared" si="150"/>
        <v>555</v>
      </c>
      <c r="K556">
        <f t="shared" si="151"/>
        <v>1.6373232043134576</v>
      </c>
      <c r="L556">
        <f t="shared" si="152"/>
        <v>1.73354968324846</v>
      </c>
      <c r="M556">
        <v>556</v>
      </c>
      <c r="N556">
        <f t="shared" si="153"/>
        <v>555</v>
      </c>
      <c r="O556">
        <f t="shared" si="154"/>
        <v>0.64475136707440406</v>
      </c>
      <c r="P556">
        <f t="shared" si="155"/>
        <v>0.74618298195866595</v>
      </c>
      <c r="Q556">
        <v>556</v>
      </c>
      <c r="R556">
        <f t="shared" si="156"/>
        <v>555</v>
      </c>
      <c r="S556">
        <f t="shared" si="157"/>
        <v>1.7939914163089883</v>
      </c>
      <c r="T556">
        <f t="shared" si="158"/>
        <v>1</v>
      </c>
      <c r="U556">
        <v>556</v>
      </c>
      <c r="V556">
        <f t="shared" si="159"/>
        <v>555</v>
      </c>
      <c r="W556">
        <f t="shared" si="160"/>
        <v>1.7558866831108308</v>
      </c>
      <c r="X556">
        <f t="shared" si="161"/>
        <v>0.93519413988924505</v>
      </c>
    </row>
    <row r="557" spans="1:24">
      <c r="A557">
        <v>557</v>
      </c>
      <c r="B557">
        <f t="shared" si="144"/>
        <v>556</v>
      </c>
      <c r="C557">
        <f t="shared" si="145"/>
        <v>0.77017207066733562</v>
      </c>
      <c r="D557">
        <f t="shared" si="146"/>
        <v>1.0427354058196601</v>
      </c>
      <c r="E557">
        <v>557</v>
      </c>
      <c r="F557">
        <f t="shared" si="147"/>
        <v>556</v>
      </c>
      <c r="G557">
        <f t="shared" si="148"/>
        <v>0.73227421126834669</v>
      </c>
      <c r="H557">
        <f t="shared" si="149"/>
        <v>1.10687730344655</v>
      </c>
      <c r="I557">
        <v>557</v>
      </c>
      <c r="J557">
        <f t="shared" si="150"/>
        <v>556</v>
      </c>
      <c r="K557">
        <f t="shared" si="151"/>
        <v>1.6379914437505059</v>
      </c>
      <c r="L557">
        <f t="shared" si="152"/>
        <v>1.26645031675154</v>
      </c>
      <c r="M557">
        <v>557</v>
      </c>
      <c r="N557">
        <f t="shared" si="153"/>
        <v>556</v>
      </c>
      <c r="O557">
        <f t="shared" si="154"/>
        <v>0.64545575328887805</v>
      </c>
      <c r="P557">
        <f t="shared" si="155"/>
        <v>0.253817018041334</v>
      </c>
      <c r="Q557">
        <v>557</v>
      </c>
      <c r="R557">
        <f t="shared" si="156"/>
        <v>556</v>
      </c>
      <c r="S557">
        <f t="shared" si="157"/>
        <v>1.795422031473509</v>
      </c>
      <c r="T557">
        <f t="shared" si="158"/>
        <v>0</v>
      </c>
      <c r="U557">
        <v>557</v>
      </c>
      <c r="V557">
        <f t="shared" si="159"/>
        <v>556</v>
      </c>
      <c r="W557">
        <f t="shared" si="160"/>
        <v>1.7571318737829031</v>
      </c>
      <c r="X557">
        <f t="shared" si="161"/>
        <v>6.4805860110755301E-2</v>
      </c>
    </row>
    <row r="558" spans="1:24">
      <c r="A558">
        <v>558</v>
      </c>
      <c r="B558">
        <f t="shared" si="144"/>
        <v>557</v>
      </c>
      <c r="C558">
        <f t="shared" si="145"/>
        <v>0.77148040999260126</v>
      </c>
      <c r="D558">
        <f t="shared" si="146"/>
        <v>1.9572645941803399</v>
      </c>
      <c r="E558">
        <v>558</v>
      </c>
      <c r="F558">
        <f t="shared" si="147"/>
        <v>557</v>
      </c>
      <c r="G558">
        <f t="shared" si="148"/>
        <v>0.73339902585076</v>
      </c>
      <c r="H558">
        <f t="shared" si="149"/>
        <v>1.89312269655345</v>
      </c>
      <c r="I558">
        <v>558</v>
      </c>
      <c r="J558">
        <f t="shared" si="150"/>
        <v>557</v>
      </c>
      <c r="K558">
        <f t="shared" si="151"/>
        <v>1.6386596831875544</v>
      </c>
      <c r="L558">
        <f t="shared" si="152"/>
        <v>1.73354968324846</v>
      </c>
      <c r="M558">
        <v>558</v>
      </c>
      <c r="N558">
        <f t="shared" si="153"/>
        <v>557</v>
      </c>
      <c r="O558">
        <f t="shared" si="154"/>
        <v>0.64616013950335205</v>
      </c>
      <c r="P558">
        <f t="shared" si="155"/>
        <v>0.74618298195866595</v>
      </c>
      <c r="Q558">
        <v>558</v>
      </c>
      <c r="R558">
        <f t="shared" si="156"/>
        <v>557</v>
      </c>
      <c r="S558">
        <f t="shared" si="157"/>
        <v>1.7968526466380297</v>
      </c>
      <c r="T558">
        <f t="shared" si="158"/>
        <v>1</v>
      </c>
      <c r="U558">
        <v>558</v>
      </c>
      <c r="V558">
        <f t="shared" si="159"/>
        <v>557</v>
      </c>
      <c r="W558">
        <f t="shared" si="160"/>
        <v>1.7583770644549754</v>
      </c>
      <c r="X558">
        <f t="shared" si="161"/>
        <v>0.93519413988924505</v>
      </c>
    </row>
    <row r="559" spans="1:24">
      <c r="A559">
        <v>559</v>
      </c>
      <c r="B559">
        <f t="shared" si="144"/>
        <v>558</v>
      </c>
      <c r="C559">
        <f t="shared" si="145"/>
        <v>0.7727887493178669</v>
      </c>
      <c r="D559">
        <f t="shared" si="146"/>
        <v>1.0427354058196601</v>
      </c>
      <c r="E559">
        <v>559</v>
      </c>
      <c r="F559">
        <f t="shared" si="147"/>
        <v>558</v>
      </c>
      <c r="G559">
        <f t="shared" si="148"/>
        <v>0.73452384043317331</v>
      </c>
      <c r="H559">
        <f t="shared" si="149"/>
        <v>1.10687730344655</v>
      </c>
      <c r="I559">
        <v>559</v>
      </c>
      <c r="J559">
        <f t="shared" si="150"/>
        <v>558</v>
      </c>
      <c r="K559">
        <f t="shared" si="151"/>
        <v>1.6393279226246029</v>
      </c>
      <c r="L559">
        <f t="shared" si="152"/>
        <v>1.26645031675154</v>
      </c>
      <c r="M559">
        <v>559</v>
      </c>
      <c r="N559">
        <f t="shared" si="153"/>
        <v>558</v>
      </c>
      <c r="O559">
        <f t="shared" si="154"/>
        <v>0.64686452571782604</v>
      </c>
      <c r="P559">
        <f t="shared" si="155"/>
        <v>0.253817018041334</v>
      </c>
      <c r="Q559">
        <v>559</v>
      </c>
      <c r="R559">
        <f t="shared" si="156"/>
        <v>558</v>
      </c>
      <c r="S559">
        <f t="shared" si="157"/>
        <v>1.7982832618025504</v>
      </c>
      <c r="T559">
        <f t="shared" si="158"/>
        <v>0</v>
      </c>
      <c r="U559">
        <v>559</v>
      </c>
      <c r="V559">
        <f t="shared" si="159"/>
        <v>558</v>
      </c>
      <c r="W559">
        <f t="shared" si="160"/>
        <v>1.7596222551270475</v>
      </c>
      <c r="X559">
        <f t="shared" si="161"/>
        <v>6.4805860110755301E-2</v>
      </c>
    </row>
    <row r="560" spans="1:24">
      <c r="A560">
        <v>560</v>
      </c>
      <c r="B560">
        <f t="shared" si="144"/>
        <v>559</v>
      </c>
      <c r="C560">
        <f t="shared" si="145"/>
        <v>0.77409708864313242</v>
      </c>
      <c r="D560">
        <f t="shared" si="146"/>
        <v>1.9572645941803399</v>
      </c>
      <c r="E560">
        <v>560</v>
      </c>
      <c r="F560">
        <f t="shared" si="147"/>
        <v>559</v>
      </c>
      <c r="G560">
        <f t="shared" si="148"/>
        <v>0.73564865501558663</v>
      </c>
      <c r="H560">
        <f t="shared" si="149"/>
        <v>1.89312269655345</v>
      </c>
      <c r="I560">
        <v>560</v>
      </c>
      <c r="J560">
        <f t="shared" si="150"/>
        <v>559</v>
      </c>
      <c r="K560">
        <f t="shared" si="151"/>
        <v>1.6399961620616514</v>
      </c>
      <c r="L560">
        <f t="shared" si="152"/>
        <v>1.73354968324846</v>
      </c>
      <c r="M560">
        <v>560</v>
      </c>
      <c r="N560">
        <f t="shared" si="153"/>
        <v>559</v>
      </c>
      <c r="O560">
        <f t="shared" si="154"/>
        <v>0.64756891193230004</v>
      </c>
      <c r="P560">
        <f t="shared" si="155"/>
        <v>0.74618298195866595</v>
      </c>
      <c r="Q560">
        <v>560</v>
      </c>
      <c r="R560">
        <f t="shared" si="156"/>
        <v>559</v>
      </c>
      <c r="S560">
        <f t="shared" si="157"/>
        <v>1.7997138769670711</v>
      </c>
      <c r="T560">
        <f t="shared" si="158"/>
        <v>1</v>
      </c>
      <c r="U560">
        <v>560</v>
      </c>
      <c r="V560">
        <f t="shared" si="159"/>
        <v>559</v>
      </c>
      <c r="W560">
        <f t="shared" si="160"/>
        <v>1.7608674457991196</v>
      </c>
      <c r="X560">
        <f t="shared" si="161"/>
        <v>0.93519413988924505</v>
      </c>
    </row>
    <row r="561" spans="1:24">
      <c r="A561">
        <v>561</v>
      </c>
      <c r="B561">
        <f t="shared" si="144"/>
        <v>560</v>
      </c>
      <c r="C561">
        <f t="shared" si="145"/>
        <v>0.77540542796839806</v>
      </c>
      <c r="D561">
        <f t="shared" si="146"/>
        <v>1.0427354058196601</v>
      </c>
      <c r="E561">
        <v>561</v>
      </c>
      <c r="F561">
        <f t="shared" si="147"/>
        <v>560</v>
      </c>
      <c r="G561">
        <f t="shared" si="148"/>
        <v>0.73677346959799994</v>
      </c>
      <c r="H561">
        <f t="shared" si="149"/>
        <v>1.10687730344655</v>
      </c>
      <c r="I561">
        <v>561</v>
      </c>
      <c r="J561">
        <f t="shared" si="150"/>
        <v>560</v>
      </c>
      <c r="K561">
        <f t="shared" si="151"/>
        <v>1.6406644014987</v>
      </c>
      <c r="L561">
        <f t="shared" si="152"/>
        <v>1.26645031675154</v>
      </c>
      <c r="M561">
        <v>561</v>
      </c>
      <c r="N561">
        <f t="shared" si="153"/>
        <v>560</v>
      </c>
      <c r="O561">
        <f t="shared" si="154"/>
        <v>0.64827329814677404</v>
      </c>
      <c r="P561">
        <f t="shared" si="155"/>
        <v>0.253817018041334</v>
      </c>
      <c r="Q561">
        <v>561</v>
      </c>
      <c r="R561">
        <f t="shared" si="156"/>
        <v>560</v>
      </c>
      <c r="S561">
        <f t="shared" si="157"/>
        <v>1.8011444921315918</v>
      </c>
      <c r="T561">
        <f t="shared" si="158"/>
        <v>0</v>
      </c>
      <c r="U561">
        <v>561</v>
      </c>
      <c r="V561">
        <f t="shared" si="159"/>
        <v>560</v>
      </c>
      <c r="W561">
        <f t="shared" si="160"/>
        <v>1.7621126364711919</v>
      </c>
      <c r="X561">
        <f t="shared" si="161"/>
        <v>6.4805860110755301E-2</v>
      </c>
    </row>
    <row r="562" spans="1:24">
      <c r="A562">
        <v>562</v>
      </c>
      <c r="B562">
        <f t="shared" si="144"/>
        <v>561</v>
      </c>
      <c r="C562">
        <f t="shared" si="145"/>
        <v>0.7767137672936637</v>
      </c>
      <c r="D562">
        <f t="shared" si="146"/>
        <v>1.9572645941803399</v>
      </c>
      <c r="E562">
        <v>562</v>
      </c>
      <c r="F562">
        <f t="shared" si="147"/>
        <v>561</v>
      </c>
      <c r="G562">
        <f t="shared" si="148"/>
        <v>0.73789828418041326</v>
      </c>
      <c r="H562">
        <f t="shared" si="149"/>
        <v>1.89312269655345</v>
      </c>
      <c r="I562">
        <v>562</v>
      </c>
      <c r="J562">
        <f t="shared" si="150"/>
        <v>561</v>
      </c>
      <c r="K562">
        <f t="shared" si="151"/>
        <v>1.6413326409357485</v>
      </c>
      <c r="L562">
        <f t="shared" si="152"/>
        <v>1.73354968324846</v>
      </c>
      <c r="M562">
        <v>562</v>
      </c>
      <c r="N562">
        <f t="shared" si="153"/>
        <v>561</v>
      </c>
      <c r="O562">
        <f t="shared" si="154"/>
        <v>0.64897768436124803</v>
      </c>
      <c r="P562">
        <f t="shared" si="155"/>
        <v>0.74618298195866595</v>
      </c>
      <c r="Q562">
        <v>562</v>
      </c>
      <c r="R562">
        <f t="shared" si="156"/>
        <v>561</v>
      </c>
      <c r="S562">
        <f t="shared" si="157"/>
        <v>1.8025751072961125</v>
      </c>
      <c r="T562">
        <f t="shared" si="158"/>
        <v>1</v>
      </c>
      <c r="U562">
        <v>562</v>
      </c>
      <c r="V562">
        <f t="shared" si="159"/>
        <v>561</v>
      </c>
      <c r="W562">
        <f t="shared" si="160"/>
        <v>1.7633578271432642</v>
      </c>
      <c r="X562">
        <f t="shared" si="161"/>
        <v>0.93519413988924505</v>
      </c>
    </row>
    <row r="563" spans="1:24">
      <c r="A563">
        <v>563</v>
      </c>
      <c r="B563">
        <f t="shared" si="144"/>
        <v>562</v>
      </c>
      <c r="C563">
        <f t="shared" si="145"/>
        <v>0.77802210661892923</v>
      </c>
      <c r="D563">
        <f t="shared" si="146"/>
        <v>1.0427354058196601</v>
      </c>
      <c r="E563">
        <v>563</v>
      </c>
      <c r="F563">
        <f t="shared" si="147"/>
        <v>562</v>
      </c>
      <c r="G563">
        <f t="shared" si="148"/>
        <v>0.73902309876282657</v>
      </c>
      <c r="H563">
        <f t="shared" si="149"/>
        <v>1.10687730344655</v>
      </c>
      <c r="I563">
        <v>563</v>
      </c>
      <c r="J563">
        <f t="shared" si="150"/>
        <v>562</v>
      </c>
      <c r="K563">
        <f t="shared" si="151"/>
        <v>1.642000880372797</v>
      </c>
      <c r="L563">
        <f t="shared" si="152"/>
        <v>1.26645031675154</v>
      </c>
      <c r="M563">
        <v>563</v>
      </c>
      <c r="N563">
        <f t="shared" si="153"/>
        <v>562</v>
      </c>
      <c r="O563">
        <f t="shared" si="154"/>
        <v>0.64968207057572203</v>
      </c>
      <c r="P563">
        <f t="shared" si="155"/>
        <v>0.253817018041334</v>
      </c>
      <c r="Q563">
        <v>563</v>
      </c>
      <c r="R563">
        <f t="shared" si="156"/>
        <v>562</v>
      </c>
      <c r="S563">
        <f t="shared" si="157"/>
        <v>1.8040057224606332</v>
      </c>
      <c r="T563">
        <f t="shared" si="158"/>
        <v>0</v>
      </c>
      <c r="U563">
        <v>563</v>
      </c>
      <c r="V563">
        <f t="shared" si="159"/>
        <v>562</v>
      </c>
      <c r="W563">
        <f t="shared" si="160"/>
        <v>1.7646030178153365</v>
      </c>
      <c r="X563">
        <f t="shared" si="161"/>
        <v>6.4805860110755301E-2</v>
      </c>
    </row>
    <row r="564" spans="1:24">
      <c r="A564">
        <v>564</v>
      </c>
      <c r="B564">
        <f t="shared" si="144"/>
        <v>563</v>
      </c>
      <c r="C564">
        <f t="shared" si="145"/>
        <v>0.77933044594419487</v>
      </c>
      <c r="D564">
        <f t="shared" si="146"/>
        <v>1.9572645941803399</v>
      </c>
      <c r="E564">
        <v>564</v>
      </c>
      <c r="F564">
        <f t="shared" si="147"/>
        <v>563</v>
      </c>
      <c r="G564">
        <f t="shared" si="148"/>
        <v>0.74014791334523988</v>
      </c>
      <c r="H564">
        <f t="shared" si="149"/>
        <v>1.89312269655345</v>
      </c>
      <c r="I564">
        <v>564</v>
      </c>
      <c r="J564">
        <f t="shared" si="150"/>
        <v>563</v>
      </c>
      <c r="K564">
        <f t="shared" si="151"/>
        <v>1.6426691198098453</v>
      </c>
      <c r="L564">
        <f t="shared" si="152"/>
        <v>1.73354968324846</v>
      </c>
      <c r="M564">
        <v>564</v>
      </c>
      <c r="N564">
        <f t="shared" si="153"/>
        <v>563</v>
      </c>
      <c r="O564">
        <f t="shared" si="154"/>
        <v>0.65038645679019602</v>
      </c>
      <c r="P564">
        <f t="shared" si="155"/>
        <v>0.74618298195866595</v>
      </c>
      <c r="Q564">
        <v>564</v>
      </c>
      <c r="R564">
        <f t="shared" si="156"/>
        <v>563</v>
      </c>
      <c r="S564">
        <f t="shared" si="157"/>
        <v>1.8054363376251539</v>
      </c>
      <c r="T564">
        <f t="shared" si="158"/>
        <v>1</v>
      </c>
      <c r="U564">
        <v>564</v>
      </c>
      <c r="V564">
        <f t="shared" si="159"/>
        <v>563</v>
      </c>
      <c r="W564">
        <f t="shared" si="160"/>
        <v>1.7658482084874085</v>
      </c>
      <c r="X564">
        <f t="shared" si="161"/>
        <v>0.93519413988924505</v>
      </c>
    </row>
    <row r="565" spans="1:24">
      <c r="A565">
        <v>565</v>
      </c>
      <c r="B565">
        <f t="shared" si="144"/>
        <v>564</v>
      </c>
      <c r="C565">
        <f t="shared" si="145"/>
        <v>0.78063878526946051</v>
      </c>
      <c r="D565">
        <f t="shared" si="146"/>
        <v>1.0427354058196601</v>
      </c>
      <c r="E565">
        <v>565</v>
      </c>
      <c r="F565">
        <f t="shared" si="147"/>
        <v>564</v>
      </c>
      <c r="G565">
        <f t="shared" si="148"/>
        <v>0.7412727279276532</v>
      </c>
      <c r="H565">
        <f t="shared" si="149"/>
        <v>1.10687730344655</v>
      </c>
      <c r="I565">
        <v>565</v>
      </c>
      <c r="J565">
        <f t="shared" si="150"/>
        <v>564</v>
      </c>
      <c r="K565">
        <f t="shared" si="151"/>
        <v>1.6433373592468938</v>
      </c>
      <c r="L565">
        <f t="shared" si="152"/>
        <v>1.26645031675154</v>
      </c>
      <c r="M565">
        <v>565</v>
      </c>
      <c r="N565">
        <f t="shared" si="153"/>
        <v>564</v>
      </c>
      <c r="O565">
        <f t="shared" si="154"/>
        <v>0.65109084300467002</v>
      </c>
      <c r="P565">
        <f t="shared" si="155"/>
        <v>0.253817018041334</v>
      </c>
      <c r="Q565">
        <v>565</v>
      </c>
      <c r="R565">
        <f t="shared" si="156"/>
        <v>564</v>
      </c>
      <c r="S565">
        <f t="shared" si="157"/>
        <v>1.8068669527896748</v>
      </c>
      <c r="T565">
        <f t="shared" si="158"/>
        <v>0</v>
      </c>
      <c r="U565">
        <v>565</v>
      </c>
      <c r="V565">
        <f t="shared" si="159"/>
        <v>564</v>
      </c>
      <c r="W565">
        <f t="shared" si="160"/>
        <v>1.7670933991594806</v>
      </c>
      <c r="X565">
        <f t="shared" si="161"/>
        <v>6.4805860110755301E-2</v>
      </c>
    </row>
    <row r="566" spans="1:24">
      <c r="A566">
        <v>566</v>
      </c>
      <c r="B566">
        <f t="shared" si="144"/>
        <v>565</v>
      </c>
      <c r="C566">
        <f t="shared" si="145"/>
        <v>0.78194712459472604</v>
      </c>
      <c r="D566">
        <f t="shared" si="146"/>
        <v>1.9572645941803399</v>
      </c>
      <c r="E566">
        <v>566</v>
      </c>
      <c r="F566">
        <f t="shared" si="147"/>
        <v>565</v>
      </c>
      <c r="G566">
        <f t="shared" si="148"/>
        <v>0.7423975425100664</v>
      </c>
      <c r="H566">
        <f t="shared" si="149"/>
        <v>1.89312269655345</v>
      </c>
      <c r="I566">
        <v>566</v>
      </c>
      <c r="J566">
        <f t="shared" si="150"/>
        <v>565</v>
      </c>
      <c r="K566">
        <f t="shared" si="151"/>
        <v>1.6440055986839424</v>
      </c>
      <c r="L566">
        <f t="shared" si="152"/>
        <v>1.73354968324846</v>
      </c>
      <c r="M566">
        <v>566</v>
      </c>
      <c r="N566">
        <f t="shared" si="153"/>
        <v>565</v>
      </c>
      <c r="O566">
        <f t="shared" si="154"/>
        <v>0.65179522921914401</v>
      </c>
      <c r="P566">
        <f t="shared" si="155"/>
        <v>0.74618298195866595</v>
      </c>
      <c r="Q566">
        <v>566</v>
      </c>
      <c r="R566">
        <f t="shared" si="156"/>
        <v>565</v>
      </c>
      <c r="S566">
        <f t="shared" si="157"/>
        <v>1.8082975679541955</v>
      </c>
      <c r="T566">
        <f t="shared" si="158"/>
        <v>1</v>
      </c>
      <c r="U566">
        <v>566</v>
      </c>
      <c r="V566">
        <f t="shared" si="159"/>
        <v>565</v>
      </c>
      <c r="W566">
        <f t="shared" si="160"/>
        <v>1.7683385898315529</v>
      </c>
      <c r="X566">
        <f t="shared" si="161"/>
        <v>0.93519413988924505</v>
      </c>
    </row>
    <row r="567" spans="1:24">
      <c r="A567">
        <v>567</v>
      </c>
      <c r="B567">
        <f t="shared" si="144"/>
        <v>566</v>
      </c>
      <c r="C567">
        <f t="shared" si="145"/>
        <v>0.78325546391999168</v>
      </c>
      <c r="D567">
        <f t="shared" si="146"/>
        <v>1.0427354058196601</v>
      </c>
      <c r="E567">
        <v>567</v>
      </c>
      <c r="F567">
        <f t="shared" si="147"/>
        <v>566</v>
      </c>
      <c r="G567">
        <f t="shared" si="148"/>
        <v>0.74352235709247971</v>
      </c>
      <c r="H567">
        <f t="shared" si="149"/>
        <v>1.10687730344655</v>
      </c>
      <c r="I567">
        <v>567</v>
      </c>
      <c r="J567">
        <f t="shared" si="150"/>
        <v>566</v>
      </c>
      <c r="K567">
        <f t="shared" si="151"/>
        <v>1.6446738381209909</v>
      </c>
      <c r="L567">
        <f t="shared" si="152"/>
        <v>1.26645031675154</v>
      </c>
      <c r="M567">
        <v>567</v>
      </c>
      <c r="N567">
        <f t="shared" si="153"/>
        <v>566</v>
      </c>
      <c r="O567">
        <f t="shared" si="154"/>
        <v>0.65249961543361801</v>
      </c>
      <c r="P567">
        <f t="shared" si="155"/>
        <v>0.253817018041334</v>
      </c>
      <c r="Q567">
        <v>567</v>
      </c>
      <c r="R567">
        <f t="shared" si="156"/>
        <v>566</v>
      </c>
      <c r="S567">
        <f t="shared" si="157"/>
        <v>1.8097281831187162</v>
      </c>
      <c r="T567">
        <f t="shared" si="158"/>
        <v>0</v>
      </c>
      <c r="U567">
        <v>567</v>
      </c>
      <c r="V567">
        <f t="shared" si="159"/>
        <v>566</v>
      </c>
      <c r="W567">
        <f t="shared" si="160"/>
        <v>1.7695837805036252</v>
      </c>
      <c r="X567">
        <f t="shared" si="161"/>
        <v>6.4805860110755301E-2</v>
      </c>
    </row>
    <row r="568" spans="1:24">
      <c r="A568">
        <v>568</v>
      </c>
      <c r="B568">
        <f t="shared" si="144"/>
        <v>567</v>
      </c>
      <c r="C568">
        <f t="shared" si="145"/>
        <v>0.78456380324525721</v>
      </c>
      <c r="D568">
        <f t="shared" si="146"/>
        <v>1.9572645941803399</v>
      </c>
      <c r="E568">
        <v>568</v>
      </c>
      <c r="F568">
        <f t="shared" si="147"/>
        <v>567</v>
      </c>
      <c r="G568">
        <f t="shared" si="148"/>
        <v>0.74464717167489303</v>
      </c>
      <c r="H568">
        <f t="shared" si="149"/>
        <v>1.89312269655345</v>
      </c>
      <c r="I568">
        <v>568</v>
      </c>
      <c r="J568">
        <f t="shared" si="150"/>
        <v>567</v>
      </c>
      <c r="K568">
        <f t="shared" si="151"/>
        <v>1.6453420775580394</v>
      </c>
      <c r="L568">
        <f t="shared" si="152"/>
        <v>1.73354968324846</v>
      </c>
      <c r="M568">
        <v>568</v>
      </c>
      <c r="N568">
        <f t="shared" si="153"/>
        <v>567</v>
      </c>
      <c r="O568">
        <f t="shared" si="154"/>
        <v>0.653204001648092</v>
      </c>
      <c r="P568">
        <f t="shared" si="155"/>
        <v>0.74618298195866595</v>
      </c>
      <c r="Q568">
        <v>568</v>
      </c>
      <c r="R568">
        <f t="shared" si="156"/>
        <v>567</v>
      </c>
      <c r="S568">
        <f t="shared" si="157"/>
        <v>1.8111587982832369</v>
      </c>
      <c r="T568">
        <f t="shared" si="158"/>
        <v>1</v>
      </c>
      <c r="U568">
        <v>568</v>
      </c>
      <c r="V568">
        <f t="shared" si="159"/>
        <v>567</v>
      </c>
      <c r="W568">
        <f t="shared" si="160"/>
        <v>1.7708289711756973</v>
      </c>
      <c r="X568">
        <f t="shared" si="161"/>
        <v>0.93519413988924505</v>
      </c>
    </row>
    <row r="569" spans="1:24">
      <c r="A569">
        <v>569</v>
      </c>
      <c r="B569">
        <f t="shared" si="144"/>
        <v>568</v>
      </c>
      <c r="C569">
        <f t="shared" si="145"/>
        <v>0.78587214257052285</v>
      </c>
      <c r="D569">
        <f t="shared" si="146"/>
        <v>1.0427354058196601</v>
      </c>
      <c r="E569">
        <v>569</v>
      </c>
      <c r="F569">
        <f t="shared" si="147"/>
        <v>568</v>
      </c>
      <c r="G569">
        <f t="shared" si="148"/>
        <v>0.74577198625730634</v>
      </c>
      <c r="H569">
        <f t="shared" si="149"/>
        <v>1.10687730344655</v>
      </c>
      <c r="I569">
        <v>569</v>
      </c>
      <c r="J569">
        <f t="shared" si="150"/>
        <v>568</v>
      </c>
      <c r="K569">
        <f t="shared" si="151"/>
        <v>1.6460103169950879</v>
      </c>
      <c r="L569">
        <f t="shared" si="152"/>
        <v>1.26645031675154</v>
      </c>
      <c r="M569">
        <v>569</v>
      </c>
      <c r="N569">
        <f t="shared" si="153"/>
        <v>568</v>
      </c>
      <c r="O569">
        <f t="shared" si="154"/>
        <v>0.653908387862566</v>
      </c>
      <c r="P569">
        <f t="shared" si="155"/>
        <v>0.253817018041334</v>
      </c>
      <c r="Q569">
        <v>569</v>
      </c>
      <c r="R569">
        <f t="shared" si="156"/>
        <v>568</v>
      </c>
      <c r="S569">
        <f t="shared" si="157"/>
        <v>1.8125894134477576</v>
      </c>
      <c r="T569">
        <f t="shared" si="158"/>
        <v>0</v>
      </c>
      <c r="U569">
        <v>569</v>
      </c>
      <c r="V569">
        <f t="shared" si="159"/>
        <v>568</v>
      </c>
      <c r="W569">
        <f t="shared" si="160"/>
        <v>1.7720741618477696</v>
      </c>
      <c r="X569">
        <f t="shared" si="161"/>
        <v>6.4805860110755301E-2</v>
      </c>
    </row>
    <row r="570" spans="1:24">
      <c r="A570">
        <v>570</v>
      </c>
      <c r="B570">
        <f t="shared" si="144"/>
        <v>569</v>
      </c>
      <c r="C570">
        <f t="shared" si="145"/>
        <v>0.78718048189578849</v>
      </c>
      <c r="D570">
        <f t="shared" si="146"/>
        <v>1.9572645941803399</v>
      </c>
      <c r="E570">
        <v>570</v>
      </c>
      <c r="F570">
        <f t="shared" si="147"/>
        <v>569</v>
      </c>
      <c r="G570">
        <f t="shared" si="148"/>
        <v>0.74689680083971965</v>
      </c>
      <c r="H570">
        <f t="shared" si="149"/>
        <v>1.89312269655345</v>
      </c>
      <c r="I570">
        <v>570</v>
      </c>
      <c r="J570">
        <f t="shared" si="150"/>
        <v>569</v>
      </c>
      <c r="K570">
        <f t="shared" si="151"/>
        <v>1.6466785564321365</v>
      </c>
      <c r="L570">
        <f t="shared" si="152"/>
        <v>1.73354968324846</v>
      </c>
      <c r="M570">
        <v>570</v>
      </c>
      <c r="N570">
        <f t="shared" si="153"/>
        <v>569</v>
      </c>
      <c r="O570">
        <f t="shared" si="154"/>
        <v>0.65461277407703999</v>
      </c>
      <c r="P570">
        <f t="shared" si="155"/>
        <v>0.74618298195866595</v>
      </c>
      <c r="Q570">
        <v>570</v>
      </c>
      <c r="R570">
        <f t="shared" si="156"/>
        <v>569</v>
      </c>
      <c r="S570">
        <f t="shared" si="157"/>
        <v>1.8140200286122783</v>
      </c>
      <c r="T570">
        <f t="shared" si="158"/>
        <v>1</v>
      </c>
      <c r="U570">
        <v>570</v>
      </c>
      <c r="V570">
        <f t="shared" si="159"/>
        <v>569</v>
      </c>
      <c r="W570">
        <f t="shared" si="160"/>
        <v>1.7733193525198416</v>
      </c>
      <c r="X570">
        <f t="shared" si="161"/>
        <v>0.93519413988924505</v>
      </c>
    </row>
    <row r="571" spans="1:24">
      <c r="A571">
        <v>571</v>
      </c>
      <c r="B571">
        <f t="shared" si="144"/>
        <v>570</v>
      </c>
      <c r="C571">
        <f t="shared" si="145"/>
        <v>0.78848882122105401</v>
      </c>
      <c r="D571">
        <f t="shared" si="146"/>
        <v>1.0427354058196601</v>
      </c>
      <c r="E571">
        <v>571</v>
      </c>
      <c r="F571">
        <f t="shared" si="147"/>
        <v>570</v>
      </c>
      <c r="G571">
        <f t="shared" si="148"/>
        <v>0.74802161542213297</v>
      </c>
      <c r="H571">
        <f t="shared" si="149"/>
        <v>1.10687730344655</v>
      </c>
      <c r="I571">
        <v>571</v>
      </c>
      <c r="J571">
        <f t="shared" si="150"/>
        <v>570</v>
      </c>
      <c r="K571">
        <f t="shared" si="151"/>
        <v>1.647346795869185</v>
      </c>
      <c r="L571">
        <f t="shared" si="152"/>
        <v>1.26645031675154</v>
      </c>
      <c r="M571">
        <v>571</v>
      </c>
      <c r="N571">
        <f t="shared" si="153"/>
        <v>570</v>
      </c>
      <c r="O571">
        <f t="shared" si="154"/>
        <v>0.65531716029151399</v>
      </c>
      <c r="P571">
        <f t="shared" si="155"/>
        <v>0.253817018041334</v>
      </c>
      <c r="Q571">
        <v>571</v>
      </c>
      <c r="R571">
        <f t="shared" si="156"/>
        <v>570</v>
      </c>
      <c r="S571">
        <f t="shared" si="157"/>
        <v>1.815450643776799</v>
      </c>
      <c r="T571">
        <f t="shared" si="158"/>
        <v>0</v>
      </c>
      <c r="U571">
        <v>571</v>
      </c>
      <c r="V571">
        <f t="shared" si="159"/>
        <v>570</v>
      </c>
      <c r="W571">
        <f t="shared" si="160"/>
        <v>1.7745645431919139</v>
      </c>
      <c r="X571">
        <f t="shared" si="161"/>
        <v>6.4805860110755301E-2</v>
      </c>
    </row>
    <row r="572" spans="1:24">
      <c r="A572">
        <v>572</v>
      </c>
      <c r="B572">
        <f t="shared" si="144"/>
        <v>571</v>
      </c>
      <c r="C572">
        <f t="shared" si="145"/>
        <v>0.78979716054631965</v>
      </c>
      <c r="D572">
        <f t="shared" si="146"/>
        <v>1.9572645941803399</v>
      </c>
      <c r="E572">
        <v>572</v>
      </c>
      <c r="F572">
        <f t="shared" si="147"/>
        <v>571</v>
      </c>
      <c r="G572">
        <f t="shared" si="148"/>
        <v>0.74914643000454628</v>
      </c>
      <c r="H572">
        <f t="shared" si="149"/>
        <v>1.89312269655345</v>
      </c>
      <c r="I572">
        <v>572</v>
      </c>
      <c r="J572">
        <f t="shared" si="150"/>
        <v>571</v>
      </c>
      <c r="K572">
        <f t="shared" si="151"/>
        <v>1.6480150353062335</v>
      </c>
      <c r="L572">
        <f t="shared" si="152"/>
        <v>1.73354968324846</v>
      </c>
      <c r="M572">
        <v>572</v>
      </c>
      <c r="N572">
        <f t="shared" si="153"/>
        <v>571</v>
      </c>
      <c r="O572">
        <f t="shared" si="154"/>
        <v>0.65602154650598798</v>
      </c>
      <c r="P572">
        <f t="shared" si="155"/>
        <v>0.74618298195866595</v>
      </c>
      <c r="Q572">
        <v>572</v>
      </c>
      <c r="R572">
        <f t="shared" si="156"/>
        <v>571</v>
      </c>
      <c r="S572">
        <f t="shared" si="157"/>
        <v>1.8168812589413197</v>
      </c>
      <c r="T572">
        <f t="shared" si="158"/>
        <v>1</v>
      </c>
      <c r="U572">
        <v>572</v>
      </c>
      <c r="V572">
        <f t="shared" si="159"/>
        <v>571</v>
      </c>
      <c r="W572">
        <f t="shared" si="160"/>
        <v>1.7758097338639862</v>
      </c>
      <c r="X572">
        <f t="shared" si="161"/>
        <v>0.93519413988924505</v>
      </c>
    </row>
    <row r="573" spans="1:24">
      <c r="A573">
        <v>573</v>
      </c>
      <c r="B573">
        <f t="shared" si="144"/>
        <v>572</v>
      </c>
      <c r="C573">
        <f t="shared" si="145"/>
        <v>0.79110549987158529</v>
      </c>
      <c r="D573">
        <f t="shared" si="146"/>
        <v>1.0427354058196601</v>
      </c>
      <c r="E573">
        <v>573</v>
      </c>
      <c r="F573">
        <f t="shared" si="147"/>
        <v>572</v>
      </c>
      <c r="G573">
        <f t="shared" si="148"/>
        <v>0.75027124458695948</v>
      </c>
      <c r="H573">
        <f t="shared" si="149"/>
        <v>1.10687730344655</v>
      </c>
      <c r="I573">
        <v>573</v>
      </c>
      <c r="J573">
        <f t="shared" si="150"/>
        <v>572</v>
      </c>
      <c r="K573">
        <f t="shared" si="151"/>
        <v>1.648683274743282</v>
      </c>
      <c r="L573">
        <f t="shared" si="152"/>
        <v>1.26645031675154</v>
      </c>
      <c r="M573">
        <v>573</v>
      </c>
      <c r="N573">
        <f t="shared" si="153"/>
        <v>572</v>
      </c>
      <c r="O573">
        <f t="shared" si="154"/>
        <v>0.65672593272046198</v>
      </c>
      <c r="P573">
        <f t="shared" si="155"/>
        <v>0.253817018041334</v>
      </c>
      <c r="Q573">
        <v>573</v>
      </c>
      <c r="R573">
        <f t="shared" si="156"/>
        <v>572</v>
      </c>
      <c r="S573">
        <f t="shared" si="157"/>
        <v>1.8183118741058404</v>
      </c>
      <c r="T573">
        <f t="shared" si="158"/>
        <v>0</v>
      </c>
      <c r="U573">
        <v>573</v>
      </c>
      <c r="V573">
        <f t="shared" si="159"/>
        <v>572</v>
      </c>
      <c r="W573">
        <f t="shared" si="160"/>
        <v>1.7770549245360583</v>
      </c>
      <c r="X573">
        <f t="shared" si="161"/>
        <v>6.4805860110755301E-2</v>
      </c>
    </row>
    <row r="574" spans="1:24">
      <c r="A574">
        <v>574</v>
      </c>
      <c r="B574">
        <f t="shared" si="144"/>
        <v>573</v>
      </c>
      <c r="C574">
        <f t="shared" si="145"/>
        <v>0.79241383919685082</v>
      </c>
      <c r="D574">
        <f t="shared" si="146"/>
        <v>1.9572645941803399</v>
      </c>
      <c r="E574">
        <v>574</v>
      </c>
      <c r="F574">
        <f t="shared" si="147"/>
        <v>573</v>
      </c>
      <c r="G574">
        <f t="shared" si="148"/>
        <v>0.7513960591693728</v>
      </c>
      <c r="H574">
        <f t="shared" si="149"/>
        <v>1.89312269655345</v>
      </c>
      <c r="I574">
        <v>574</v>
      </c>
      <c r="J574">
        <f t="shared" si="150"/>
        <v>573</v>
      </c>
      <c r="K574">
        <f t="shared" si="151"/>
        <v>1.6493515141803305</v>
      </c>
      <c r="L574">
        <f t="shared" si="152"/>
        <v>1.73354968324846</v>
      </c>
      <c r="M574">
        <v>574</v>
      </c>
      <c r="N574">
        <f t="shared" si="153"/>
        <v>573</v>
      </c>
      <c r="O574">
        <f t="shared" si="154"/>
        <v>0.65743031893493598</v>
      </c>
      <c r="P574">
        <f t="shared" si="155"/>
        <v>0.74618298195866595</v>
      </c>
      <c r="Q574">
        <v>574</v>
      </c>
      <c r="R574">
        <f t="shared" si="156"/>
        <v>573</v>
      </c>
      <c r="S574">
        <f t="shared" si="157"/>
        <v>1.8197424892703611</v>
      </c>
      <c r="T574">
        <f t="shared" si="158"/>
        <v>1</v>
      </c>
      <c r="U574">
        <v>574</v>
      </c>
      <c r="V574">
        <f t="shared" si="159"/>
        <v>573</v>
      </c>
      <c r="W574">
        <f t="shared" si="160"/>
        <v>1.7783001152081304</v>
      </c>
      <c r="X574">
        <f t="shared" si="161"/>
        <v>0.93519413988924505</v>
      </c>
    </row>
    <row r="575" spans="1:24">
      <c r="A575">
        <v>575</v>
      </c>
      <c r="B575">
        <f t="shared" si="144"/>
        <v>574</v>
      </c>
      <c r="C575">
        <f t="shared" si="145"/>
        <v>0.79372217852211646</v>
      </c>
      <c r="D575">
        <f t="shared" si="146"/>
        <v>1.0427354058196601</v>
      </c>
      <c r="E575">
        <v>575</v>
      </c>
      <c r="F575">
        <f t="shared" si="147"/>
        <v>574</v>
      </c>
      <c r="G575">
        <f t="shared" si="148"/>
        <v>0.75252087375178611</v>
      </c>
      <c r="H575">
        <f t="shared" si="149"/>
        <v>1.10687730344655</v>
      </c>
      <c r="I575">
        <v>575</v>
      </c>
      <c r="J575">
        <f t="shared" si="150"/>
        <v>574</v>
      </c>
      <c r="K575">
        <f t="shared" si="151"/>
        <v>1.6500197536173791</v>
      </c>
      <c r="L575">
        <f t="shared" si="152"/>
        <v>1.26645031675154</v>
      </c>
      <c r="M575">
        <v>575</v>
      </c>
      <c r="N575">
        <f t="shared" si="153"/>
        <v>574</v>
      </c>
      <c r="O575">
        <f t="shared" si="154"/>
        <v>0.65813470514940997</v>
      </c>
      <c r="P575">
        <f t="shared" si="155"/>
        <v>0.253817018041334</v>
      </c>
      <c r="Q575">
        <v>575</v>
      </c>
      <c r="R575">
        <f t="shared" si="156"/>
        <v>574</v>
      </c>
      <c r="S575">
        <f t="shared" si="157"/>
        <v>1.8211731044348818</v>
      </c>
      <c r="T575">
        <f t="shared" si="158"/>
        <v>0</v>
      </c>
      <c r="U575">
        <v>575</v>
      </c>
      <c r="V575">
        <f t="shared" si="159"/>
        <v>574</v>
      </c>
      <c r="W575">
        <f t="shared" si="160"/>
        <v>1.7795453058802027</v>
      </c>
      <c r="X575">
        <f t="shared" si="161"/>
        <v>6.4805860110755301E-2</v>
      </c>
    </row>
    <row r="576" spans="1:24">
      <c r="A576">
        <v>576</v>
      </c>
      <c r="B576">
        <f t="shared" si="144"/>
        <v>575</v>
      </c>
      <c r="C576">
        <f t="shared" si="145"/>
        <v>0.7950305178473821</v>
      </c>
      <c r="D576">
        <f t="shared" si="146"/>
        <v>1.9572645941803399</v>
      </c>
      <c r="E576">
        <v>576</v>
      </c>
      <c r="F576">
        <f t="shared" si="147"/>
        <v>575</v>
      </c>
      <c r="G576">
        <f t="shared" si="148"/>
        <v>0.75364568833419943</v>
      </c>
      <c r="H576">
        <f t="shared" si="149"/>
        <v>1.89312269655345</v>
      </c>
      <c r="I576">
        <v>576</v>
      </c>
      <c r="J576">
        <f t="shared" si="150"/>
        <v>575</v>
      </c>
      <c r="K576">
        <f t="shared" si="151"/>
        <v>1.6506879930544274</v>
      </c>
      <c r="L576">
        <f t="shared" si="152"/>
        <v>1.73354968324846</v>
      </c>
      <c r="M576">
        <v>576</v>
      </c>
      <c r="N576">
        <f t="shared" si="153"/>
        <v>575</v>
      </c>
      <c r="O576">
        <f t="shared" si="154"/>
        <v>0.65883909136388397</v>
      </c>
      <c r="P576">
        <f t="shared" si="155"/>
        <v>0.74618298195866595</v>
      </c>
      <c r="Q576">
        <v>576</v>
      </c>
      <c r="R576">
        <f t="shared" si="156"/>
        <v>575</v>
      </c>
      <c r="S576">
        <f t="shared" si="157"/>
        <v>1.8226037195994025</v>
      </c>
      <c r="T576">
        <f t="shared" si="158"/>
        <v>1</v>
      </c>
      <c r="U576">
        <v>576</v>
      </c>
      <c r="V576">
        <f t="shared" si="159"/>
        <v>575</v>
      </c>
      <c r="W576">
        <f t="shared" si="160"/>
        <v>1.7807904965522749</v>
      </c>
      <c r="X576">
        <f t="shared" si="161"/>
        <v>0.93519413988924505</v>
      </c>
    </row>
    <row r="577" spans="1:24">
      <c r="A577">
        <v>577</v>
      </c>
      <c r="B577">
        <f t="shared" ref="B577:B640" si="162">(A577-1)</f>
        <v>576</v>
      </c>
      <c r="C577">
        <f t="shared" ref="C577:C640" si="163">0.0427354058196621+B577*0.0013083393252656</f>
        <v>0.79633885717264763</v>
      </c>
      <c r="D577">
        <f t="shared" ref="D577:D640" si="164">IF(B577/2-INT(B577/2)&lt;0.1,1.04273540581966,1.95726459418034)</f>
        <v>1.0427354058196601</v>
      </c>
      <c r="E577">
        <v>577</v>
      </c>
      <c r="F577">
        <f t="shared" ref="F577:F640" si="165">(E577-1)</f>
        <v>576</v>
      </c>
      <c r="G577">
        <f t="shared" ref="G577:G640" si="166">0.106877303446552+F577*0.0011248145824133</f>
        <v>0.75477050291661274</v>
      </c>
      <c r="H577">
        <f t="shared" ref="H577:H640" si="167">IF(F577/2-INT(F577/2)&lt;0.1,1.10687730344655,1.89312269655345)</f>
        <v>1.10687730344655</v>
      </c>
      <c r="I577">
        <v>577</v>
      </c>
      <c r="J577">
        <f t="shared" ref="J577:J640" si="168">(I577-1)</f>
        <v>576</v>
      </c>
      <c r="K577">
        <f t="shared" ref="K577:K640" si="169">1.26645031675154+J577*0.0006682394370485</f>
        <v>1.6513562324914759</v>
      </c>
      <c r="L577">
        <f t="shared" ref="L577:L640" si="170">IF(J577/2-INT(J577/2)&lt;0.1,1.26645031675154,1.73354968324846)</f>
        <v>1.26645031675154</v>
      </c>
      <c r="M577">
        <v>577</v>
      </c>
      <c r="N577">
        <f t="shared" ref="N577:N640" si="171">(M577-1)</f>
        <v>576</v>
      </c>
      <c r="O577">
        <f t="shared" ref="O577:O640" si="172">0.253817018041334+N577*0.000704386214474</f>
        <v>0.65954347757835796</v>
      </c>
      <c r="P577">
        <f t="shared" ref="P577:P640" si="173">IF(N577/2-INT(N577/2)&lt;0.1,0.253817018041334,0.746182981958666)</f>
        <v>0.253817018041334</v>
      </c>
      <c r="Q577">
        <v>577</v>
      </c>
      <c r="R577">
        <f t="shared" ref="R577:R640" si="174">(Q577-1)</f>
        <v>576</v>
      </c>
      <c r="S577">
        <f t="shared" ref="S577:S640" si="175">1+R577*0.0014306151645207</f>
        <v>1.8240343347639232</v>
      </c>
      <c r="T577">
        <f t="shared" ref="T577:T640" si="176">IF(R577/2-INT(R577/2)&lt;0.1,0,1)</f>
        <v>0</v>
      </c>
      <c r="U577">
        <v>577</v>
      </c>
      <c r="V577">
        <f t="shared" ref="V577:V640" si="177">(U577-1)</f>
        <v>576</v>
      </c>
      <c r="W577">
        <f t="shared" ref="W577:W640" si="178">1.06480586011076+V577*0.0012451906720722</f>
        <v>1.7820356872243472</v>
      </c>
      <c r="X577">
        <f t="shared" ref="X577:X640" si="179">IF(V577/2-INT(V577/2)&lt;0.1,0.0648058601107553,0.935194139889245)</f>
        <v>6.4805860110755301E-2</v>
      </c>
    </row>
    <row r="578" spans="1:24">
      <c r="A578">
        <v>578</v>
      </c>
      <c r="B578">
        <f t="shared" si="162"/>
        <v>577</v>
      </c>
      <c r="C578">
        <f t="shared" si="163"/>
        <v>0.79764719649791327</v>
      </c>
      <c r="D578">
        <f t="shared" si="164"/>
        <v>1.9572645941803399</v>
      </c>
      <c r="E578">
        <v>578</v>
      </c>
      <c r="F578">
        <f t="shared" si="165"/>
        <v>577</v>
      </c>
      <c r="G578">
        <f t="shared" si="166"/>
        <v>0.75589531749902605</v>
      </c>
      <c r="H578">
        <f t="shared" si="167"/>
        <v>1.89312269655345</v>
      </c>
      <c r="I578">
        <v>578</v>
      </c>
      <c r="J578">
        <f t="shared" si="168"/>
        <v>577</v>
      </c>
      <c r="K578">
        <f t="shared" si="169"/>
        <v>1.6520244719285244</v>
      </c>
      <c r="L578">
        <f t="shared" si="170"/>
        <v>1.73354968324846</v>
      </c>
      <c r="M578">
        <v>578</v>
      </c>
      <c r="N578">
        <f t="shared" si="171"/>
        <v>577</v>
      </c>
      <c r="O578">
        <f t="shared" si="172"/>
        <v>0.66024786379283196</v>
      </c>
      <c r="P578">
        <f t="shared" si="173"/>
        <v>0.74618298195866595</v>
      </c>
      <c r="Q578">
        <v>578</v>
      </c>
      <c r="R578">
        <f t="shared" si="174"/>
        <v>577</v>
      </c>
      <c r="S578">
        <f t="shared" si="175"/>
        <v>1.8254649499284439</v>
      </c>
      <c r="T578">
        <f t="shared" si="176"/>
        <v>1</v>
      </c>
      <c r="U578">
        <v>578</v>
      </c>
      <c r="V578">
        <f t="shared" si="177"/>
        <v>577</v>
      </c>
      <c r="W578">
        <f t="shared" si="178"/>
        <v>1.7832808778964193</v>
      </c>
      <c r="X578">
        <f t="shared" si="179"/>
        <v>0.93519413988924505</v>
      </c>
    </row>
    <row r="579" spans="1:24">
      <c r="A579">
        <v>579</v>
      </c>
      <c r="B579">
        <f t="shared" si="162"/>
        <v>578</v>
      </c>
      <c r="C579">
        <f t="shared" si="163"/>
        <v>0.79895553582317891</v>
      </c>
      <c r="D579">
        <f t="shared" si="164"/>
        <v>1.0427354058196601</v>
      </c>
      <c r="E579">
        <v>579</v>
      </c>
      <c r="F579">
        <f t="shared" si="165"/>
        <v>578</v>
      </c>
      <c r="G579">
        <f t="shared" si="166"/>
        <v>0.75702013208143937</v>
      </c>
      <c r="H579">
        <f t="shared" si="167"/>
        <v>1.10687730344655</v>
      </c>
      <c r="I579">
        <v>579</v>
      </c>
      <c r="J579">
        <f t="shared" si="168"/>
        <v>578</v>
      </c>
      <c r="K579">
        <f t="shared" si="169"/>
        <v>1.6526927113655729</v>
      </c>
      <c r="L579">
        <f t="shared" si="170"/>
        <v>1.26645031675154</v>
      </c>
      <c r="M579">
        <v>579</v>
      </c>
      <c r="N579">
        <f t="shared" si="171"/>
        <v>578</v>
      </c>
      <c r="O579">
        <f t="shared" si="172"/>
        <v>0.66095225000730595</v>
      </c>
      <c r="P579">
        <f t="shared" si="173"/>
        <v>0.253817018041334</v>
      </c>
      <c r="Q579">
        <v>579</v>
      </c>
      <c r="R579">
        <f t="shared" si="174"/>
        <v>578</v>
      </c>
      <c r="S579">
        <f t="shared" si="175"/>
        <v>1.8268955650929646</v>
      </c>
      <c r="T579">
        <f t="shared" si="176"/>
        <v>0</v>
      </c>
      <c r="U579">
        <v>579</v>
      </c>
      <c r="V579">
        <f t="shared" si="177"/>
        <v>578</v>
      </c>
      <c r="W579">
        <f t="shared" si="178"/>
        <v>1.7845260685684914</v>
      </c>
      <c r="X579">
        <f t="shared" si="179"/>
        <v>6.4805860110755301E-2</v>
      </c>
    </row>
    <row r="580" spans="1:24">
      <c r="A580">
        <v>580</v>
      </c>
      <c r="B580">
        <f t="shared" si="162"/>
        <v>579</v>
      </c>
      <c r="C580">
        <f t="shared" si="163"/>
        <v>0.80026387514844444</v>
      </c>
      <c r="D580">
        <f t="shared" si="164"/>
        <v>1.9572645941803399</v>
      </c>
      <c r="E580">
        <v>580</v>
      </c>
      <c r="F580">
        <f t="shared" si="165"/>
        <v>579</v>
      </c>
      <c r="G580">
        <f t="shared" si="166"/>
        <v>0.75814494666385268</v>
      </c>
      <c r="H580">
        <f t="shared" si="167"/>
        <v>1.89312269655345</v>
      </c>
      <c r="I580">
        <v>580</v>
      </c>
      <c r="J580">
        <f t="shared" si="168"/>
        <v>579</v>
      </c>
      <c r="K580">
        <f t="shared" si="169"/>
        <v>1.6533609508026215</v>
      </c>
      <c r="L580">
        <f t="shared" si="170"/>
        <v>1.73354968324846</v>
      </c>
      <c r="M580">
        <v>580</v>
      </c>
      <c r="N580">
        <f t="shared" si="171"/>
        <v>579</v>
      </c>
      <c r="O580">
        <f t="shared" si="172"/>
        <v>0.66165663622177995</v>
      </c>
      <c r="P580">
        <f t="shared" si="173"/>
        <v>0.74618298195866595</v>
      </c>
      <c r="Q580">
        <v>580</v>
      </c>
      <c r="R580">
        <f t="shared" si="174"/>
        <v>579</v>
      </c>
      <c r="S580">
        <f t="shared" si="175"/>
        <v>1.8283261802574853</v>
      </c>
      <c r="T580">
        <f t="shared" si="176"/>
        <v>1</v>
      </c>
      <c r="U580">
        <v>580</v>
      </c>
      <c r="V580">
        <f t="shared" si="177"/>
        <v>579</v>
      </c>
      <c r="W580">
        <f t="shared" si="178"/>
        <v>1.7857712592405637</v>
      </c>
      <c r="X580">
        <f t="shared" si="179"/>
        <v>0.93519413988924505</v>
      </c>
    </row>
    <row r="581" spans="1:24">
      <c r="A581">
        <v>581</v>
      </c>
      <c r="B581">
        <f t="shared" si="162"/>
        <v>580</v>
      </c>
      <c r="C581">
        <f t="shared" si="163"/>
        <v>0.80157221447371008</v>
      </c>
      <c r="D581">
        <f t="shared" si="164"/>
        <v>1.0427354058196601</v>
      </c>
      <c r="E581">
        <v>581</v>
      </c>
      <c r="F581">
        <f t="shared" si="165"/>
        <v>580</v>
      </c>
      <c r="G581">
        <f t="shared" si="166"/>
        <v>0.759269761246266</v>
      </c>
      <c r="H581">
        <f t="shared" si="167"/>
        <v>1.10687730344655</v>
      </c>
      <c r="I581">
        <v>581</v>
      </c>
      <c r="J581">
        <f t="shared" si="168"/>
        <v>580</v>
      </c>
      <c r="K581">
        <f t="shared" si="169"/>
        <v>1.65402919023967</v>
      </c>
      <c r="L581">
        <f t="shared" si="170"/>
        <v>1.26645031675154</v>
      </c>
      <c r="M581">
        <v>581</v>
      </c>
      <c r="N581">
        <f t="shared" si="171"/>
        <v>580</v>
      </c>
      <c r="O581">
        <f t="shared" si="172"/>
        <v>0.66236102243625394</v>
      </c>
      <c r="P581">
        <f t="shared" si="173"/>
        <v>0.253817018041334</v>
      </c>
      <c r="Q581">
        <v>581</v>
      </c>
      <c r="R581">
        <f t="shared" si="174"/>
        <v>580</v>
      </c>
      <c r="S581">
        <f t="shared" si="175"/>
        <v>1.829756795422006</v>
      </c>
      <c r="T581">
        <f t="shared" si="176"/>
        <v>0</v>
      </c>
      <c r="U581">
        <v>581</v>
      </c>
      <c r="V581">
        <f t="shared" si="177"/>
        <v>580</v>
      </c>
      <c r="W581">
        <f t="shared" si="178"/>
        <v>1.787016449912636</v>
      </c>
      <c r="X581">
        <f t="shared" si="179"/>
        <v>6.4805860110755301E-2</v>
      </c>
    </row>
    <row r="582" spans="1:24">
      <c r="A582">
        <v>582</v>
      </c>
      <c r="B582">
        <f t="shared" si="162"/>
        <v>581</v>
      </c>
      <c r="C582">
        <f t="shared" si="163"/>
        <v>0.8028805537989756</v>
      </c>
      <c r="D582">
        <f t="shared" si="164"/>
        <v>1.9572645941803399</v>
      </c>
      <c r="E582">
        <v>582</v>
      </c>
      <c r="F582">
        <f t="shared" si="165"/>
        <v>581</v>
      </c>
      <c r="G582">
        <f t="shared" si="166"/>
        <v>0.7603945758286792</v>
      </c>
      <c r="H582">
        <f t="shared" si="167"/>
        <v>1.89312269655345</v>
      </c>
      <c r="I582">
        <v>582</v>
      </c>
      <c r="J582">
        <f t="shared" si="168"/>
        <v>581</v>
      </c>
      <c r="K582">
        <f t="shared" si="169"/>
        <v>1.6546974296767185</v>
      </c>
      <c r="L582">
        <f t="shared" si="170"/>
        <v>1.73354968324846</v>
      </c>
      <c r="M582">
        <v>582</v>
      </c>
      <c r="N582">
        <f t="shared" si="171"/>
        <v>581</v>
      </c>
      <c r="O582">
        <f t="shared" si="172"/>
        <v>0.66306540865072794</v>
      </c>
      <c r="P582">
        <f t="shared" si="173"/>
        <v>0.74618298195866595</v>
      </c>
      <c r="Q582">
        <v>582</v>
      </c>
      <c r="R582">
        <f t="shared" si="174"/>
        <v>581</v>
      </c>
      <c r="S582">
        <f t="shared" si="175"/>
        <v>1.8311874105865267</v>
      </c>
      <c r="T582">
        <f t="shared" si="176"/>
        <v>1</v>
      </c>
      <c r="U582">
        <v>582</v>
      </c>
      <c r="V582">
        <f t="shared" si="177"/>
        <v>581</v>
      </c>
      <c r="W582">
        <f t="shared" si="178"/>
        <v>1.7882616405847083</v>
      </c>
      <c r="X582">
        <f t="shared" si="179"/>
        <v>0.93519413988924505</v>
      </c>
    </row>
    <row r="583" spans="1:24">
      <c r="A583">
        <v>583</v>
      </c>
      <c r="B583">
        <f t="shared" si="162"/>
        <v>582</v>
      </c>
      <c r="C583">
        <f t="shared" si="163"/>
        <v>0.80418889312424124</v>
      </c>
      <c r="D583">
        <f t="shared" si="164"/>
        <v>1.0427354058196601</v>
      </c>
      <c r="E583">
        <v>583</v>
      </c>
      <c r="F583">
        <f t="shared" si="165"/>
        <v>582</v>
      </c>
      <c r="G583">
        <f t="shared" si="166"/>
        <v>0.76151939041109251</v>
      </c>
      <c r="H583">
        <f t="shared" si="167"/>
        <v>1.10687730344655</v>
      </c>
      <c r="I583">
        <v>583</v>
      </c>
      <c r="J583">
        <f t="shared" si="168"/>
        <v>582</v>
      </c>
      <c r="K583">
        <f t="shared" si="169"/>
        <v>1.6553656691137668</v>
      </c>
      <c r="L583">
        <f t="shared" si="170"/>
        <v>1.26645031675154</v>
      </c>
      <c r="M583">
        <v>583</v>
      </c>
      <c r="N583">
        <f t="shared" si="171"/>
        <v>582</v>
      </c>
      <c r="O583">
        <f t="shared" si="172"/>
        <v>0.66376979486520193</v>
      </c>
      <c r="P583">
        <f t="shared" si="173"/>
        <v>0.253817018041334</v>
      </c>
      <c r="Q583">
        <v>583</v>
      </c>
      <c r="R583">
        <f t="shared" si="174"/>
        <v>582</v>
      </c>
      <c r="S583">
        <f t="shared" si="175"/>
        <v>1.8326180257510474</v>
      </c>
      <c r="T583">
        <f t="shared" si="176"/>
        <v>0</v>
      </c>
      <c r="U583">
        <v>583</v>
      </c>
      <c r="V583">
        <f t="shared" si="177"/>
        <v>582</v>
      </c>
      <c r="W583">
        <f t="shared" si="178"/>
        <v>1.7895068312567803</v>
      </c>
      <c r="X583">
        <f t="shared" si="179"/>
        <v>6.4805860110755301E-2</v>
      </c>
    </row>
    <row r="584" spans="1:24">
      <c r="A584">
        <v>584</v>
      </c>
      <c r="B584">
        <f t="shared" si="162"/>
        <v>583</v>
      </c>
      <c r="C584">
        <f t="shared" si="163"/>
        <v>0.80549723244950688</v>
      </c>
      <c r="D584">
        <f t="shared" si="164"/>
        <v>1.9572645941803399</v>
      </c>
      <c r="E584">
        <v>584</v>
      </c>
      <c r="F584">
        <f t="shared" si="165"/>
        <v>583</v>
      </c>
      <c r="G584">
        <f t="shared" si="166"/>
        <v>0.76264420499350583</v>
      </c>
      <c r="H584">
        <f t="shared" si="167"/>
        <v>1.89312269655345</v>
      </c>
      <c r="I584">
        <v>584</v>
      </c>
      <c r="J584">
        <f t="shared" si="168"/>
        <v>583</v>
      </c>
      <c r="K584">
        <f t="shared" si="169"/>
        <v>1.6560339085508153</v>
      </c>
      <c r="L584">
        <f t="shared" si="170"/>
        <v>1.73354968324846</v>
      </c>
      <c r="M584">
        <v>584</v>
      </c>
      <c r="N584">
        <f t="shared" si="171"/>
        <v>583</v>
      </c>
      <c r="O584">
        <f t="shared" si="172"/>
        <v>0.66447418107967593</v>
      </c>
      <c r="P584">
        <f t="shared" si="173"/>
        <v>0.74618298195866595</v>
      </c>
      <c r="Q584">
        <v>584</v>
      </c>
      <c r="R584">
        <f t="shared" si="174"/>
        <v>583</v>
      </c>
      <c r="S584">
        <f t="shared" si="175"/>
        <v>1.8340486409155681</v>
      </c>
      <c r="T584">
        <f t="shared" si="176"/>
        <v>1</v>
      </c>
      <c r="U584">
        <v>584</v>
      </c>
      <c r="V584">
        <f t="shared" si="177"/>
        <v>583</v>
      </c>
      <c r="W584">
        <f t="shared" si="178"/>
        <v>1.7907520219288524</v>
      </c>
      <c r="X584">
        <f t="shared" si="179"/>
        <v>0.93519413988924505</v>
      </c>
    </row>
    <row r="585" spans="1:24">
      <c r="A585">
        <v>585</v>
      </c>
      <c r="B585">
        <f t="shared" si="162"/>
        <v>584</v>
      </c>
      <c r="C585">
        <f t="shared" si="163"/>
        <v>0.80680557177477241</v>
      </c>
      <c r="D585">
        <f t="shared" si="164"/>
        <v>1.0427354058196601</v>
      </c>
      <c r="E585">
        <v>585</v>
      </c>
      <c r="F585">
        <f t="shared" si="165"/>
        <v>584</v>
      </c>
      <c r="G585">
        <f t="shared" si="166"/>
        <v>0.76376901957591914</v>
      </c>
      <c r="H585">
        <f t="shared" si="167"/>
        <v>1.10687730344655</v>
      </c>
      <c r="I585">
        <v>585</v>
      </c>
      <c r="J585">
        <f t="shared" si="168"/>
        <v>584</v>
      </c>
      <c r="K585">
        <f t="shared" si="169"/>
        <v>1.6567021479878639</v>
      </c>
      <c r="L585">
        <f t="shared" si="170"/>
        <v>1.26645031675154</v>
      </c>
      <c r="M585">
        <v>585</v>
      </c>
      <c r="N585">
        <f t="shared" si="171"/>
        <v>584</v>
      </c>
      <c r="O585">
        <f t="shared" si="172"/>
        <v>0.66517856729414993</v>
      </c>
      <c r="P585">
        <f t="shared" si="173"/>
        <v>0.253817018041334</v>
      </c>
      <c r="Q585">
        <v>585</v>
      </c>
      <c r="R585">
        <f t="shared" si="174"/>
        <v>584</v>
      </c>
      <c r="S585">
        <f t="shared" si="175"/>
        <v>1.8354792560800888</v>
      </c>
      <c r="T585">
        <f t="shared" si="176"/>
        <v>0</v>
      </c>
      <c r="U585">
        <v>585</v>
      </c>
      <c r="V585">
        <f t="shared" si="177"/>
        <v>584</v>
      </c>
      <c r="W585">
        <f t="shared" si="178"/>
        <v>1.7919972126009247</v>
      </c>
      <c r="X585">
        <f t="shared" si="179"/>
        <v>6.4805860110755301E-2</v>
      </c>
    </row>
    <row r="586" spans="1:24">
      <c r="A586">
        <v>586</v>
      </c>
      <c r="B586">
        <f t="shared" si="162"/>
        <v>585</v>
      </c>
      <c r="C586">
        <f t="shared" si="163"/>
        <v>0.80811391110003805</v>
      </c>
      <c r="D586">
        <f t="shared" si="164"/>
        <v>1.9572645941803399</v>
      </c>
      <c r="E586">
        <v>586</v>
      </c>
      <c r="F586">
        <f t="shared" si="165"/>
        <v>585</v>
      </c>
      <c r="G586">
        <f t="shared" si="166"/>
        <v>0.76489383415833245</v>
      </c>
      <c r="H586">
        <f t="shared" si="167"/>
        <v>1.89312269655345</v>
      </c>
      <c r="I586">
        <v>586</v>
      </c>
      <c r="J586">
        <f t="shared" si="168"/>
        <v>585</v>
      </c>
      <c r="K586">
        <f t="shared" si="169"/>
        <v>1.6573703874249124</v>
      </c>
      <c r="L586">
        <f t="shared" si="170"/>
        <v>1.73354968324846</v>
      </c>
      <c r="M586">
        <v>586</v>
      </c>
      <c r="N586">
        <f t="shared" si="171"/>
        <v>585</v>
      </c>
      <c r="O586">
        <f t="shared" si="172"/>
        <v>0.66588295350862392</v>
      </c>
      <c r="P586">
        <f t="shared" si="173"/>
        <v>0.74618298195866595</v>
      </c>
      <c r="Q586">
        <v>586</v>
      </c>
      <c r="R586">
        <f t="shared" si="174"/>
        <v>585</v>
      </c>
      <c r="S586">
        <f t="shared" si="175"/>
        <v>1.8369098712446095</v>
      </c>
      <c r="T586">
        <f t="shared" si="176"/>
        <v>1</v>
      </c>
      <c r="U586">
        <v>586</v>
      </c>
      <c r="V586">
        <f t="shared" si="177"/>
        <v>585</v>
      </c>
      <c r="W586">
        <f t="shared" si="178"/>
        <v>1.793242403272997</v>
      </c>
      <c r="X586">
        <f t="shared" si="179"/>
        <v>0.93519413988924505</v>
      </c>
    </row>
    <row r="587" spans="1:24">
      <c r="A587">
        <v>587</v>
      </c>
      <c r="B587">
        <f t="shared" si="162"/>
        <v>586</v>
      </c>
      <c r="C587">
        <f t="shared" si="163"/>
        <v>0.80942225042530369</v>
      </c>
      <c r="D587">
        <f t="shared" si="164"/>
        <v>1.0427354058196601</v>
      </c>
      <c r="E587">
        <v>587</v>
      </c>
      <c r="F587">
        <f t="shared" si="165"/>
        <v>586</v>
      </c>
      <c r="G587">
        <f t="shared" si="166"/>
        <v>0.76601864874074577</v>
      </c>
      <c r="H587">
        <f t="shared" si="167"/>
        <v>1.10687730344655</v>
      </c>
      <c r="I587">
        <v>587</v>
      </c>
      <c r="J587">
        <f t="shared" si="168"/>
        <v>586</v>
      </c>
      <c r="K587">
        <f t="shared" si="169"/>
        <v>1.6580386268619609</v>
      </c>
      <c r="L587">
        <f t="shared" si="170"/>
        <v>1.26645031675154</v>
      </c>
      <c r="M587">
        <v>587</v>
      </c>
      <c r="N587">
        <f t="shared" si="171"/>
        <v>586</v>
      </c>
      <c r="O587">
        <f t="shared" si="172"/>
        <v>0.66658733972309792</v>
      </c>
      <c r="P587">
        <f t="shared" si="173"/>
        <v>0.253817018041334</v>
      </c>
      <c r="Q587">
        <v>587</v>
      </c>
      <c r="R587">
        <f t="shared" si="174"/>
        <v>586</v>
      </c>
      <c r="S587">
        <f t="shared" si="175"/>
        <v>1.8383404864091302</v>
      </c>
      <c r="T587">
        <f t="shared" si="176"/>
        <v>0</v>
      </c>
      <c r="U587">
        <v>587</v>
      </c>
      <c r="V587">
        <f t="shared" si="177"/>
        <v>586</v>
      </c>
      <c r="W587">
        <f t="shared" si="178"/>
        <v>1.7944875939450691</v>
      </c>
      <c r="X587">
        <f t="shared" si="179"/>
        <v>6.4805860110755301E-2</v>
      </c>
    </row>
    <row r="588" spans="1:24">
      <c r="A588">
        <v>588</v>
      </c>
      <c r="B588">
        <f t="shared" si="162"/>
        <v>587</v>
      </c>
      <c r="C588">
        <f t="shared" si="163"/>
        <v>0.81073058975056922</v>
      </c>
      <c r="D588">
        <f t="shared" si="164"/>
        <v>1.9572645941803399</v>
      </c>
      <c r="E588">
        <v>588</v>
      </c>
      <c r="F588">
        <f t="shared" si="165"/>
        <v>587</v>
      </c>
      <c r="G588">
        <f t="shared" si="166"/>
        <v>0.76714346332315908</v>
      </c>
      <c r="H588">
        <f t="shared" si="167"/>
        <v>1.89312269655345</v>
      </c>
      <c r="I588">
        <v>588</v>
      </c>
      <c r="J588">
        <f t="shared" si="168"/>
        <v>587</v>
      </c>
      <c r="K588">
        <f t="shared" si="169"/>
        <v>1.6587068662990094</v>
      </c>
      <c r="L588">
        <f t="shared" si="170"/>
        <v>1.73354968324846</v>
      </c>
      <c r="M588">
        <v>588</v>
      </c>
      <c r="N588">
        <f t="shared" si="171"/>
        <v>587</v>
      </c>
      <c r="O588">
        <f t="shared" si="172"/>
        <v>0.66729172593757191</v>
      </c>
      <c r="P588">
        <f t="shared" si="173"/>
        <v>0.74618298195866595</v>
      </c>
      <c r="Q588">
        <v>588</v>
      </c>
      <c r="R588">
        <f t="shared" si="174"/>
        <v>587</v>
      </c>
      <c r="S588">
        <f t="shared" si="175"/>
        <v>1.8397711015736509</v>
      </c>
      <c r="T588">
        <f t="shared" si="176"/>
        <v>1</v>
      </c>
      <c r="U588">
        <v>588</v>
      </c>
      <c r="V588">
        <f t="shared" si="177"/>
        <v>587</v>
      </c>
      <c r="W588">
        <f t="shared" si="178"/>
        <v>1.7957327846171414</v>
      </c>
      <c r="X588">
        <f t="shared" si="179"/>
        <v>0.93519413988924505</v>
      </c>
    </row>
    <row r="589" spans="1:24">
      <c r="A589">
        <v>589</v>
      </c>
      <c r="B589">
        <f t="shared" si="162"/>
        <v>588</v>
      </c>
      <c r="C589">
        <f t="shared" si="163"/>
        <v>0.81203892907583486</v>
      </c>
      <c r="D589">
        <f t="shared" si="164"/>
        <v>1.0427354058196601</v>
      </c>
      <c r="E589">
        <v>589</v>
      </c>
      <c r="F589">
        <f t="shared" si="165"/>
        <v>588</v>
      </c>
      <c r="G589">
        <f t="shared" si="166"/>
        <v>0.76826827790557228</v>
      </c>
      <c r="H589">
        <f t="shared" si="167"/>
        <v>1.10687730344655</v>
      </c>
      <c r="I589">
        <v>589</v>
      </c>
      <c r="J589">
        <f t="shared" si="168"/>
        <v>588</v>
      </c>
      <c r="K589">
        <f t="shared" si="169"/>
        <v>1.659375105736058</v>
      </c>
      <c r="L589">
        <f t="shared" si="170"/>
        <v>1.26645031675154</v>
      </c>
      <c r="M589">
        <v>589</v>
      </c>
      <c r="N589">
        <f t="shared" si="171"/>
        <v>588</v>
      </c>
      <c r="O589">
        <f t="shared" si="172"/>
        <v>0.66799611215204591</v>
      </c>
      <c r="P589">
        <f t="shared" si="173"/>
        <v>0.253817018041334</v>
      </c>
      <c r="Q589">
        <v>589</v>
      </c>
      <c r="R589">
        <f t="shared" si="174"/>
        <v>588</v>
      </c>
      <c r="S589">
        <f t="shared" si="175"/>
        <v>1.8412017167381716</v>
      </c>
      <c r="T589">
        <f t="shared" si="176"/>
        <v>0</v>
      </c>
      <c r="U589">
        <v>589</v>
      </c>
      <c r="V589">
        <f t="shared" si="177"/>
        <v>588</v>
      </c>
      <c r="W589">
        <f t="shared" si="178"/>
        <v>1.7969779752892134</v>
      </c>
      <c r="X589">
        <f t="shared" si="179"/>
        <v>6.4805860110755301E-2</v>
      </c>
    </row>
    <row r="590" spans="1:24">
      <c r="A590">
        <v>590</v>
      </c>
      <c r="B590">
        <f t="shared" si="162"/>
        <v>589</v>
      </c>
      <c r="C590">
        <f t="shared" si="163"/>
        <v>0.8133472684011005</v>
      </c>
      <c r="D590">
        <f t="shared" si="164"/>
        <v>1.9572645941803399</v>
      </c>
      <c r="E590">
        <v>590</v>
      </c>
      <c r="F590">
        <f t="shared" si="165"/>
        <v>589</v>
      </c>
      <c r="G590">
        <f t="shared" si="166"/>
        <v>0.7693930924879856</v>
      </c>
      <c r="H590">
        <f t="shared" si="167"/>
        <v>1.89312269655345</v>
      </c>
      <c r="I590">
        <v>590</v>
      </c>
      <c r="J590">
        <f t="shared" si="168"/>
        <v>589</v>
      </c>
      <c r="K590">
        <f t="shared" si="169"/>
        <v>1.6600433451731065</v>
      </c>
      <c r="L590">
        <f t="shared" si="170"/>
        <v>1.73354968324846</v>
      </c>
      <c r="M590">
        <v>590</v>
      </c>
      <c r="N590">
        <f t="shared" si="171"/>
        <v>589</v>
      </c>
      <c r="O590">
        <f t="shared" si="172"/>
        <v>0.6687004983665199</v>
      </c>
      <c r="P590">
        <f t="shared" si="173"/>
        <v>0.74618298195866595</v>
      </c>
      <c r="Q590">
        <v>590</v>
      </c>
      <c r="R590">
        <f t="shared" si="174"/>
        <v>589</v>
      </c>
      <c r="S590">
        <f t="shared" si="175"/>
        <v>1.8426323319026923</v>
      </c>
      <c r="T590">
        <f t="shared" si="176"/>
        <v>1</v>
      </c>
      <c r="U590">
        <v>590</v>
      </c>
      <c r="V590">
        <f t="shared" si="177"/>
        <v>589</v>
      </c>
      <c r="W590">
        <f t="shared" si="178"/>
        <v>1.7982231659612857</v>
      </c>
      <c r="X590">
        <f t="shared" si="179"/>
        <v>0.93519413988924505</v>
      </c>
    </row>
    <row r="591" spans="1:24">
      <c r="A591">
        <v>591</v>
      </c>
      <c r="B591">
        <f t="shared" si="162"/>
        <v>590</v>
      </c>
      <c r="C591">
        <f t="shared" si="163"/>
        <v>0.81465560772636603</v>
      </c>
      <c r="D591">
        <f t="shared" si="164"/>
        <v>1.0427354058196601</v>
      </c>
      <c r="E591">
        <v>591</v>
      </c>
      <c r="F591">
        <f t="shared" si="165"/>
        <v>590</v>
      </c>
      <c r="G591">
        <f t="shared" si="166"/>
        <v>0.77051790707039891</v>
      </c>
      <c r="H591">
        <f t="shared" si="167"/>
        <v>1.10687730344655</v>
      </c>
      <c r="I591">
        <v>591</v>
      </c>
      <c r="J591">
        <f t="shared" si="168"/>
        <v>590</v>
      </c>
      <c r="K591">
        <f t="shared" si="169"/>
        <v>1.660711584610155</v>
      </c>
      <c r="L591">
        <f t="shared" si="170"/>
        <v>1.26645031675154</v>
      </c>
      <c r="M591">
        <v>591</v>
      </c>
      <c r="N591">
        <f t="shared" si="171"/>
        <v>590</v>
      </c>
      <c r="O591">
        <f t="shared" si="172"/>
        <v>0.6694048845809939</v>
      </c>
      <c r="P591">
        <f t="shared" si="173"/>
        <v>0.253817018041334</v>
      </c>
      <c r="Q591">
        <v>591</v>
      </c>
      <c r="R591">
        <f t="shared" si="174"/>
        <v>590</v>
      </c>
      <c r="S591">
        <f t="shared" si="175"/>
        <v>1.844062947067213</v>
      </c>
      <c r="T591">
        <f t="shared" si="176"/>
        <v>0</v>
      </c>
      <c r="U591">
        <v>591</v>
      </c>
      <c r="V591">
        <f t="shared" si="177"/>
        <v>590</v>
      </c>
      <c r="W591">
        <f t="shared" si="178"/>
        <v>1.799468356633358</v>
      </c>
      <c r="X591">
        <f t="shared" si="179"/>
        <v>6.4805860110755301E-2</v>
      </c>
    </row>
    <row r="592" spans="1:24">
      <c r="A592">
        <v>592</v>
      </c>
      <c r="B592">
        <f t="shared" si="162"/>
        <v>591</v>
      </c>
      <c r="C592">
        <f t="shared" si="163"/>
        <v>0.81596394705163167</v>
      </c>
      <c r="D592">
        <f t="shared" si="164"/>
        <v>1.9572645941803399</v>
      </c>
      <c r="E592">
        <v>592</v>
      </c>
      <c r="F592">
        <f t="shared" si="165"/>
        <v>591</v>
      </c>
      <c r="G592">
        <f t="shared" si="166"/>
        <v>0.77164272165281222</v>
      </c>
      <c r="H592">
        <f t="shared" si="167"/>
        <v>1.89312269655345</v>
      </c>
      <c r="I592">
        <v>592</v>
      </c>
      <c r="J592">
        <f t="shared" si="168"/>
        <v>591</v>
      </c>
      <c r="K592">
        <f t="shared" si="169"/>
        <v>1.6613798240472035</v>
      </c>
      <c r="L592">
        <f t="shared" si="170"/>
        <v>1.73354968324846</v>
      </c>
      <c r="M592">
        <v>592</v>
      </c>
      <c r="N592">
        <f t="shared" si="171"/>
        <v>591</v>
      </c>
      <c r="O592">
        <f t="shared" si="172"/>
        <v>0.67010927079546789</v>
      </c>
      <c r="P592">
        <f t="shared" si="173"/>
        <v>0.74618298195866595</v>
      </c>
      <c r="Q592">
        <v>592</v>
      </c>
      <c r="R592">
        <f t="shared" si="174"/>
        <v>591</v>
      </c>
      <c r="S592">
        <f t="shared" si="175"/>
        <v>1.8454935622317337</v>
      </c>
      <c r="T592">
        <f t="shared" si="176"/>
        <v>1</v>
      </c>
      <c r="U592">
        <v>592</v>
      </c>
      <c r="V592">
        <f t="shared" si="177"/>
        <v>591</v>
      </c>
      <c r="W592">
        <f t="shared" si="178"/>
        <v>1.8007135473054301</v>
      </c>
      <c r="X592">
        <f t="shared" si="179"/>
        <v>0.93519413988924505</v>
      </c>
    </row>
    <row r="593" spans="1:24">
      <c r="A593">
        <v>593</v>
      </c>
      <c r="B593">
        <f t="shared" si="162"/>
        <v>592</v>
      </c>
      <c r="C593">
        <f t="shared" si="163"/>
        <v>0.81727228637689731</v>
      </c>
      <c r="D593">
        <f t="shared" si="164"/>
        <v>1.0427354058196601</v>
      </c>
      <c r="E593">
        <v>593</v>
      </c>
      <c r="F593">
        <f t="shared" si="165"/>
        <v>592</v>
      </c>
      <c r="G593">
        <f t="shared" si="166"/>
        <v>0.77276753623522554</v>
      </c>
      <c r="H593">
        <f t="shared" si="167"/>
        <v>1.10687730344655</v>
      </c>
      <c r="I593">
        <v>593</v>
      </c>
      <c r="J593">
        <f t="shared" si="168"/>
        <v>592</v>
      </c>
      <c r="K593">
        <f t="shared" si="169"/>
        <v>1.662048063484252</v>
      </c>
      <c r="L593">
        <f t="shared" si="170"/>
        <v>1.26645031675154</v>
      </c>
      <c r="M593">
        <v>593</v>
      </c>
      <c r="N593">
        <f t="shared" si="171"/>
        <v>592</v>
      </c>
      <c r="O593">
        <f t="shared" si="172"/>
        <v>0.670813657009942</v>
      </c>
      <c r="P593">
        <f t="shared" si="173"/>
        <v>0.253817018041334</v>
      </c>
      <c r="Q593">
        <v>593</v>
      </c>
      <c r="R593">
        <f t="shared" si="174"/>
        <v>592</v>
      </c>
      <c r="S593">
        <f t="shared" si="175"/>
        <v>1.8469241773962544</v>
      </c>
      <c r="T593">
        <f t="shared" si="176"/>
        <v>0</v>
      </c>
      <c r="U593">
        <v>593</v>
      </c>
      <c r="V593">
        <f t="shared" si="177"/>
        <v>592</v>
      </c>
      <c r="W593">
        <f t="shared" si="178"/>
        <v>1.8019587379775022</v>
      </c>
      <c r="X593">
        <f t="shared" si="179"/>
        <v>6.4805860110755301E-2</v>
      </c>
    </row>
    <row r="594" spans="1:24">
      <c r="A594">
        <v>594</v>
      </c>
      <c r="B594">
        <f t="shared" si="162"/>
        <v>593</v>
      </c>
      <c r="C594">
        <f t="shared" si="163"/>
        <v>0.81858062570216283</v>
      </c>
      <c r="D594">
        <f t="shared" si="164"/>
        <v>1.9572645941803399</v>
      </c>
      <c r="E594">
        <v>594</v>
      </c>
      <c r="F594">
        <f t="shared" si="165"/>
        <v>593</v>
      </c>
      <c r="G594">
        <f t="shared" si="166"/>
        <v>0.77389235081763885</v>
      </c>
      <c r="H594">
        <f t="shared" si="167"/>
        <v>1.89312269655345</v>
      </c>
      <c r="I594">
        <v>594</v>
      </c>
      <c r="J594">
        <f t="shared" si="168"/>
        <v>593</v>
      </c>
      <c r="K594">
        <f t="shared" si="169"/>
        <v>1.6627163029213006</v>
      </c>
      <c r="L594">
        <f t="shared" si="170"/>
        <v>1.73354968324846</v>
      </c>
      <c r="M594">
        <v>594</v>
      </c>
      <c r="N594">
        <f t="shared" si="171"/>
        <v>593</v>
      </c>
      <c r="O594">
        <f t="shared" si="172"/>
        <v>0.67151804322441599</v>
      </c>
      <c r="P594">
        <f t="shared" si="173"/>
        <v>0.74618298195866595</v>
      </c>
      <c r="Q594">
        <v>594</v>
      </c>
      <c r="R594">
        <f t="shared" si="174"/>
        <v>593</v>
      </c>
      <c r="S594">
        <f t="shared" si="175"/>
        <v>1.8483547925607751</v>
      </c>
      <c r="T594">
        <f t="shared" si="176"/>
        <v>1</v>
      </c>
      <c r="U594">
        <v>594</v>
      </c>
      <c r="V594">
        <f t="shared" si="177"/>
        <v>593</v>
      </c>
      <c r="W594">
        <f t="shared" si="178"/>
        <v>1.8032039286495745</v>
      </c>
      <c r="X594">
        <f t="shared" si="179"/>
        <v>0.93519413988924505</v>
      </c>
    </row>
    <row r="595" spans="1:24">
      <c r="A595">
        <v>595</v>
      </c>
      <c r="B595">
        <f t="shared" si="162"/>
        <v>594</v>
      </c>
      <c r="C595">
        <f t="shared" si="163"/>
        <v>0.81988896502742847</v>
      </c>
      <c r="D595">
        <f t="shared" si="164"/>
        <v>1.0427354058196601</v>
      </c>
      <c r="E595">
        <v>595</v>
      </c>
      <c r="F595">
        <f t="shared" si="165"/>
        <v>594</v>
      </c>
      <c r="G595">
        <f t="shared" si="166"/>
        <v>0.77501716540005217</v>
      </c>
      <c r="H595">
        <f t="shared" si="167"/>
        <v>1.10687730344655</v>
      </c>
      <c r="I595">
        <v>595</v>
      </c>
      <c r="J595">
        <f t="shared" si="168"/>
        <v>594</v>
      </c>
      <c r="K595">
        <f t="shared" si="169"/>
        <v>1.6633845423583489</v>
      </c>
      <c r="L595">
        <f t="shared" si="170"/>
        <v>1.26645031675154</v>
      </c>
      <c r="M595">
        <v>595</v>
      </c>
      <c r="N595">
        <f t="shared" si="171"/>
        <v>594</v>
      </c>
      <c r="O595">
        <f t="shared" si="172"/>
        <v>0.67222242943888999</v>
      </c>
      <c r="P595">
        <f t="shared" si="173"/>
        <v>0.253817018041334</v>
      </c>
      <c r="Q595">
        <v>595</v>
      </c>
      <c r="R595">
        <f t="shared" si="174"/>
        <v>594</v>
      </c>
      <c r="S595">
        <f t="shared" si="175"/>
        <v>1.8497854077252958</v>
      </c>
      <c r="T595">
        <f t="shared" si="176"/>
        <v>0</v>
      </c>
      <c r="U595">
        <v>595</v>
      </c>
      <c r="V595">
        <f t="shared" si="177"/>
        <v>594</v>
      </c>
      <c r="W595">
        <f t="shared" si="178"/>
        <v>1.8044491193216468</v>
      </c>
      <c r="X595">
        <f t="shared" si="179"/>
        <v>6.4805860110755301E-2</v>
      </c>
    </row>
    <row r="596" spans="1:24">
      <c r="A596">
        <v>596</v>
      </c>
      <c r="B596">
        <f t="shared" si="162"/>
        <v>595</v>
      </c>
      <c r="C596">
        <f t="shared" si="163"/>
        <v>0.821197304352694</v>
      </c>
      <c r="D596">
        <f t="shared" si="164"/>
        <v>1.9572645941803399</v>
      </c>
      <c r="E596">
        <v>596</v>
      </c>
      <c r="F596">
        <f t="shared" si="165"/>
        <v>595</v>
      </c>
      <c r="G596">
        <f t="shared" si="166"/>
        <v>0.77614197998246548</v>
      </c>
      <c r="H596">
        <f t="shared" si="167"/>
        <v>1.89312269655345</v>
      </c>
      <c r="I596">
        <v>596</v>
      </c>
      <c r="J596">
        <f t="shared" si="168"/>
        <v>595</v>
      </c>
      <c r="K596">
        <f t="shared" si="169"/>
        <v>1.6640527817953974</v>
      </c>
      <c r="L596">
        <f t="shared" si="170"/>
        <v>1.73354968324846</v>
      </c>
      <c r="M596">
        <v>596</v>
      </c>
      <c r="N596">
        <f t="shared" si="171"/>
        <v>595</v>
      </c>
      <c r="O596">
        <f t="shared" si="172"/>
        <v>0.67292681565336399</v>
      </c>
      <c r="P596">
        <f t="shared" si="173"/>
        <v>0.74618298195866595</v>
      </c>
      <c r="Q596">
        <v>596</v>
      </c>
      <c r="R596">
        <f t="shared" si="174"/>
        <v>595</v>
      </c>
      <c r="S596">
        <f t="shared" si="175"/>
        <v>1.8512160228898165</v>
      </c>
      <c r="T596">
        <f t="shared" si="176"/>
        <v>1</v>
      </c>
      <c r="U596">
        <v>596</v>
      </c>
      <c r="V596">
        <f t="shared" si="177"/>
        <v>595</v>
      </c>
      <c r="W596">
        <f t="shared" si="178"/>
        <v>1.805694309993719</v>
      </c>
      <c r="X596">
        <f t="shared" si="179"/>
        <v>0.93519413988924505</v>
      </c>
    </row>
    <row r="597" spans="1:24">
      <c r="A597">
        <v>597</v>
      </c>
      <c r="B597">
        <f t="shared" si="162"/>
        <v>596</v>
      </c>
      <c r="C597">
        <f t="shared" si="163"/>
        <v>0.82250564367795964</v>
      </c>
      <c r="D597">
        <f t="shared" si="164"/>
        <v>1.0427354058196601</v>
      </c>
      <c r="E597">
        <v>597</v>
      </c>
      <c r="F597">
        <f t="shared" si="165"/>
        <v>596</v>
      </c>
      <c r="G597">
        <f t="shared" si="166"/>
        <v>0.77726679456487879</v>
      </c>
      <c r="H597">
        <f t="shared" si="167"/>
        <v>1.10687730344655</v>
      </c>
      <c r="I597">
        <v>597</v>
      </c>
      <c r="J597">
        <f t="shared" si="168"/>
        <v>596</v>
      </c>
      <c r="K597">
        <f t="shared" si="169"/>
        <v>1.6647210212324459</v>
      </c>
      <c r="L597">
        <f t="shared" si="170"/>
        <v>1.26645031675154</v>
      </c>
      <c r="M597">
        <v>597</v>
      </c>
      <c r="N597">
        <f t="shared" si="171"/>
        <v>596</v>
      </c>
      <c r="O597">
        <f t="shared" si="172"/>
        <v>0.67363120186783798</v>
      </c>
      <c r="P597">
        <f t="shared" si="173"/>
        <v>0.253817018041334</v>
      </c>
      <c r="Q597">
        <v>597</v>
      </c>
      <c r="R597">
        <f t="shared" si="174"/>
        <v>596</v>
      </c>
      <c r="S597">
        <f t="shared" si="175"/>
        <v>1.8526466380543372</v>
      </c>
      <c r="T597">
        <f t="shared" si="176"/>
        <v>0</v>
      </c>
      <c r="U597">
        <v>597</v>
      </c>
      <c r="V597">
        <f t="shared" si="177"/>
        <v>596</v>
      </c>
      <c r="W597">
        <f t="shared" si="178"/>
        <v>1.8069395006657911</v>
      </c>
      <c r="X597">
        <f t="shared" si="179"/>
        <v>6.4805860110755301E-2</v>
      </c>
    </row>
    <row r="598" spans="1:24">
      <c r="A598">
        <v>598</v>
      </c>
      <c r="B598">
        <f t="shared" si="162"/>
        <v>597</v>
      </c>
      <c r="C598">
        <f t="shared" si="163"/>
        <v>0.82381398300322528</v>
      </c>
      <c r="D598">
        <f t="shared" si="164"/>
        <v>1.9572645941803399</v>
      </c>
      <c r="E598">
        <v>598</v>
      </c>
      <c r="F598">
        <f t="shared" si="165"/>
        <v>597</v>
      </c>
      <c r="G598">
        <f t="shared" si="166"/>
        <v>0.778391609147292</v>
      </c>
      <c r="H598">
        <f t="shared" si="167"/>
        <v>1.89312269655345</v>
      </c>
      <c r="I598">
        <v>598</v>
      </c>
      <c r="J598">
        <f t="shared" si="168"/>
        <v>597</v>
      </c>
      <c r="K598">
        <f t="shared" si="169"/>
        <v>1.6653892606694944</v>
      </c>
      <c r="L598">
        <f t="shared" si="170"/>
        <v>1.73354968324846</v>
      </c>
      <c r="M598">
        <v>598</v>
      </c>
      <c r="N598">
        <f t="shared" si="171"/>
        <v>597</v>
      </c>
      <c r="O598">
        <f t="shared" si="172"/>
        <v>0.67433558808231198</v>
      </c>
      <c r="P598">
        <f t="shared" si="173"/>
        <v>0.74618298195866595</v>
      </c>
      <c r="Q598">
        <v>598</v>
      </c>
      <c r="R598">
        <f t="shared" si="174"/>
        <v>597</v>
      </c>
      <c r="S598">
        <f t="shared" si="175"/>
        <v>1.8540772532188579</v>
      </c>
      <c r="T598">
        <f t="shared" si="176"/>
        <v>1</v>
      </c>
      <c r="U598">
        <v>598</v>
      </c>
      <c r="V598">
        <f t="shared" si="177"/>
        <v>597</v>
      </c>
      <c r="W598">
        <f t="shared" si="178"/>
        <v>1.8081846913378632</v>
      </c>
      <c r="X598">
        <f t="shared" si="179"/>
        <v>0.93519413988924505</v>
      </c>
    </row>
    <row r="599" spans="1:24">
      <c r="A599">
        <v>599</v>
      </c>
      <c r="B599">
        <f t="shared" si="162"/>
        <v>598</v>
      </c>
      <c r="C599">
        <f t="shared" si="163"/>
        <v>0.82512232232849081</v>
      </c>
      <c r="D599">
        <f t="shared" si="164"/>
        <v>1.0427354058196601</v>
      </c>
      <c r="E599">
        <v>599</v>
      </c>
      <c r="F599">
        <f t="shared" si="165"/>
        <v>598</v>
      </c>
      <c r="G599">
        <f t="shared" si="166"/>
        <v>0.77951642372970531</v>
      </c>
      <c r="H599">
        <f t="shared" si="167"/>
        <v>1.10687730344655</v>
      </c>
      <c r="I599">
        <v>599</v>
      </c>
      <c r="J599">
        <f t="shared" si="168"/>
        <v>598</v>
      </c>
      <c r="K599">
        <f t="shared" si="169"/>
        <v>1.666057500106543</v>
      </c>
      <c r="L599">
        <f t="shared" si="170"/>
        <v>1.26645031675154</v>
      </c>
      <c r="M599">
        <v>599</v>
      </c>
      <c r="N599">
        <f t="shared" si="171"/>
        <v>598</v>
      </c>
      <c r="O599">
        <f t="shared" si="172"/>
        <v>0.67503997429678597</v>
      </c>
      <c r="P599">
        <f t="shared" si="173"/>
        <v>0.253817018041334</v>
      </c>
      <c r="Q599">
        <v>599</v>
      </c>
      <c r="R599">
        <f t="shared" si="174"/>
        <v>598</v>
      </c>
      <c r="S599">
        <f t="shared" si="175"/>
        <v>1.8555078683833786</v>
      </c>
      <c r="T599">
        <f t="shared" si="176"/>
        <v>0</v>
      </c>
      <c r="U599">
        <v>599</v>
      </c>
      <c r="V599">
        <f t="shared" si="177"/>
        <v>598</v>
      </c>
      <c r="W599">
        <f t="shared" si="178"/>
        <v>1.8094298820099355</v>
      </c>
      <c r="X599">
        <f t="shared" si="179"/>
        <v>6.4805860110755301E-2</v>
      </c>
    </row>
    <row r="600" spans="1:24">
      <c r="A600">
        <v>600</v>
      </c>
      <c r="B600">
        <f t="shared" si="162"/>
        <v>599</v>
      </c>
      <c r="C600">
        <f t="shared" si="163"/>
        <v>0.82643066165375645</v>
      </c>
      <c r="D600">
        <f t="shared" si="164"/>
        <v>1.9572645941803399</v>
      </c>
      <c r="E600">
        <v>600</v>
      </c>
      <c r="F600">
        <f t="shared" si="165"/>
        <v>599</v>
      </c>
      <c r="G600">
        <f t="shared" si="166"/>
        <v>0.78064123831211862</v>
      </c>
      <c r="H600">
        <f t="shared" si="167"/>
        <v>1.89312269655345</v>
      </c>
      <c r="I600">
        <v>600</v>
      </c>
      <c r="J600">
        <f t="shared" si="168"/>
        <v>599</v>
      </c>
      <c r="K600">
        <f t="shared" si="169"/>
        <v>1.6667257395435915</v>
      </c>
      <c r="L600">
        <f t="shared" si="170"/>
        <v>1.73354968324846</v>
      </c>
      <c r="M600">
        <v>600</v>
      </c>
      <c r="N600">
        <f t="shared" si="171"/>
        <v>599</v>
      </c>
      <c r="O600">
        <f t="shared" si="172"/>
        <v>0.67574436051125997</v>
      </c>
      <c r="P600">
        <f t="shared" si="173"/>
        <v>0.74618298195866595</v>
      </c>
      <c r="Q600">
        <v>600</v>
      </c>
      <c r="R600">
        <f t="shared" si="174"/>
        <v>599</v>
      </c>
      <c r="S600">
        <f t="shared" si="175"/>
        <v>1.8569384835478993</v>
      </c>
      <c r="T600">
        <f t="shared" si="176"/>
        <v>1</v>
      </c>
      <c r="U600">
        <v>600</v>
      </c>
      <c r="V600">
        <f t="shared" si="177"/>
        <v>599</v>
      </c>
      <c r="W600">
        <f t="shared" si="178"/>
        <v>1.8106750726820078</v>
      </c>
      <c r="X600">
        <f t="shared" si="179"/>
        <v>0.93519413988924505</v>
      </c>
    </row>
    <row r="601" spans="1:24">
      <c r="A601">
        <v>601</v>
      </c>
      <c r="B601">
        <f t="shared" si="162"/>
        <v>600</v>
      </c>
      <c r="C601">
        <f t="shared" si="163"/>
        <v>0.82773900097902209</v>
      </c>
      <c r="D601">
        <f t="shared" si="164"/>
        <v>1.0427354058196601</v>
      </c>
      <c r="E601">
        <v>601</v>
      </c>
      <c r="F601">
        <f t="shared" si="165"/>
        <v>600</v>
      </c>
      <c r="G601">
        <f t="shared" si="166"/>
        <v>0.78176605289453194</v>
      </c>
      <c r="H601">
        <f t="shared" si="167"/>
        <v>1.10687730344655</v>
      </c>
      <c r="I601">
        <v>601</v>
      </c>
      <c r="J601">
        <f t="shared" si="168"/>
        <v>600</v>
      </c>
      <c r="K601">
        <f t="shared" si="169"/>
        <v>1.66739397898064</v>
      </c>
      <c r="L601">
        <f t="shared" si="170"/>
        <v>1.26645031675154</v>
      </c>
      <c r="M601">
        <v>601</v>
      </c>
      <c r="N601">
        <f t="shared" si="171"/>
        <v>600</v>
      </c>
      <c r="O601">
        <f t="shared" si="172"/>
        <v>0.67644874672573396</v>
      </c>
      <c r="P601">
        <f t="shared" si="173"/>
        <v>0.253817018041334</v>
      </c>
      <c r="Q601">
        <v>601</v>
      </c>
      <c r="R601">
        <f t="shared" si="174"/>
        <v>600</v>
      </c>
      <c r="S601">
        <f t="shared" si="175"/>
        <v>1.85836909871242</v>
      </c>
      <c r="T601">
        <f t="shared" si="176"/>
        <v>0</v>
      </c>
      <c r="U601">
        <v>601</v>
      </c>
      <c r="V601">
        <f t="shared" si="177"/>
        <v>600</v>
      </c>
      <c r="W601">
        <f t="shared" si="178"/>
        <v>1.8119202633540801</v>
      </c>
      <c r="X601">
        <f t="shared" si="179"/>
        <v>6.4805860110755301E-2</v>
      </c>
    </row>
    <row r="602" spans="1:24">
      <c r="A602">
        <v>602</v>
      </c>
      <c r="B602">
        <f t="shared" si="162"/>
        <v>601</v>
      </c>
      <c r="C602">
        <f t="shared" si="163"/>
        <v>0.82904734030428762</v>
      </c>
      <c r="D602">
        <f t="shared" si="164"/>
        <v>1.9572645941803399</v>
      </c>
      <c r="E602">
        <v>602</v>
      </c>
      <c r="F602">
        <f t="shared" si="165"/>
        <v>601</v>
      </c>
      <c r="G602">
        <f t="shared" si="166"/>
        <v>0.78289086747694525</v>
      </c>
      <c r="H602">
        <f t="shared" si="167"/>
        <v>1.89312269655345</v>
      </c>
      <c r="I602">
        <v>602</v>
      </c>
      <c r="J602">
        <f t="shared" si="168"/>
        <v>601</v>
      </c>
      <c r="K602">
        <f t="shared" si="169"/>
        <v>1.6680622184176883</v>
      </c>
      <c r="L602">
        <f t="shared" si="170"/>
        <v>1.73354968324846</v>
      </c>
      <c r="M602">
        <v>602</v>
      </c>
      <c r="N602">
        <f t="shared" si="171"/>
        <v>601</v>
      </c>
      <c r="O602">
        <f t="shared" si="172"/>
        <v>0.67715313294020796</v>
      </c>
      <c r="P602">
        <f t="shared" si="173"/>
        <v>0.74618298195866595</v>
      </c>
      <c r="Q602">
        <v>602</v>
      </c>
      <c r="R602">
        <f t="shared" si="174"/>
        <v>601</v>
      </c>
      <c r="S602">
        <f t="shared" si="175"/>
        <v>1.8597997138769407</v>
      </c>
      <c r="T602">
        <f t="shared" si="176"/>
        <v>1</v>
      </c>
      <c r="U602">
        <v>602</v>
      </c>
      <c r="V602">
        <f t="shared" si="177"/>
        <v>601</v>
      </c>
      <c r="W602">
        <f t="shared" si="178"/>
        <v>1.8131654540261521</v>
      </c>
      <c r="X602">
        <f t="shared" si="179"/>
        <v>0.93519413988924505</v>
      </c>
    </row>
    <row r="603" spans="1:24">
      <c r="A603">
        <v>603</v>
      </c>
      <c r="B603">
        <f t="shared" si="162"/>
        <v>602</v>
      </c>
      <c r="C603">
        <f t="shared" si="163"/>
        <v>0.83035567962955326</v>
      </c>
      <c r="D603">
        <f t="shared" si="164"/>
        <v>1.0427354058196601</v>
      </c>
      <c r="E603">
        <v>603</v>
      </c>
      <c r="F603">
        <f t="shared" si="165"/>
        <v>602</v>
      </c>
      <c r="G603">
        <f t="shared" si="166"/>
        <v>0.78401568205935857</v>
      </c>
      <c r="H603">
        <f t="shared" si="167"/>
        <v>1.10687730344655</v>
      </c>
      <c r="I603">
        <v>603</v>
      </c>
      <c r="J603">
        <f t="shared" si="168"/>
        <v>602</v>
      </c>
      <c r="K603">
        <f t="shared" si="169"/>
        <v>1.6687304578547368</v>
      </c>
      <c r="L603">
        <f t="shared" si="170"/>
        <v>1.26645031675154</v>
      </c>
      <c r="M603">
        <v>603</v>
      </c>
      <c r="N603">
        <f t="shared" si="171"/>
        <v>602</v>
      </c>
      <c r="O603">
        <f t="shared" si="172"/>
        <v>0.67785751915468195</v>
      </c>
      <c r="P603">
        <f t="shared" si="173"/>
        <v>0.253817018041334</v>
      </c>
      <c r="Q603">
        <v>603</v>
      </c>
      <c r="R603">
        <f t="shared" si="174"/>
        <v>602</v>
      </c>
      <c r="S603">
        <f t="shared" si="175"/>
        <v>1.8612303290414614</v>
      </c>
      <c r="T603">
        <f t="shared" si="176"/>
        <v>0</v>
      </c>
      <c r="U603">
        <v>603</v>
      </c>
      <c r="V603">
        <f t="shared" si="177"/>
        <v>602</v>
      </c>
      <c r="W603">
        <f t="shared" si="178"/>
        <v>1.8144106446982242</v>
      </c>
      <c r="X603">
        <f t="shared" si="179"/>
        <v>6.4805860110755301E-2</v>
      </c>
    </row>
    <row r="604" spans="1:24">
      <c r="A604">
        <v>604</v>
      </c>
      <c r="B604">
        <f t="shared" si="162"/>
        <v>603</v>
      </c>
      <c r="C604">
        <f t="shared" si="163"/>
        <v>0.8316640189548189</v>
      </c>
      <c r="D604">
        <f t="shared" si="164"/>
        <v>1.9572645941803399</v>
      </c>
      <c r="E604">
        <v>604</v>
      </c>
      <c r="F604">
        <f t="shared" si="165"/>
        <v>603</v>
      </c>
      <c r="G604">
        <f t="shared" si="166"/>
        <v>0.78514049664177188</v>
      </c>
      <c r="H604">
        <f t="shared" si="167"/>
        <v>1.89312269655345</v>
      </c>
      <c r="I604">
        <v>604</v>
      </c>
      <c r="J604">
        <f t="shared" si="168"/>
        <v>603</v>
      </c>
      <c r="K604">
        <f t="shared" si="169"/>
        <v>1.6693986972917854</v>
      </c>
      <c r="L604">
        <f t="shared" si="170"/>
        <v>1.73354968324846</v>
      </c>
      <c r="M604">
        <v>604</v>
      </c>
      <c r="N604">
        <f t="shared" si="171"/>
        <v>603</v>
      </c>
      <c r="O604">
        <f t="shared" si="172"/>
        <v>0.67856190536915595</v>
      </c>
      <c r="P604">
        <f t="shared" si="173"/>
        <v>0.74618298195866595</v>
      </c>
      <c r="Q604">
        <v>604</v>
      </c>
      <c r="R604">
        <f t="shared" si="174"/>
        <v>603</v>
      </c>
      <c r="S604">
        <f t="shared" si="175"/>
        <v>1.862660944205982</v>
      </c>
      <c r="T604">
        <f t="shared" si="176"/>
        <v>1</v>
      </c>
      <c r="U604">
        <v>604</v>
      </c>
      <c r="V604">
        <f t="shared" si="177"/>
        <v>603</v>
      </c>
      <c r="W604">
        <f t="shared" si="178"/>
        <v>1.8156558353702965</v>
      </c>
      <c r="X604">
        <f t="shared" si="179"/>
        <v>0.93519413988924505</v>
      </c>
    </row>
    <row r="605" spans="1:24">
      <c r="A605">
        <v>605</v>
      </c>
      <c r="B605">
        <f t="shared" si="162"/>
        <v>604</v>
      </c>
      <c r="C605">
        <f t="shared" si="163"/>
        <v>0.83297235828008442</v>
      </c>
      <c r="D605">
        <f t="shared" si="164"/>
        <v>1.0427354058196601</v>
      </c>
      <c r="E605">
        <v>605</v>
      </c>
      <c r="F605">
        <f t="shared" si="165"/>
        <v>604</v>
      </c>
      <c r="G605">
        <f t="shared" si="166"/>
        <v>0.78626531122418508</v>
      </c>
      <c r="H605">
        <f t="shared" si="167"/>
        <v>1.10687730344655</v>
      </c>
      <c r="I605">
        <v>605</v>
      </c>
      <c r="J605">
        <f t="shared" si="168"/>
        <v>604</v>
      </c>
      <c r="K605">
        <f t="shared" si="169"/>
        <v>1.6700669367288339</v>
      </c>
      <c r="L605">
        <f t="shared" si="170"/>
        <v>1.26645031675154</v>
      </c>
      <c r="M605">
        <v>605</v>
      </c>
      <c r="N605">
        <f t="shared" si="171"/>
        <v>604</v>
      </c>
      <c r="O605">
        <f t="shared" si="172"/>
        <v>0.67926629158363006</v>
      </c>
      <c r="P605">
        <f t="shared" si="173"/>
        <v>0.253817018041334</v>
      </c>
      <c r="Q605">
        <v>605</v>
      </c>
      <c r="R605">
        <f t="shared" si="174"/>
        <v>604</v>
      </c>
      <c r="S605">
        <f t="shared" si="175"/>
        <v>1.8640915593705027</v>
      </c>
      <c r="T605">
        <f t="shared" si="176"/>
        <v>0</v>
      </c>
      <c r="U605">
        <v>605</v>
      </c>
      <c r="V605">
        <f t="shared" si="177"/>
        <v>604</v>
      </c>
      <c r="W605">
        <f t="shared" si="178"/>
        <v>1.8169010260423688</v>
      </c>
      <c r="X605">
        <f t="shared" si="179"/>
        <v>6.4805860110755301E-2</v>
      </c>
    </row>
    <row r="606" spans="1:24">
      <c r="A606">
        <v>606</v>
      </c>
      <c r="B606">
        <f t="shared" si="162"/>
        <v>605</v>
      </c>
      <c r="C606">
        <f t="shared" si="163"/>
        <v>0.83428069760535006</v>
      </c>
      <c r="D606">
        <f t="shared" si="164"/>
        <v>1.9572645941803399</v>
      </c>
      <c r="E606">
        <v>606</v>
      </c>
      <c r="F606">
        <f t="shared" si="165"/>
        <v>605</v>
      </c>
      <c r="G606">
        <f t="shared" si="166"/>
        <v>0.7873901258065984</v>
      </c>
      <c r="H606">
        <f t="shared" si="167"/>
        <v>1.89312269655345</v>
      </c>
      <c r="I606">
        <v>606</v>
      </c>
      <c r="J606">
        <f t="shared" si="168"/>
        <v>605</v>
      </c>
      <c r="K606">
        <f t="shared" si="169"/>
        <v>1.6707351761658824</v>
      </c>
      <c r="L606">
        <f t="shared" si="170"/>
        <v>1.73354968324846</v>
      </c>
      <c r="M606">
        <v>606</v>
      </c>
      <c r="N606">
        <f t="shared" si="171"/>
        <v>605</v>
      </c>
      <c r="O606">
        <f t="shared" si="172"/>
        <v>0.67997067779810405</v>
      </c>
      <c r="P606">
        <f t="shared" si="173"/>
        <v>0.74618298195866595</v>
      </c>
      <c r="Q606">
        <v>606</v>
      </c>
      <c r="R606">
        <f t="shared" si="174"/>
        <v>605</v>
      </c>
      <c r="S606">
        <f t="shared" si="175"/>
        <v>1.8655221745350234</v>
      </c>
      <c r="T606">
        <f t="shared" si="176"/>
        <v>1</v>
      </c>
      <c r="U606">
        <v>606</v>
      </c>
      <c r="V606">
        <f t="shared" si="177"/>
        <v>605</v>
      </c>
      <c r="W606">
        <f t="shared" si="178"/>
        <v>1.8181462167144409</v>
      </c>
      <c r="X606">
        <f t="shared" si="179"/>
        <v>0.93519413988924505</v>
      </c>
    </row>
    <row r="607" spans="1:24">
      <c r="A607">
        <v>607</v>
      </c>
      <c r="B607">
        <f t="shared" si="162"/>
        <v>606</v>
      </c>
      <c r="C607">
        <f t="shared" si="163"/>
        <v>0.8355890369306157</v>
      </c>
      <c r="D607">
        <f t="shared" si="164"/>
        <v>1.0427354058196601</v>
      </c>
      <c r="E607">
        <v>607</v>
      </c>
      <c r="F607">
        <f t="shared" si="165"/>
        <v>606</v>
      </c>
      <c r="G607">
        <f t="shared" si="166"/>
        <v>0.78851494038901171</v>
      </c>
      <c r="H607">
        <f t="shared" si="167"/>
        <v>1.10687730344655</v>
      </c>
      <c r="I607">
        <v>607</v>
      </c>
      <c r="J607">
        <f t="shared" si="168"/>
        <v>606</v>
      </c>
      <c r="K607">
        <f t="shared" si="169"/>
        <v>1.6714034156029309</v>
      </c>
      <c r="L607">
        <f t="shared" si="170"/>
        <v>1.26645031675154</v>
      </c>
      <c r="M607">
        <v>607</v>
      </c>
      <c r="N607">
        <f t="shared" si="171"/>
        <v>606</v>
      </c>
      <c r="O607">
        <f t="shared" si="172"/>
        <v>0.68067506401257805</v>
      </c>
      <c r="P607">
        <f t="shared" si="173"/>
        <v>0.253817018041334</v>
      </c>
      <c r="Q607">
        <v>607</v>
      </c>
      <c r="R607">
        <f t="shared" si="174"/>
        <v>606</v>
      </c>
      <c r="S607">
        <f t="shared" si="175"/>
        <v>1.8669527896995441</v>
      </c>
      <c r="T607">
        <f t="shared" si="176"/>
        <v>0</v>
      </c>
      <c r="U607">
        <v>607</v>
      </c>
      <c r="V607">
        <f t="shared" si="177"/>
        <v>606</v>
      </c>
      <c r="W607">
        <f t="shared" si="178"/>
        <v>1.8193914073865132</v>
      </c>
      <c r="X607">
        <f t="shared" si="179"/>
        <v>6.4805860110755301E-2</v>
      </c>
    </row>
    <row r="608" spans="1:24">
      <c r="A608">
        <v>608</v>
      </c>
      <c r="B608">
        <f t="shared" si="162"/>
        <v>607</v>
      </c>
      <c r="C608">
        <f t="shared" si="163"/>
        <v>0.83689737625588123</v>
      </c>
      <c r="D608">
        <f t="shared" si="164"/>
        <v>1.9572645941803399</v>
      </c>
      <c r="E608">
        <v>608</v>
      </c>
      <c r="F608">
        <f t="shared" si="165"/>
        <v>607</v>
      </c>
      <c r="G608">
        <f t="shared" si="166"/>
        <v>0.78963975497142502</v>
      </c>
      <c r="H608">
        <f t="shared" si="167"/>
        <v>1.89312269655345</v>
      </c>
      <c r="I608">
        <v>608</v>
      </c>
      <c r="J608">
        <f t="shared" si="168"/>
        <v>607</v>
      </c>
      <c r="K608">
        <f t="shared" si="169"/>
        <v>1.6720716550399795</v>
      </c>
      <c r="L608">
        <f t="shared" si="170"/>
        <v>1.73354968324846</v>
      </c>
      <c r="M608">
        <v>608</v>
      </c>
      <c r="N608">
        <f t="shared" si="171"/>
        <v>607</v>
      </c>
      <c r="O608">
        <f t="shared" si="172"/>
        <v>0.68137945022705204</v>
      </c>
      <c r="P608">
        <f t="shared" si="173"/>
        <v>0.74618298195866595</v>
      </c>
      <c r="Q608">
        <v>608</v>
      </c>
      <c r="R608">
        <f t="shared" si="174"/>
        <v>607</v>
      </c>
      <c r="S608">
        <f t="shared" si="175"/>
        <v>1.8683834048640648</v>
      </c>
      <c r="T608">
        <f t="shared" si="176"/>
        <v>1</v>
      </c>
      <c r="U608">
        <v>608</v>
      </c>
      <c r="V608">
        <f t="shared" si="177"/>
        <v>607</v>
      </c>
      <c r="W608">
        <f t="shared" si="178"/>
        <v>1.8206365980585852</v>
      </c>
      <c r="X608">
        <f t="shared" si="179"/>
        <v>0.93519413988924505</v>
      </c>
    </row>
    <row r="609" spans="1:24">
      <c r="A609">
        <v>609</v>
      </c>
      <c r="B609">
        <f t="shared" si="162"/>
        <v>608</v>
      </c>
      <c r="C609">
        <f t="shared" si="163"/>
        <v>0.83820571558114687</v>
      </c>
      <c r="D609">
        <f t="shared" si="164"/>
        <v>1.0427354058196601</v>
      </c>
      <c r="E609">
        <v>609</v>
      </c>
      <c r="F609">
        <f t="shared" si="165"/>
        <v>608</v>
      </c>
      <c r="G609">
        <f t="shared" si="166"/>
        <v>0.79076456955383834</v>
      </c>
      <c r="H609">
        <f t="shared" si="167"/>
        <v>1.10687730344655</v>
      </c>
      <c r="I609">
        <v>609</v>
      </c>
      <c r="J609">
        <f t="shared" si="168"/>
        <v>608</v>
      </c>
      <c r="K609">
        <f t="shared" si="169"/>
        <v>1.672739894477028</v>
      </c>
      <c r="L609">
        <f t="shared" si="170"/>
        <v>1.26645031675154</v>
      </c>
      <c r="M609">
        <v>609</v>
      </c>
      <c r="N609">
        <f t="shared" si="171"/>
        <v>608</v>
      </c>
      <c r="O609">
        <f t="shared" si="172"/>
        <v>0.68208383644152604</v>
      </c>
      <c r="P609">
        <f t="shared" si="173"/>
        <v>0.253817018041334</v>
      </c>
      <c r="Q609">
        <v>609</v>
      </c>
      <c r="R609">
        <f t="shared" si="174"/>
        <v>608</v>
      </c>
      <c r="S609">
        <f t="shared" si="175"/>
        <v>1.8698140200285855</v>
      </c>
      <c r="T609">
        <f t="shared" si="176"/>
        <v>0</v>
      </c>
      <c r="U609">
        <v>609</v>
      </c>
      <c r="V609">
        <f t="shared" si="177"/>
        <v>608</v>
      </c>
      <c r="W609">
        <f t="shared" si="178"/>
        <v>1.8218817887306575</v>
      </c>
      <c r="X609">
        <f t="shared" si="179"/>
        <v>6.4805860110755301E-2</v>
      </c>
    </row>
    <row r="610" spans="1:24">
      <c r="A610">
        <v>610</v>
      </c>
      <c r="B610">
        <f t="shared" si="162"/>
        <v>609</v>
      </c>
      <c r="C610">
        <f t="shared" si="163"/>
        <v>0.83951405490641251</v>
      </c>
      <c r="D610">
        <f t="shared" si="164"/>
        <v>1.9572645941803399</v>
      </c>
      <c r="E610">
        <v>610</v>
      </c>
      <c r="F610">
        <f t="shared" si="165"/>
        <v>609</v>
      </c>
      <c r="G610">
        <f t="shared" si="166"/>
        <v>0.79188938413625165</v>
      </c>
      <c r="H610">
        <f t="shared" si="167"/>
        <v>1.89312269655345</v>
      </c>
      <c r="I610">
        <v>610</v>
      </c>
      <c r="J610">
        <f t="shared" si="168"/>
        <v>609</v>
      </c>
      <c r="K610">
        <f t="shared" si="169"/>
        <v>1.6734081339140765</v>
      </c>
      <c r="L610">
        <f t="shared" si="170"/>
        <v>1.73354968324846</v>
      </c>
      <c r="M610">
        <v>610</v>
      </c>
      <c r="N610">
        <f t="shared" si="171"/>
        <v>609</v>
      </c>
      <c r="O610">
        <f t="shared" si="172"/>
        <v>0.68278822265600003</v>
      </c>
      <c r="P610">
        <f t="shared" si="173"/>
        <v>0.74618298195866595</v>
      </c>
      <c r="Q610">
        <v>610</v>
      </c>
      <c r="R610">
        <f t="shared" si="174"/>
        <v>609</v>
      </c>
      <c r="S610">
        <f t="shared" si="175"/>
        <v>1.8712446351931062</v>
      </c>
      <c r="T610">
        <f t="shared" si="176"/>
        <v>1</v>
      </c>
      <c r="U610">
        <v>610</v>
      </c>
      <c r="V610">
        <f t="shared" si="177"/>
        <v>609</v>
      </c>
      <c r="W610">
        <f t="shared" si="178"/>
        <v>1.8231269794027298</v>
      </c>
      <c r="X610">
        <f t="shared" si="179"/>
        <v>0.93519413988924505</v>
      </c>
    </row>
    <row r="611" spans="1:24">
      <c r="A611">
        <v>611</v>
      </c>
      <c r="B611">
        <f t="shared" si="162"/>
        <v>610</v>
      </c>
      <c r="C611">
        <f t="shared" si="163"/>
        <v>0.84082239423167804</v>
      </c>
      <c r="D611">
        <f t="shared" si="164"/>
        <v>1.0427354058196601</v>
      </c>
      <c r="E611">
        <v>611</v>
      </c>
      <c r="F611">
        <f t="shared" si="165"/>
        <v>610</v>
      </c>
      <c r="G611">
        <f t="shared" si="166"/>
        <v>0.79301419871866496</v>
      </c>
      <c r="H611">
        <f t="shared" si="167"/>
        <v>1.10687730344655</v>
      </c>
      <c r="I611">
        <v>611</v>
      </c>
      <c r="J611">
        <f t="shared" si="168"/>
        <v>610</v>
      </c>
      <c r="K611">
        <f t="shared" si="169"/>
        <v>1.674076373351125</v>
      </c>
      <c r="L611">
        <f t="shared" si="170"/>
        <v>1.26645031675154</v>
      </c>
      <c r="M611">
        <v>611</v>
      </c>
      <c r="N611">
        <f t="shared" si="171"/>
        <v>610</v>
      </c>
      <c r="O611">
        <f t="shared" si="172"/>
        <v>0.68349260887047403</v>
      </c>
      <c r="P611">
        <f t="shared" si="173"/>
        <v>0.253817018041334</v>
      </c>
      <c r="Q611">
        <v>611</v>
      </c>
      <c r="R611">
        <f t="shared" si="174"/>
        <v>610</v>
      </c>
      <c r="S611">
        <f t="shared" si="175"/>
        <v>1.8726752503576269</v>
      </c>
      <c r="T611">
        <f t="shared" si="176"/>
        <v>0</v>
      </c>
      <c r="U611">
        <v>611</v>
      </c>
      <c r="V611">
        <f t="shared" si="177"/>
        <v>610</v>
      </c>
      <c r="W611">
        <f t="shared" si="178"/>
        <v>1.8243721700748019</v>
      </c>
      <c r="X611">
        <f t="shared" si="179"/>
        <v>6.4805860110755301E-2</v>
      </c>
    </row>
    <row r="612" spans="1:24">
      <c r="A612">
        <v>612</v>
      </c>
      <c r="B612">
        <f t="shared" si="162"/>
        <v>611</v>
      </c>
      <c r="C612">
        <f t="shared" si="163"/>
        <v>0.84213073355694368</v>
      </c>
      <c r="D612">
        <f t="shared" si="164"/>
        <v>1.9572645941803399</v>
      </c>
      <c r="E612">
        <v>612</v>
      </c>
      <c r="F612">
        <f t="shared" si="165"/>
        <v>611</v>
      </c>
      <c r="G612">
        <f t="shared" si="166"/>
        <v>0.79413901330107828</v>
      </c>
      <c r="H612">
        <f t="shared" si="167"/>
        <v>1.89312269655345</v>
      </c>
      <c r="I612">
        <v>612</v>
      </c>
      <c r="J612">
        <f t="shared" si="168"/>
        <v>611</v>
      </c>
      <c r="K612">
        <f t="shared" si="169"/>
        <v>1.6747446127881735</v>
      </c>
      <c r="L612">
        <f t="shared" si="170"/>
        <v>1.73354968324846</v>
      </c>
      <c r="M612">
        <v>612</v>
      </c>
      <c r="N612">
        <f t="shared" si="171"/>
        <v>611</v>
      </c>
      <c r="O612">
        <f t="shared" si="172"/>
        <v>0.68419699508494802</v>
      </c>
      <c r="P612">
        <f t="shared" si="173"/>
        <v>0.74618298195866595</v>
      </c>
      <c r="Q612">
        <v>612</v>
      </c>
      <c r="R612">
        <f t="shared" si="174"/>
        <v>611</v>
      </c>
      <c r="S612">
        <f t="shared" si="175"/>
        <v>1.8741058655221476</v>
      </c>
      <c r="T612">
        <f t="shared" si="176"/>
        <v>1</v>
      </c>
      <c r="U612">
        <v>612</v>
      </c>
      <c r="V612">
        <f t="shared" si="177"/>
        <v>611</v>
      </c>
      <c r="W612">
        <f t="shared" si="178"/>
        <v>1.825617360746874</v>
      </c>
      <c r="X612">
        <f t="shared" si="179"/>
        <v>0.93519413988924505</v>
      </c>
    </row>
    <row r="613" spans="1:24">
      <c r="A613">
        <v>613</v>
      </c>
      <c r="B613">
        <f t="shared" si="162"/>
        <v>612</v>
      </c>
      <c r="C613">
        <f t="shared" si="163"/>
        <v>0.84343907288220921</v>
      </c>
      <c r="D613">
        <f t="shared" si="164"/>
        <v>1.0427354058196601</v>
      </c>
      <c r="E613">
        <v>613</v>
      </c>
      <c r="F613">
        <f t="shared" si="165"/>
        <v>612</v>
      </c>
      <c r="G613">
        <f t="shared" si="166"/>
        <v>0.79526382788349159</v>
      </c>
      <c r="H613">
        <f t="shared" si="167"/>
        <v>1.10687730344655</v>
      </c>
      <c r="I613">
        <v>613</v>
      </c>
      <c r="J613">
        <f t="shared" si="168"/>
        <v>612</v>
      </c>
      <c r="K613">
        <f t="shared" si="169"/>
        <v>1.6754128522252221</v>
      </c>
      <c r="L613">
        <f t="shared" si="170"/>
        <v>1.26645031675154</v>
      </c>
      <c r="M613">
        <v>613</v>
      </c>
      <c r="N613">
        <f t="shared" si="171"/>
        <v>612</v>
      </c>
      <c r="O613">
        <f t="shared" si="172"/>
        <v>0.68490138129942202</v>
      </c>
      <c r="P613">
        <f t="shared" si="173"/>
        <v>0.253817018041334</v>
      </c>
      <c r="Q613">
        <v>613</v>
      </c>
      <c r="R613">
        <f t="shared" si="174"/>
        <v>612</v>
      </c>
      <c r="S613">
        <f t="shared" si="175"/>
        <v>1.8755364806866683</v>
      </c>
      <c r="T613">
        <f t="shared" si="176"/>
        <v>0</v>
      </c>
      <c r="U613">
        <v>613</v>
      </c>
      <c r="V613">
        <f t="shared" si="177"/>
        <v>612</v>
      </c>
      <c r="W613">
        <f t="shared" si="178"/>
        <v>1.8268625514189463</v>
      </c>
      <c r="X613">
        <f t="shared" si="179"/>
        <v>6.4805860110755301E-2</v>
      </c>
    </row>
    <row r="614" spans="1:24">
      <c r="A614">
        <v>614</v>
      </c>
      <c r="B614">
        <f t="shared" si="162"/>
        <v>613</v>
      </c>
      <c r="C614">
        <f t="shared" si="163"/>
        <v>0.84474741220747485</v>
      </c>
      <c r="D614">
        <f t="shared" si="164"/>
        <v>1.9572645941803399</v>
      </c>
      <c r="E614">
        <v>614</v>
      </c>
      <c r="F614">
        <f t="shared" si="165"/>
        <v>613</v>
      </c>
      <c r="G614">
        <f t="shared" si="166"/>
        <v>0.79638864246590479</v>
      </c>
      <c r="H614">
        <f t="shared" si="167"/>
        <v>1.89312269655345</v>
      </c>
      <c r="I614">
        <v>614</v>
      </c>
      <c r="J614">
        <f t="shared" si="168"/>
        <v>613</v>
      </c>
      <c r="K614">
        <f t="shared" si="169"/>
        <v>1.6760810916622704</v>
      </c>
      <c r="L614">
        <f t="shared" si="170"/>
        <v>1.73354968324846</v>
      </c>
      <c r="M614">
        <v>614</v>
      </c>
      <c r="N614">
        <f t="shared" si="171"/>
        <v>613</v>
      </c>
      <c r="O614">
        <f t="shared" si="172"/>
        <v>0.68560576751389601</v>
      </c>
      <c r="P614">
        <f t="shared" si="173"/>
        <v>0.74618298195866595</v>
      </c>
      <c r="Q614">
        <v>614</v>
      </c>
      <c r="R614">
        <f t="shared" si="174"/>
        <v>613</v>
      </c>
      <c r="S614">
        <f t="shared" si="175"/>
        <v>1.876967095851189</v>
      </c>
      <c r="T614">
        <f t="shared" si="176"/>
        <v>1</v>
      </c>
      <c r="U614">
        <v>614</v>
      </c>
      <c r="V614">
        <f t="shared" si="177"/>
        <v>613</v>
      </c>
      <c r="W614">
        <f t="shared" si="178"/>
        <v>1.8281077420910186</v>
      </c>
      <c r="X614">
        <f t="shared" si="179"/>
        <v>0.93519413988924505</v>
      </c>
    </row>
    <row r="615" spans="1:24">
      <c r="A615">
        <v>615</v>
      </c>
      <c r="B615">
        <f t="shared" si="162"/>
        <v>614</v>
      </c>
      <c r="C615">
        <f t="shared" si="163"/>
        <v>0.84605575153274049</v>
      </c>
      <c r="D615">
        <f t="shared" si="164"/>
        <v>1.0427354058196601</v>
      </c>
      <c r="E615">
        <v>615</v>
      </c>
      <c r="F615">
        <f t="shared" si="165"/>
        <v>614</v>
      </c>
      <c r="G615">
        <f t="shared" si="166"/>
        <v>0.79751345704831811</v>
      </c>
      <c r="H615">
        <f t="shared" si="167"/>
        <v>1.10687730344655</v>
      </c>
      <c r="I615">
        <v>615</v>
      </c>
      <c r="J615">
        <f t="shared" si="168"/>
        <v>614</v>
      </c>
      <c r="K615">
        <f t="shared" si="169"/>
        <v>1.6767493310993189</v>
      </c>
      <c r="L615">
        <f t="shared" si="170"/>
        <v>1.26645031675154</v>
      </c>
      <c r="M615">
        <v>615</v>
      </c>
      <c r="N615">
        <f t="shared" si="171"/>
        <v>614</v>
      </c>
      <c r="O615">
        <f t="shared" si="172"/>
        <v>0.68631015372837001</v>
      </c>
      <c r="P615">
        <f t="shared" si="173"/>
        <v>0.253817018041334</v>
      </c>
      <c r="Q615">
        <v>615</v>
      </c>
      <c r="R615">
        <f t="shared" si="174"/>
        <v>614</v>
      </c>
      <c r="S615">
        <f t="shared" si="175"/>
        <v>1.8783977110157097</v>
      </c>
      <c r="T615">
        <f t="shared" si="176"/>
        <v>0</v>
      </c>
      <c r="U615">
        <v>615</v>
      </c>
      <c r="V615">
        <f t="shared" si="177"/>
        <v>614</v>
      </c>
      <c r="W615">
        <f t="shared" si="178"/>
        <v>1.8293529327630909</v>
      </c>
      <c r="X615">
        <f t="shared" si="179"/>
        <v>6.4805860110755301E-2</v>
      </c>
    </row>
    <row r="616" spans="1:24">
      <c r="A616">
        <v>616</v>
      </c>
      <c r="B616">
        <f t="shared" si="162"/>
        <v>615</v>
      </c>
      <c r="C616">
        <f t="shared" si="163"/>
        <v>0.84736409085800601</v>
      </c>
      <c r="D616">
        <f t="shared" si="164"/>
        <v>1.9572645941803399</v>
      </c>
      <c r="E616">
        <v>616</v>
      </c>
      <c r="F616">
        <f t="shared" si="165"/>
        <v>615</v>
      </c>
      <c r="G616">
        <f t="shared" si="166"/>
        <v>0.79863827163073142</v>
      </c>
      <c r="H616">
        <f t="shared" si="167"/>
        <v>1.89312269655345</v>
      </c>
      <c r="I616">
        <v>616</v>
      </c>
      <c r="J616">
        <f t="shared" si="168"/>
        <v>615</v>
      </c>
      <c r="K616">
        <f t="shared" si="169"/>
        <v>1.6774175705363674</v>
      </c>
      <c r="L616">
        <f t="shared" si="170"/>
        <v>1.73354968324846</v>
      </c>
      <c r="M616">
        <v>616</v>
      </c>
      <c r="N616">
        <f t="shared" si="171"/>
        <v>615</v>
      </c>
      <c r="O616">
        <f t="shared" si="172"/>
        <v>0.687014539942844</v>
      </c>
      <c r="P616">
        <f t="shared" si="173"/>
        <v>0.74618298195866595</v>
      </c>
      <c r="Q616">
        <v>616</v>
      </c>
      <c r="R616">
        <f t="shared" si="174"/>
        <v>615</v>
      </c>
      <c r="S616">
        <f t="shared" si="175"/>
        <v>1.8798283261802304</v>
      </c>
      <c r="T616">
        <f t="shared" si="176"/>
        <v>1</v>
      </c>
      <c r="U616">
        <v>616</v>
      </c>
      <c r="V616">
        <f t="shared" si="177"/>
        <v>615</v>
      </c>
      <c r="W616">
        <f t="shared" si="178"/>
        <v>1.8305981234351629</v>
      </c>
      <c r="X616">
        <f t="shared" si="179"/>
        <v>0.93519413988924505</v>
      </c>
    </row>
    <row r="617" spans="1:24">
      <c r="A617">
        <v>617</v>
      </c>
      <c r="B617">
        <f t="shared" si="162"/>
        <v>616</v>
      </c>
      <c r="C617">
        <f t="shared" si="163"/>
        <v>0.84867243018327165</v>
      </c>
      <c r="D617">
        <f t="shared" si="164"/>
        <v>1.0427354058196601</v>
      </c>
      <c r="E617">
        <v>617</v>
      </c>
      <c r="F617">
        <f t="shared" si="165"/>
        <v>616</v>
      </c>
      <c r="G617">
        <f t="shared" si="166"/>
        <v>0.79976308621314474</v>
      </c>
      <c r="H617">
        <f t="shared" si="167"/>
        <v>1.10687730344655</v>
      </c>
      <c r="I617">
        <v>617</v>
      </c>
      <c r="J617">
        <f t="shared" si="168"/>
        <v>616</v>
      </c>
      <c r="K617">
        <f t="shared" si="169"/>
        <v>1.6780858099734159</v>
      </c>
      <c r="L617">
        <f t="shared" si="170"/>
        <v>1.26645031675154</v>
      </c>
      <c r="M617">
        <v>617</v>
      </c>
      <c r="N617">
        <f t="shared" si="171"/>
        <v>616</v>
      </c>
      <c r="O617">
        <f t="shared" si="172"/>
        <v>0.687718926157318</v>
      </c>
      <c r="P617">
        <f t="shared" si="173"/>
        <v>0.253817018041334</v>
      </c>
      <c r="Q617">
        <v>617</v>
      </c>
      <c r="R617">
        <f t="shared" si="174"/>
        <v>616</v>
      </c>
      <c r="S617">
        <f t="shared" si="175"/>
        <v>1.8812589413447511</v>
      </c>
      <c r="T617">
        <f t="shared" si="176"/>
        <v>0</v>
      </c>
      <c r="U617">
        <v>617</v>
      </c>
      <c r="V617">
        <f t="shared" si="177"/>
        <v>616</v>
      </c>
      <c r="W617">
        <f t="shared" si="178"/>
        <v>1.831843314107235</v>
      </c>
      <c r="X617">
        <f t="shared" si="179"/>
        <v>6.4805860110755301E-2</v>
      </c>
    </row>
    <row r="618" spans="1:24">
      <c r="A618">
        <v>618</v>
      </c>
      <c r="B618">
        <f t="shared" si="162"/>
        <v>617</v>
      </c>
      <c r="C618">
        <f t="shared" si="163"/>
        <v>0.84998076950853729</v>
      </c>
      <c r="D618">
        <f t="shared" si="164"/>
        <v>1.9572645941803399</v>
      </c>
      <c r="E618">
        <v>618</v>
      </c>
      <c r="F618">
        <f t="shared" si="165"/>
        <v>617</v>
      </c>
      <c r="G618">
        <f t="shared" si="166"/>
        <v>0.80088790079555805</v>
      </c>
      <c r="H618">
        <f t="shared" si="167"/>
        <v>1.89312269655345</v>
      </c>
      <c r="I618">
        <v>618</v>
      </c>
      <c r="J618">
        <f t="shared" si="168"/>
        <v>617</v>
      </c>
      <c r="K618">
        <f t="shared" si="169"/>
        <v>1.6787540494104645</v>
      </c>
      <c r="L618">
        <f t="shared" si="170"/>
        <v>1.73354968324846</v>
      </c>
      <c r="M618">
        <v>618</v>
      </c>
      <c r="N618">
        <f t="shared" si="171"/>
        <v>617</v>
      </c>
      <c r="O618">
        <f t="shared" si="172"/>
        <v>0.688423312371792</v>
      </c>
      <c r="P618">
        <f t="shared" si="173"/>
        <v>0.74618298195866595</v>
      </c>
      <c r="Q618">
        <v>618</v>
      </c>
      <c r="R618">
        <f t="shared" si="174"/>
        <v>617</v>
      </c>
      <c r="S618">
        <f t="shared" si="175"/>
        <v>1.8826895565092718</v>
      </c>
      <c r="T618">
        <f t="shared" si="176"/>
        <v>1</v>
      </c>
      <c r="U618">
        <v>618</v>
      </c>
      <c r="V618">
        <f t="shared" si="177"/>
        <v>617</v>
      </c>
      <c r="W618">
        <f t="shared" si="178"/>
        <v>1.8330885047793073</v>
      </c>
      <c r="X618">
        <f t="shared" si="179"/>
        <v>0.93519413988924505</v>
      </c>
    </row>
    <row r="619" spans="1:24">
      <c r="A619">
        <v>619</v>
      </c>
      <c r="B619">
        <f t="shared" si="162"/>
        <v>618</v>
      </c>
      <c r="C619">
        <f t="shared" si="163"/>
        <v>0.85128910883380282</v>
      </c>
      <c r="D619">
        <f t="shared" si="164"/>
        <v>1.0427354058196601</v>
      </c>
      <c r="E619">
        <v>619</v>
      </c>
      <c r="F619">
        <f t="shared" si="165"/>
        <v>618</v>
      </c>
      <c r="G619">
        <f t="shared" si="166"/>
        <v>0.80201271537797136</v>
      </c>
      <c r="H619">
        <f t="shared" si="167"/>
        <v>1.10687730344655</v>
      </c>
      <c r="I619">
        <v>619</v>
      </c>
      <c r="J619">
        <f t="shared" si="168"/>
        <v>618</v>
      </c>
      <c r="K619">
        <f t="shared" si="169"/>
        <v>1.679422288847513</v>
      </c>
      <c r="L619">
        <f t="shared" si="170"/>
        <v>1.26645031675154</v>
      </c>
      <c r="M619">
        <v>619</v>
      </c>
      <c r="N619">
        <f t="shared" si="171"/>
        <v>618</v>
      </c>
      <c r="O619">
        <f t="shared" si="172"/>
        <v>0.68912769858626599</v>
      </c>
      <c r="P619">
        <f t="shared" si="173"/>
        <v>0.253817018041334</v>
      </c>
      <c r="Q619">
        <v>619</v>
      </c>
      <c r="R619">
        <f t="shared" si="174"/>
        <v>618</v>
      </c>
      <c r="S619">
        <f t="shared" si="175"/>
        <v>1.8841201716737925</v>
      </c>
      <c r="T619">
        <f t="shared" si="176"/>
        <v>0</v>
      </c>
      <c r="U619">
        <v>619</v>
      </c>
      <c r="V619">
        <f t="shared" si="177"/>
        <v>618</v>
      </c>
      <c r="W619">
        <f t="shared" si="178"/>
        <v>1.8343336954513796</v>
      </c>
      <c r="X619">
        <f t="shared" si="179"/>
        <v>6.4805860110755301E-2</v>
      </c>
    </row>
    <row r="620" spans="1:24">
      <c r="A620">
        <v>620</v>
      </c>
      <c r="B620">
        <f t="shared" si="162"/>
        <v>619</v>
      </c>
      <c r="C620">
        <f t="shared" si="163"/>
        <v>0.85259744815906846</v>
      </c>
      <c r="D620">
        <f t="shared" si="164"/>
        <v>1.9572645941803399</v>
      </c>
      <c r="E620">
        <v>620</v>
      </c>
      <c r="F620">
        <f t="shared" si="165"/>
        <v>619</v>
      </c>
      <c r="G620">
        <f t="shared" si="166"/>
        <v>0.80313752996038468</v>
      </c>
      <c r="H620">
        <f t="shared" si="167"/>
        <v>1.89312269655345</v>
      </c>
      <c r="I620">
        <v>620</v>
      </c>
      <c r="J620">
        <f t="shared" si="168"/>
        <v>619</v>
      </c>
      <c r="K620">
        <f t="shared" si="169"/>
        <v>1.6800905282845615</v>
      </c>
      <c r="L620">
        <f t="shared" si="170"/>
        <v>1.73354968324846</v>
      </c>
      <c r="M620">
        <v>620</v>
      </c>
      <c r="N620">
        <f t="shared" si="171"/>
        <v>619</v>
      </c>
      <c r="O620">
        <f t="shared" si="172"/>
        <v>0.68983208480073999</v>
      </c>
      <c r="P620">
        <f t="shared" si="173"/>
        <v>0.74618298195866595</v>
      </c>
      <c r="Q620">
        <v>620</v>
      </c>
      <c r="R620">
        <f t="shared" si="174"/>
        <v>619</v>
      </c>
      <c r="S620">
        <f t="shared" si="175"/>
        <v>1.8855507868383132</v>
      </c>
      <c r="T620">
        <f t="shared" si="176"/>
        <v>1</v>
      </c>
      <c r="U620">
        <v>620</v>
      </c>
      <c r="V620">
        <f t="shared" si="177"/>
        <v>619</v>
      </c>
      <c r="W620">
        <f t="shared" si="178"/>
        <v>1.8355788861234519</v>
      </c>
      <c r="X620">
        <f t="shared" si="179"/>
        <v>0.93519413988924505</v>
      </c>
    </row>
    <row r="621" spans="1:24">
      <c r="A621">
        <v>621</v>
      </c>
      <c r="B621">
        <f t="shared" si="162"/>
        <v>620</v>
      </c>
      <c r="C621">
        <f t="shared" si="163"/>
        <v>0.8539057874843341</v>
      </c>
      <c r="D621">
        <f t="shared" si="164"/>
        <v>1.0427354058196601</v>
      </c>
      <c r="E621">
        <v>621</v>
      </c>
      <c r="F621">
        <f t="shared" si="165"/>
        <v>620</v>
      </c>
      <c r="G621">
        <f t="shared" si="166"/>
        <v>0.80426234454279788</v>
      </c>
      <c r="H621">
        <f t="shared" si="167"/>
        <v>1.10687730344655</v>
      </c>
      <c r="I621">
        <v>621</v>
      </c>
      <c r="J621">
        <f t="shared" si="168"/>
        <v>620</v>
      </c>
      <c r="K621">
        <f t="shared" si="169"/>
        <v>1.6807587677216098</v>
      </c>
      <c r="L621">
        <f t="shared" si="170"/>
        <v>1.26645031675154</v>
      </c>
      <c r="M621">
        <v>621</v>
      </c>
      <c r="N621">
        <f t="shared" si="171"/>
        <v>620</v>
      </c>
      <c r="O621">
        <f t="shared" si="172"/>
        <v>0.69053647101521398</v>
      </c>
      <c r="P621">
        <f t="shared" si="173"/>
        <v>0.253817018041334</v>
      </c>
      <c r="Q621">
        <v>621</v>
      </c>
      <c r="R621">
        <f t="shared" si="174"/>
        <v>620</v>
      </c>
      <c r="S621">
        <f t="shared" si="175"/>
        <v>1.8869814020028339</v>
      </c>
      <c r="T621">
        <f t="shared" si="176"/>
        <v>0</v>
      </c>
      <c r="U621">
        <v>621</v>
      </c>
      <c r="V621">
        <f t="shared" si="177"/>
        <v>620</v>
      </c>
      <c r="W621">
        <f t="shared" si="178"/>
        <v>1.836824076795524</v>
      </c>
      <c r="X621">
        <f t="shared" si="179"/>
        <v>6.4805860110755301E-2</v>
      </c>
    </row>
    <row r="622" spans="1:24">
      <c r="A622">
        <v>622</v>
      </c>
      <c r="B622">
        <f t="shared" si="162"/>
        <v>621</v>
      </c>
      <c r="C622">
        <f t="shared" si="163"/>
        <v>0.85521412680959963</v>
      </c>
      <c r="D622">
        <f t="shared" si="164"/>
        <v>1.9572645941803399</v>
      </c>
      <c r="E622">
        <v>622</v>
      </c>
      <c r="F622">
        <f t="shared" si="165"/>
        <v>621</v>
      </c>
      <c r="G622">
        <f t="shared" si="166"/>
        <v>0.80538715912521119</v>
      </c>
      <c r="H622">
        <f t="shared" si="167"/>
        <v>1.89312269655345</v>
      </c>
      <c r="I622">
        <v>622</v>
      </c>
      <c r="J622">
        <f t="shared" si="168"/>
        <v>621</v>
      </c>
      <c r="K622">
        <f t="shared" si="169"/>
        <v>1.6814270071586583</v>
      </c>
      <c r="L622">
        <f t="shared" si="170"/>
        <v>1.73354968324846</v>
      </c>
      <c r="M622">
        <v>622</v>
      </c>
      <c r="N622">
        <f t="shared" si="171"/>
        <v>621</v>
      </c>
      <c r="O622">
        <f t="shared" si="172"/>
        <v>0.69124085722968798</v>
      </c>
      <c r="P622">
        <f t="shared" si="173"/>
        <v>0.74618298195866595</v>
      </c>
      <c r="Q622">
        <v>622</v>
      </c>
      <c r="R622">
        <f t="shared" si="174"/>
        <v>621</v>
      </c>
      <c r="S622">
        <f t="shared" si="175"/>
        <v>1.8884120171673546</v>
      </c>
      <c r="T622">
        <f t="shared" si="176"/>
        <v>1</v>
      </c>
      <c r="U622">
        <v>622</v>
      </c>
      <c r="V622">
        <f t="shared" si="177"/>
        <v>621</v>
      </c>
      <c r="W622">
        <f t="shared" si="178"/>
        <v>1.838069267467596</v>
      </c>
      <c r="X622">
        <f t="shared" si="179"/>
        <v>0.93519413988924505</v>
      </c>
    </row>
    <row r="623" spans="1:24">
      <c r="A623">
        <v>623</v>
      </c>
      <c r="B623">
        <f t="shared" si="162"/>
        <v>622</v>
      </c>
      <c r="C623">
        <f t="shared" si="163"/>
        <v>0.85652246613486527</v>
      </c>
      <c r="D623">
        <f t="shared" si="164"/>
        <v>1.0427354058196601</v>
      </c>
      <c r="E623">
        <v>623</v>
      </c>
      <c r="F623">
        <f t="shared" si="165"/>
        <v>622</v>
      </c>
      <c r="G623">
        <f t="shared" si="166"/>
        <v>0.80651197370762451</v>
      </c>
      <c r="H623">
        <f t="shared" si="167"/>
        <v>1.10687730344655</v>
      </c>
      <c r="I623">
        <v>623</v>
      </c>
      <c r="J623">
        <f t="shared" si="168"/>
        <v>622</v>
      </c>
      <c r="K623">
        <f t="shared" si="169"/>
        <v>1.6820952465957069</v>
      </c>
      <c r="L623">
        <f t="shared" si="170"/>
        <v>1.26645031675154</v>
      </c>
      <c r="M623">
        <v>623</v>
      </c>
      <c r="N623">
        <f t="shared" si="171"/>
        <v>622</v>
      </c>
      <c r="O623">
        <f t="shared" si="172"/>
        <v>0.69194524344416197</v>
      </c>
      <c r="P623">
        <f t="shared" si="173"/>
        <v>0.253817018041334</v>
      </c>
      <c r="Q623">
        <v>623</v>
      </c>
      <c r="R623">
        <f t="shared" si="174"/>
        <v>622</v>
      </c>
      <c r="S623">
        <f t="shared" si="175"/>
        <v>1.8898426323318753</v>
      </c>
      <c r="T623">
        <f t="shared" si="176"/>
        <v>0</v>
      </c>
      <c r="U623">
        <v>623</v>
      </c>
      <c r="V623">
        <f t="shared" si="177"/>
        <v>622</v>
      </c>
      <c r="W623">
        <f t="shared" si="178"/>
        <v>1.8393144581396683</v>
      </c>
      <c r="X623">
        <f t="shared" si="179"/>
        <v>6.4805860110755301E-2</v>
      </c>
    </row>
    <row r="624" spans="1:24">
      <c r="A624">
        <v>624</v>
      </c>
      <c r="B624">
        <f t="shared" si="162"/>
        <v>623</v>
      </c>
      <c r="C624">
        <f t="shared" si="163"/>
        <v>0.85783080546013091</v>
      </c>
      <c r="D624">
        <f t="shared" si="164"/>
        <v>1.9572645941803399</v>
      </c>
      <c r="E624">
        <v>624</v>
      </c>
      <c r="F624">
        <f t="shared" si="165"/>
        <v>623</v>
      </c>
      <c r="G624">
        <f t="shared" si="166"/>
        <v>0.80763678829003782</v>
      </c>
      <c r="H624">
        <f t="shared" si="167"/>
        <v>1.89312269655345</v>
      </c>
      <c r="I624">
        <v>624</v>
      </c>
      <c r="J624">
        <f t="shared" si="168"/>
        <v>623</v>
      </c>
      <c r="K624">
        <f t="shared" si="169"/>
        <v>1.6827634860327554</v>
      </c>
      <c r="L624">
        <f t="shared" si="170"/>
        <v>1.73354968324846</v>
      </c>
      <c r="M624">
        <v>624</v>
      </c>
      <c r="N624">
        <f t="shared" si="171"/>
        <v>623</v>
      </c>
      <c r="O624">
        <f t="shared" si="172"/>
        <v>0.69264962965863597</v>
      </c>
      <c r="P624">
        <f t="shared" si="173"/>
        <v>0.74618298195866595</v>
      </c>
      <c r="Q624">
        <v>624</v>
      </c>
      <c r="R624">
        <f t="shared" si="174"/>
        <v>623</v>
      </c>
      <c r="S624">
        <f t="shared" si="175"/>
        <v>1.891273247496396</v>
      </c>
      <c r="T624">
        <f t="shared" si="176"/>
        <v>1</v>
      </c>
      <c r="U624">
        <v>624</v>
      </c>
      <c r="V624">
        <f t="shared" si="177"/>
        <v>623</v>
      </c>
      <c r="W624">
        <f t="shared" si="178"/>
        <v>1.8405596488117406</v>
      </c>
      <c r="X624">
        <f t="shared" si="179"/>
        <v>0.93519413988924505</v>
      </c>
    </row>
    <row r="625" spans="1:24">
      <c r="A625">
        <v>625</v>
      </c>
      <c r="B625">
        <f t="shared" si="162"/>
        <v>624</v>
      </c>
      <c r="C625">
        <f t="shared" si="163"/>
        <v>0.85913914478539644</v>
      </c>
      <c r="D625">
        <f t="shared" si="164"/>
        <v>1.0427354058196601</v>
      </c>
      <c r="E625">
        <v>625</v>
      </c>
      <c r="F625">
        <f t="shared" si="165"/>
        <v>624</v>
      </c>
      <c r="G625">
        <f t="shared" si="166"/>
        <v>0.80876160287245114</v>
      </c>
      <c r="H625">
        <f t="shared" si="167"/>
        <v>1.10687730344655</v>
      </c>
      <c r="I625">
        <v>625</v>
      </c>
      <c r="J625">
        <f t="shared" si="168"/>
        <v>624</v>
      </c>
      <c r="K625">
        <f t="shared" si="169"/>
        <v>1.6834317254698039</v>
      </c>
      <c r="L625">
        <f t="shared" si="170"/>
        <v>1.26645031675154</v>
      </c>
      <c r="M625">
        <v>625</v>
      </c>
      <c r="N625">
        <f t="shared" si="171"/>
        <v>624</v>
      </c>
      <c r="O625">
        <f t="shared" si="172"/>
        <v>0.69335401587310996</v>
      </c>
      <c r="P625">
        <f t="shared" si="173"/>
        <v>0.253817018041334</v>
      </c>
      <c r="Q625">
        <v>625</v>
      </c>
      <c r="R625">
        <f t="shared" si="174"/>
        <v>624</v>
      </c>
      <c r="S625">
        <f t="shared" si="175"/>
        <v>1.8927038626609167</v>
      </c>
      <c r="T625">
        <f t="shared" si="176"/>
        <v>0</v>
      </c>
      <c r="U625">
        <v>625</v>
      </c>
      <c r="V625">
        <f t="shared" si="177"/>
        <v>624</v>
      </c>
      <c r="W625">
        <f t="shared" si="178"/>
        <v>1.8418048394838127</v>
      </c>
      <c r="X625">
        <f t="shared" si="179"/>
        <v>6.4805860110755301E-2</v>
      </c>
    </row>
    <row r="626" spans="1:24">
      <c r="A626">
        <v>626</v>
      </c>
      <c r="B626">
        <f t="shared" si="162"/>
        <v>625</v>
      </c>
      <c r="C626">
        <f t="shared" si="163"/>
        <v>0.86044748411066208</v>
      </c>
      <c r="D626">
        <f t="shared" si="164"/>
        <v>1.9572645941803399</v>
      </c>
      <c r="E626">
        <v>626</v>
      </c>
      <c r="F626">
        <f t="shared" si="165"/>
        <v>625</v>
      </c>
      <c r="G626">
        <f t="shared" si="166"/>
        <v>0.80988641745486445</v>
      </c>
      <c r="H626">
        <f t="shared" si="167"/>
        <v>1.89312269655345</v>
      </c>
      <c r="I626">
        <v>626</v>
      </c>
      <c r="J626">
        <f t="shared" si="168"/>
        <v>625</v>
      </c>
      <c r="K626">
        <f t="shared" si="169"/>
        <v>1.6840999649068524</v>
      </c>
      <c r="L626">
        <f t="shared" si="170"/>
        <v>1.73354968324846</v>
      </c>
      <c r="M626">
        <v>626</v>
      </c>
      <c r="N626">
        <f t="shared" si="171"/>
        <v>625</v>
      </c>
      <c r="O626">
        <f t="shared" si="172"/>
        <v>0.69405840208758396</v>
      </c>
      <c r="P626">
        <f t="shared" si="173"/>
        <v>0.74618298195866595</v>
      </c>
      <c r="Q626">
        <v>626</v>
      </c>
      <c r="R626">
        <f t="shared" si="174"/>
        <v>625</v>
      </c>
      <c r="S626">
        <f t="shared" si="175"/>
        <v>1.8941344778254374</v>
      </c>
      <c r="T626">
        <f t="shared" si="176"/>
        <v>1</v>
      </c>
      <c r="U626">
        <v>626</v>
      </c>
      <c r="V626">
        <f t="shared" si="177"/>
        <v>625</v>
      </c>
      <c r="W626">
        <f t="shared" si="178"/>
        <v>1.8430500301558848</v>
      </c>
      <c r="X626">
        <f t="shared" si="179"/>
        <v>0.93519413988924505</v>
      </c>
    </row>
    <row r="627" spans="1:24">
      <c r="A627">
        <v>627</v>
      </c>
      <c r="B627">
        <f t="shared" si="162"/>
        <v>626</v>
      </c>
      <c r="C627">
        <f t="shared" si="163"/>
        <v>0.8617558234359276</v>
      </c>
      <c r="D627">
        <f t="shared" si="164"/>
        <v>1.0427354058196601</v>
      </c>
      <c r="E627">
        <v>627</v>
      </c>
      <c r="F627">
        <f t="shared" si="165"/>
        <v>626</v>
      </c>
      <c r="G627">
        <f t="shared" si="166"/>
        <v>0.81101123203727776</v>
      </c>
      <c r="H627">
        <f t="shared" si="167"/>
        <v>1.10687730344655</v>
      </c>
      <c r="I627">
        <v>627</v>
      </c>
      <c r="J627">
        <f t="shared" si="168"/>
        <v>626</v>
      </c>
      <c r="K627">
        <f t="shared" si="169"/>
        <v>1.684768204343901</v>
      </c>
      <c r="L627">
        <f t="shared" si="170"/>
        <v>1.26645031675154</v>
      </c>
      <c r="M627">
        <v>627</v>
      </c>
      <c r="N627">
        <f t="shared" si="171"/>
        <v>626</v>
      </c>
      <c r="O627">
        <f t="shared" si="172"/>
        <v>0.69476278830205795</v>
      </c>
      <c r="P627">
        <f t="shared" si="173"/>
        <v>0.253817018041334</v>
      </c>
      <c r="Q627">
        <v>627</v>
      </c>
      <c r="R627">
        <f t="shared" si="174"/>
        <v>626</v>
      </c>
      <c r="S627">
        <f t="shared" si="175"/>
        <v>1.8955650929899581</v>
      </c>
      <c r="T627">
        <f t="shared" si="176"/>
        <v>0</v>
      </c>
      <c r="U627">
        <v>627</v>
      </c>
      <c r="V627">
        <f t="shared" si="177"/>
        <v>626</v>
      </c>
      <c r="W627">
        <f t="shared" si="178"/>
        <v>1.844295220827957</v>
      </c>
      <c r="X627">
        <f t="shared" si="179"/>
        <v>6.4805860110755301E-2</v>
      </c>
    </row>
    <row r="628" spans="1:24">
      <c r="A628">
        <v>628</v>
      </c>
      <c r="B628">
        <f t="shared" si="162"/>
        <v>627</v>
      </c>
      <c r="C628">
        <f t="shared" si="163"/>
        <v>0.86306416276119324</v>
      </c>
      <c r="D628">
        <f t="shared" si="164"/>
        <v>1.9572645941803399</v>
      </c>
      <c r="E628">
        <v>628</v>
      </c>
      <c r="F628">
        <f t="shared" si="165"/>
        <v>627</v>
      </c>
      <c r="G628">
        <f t="shared" si="166"/>
        <v>0.81213604661969108</v>
      </c>
      <c r="H628">
        <f t="shared" si="167"/>
        <v>1.89312269655345</v>
      </c>
      <c r="I628">
        <v>628</v>
      </c>
      <c r="J628">
        <f t="shared" si="168"/>
        <v>627</v>
      </c>
      <c r="K628">
        <f t="shared" si="169"/>
        <v>1.6854364437809495</v>
      </c>
      <c r="L628">
        <f t="shared" si="170"/>
        <v>1.73354968324846</v>
      </c>
      <c r="M628">
        <v>628</v>
      </c>
      <c r="N628">
        <f t="shared" si="171"/>
        <v>627</v>
      </c>
      <c r="O628">
        <f t="shared" si="172"/>
        <v>0.69546717451653195</v>
      </c>
      <c r="P628">
        <f t="shared" si="173"/>
        <v>0.74618298195866595</v>
      </c>
      <c r="Q628">
        <v>628</v>
      </c>
      <c r="R628">
        <f t="shared" si="174"/>
        <v>627</v>
      </c>
      <c r="S628">
        <f t="shared" si="175"/>
        <v>1.8969957081544788</v>
      </c>
      <c r="T628">
        <f t="shared" si="176"/>
        <v>1</v>
      </c>
      <c r="U628">
        <v>628</v>
      </c>
      <c r="V628">
        <f t="shared" si="177"/>
        <v>627</v>
      </c>
      <c r="W628">
        <f t="shared" si="178"/>
        <v>1.8455404115000293</v>
      </c>
      <c r="X628">
        <f t="shared" si="179"/>
        <v>0.93519413988924505</v>
      </c>
    </row>
    <row r="629" spans="1:24">
      <c r="A629">
        <v>629</v>
      </c>
      <c r="B629">
        <f t="shared" si="162"/>
        <v>628</v>
      </c>
      <c r="C629">
        <f t="shared" si="163"/>
        <v>0.86437250208645888</v>
      </c>
      <c r="D629">
        <f t="shared" si="164"/>
        <v>1.0427354058196601</v>
      </c>
      <c r="E629">
        <v>629</v>
      </c>
      <c r="F629">
        <f t="shared" si="165"/>
        <v>628</v>
      </c>
      <c r="G629">
        <f t="shared" si="166"/>
        <v>0.81326086120210439</v>
      </c>
      <c r="H629">
        <f t="shared" si="167"/>
        <v>1.10687730344655</v>
      </c>
      <c r="I629">
        <v>629</v>
      </c>
      <c r="J629">
        <f t="shared" si="168"/>
        <v>628</v>
      </c>
      <c r="K629">
        <f t="shared" si="169"/>
        <v>1.686104683217998</v>
      </c>
      <c r="L629">
        <f t="shared" si="170"/>
        <v>1.26645031675154</v>
      </c>
      <c r="M629">
        <v>629</v>
      </c>
      <c r="N629">
        <f t="shared" si="171"/>
        <v>628</v>
      </c>
      <c r="O629">
        <f t="shared" si="172"/>
        <v>0.69617156073100595</v>
      </c>
      <c r="P629">
        <f t="shared" si="173"/>
        <v>0.253817018041334</v>
      </c>
      <c r="Q629">
        <v>629</v>
      </c>
      <c r="R629">
        <f t="shared" si="174"/>
        <v>628</v>
      </c>
      <c r="S629">
        <f t="shared" si="175"/>
        <v>1.8984263233189995</v>
      </c>
      <c r="T629">
        <f t="shared" si="176"/>
        <v>0</v>
      </c>
      <c r="U629">
        <v>629</v>
      </c>
      <c r="V629">
        <f t="shared" si="177"/>
        <v>628</v>
      </c>
      <c r="W629">
        <f t="shared" si="178"/>
        <v>1.8467856021721016</v>
      </c>
      <c r="X629">
        <f t="shared" si="179"/>
        <v>6.4805860110755301E-2</v>
      </c>
    </row>
    <row r="630" spans="1:24">
      <c r="A630">
        <v>630</v>
      </c>
      <c r="B630">
        <f t="shared" si="162"/>
        <v>629</v>
      </c>
      <c r="C630">
        <f t="shared" si="163"/>
        <v>0.86568084141172441</v>
      </c>
      <c r="D630">
        <f t="shared" si="164"/>
        <v>1.9572645941803399</v>
      </c>
      <c r="E630">
        <v>630</v>
      </c>
      <c r="F630">
        <f t="shared" si="165"/>
        <v>629</v>
      </c>
      <c r="G630">
        <f t="shared" si="166"/>
        <v>0.81438567578451759</v>
      </c>
      <c r="H630">
        <f t="shared" si="167"/>
        <v>1.89312269655345</v>
      </c>
      <c r="I630">
        <v>630</v>
      </c>
      <c r="J630">
        <f t="shared" si="168"/>
        <v>629</v>
      </c>
      <c r="K630">
        <f t="shared" si="169"/>
        <v>1.6867729226550465</v>
      </c>
      <c r="L630">
        <f t="shared" si="170"/>
        <v>1.73354968324846</v>
      </c>
      <c r="M630">
        <v>630</v>
      </c>
      <c r="N630">
        <f t="shared" si="171"/>
        <v>629</v>
      </c>
      <c r="O630">
        <f t="shared" si="172"/>
        <v>0.69687594694547994</v>
      </c>
      <c r="P630">
        <f t="shared" si="173"/>
        <v>0.74618298195866595</v>
      </c>
      <c r="Q630">
        <v>630</v>
      </c>
      <c r="R630">
        <f t="shared" si="174"/>
        <v>629</v>
      </c>
      <c r="S630">
        <f t="shared" si="175"/>
        <v>1.8998569384835202</v>
      </c>
      <c r="T630">
        <f t="shared" si="176"/>
        <v>1</v>
      </c>
      <c r="U630">
        <v>630</v>
      </c>
      <c r="V630">
        <f t="shared" si="177"/>
        <v>629</v>
      </c>
      <c r="W630">
        <f t="shared" si="178"/>
        <v>1.8480307928441737</v>
      </c>
      <c r="X630">
        <f t="shared" si="179"/>
        <v>0.93519413988924505</v>
      </c>
    </row>
    <row r="631" spans="1:24">
      <c r="A631">
        <v>631</v>
      </c>
      <c r="B631">
        <f t="shared" si="162"/>
        <v>630</v>
      </c>
      <c r="C631">
        <f t="shared" si="163"/>
        <v>0.86698918073699005</v>
      </c>
      <c r="D631">
        <f t="shared" si="164"/>
        <v>1.0427354058196601</v>
      </c>
      <c r="E631">
        <v>631</v>
      </c>
      <c r="F631">
        <f t="shared" si="165"/>
        <v>630</v>
      </c>
      <c r="G631">
        <f t="shared" si="166"/>
        <v>0.81551049036693091</v>
      </c>
      <c r="H631">
        <f t="shared" si="167"/>
        <v>1.10687730344655</v>
      </c>
      <c r="I631">
        <v>631</v>
      </c>
      <c r="J631">
        <f t="shared" si="168"/>
        <v>630</v>
      </c>
      <c r="K631">
        <f t="shared" si="169"/>
        <v>1.687441162092095</v>
      </c>
      <c r="L631">
        <f t="shared" si="170"/>
        <v>1.26645031675154</v>
      </c>
      <c r="M631">
        <v>631</v>
      </c>
      <c r="N631">
        <f t="shared" si="171"/>
        <v>630</v>
      </c>
      <c r="O631">
        <f t="shared" si="172"/>
        <v>0.69758033315995394</v>
      </c>
      <c r="P631">
        <f t="shared" si="173"/>
        <v>0.253817018041334</v>
      </c>
      <c r="Q631">
        <v>631</v>
      </c>
      <c r="R631">
        <f t="shared" si="174"/>
        <v>630</v>
      </c>
      <c r="S631">
        <f t="shared" si="175"/>
        <v>1.9012875536480409</v>
      </c>
      <c r="T631">
        <f t="shared" si="176"/>
        <v>0</v>
      </c>
      <c r="U631">
        <v>631</v>
      </c>
      <c r="V631">
        <f t="shared" si="177"/>
        <v>630</v>
      </c>
      <c r="W631">
        <f t="shared" si="178"/>
        <v>1.8492759835162458</v>
      </c>
      <c r="X631">
        <f t="shared" si="179"/>
        <v>6.4805860110755301E-2</v>
      </c>
    </row>
    <row r="632" spans="1:24">
      <c r="A632">
        <v>632</v>
      </c>
      <c r="B632">
        <f t="shared" si="162"/>
        <v>631</v>
      </c>
      <c r="C632">
        <f t="shared" si="163"/>
        <v>0.86829752006225569</v>
      </c>
      <c r="D632">
        <f t="shared" si="164"/>
        <v>1.9572645941803399</v>
      </c>
      <c r="E632">
        <v>632</v>
      </c>
      <c r="F632">
        <f t="shared" si="165"/>
        <v>631</v>
      </c>
      <c r="G632">
        <f t="shared" si="166"/>
        <v>0.81663530494934422</v>
      </c>
      <c r="H632">
        <f t="shared" si="167"/>
        <v>1.89312269655345</v>
      </c>
      <c r="I632">
        <v>632</v>
      </c>
      <c r="J632">
        <f t="shared" si="168"/>
        <v>631</v>
      </c>
      <c r="K632">
        <f t="shared" si="169"/>
        <v>1.6881094015291436</v>
      </c>
      <c r="L632">
        <f t="shared" si="170"/>
        <v>1.73354968324846</v>
      </c>
      <c r="M632">
        <v>632</v>
      </c>
      <c r="N632">
        <f t="shared" si="171"/>
        <v>631</v>
      </c>
      <c r="O632">
        <f t="shared" si="172"/>
        <v>0.69828471937442793</v>
      </c>
      <c r="P632">
        <f t="shared" si="173"/>
        <v>0.74618298195866595</v>
      </c>
      <c r="Q632">
        <v>632</v>
      </c>
      <c r="R632">
        <f t="shared" si="174"/>
        <v>631</v>
      </c>
      <c r="S632">
        <f t="shared" si="175"/>
        <v>1.9027181688125616</v>
      </c>
      <c r="T632">
        <f t="shared" si="176"/>
        <v>1</v>
      </c>
      <c r="U632">
        <v>632</v>
      </c>
      <c r="V632">
        <f t="shared" si="177"/>
        <v>631</v>
      </c>
      <c r="W632">
        <f t="shared" si="178"/>
        <v>1.8505211741883181</v>
      </c>
      <c r="X632">
        <f t="shared" si="179"/>
        <v>0.93519413988924505</v>
      </c>
    </row>
    <row r="633" spans="1:24">
      <c r="A633">
        <v>633</v>
      </c>
      <c r="B633">
        <f t="shared" si="162"/>
        <v>632</v>
      </c>
      <c r="C633">
        <f t="shared" si="163"/>
        <v>0.86960585938752122</v>
      </c>
      <c r="D633">
        <f t="shared" si="164"/>
        <v>1.0427354058196601</v>
      </c>
      <c r="E633">
        <v>633</v>
      </c>
      <c r="F633">
        <f t="shared" si="165"/>
        <v>632</v>
      </c>
      <c r="G633">
        <f t="shared" si="166"/>
        <v>0.81776011953175753</v>
      </c>
      <c r="H633">
        <f t="shared" si="167"/>
        <v>1.10687730344655</v>
      </c>
      <c r="I633">
        <v>633</v>
      </c>
      <c r="J633">
        <f t="shared" si="168"/>
        <v>632</v>
      </c>
      <c r="K633">
        <f t="shared" si="169"/>
        <v>1.6887776409661919</v>
      </c>
      <c r="L633">
        <f t="shared" si="170"/>
        <v>1.26645031675154</v>
      </c>
      <c r="M633">
        <v>633</v>
      </c>
      <c r="N633">
        <f t="shared" si="171"/>
        <v>632</v>
      </c>
      <c r="O633">
        <f t="shared" si="172"/>
        <v>0.69898910558890193</v>
      </c>
      <c r="P633">
        <f t="shared" si="173"/>
        <v>0.253817018041334</v>
      </c>
      <c r="Q633">
        <v>633</v>
      </c>
      <c r="R633">
        <f t="shared" si="174"/>
        <v>632</v>
      </c>
      <c r="S633">
        <f t="shared" si="175"/>
        <v>1.9041487839770823</v>
      </c>
      <c r="T633">
        <f t="shared" si="176"/>
        <v>0</v>
      </c>
      <c r="U633">
        <v>633</v>
      </c>
      <c r="V633">
        <f t="shared" si="177"/>
        <v>632</v>
      </c>
      <c r="W633">
        <f t="shared" si="178"/>
        <v>1.8517663648603904</v>
      </c>
      <c r="X633">
        <f t="shared" si="179"/>
        <v>6.4805860110755301E-2</v>
      </c>
    </row>
    <row r="634" spans="1:24">
      <c r="A634">
        <v>634</v>
      </c>
      <c r="B634">
        <f t="shared" si="162"/>
        <v>633</v>
      </c>
      <c r="C634">
        <f t="shared" si="163"/>
        <v>0.87091419871278686</v>
      </c>
      <c r="D634">
        <f t="shared" si="164"/>
        <v>1.9572645941803399</v>
      </c>
      <c r="E634">
        <v>634</v>
      </c>
      <c r="F634">
        <f t="shared" si="165"/>
        <v>633</v>
      </c>
      <c r="G634">
        <f t="shared" si="166"/>
        <v>0.81888493411417085</v>
      </c>
      <c r="H634">
        <f t="shared" si="167"/>
        <v>1.89312269655345</v>
      </c>
      <c r="I634">
        <v>634</v>
      </c>
      <c r="J634">
        <f t="shared" si="168"/>
        <v>633</v>
      </c>
      <c r="K634">
        <f t="shared" si="169"/>
        <v>1.6894458804032404</v>
      </c>
      <c r="L634">
        <f t="shared" si="170"/>
        <v>1.73354968324846</v>
      </c>
      <c r="M634">
        <v>634</v>
      </c>
      <c r="N634">
        <f t="shared" si="171"/>
        <v>633</v>
      </c>
      <c r="O634">
        <f t="shared" si="172"/>
        <v>0.69969349180337592</v>
      </c>
      <c r="P634">
        <f t="shared" si="173"/>
        <v>0.74618298195866595</v>
      </c>
      <c r="Q634">
        <v>634</v>
      </c>
      <c r="R634">
        <f t="shared" si="174"/>
        <v>633</v>
      </c>
      <c r="S634">
        <f t="shared" si="175"/>
        <v>1.905579399141603</v>
      </c>
      <c r="T634">
        <f t="shared" si="176"/>
        <v>1</v>
      </c>
      <c r="U634">
        <v>634</v>
      </c>
      <c r="V634">
        <f t="shared" si="177"/>
        <v>633</v>
      </c>
      <c r="W634">
        <f t="shared" si="178"/>
        <v>1.8530115555324627</v>
      </c>
      <c r="X634">
        <f t="shared" si="179"/>
        <v>0.93519413988924505</v>
      </c>
    </row>
    <row r="635" spans="1:24">
      <c r="A635">
        <v>635</v>
      </c>
      <c r="B635">
        <f t="shared" si="162"/>
        <v>634</v>
      </c>
      <c r="C635">
        <f t="shared" si="163"/>
        <v>0.8722225380380525</v>
      </c>
      <c r="D635">
        <f t="shared" si="164"/>
        <v>1.0427354058196601</v>
      </c>
      <c r="E635">
        <v>635</v>
      </c>
      <c r="F635">
        <f t="shared" si="165"/>
        <v>634</v>
      </c>
      <c r="G635">
        <f t="shared" si="166"/>
        <v>0.82000974869658416</v>
      </c>
      <c r="H635">
        <f t="shared" si="167"/>
        <v>1.10687730344655</v>
      </c>
      <c r="I635">
        <v>635</v>
      </c>
      <c r="J635">
        <f t="shared" si="168"/>
        <v>634</v>
      </c>
      <c r="K635">
        <f t="shared" si="169"/>
        <v>1.6901141198402889</v>
      </c>
      <c r="L635">
        <f t="shared" si="170"/>
        <v>1.26645031675154</v>
      </c>
      <c r="M635">
        <v>635</v>
      </c>
      <c r="N635">
        <f t="shared" si="171"/>
        <v>634</v>
      </c>
      <c r="O635">
        <f t="shared" si="172"/>
        <v>0.70039787801784992</v>
      </c>
      <c r="P635">
        <f t="shared" si="173"/>
        <v>0.253817018041334</v>
      </c>
      <c r="Q635">
        <v>635</v>
      </c>
      <c r="R635">
        <f t="shared" si="174"/>
        <v>634</v>
      </c>
      <c r="S635">
        <f t="shared" si="175"/>
        <v>1.9070100143061237</v>
      </c>
      <c r="T635">
        <f t="shared" si="176"/>
        <v>0</v>
      </c>
      <c r="U635">
        <v>635</v>
      </c>
      <c r="V635">
        <f t="shared" si="177"/>
        <v>634</v>
      </c>
      <c r="W635">
        <f t="shared" si="178"/>
        <v>1.8542567462045347</v>
      </c>
      <c r="X635">
        <f t="shared" si="179"/>
        <v>6.4805860110755301E-2</v>
      </c>
    </row>
    <row r="636" spans="1:24">
      <c r="A636">
        <v>636</v>
      </c>
      <c r="B636">
        <f t="shared" si="162"/>
        <v>635</v>
      </c>
      <c r="C636">
        <f t="shared" si="163"/>
        <v>0.87353087736331803</v>
      </c>
      <c r="D636">
        <f t="shared" si="164"/>
        <v>1.9572645941803399</v>
      </c>
      <c r="E636">
        <v>636</v>
      </c>
      <c r="F636">
        <f t="shared" si="165"/>
        <v>635</v>
      </c>
      <c r="G636">
        <f t="shared" si="166"/>
        <v>0.82113456327899748</v>
      </c>
      <c r="H636">
        <f t="shared" si="167"/>
        <v>1.89312269655345</v>
      </c>
      <c r="I636">
        <v>636</v>
      </c>
      <c r="J636">
        <f t="shared" si="168"/>
        <v>635</v>
      </c>
      <c r="K636">
        <f t="shared" si="169"/>
        <v>1.6907823592773374</v>
      </c>
      <c r="L636">
        <f t="shared" si="170"/>
        <v>1.73354968324846</v>
      </c>
      <c r="M636">
        <v>636</v>
      </c>
      <c r="N636">
        <f t="shared" si="171"/>
        <v>635</v>
      </c>
      <c r="O636">
        <f t="shared" si="172"/>
        <v>0.70110226423232391</v>
      </c>
      <c r="P636">
        <f t="shared" si="173"/>
        <v>0.74618298195866595</v>
      </c>
      <c r="Q636">
        <v>636</v>
      </c>
      <c r="R636">
        <f t="shared" si="174"/>
        <v>635</v>
      </c>
      <c r="S636">
        <f t="shared" si="175"/>
        <v>1.9084406294706444</v>
      </c>
      <c r="T636">
        <f t="shared" si="176"/>
        <v>1</v>
      </c>
      <c r="U636">
        <v>636</v>
      </c>
      <c r="V636">
        <f t="shared" si="177"/>
        <v>635</v>
      </c>
      <c r="W636">
        <f t="shared" si="178"/>
        <v>1.8555019368766068</v>
      </c>
      <c r="X636">
        <f t="shared" si="179"/>
        <v>0.93519413988924505</v>
      </c>
    </row>
    <row r="637" spans="1:24">
      <c r="A637">
        <v>637</v>
      </c>
      <c r="B637">
        <f t="shared" si="162"/>
        <v>636</v>
      </c>
      <c r="C637">
        <f t="shared" si="163"/>
        <v>0.87483921668858367</v>
      </c>
      <c r="D637">
        <f t="shared" si="164"/>
        <v>1.0427354058196601</v>
      </c>
      <c r="E637">
        <v>637</v>
      </c>
      <c r="F637">
        <f t="shared" si="165"/>
        <v>636</v>
      </c>
      <c r="G637">
        <f t="shared" si="166"/>
        <v>0.82225937786141068</v>
      </c>
      <c r="H637">
        <f t="shared" si="167"/>
        <v>1.10687730344655</v>
      </c>
      <c r="I637">
        <v>637</v>
      </c>
      <c r="J637">
        <f t="shared" si="168"/>
        <v>636</v>
      </c>
      <c r="K637">
        <f t="shared" si="169"/>
        <v>1.691450598714386</v>
      </c>
      <c r="L637">
        <f t="shared" si="170"/>
        <v>1.26645031675154</v>
      </c>
      <c r="M637">
        <v>637</v>
      </c>
      <c r="N637">
        <f t="shared" si="171"/>
        <v>636</v>
      </c>
      <c r="O637">
        <f t="shared" si="172"/>
        <v>0.70180665044679791</v>
      </c>
      <c r="P637">
        <f t="shared" si="173"/>
        <v>0.253817018041334</v>
      </c>
      <c r="Q637">
        <v>637</v>
      </c>
      <c r="R637">
        <f t="shared" si="174"/>
        <v>636</v>
      </c>
      <c r="S637">
        <f t="shared" si="175"/>
        <v>1.9098712446351651</v>
      </c>
      <c r="T637">
        <f t="shared" si="176"/>
        <v>0</v>
      </c>
      <c r="U637">
        <v>637</v>
      </c>
      <c r="V637">
        <f t="shared" si="177"/>
        <v>636</v>
      </c>
      <c r="W637">
        <f t="shared" si="178"/>
        <v>1.8567471275486791</v>
      </c>
      <c r="X637">
        <f t="shared" si="179"/>
        <v>6.4805860110755301E-2</v>
      </c>
    </row>
    <row r="638" spans="1:24">
      <c r="A638">
        <v>638</v>
      </c>
      <c r="B638">
        <f t="shared" si="162"/>
        <v>637</v>
      </c>
      <c r="C638">
        <f t="shared" si="163"/>
        <v>0.8761475560138493</v>
      </c>
      <c r="D638">
        <f t="shared" si="164"/>
        <v>1.9572645941803399</v>
      </c>
      <c r="E638">
        <v>638</v>
      </c>
      <c r="F638">
        <f t="shared" si="165"/>
        <v>637</v>
      </c>
      <c r="G638">
        <f t="shared" si="166"/>
        <v>0.82338419244382399</v>
      </c>
      <c r="H638">
        <f t="shared" si="167"/>
        <v>1.89312269655345</v>
      </c>
      <c r="I638">
        <v>638</v>
      </c>
      <c r="J638">
        <f t="shared" si="168"/>
        <v>637</v>
      </c>
      <c r="K638">
        <f t="shared" si="169"/>
        <v>1.6921188381514345</v>
      </c>
      <c r="L638">
        <f t="shared" si="170"/>
        <v>1.73354968324846</v>
      </c>
      <c r="M638">
        <v>638</v>
      </c>
      <c r="N638">
        <f t="shared" si="171"/>
        <v>637</v>
      </c>
      <c r="O638">
        <f t="shared" si="172"/>
        <v>0.7025110366612719</v>
      </c>
      <c r="P638">
        <f t="shared" si="173"/>
        <v>0.74618298195866595</v>
      </c>
      <c r="Q638">
        <v>638</v>
      </c>
      <c r="R638">
        <f t="shared" si="174"/>
        <v>637</v>
      </c>
      <c r="S638">
        <f t="shared" si="175"/>
        <v>1.9113018597996858</v>
      </c>
      <c r="T638">
        <f t="shared" si="176"/>
        <v>1</v>
      </c>
      <c r="U638">
        <v>638</v>
      </c>
      <c r="V638">
        <f t="shared" si="177"/>
        <v>637</v>
      </c>
      <c r="W638">
        <f t="shared" si="178"/>
        <v>1.8579923182207514</v>
      </c>
      <c r="X638">
        <f t="shared" si="179"/>
        <v>0.93519413988924505</v>
      </c>
    </row>
    <row r="639" spans="1:24">
      <c r="A639">
        <v>639</v>
      </c>
      <c r="B639">
        <f t="shared" si="162"/>
        <v>638</v>
      </c>
      <c r="C639">
        <f t="shared" si="163"/>
        <v>0.87745589533911483</v>
      </c>
      <c r="D639">
        <f t="shared" si="164"/>
        <v>1.0427354058196601</v>
      </c>
      <c r="E639">
        <v>639</v>
      </c>
      <c r="F639">
        <f t="shared" si="165"/>
        <v>638</v>
      </c>
      <c r="G639">
        <f t="shared" si="166"/>
        <v>0.82450900702623731</v>
      </c>
      <c r="H639">
        <f t="shared" si="167"/>
        <v>1.10687730344655</v>
      </c>
      <c r="I639">
        <v>639</v>
      </c>
      <c r="J639">
        <f t="shared" si="168"/>
        <v>638</v>
      </c>
      <c r="K639">
        <f t="shared" si="169"/>
        <v>1.692787077588483</v>
      </c>
      <c r="L639">
        <f t="shared" si="170"/>
        <v>1.26645031675154</v>
      </c>
      <c r="M639">
        <v>639</v>
      </c>
      <c r="N639">
        <f t="shared" si="171"/>
        <v>638</v>
      </c>
      <c r="O639">
        <f t="shared" si="172"/>
        <v>0.7032154228757459</v>
      </c>
      <c r="P639">
        <f t="shared" si="173"/>
        <v>0.253817018041334</v>
      </c>
      <c r="Q639">
        <v>639</v>
      </c>
      <c r="R639">
        <f t="shared" si="174"/>
        <v>638</v>
      </c>
      <c r="S639">
        <f t="shared" si="175"/>
        <v>1.9127324749642065</v>
      </c>
      <c r="T639">
        <f t="shared" si="176"/>
        <v>0</v>
      </c>
      <c r="U639">
        <v>639</v>
      </c>
      <c r="V639">
        <f t="shared" si="177"/>
        <v>638</v>
      </c>
      <c r="W639">
        <f t="shared" si="178"/>
        <v>1.8592375088928235</v>
      </c>
      <c r="X639">
        <f t="shared" si="179"/>
        <v>6.4805860110755301E-2</v>
      </c>
    </row>
    <row r="640" spans="1:24">
      <c r="A640">
        <v>640</v>
      </c>
      <c r="B640">
        <f t="shared" si="162"/>
        <v>639</v>
      </c>
      <c r="C640">
        <f t="shared" si="163"/>
        <v>0.87876423466438047</v>
      </c>
      <c r="D640">
        <f t="shared" si="164"/>
        <v>1.9572645941803399</v>
      </c>
      <c r="E640">
        <v>640</v>
      </c>
      <c r="F640">
        <f t="shared" si="165"/>
        <v>639</v>
      </c>
      <c r="G640">
        <f t="shared" si="166"/>
        <v>0.82563382160865062</v>
      </c>
      <c r="H640">
        <f t="shared" si="167"/>
        <v>1.89312269655345</v>
      </c>
      <c r="I640">
        <v>640</v>
      </c>
      <c r="J640">
        <f t="shared" si="168"/>
        <v>639</v>
      </c>
      <c r="K640">
        <f t="shared" si="169"/>
        <v>1.6934553170255313</v>
      </c>
      <c r="L640">
        <f t="shared" si="170"/>
        <v>1.73354968324846</v>
      </c>
      <c r="M640">
        <v>640</v>
      </c>
      <c r="N640">
        <f t="shared" si="171"/>
        <v>639</v>
      </c>
      <c r="O640">
        <f t="shared" si="172"/>
        <v>0.70391980909021989</v>
      </c>
      <c r="P640">
        <f t="shared" si="173"/>
        <v>0.74618298195866595</v>
      </c>
      <c r="Q640">
        <v>640</v>
      </c>
      <c r="R640">
        <f t="shared" si="174"/>
        <v>639</v>
      </c>
      <c r="S640">
        <f t="shared" si="175"/>
        <v>1.9141630901287272</v>
      </c>
      <c r="T640">
        <f t="shared" si="176"/>
        <v>1</v>
      </c>
      <c r="U640">
        <v>640</v>
      </c>
      <c r="V640">
        <f t="shared" si="177"/>
        <v>639</v>
      </c>
      <c r="W640">
        <f t="shared" si="178"/>
        <v>1.8604826995648958</v>
      </c>
      <c r="X640">
        <f t="shared" si="179"/>
        <v>0.93519413988924505</v>
      </c>
    </row>
    <row r="641" spans="1:24">
      <c r="A641">
        <v>641</v>
      </c>
      <c r="B641">
        <f t="shared" ref="B641:B700" si="180">(A641-1)</f>
        <v>640</v>
      </c>
      <c r="C641">
        <f t="shared" ref="C641:C700" si="181">0.0427354058196621+B641*0.0013083393252656</f>
        <v>0.880072573989646</v>
      </c>
      <c r="D641">
        <f t="shared" ref="D641:D700" si="182">IF(B641/2-INT(B641/2)&lt;0.1,1.04273540581966,1.95726459418034)</f>
        <v>1.0427354058196601</v>
      </c>
      <c r="E641">
        <v>641</v>
      </c>
      <c r="F641">
        <f t="shared" ref="F641:F700" si="183">(E641-1)</f>
        <v>640</v>
      </c>
      <c r="G641">
        <f t="shared" ref="G641:G700" si="184">0.106877303446552+F641*0.0011248145824133</f>
        <v>0.82675863619106393</v>
      </c>
      <c r="H641">
        <f t="shared" ref="H641:H700" si="185">IF(F641/2-INT(F641/2)&lt;0.1,1.10687730344655,1.89312269655345)</f>
        <v>1.10687730344655</v>
      </c>
      <c r="I641">
        <v>641</v>
      </c>
      <c r="J641">
        <f t="shared" ref="J641:J700" si="186">(I641-1)</f>
        <v>640</v>
      </c>
      <c r="K641">
        <f t="shared" ref="K641:K700" si="187">1.26645031675154+J641*0.0006682394370485</f>
        <v>1.6941235564625798</v>
      </c>
      <c r="L641">
        <f t="shared" ref="L641:L700" si="188">IF(J641/2-INT(J641/2)&lt;0.1,1.26645031675154,1.73354968324846)</f>
        <v>1.26645031675154</v>
      </c>
      <c r="M641">
        <v>641</v>
      </c>
      <c r="N641">
        <f t="shared" ref="N641:N700" si="189">(M641-1)</f>
        <v>640</v>
      </c>
      <c r="O641">
        <f t="shared" ref="O641:O700" si="190">0.253817018041334+N641*0.000704386214474</f>
        <v>0.70462419530469389</v>
      </c>
      <c r="P641">
        <f t="shared" ref="P641:P700" si="191">IF(N641/2-INT(N641/2)&lt;0.1,0.253817018041334,0.746182981958666)</f>
        <v>0.253817018041334</v>
      </c>
      <c r="Q641">
        <v>641</v>
      </c>
      <c r="R641">
        <f t="shared" ref="R641:R700" si="192">(Q641-1)</f>
        <v>640</v>
      </c>
      <c r="S641">
        <f t="shared" ref="S641:S700" si="193">1+R641*0.0014306151645207</f>
        <v>1.9155937052932479</v>
      </c>
      <c r="T641">
        <f t="shared" ref="T641:T700" si="194">IF(R641/2-INT(R641/2)&lt;0.1,0,1)</f>
        <v>0</v>
      </c>
      <c r="U641">
        <v>641</v>
      </c>
      <c r="V641">
        <f t="shared" ref="V641:V700" si="195">(U641-1)</f>
        <v>640</v>
      </c>
      <c r="W641">
        <f t="shared" ref="W641:W700" si="196">1.06480586011076+V641*0.0012451906720722</f>
        <v>1.8617278902369678</v>
      </c>
      <c r="X641">
        <f t="shared" ref="X641:X700" si="197">IF(V641/2-INT(V641/2)&lt;0.1,0.0648058601107553,0.935194139889245)</f>
        <v>6.4805860110755301E-2</v>
      </c>
    </row>
    <row r="642" spans="1:24">
      <c r="A642">
        <v>642</v>
      </c>
      <c r="B642">
        <f t="shared" si="180"/>
        <v>641</v>
      </c>
      <c r="C642">
        <f t="shared" si="181"/>
        <v>0.88138091331491164</v>
      </c>
      <c r="D642">
        <f t="shared" si="182"/>
        <v>1.9572645941803399</v>
      </c>
      <c r="E642">
        <v>642</v>
      </c>
      <c r="F642">
        <f t="shared" si="183"/>
        <v>641</v>
      </c>
      <c r="G642">
        <f t="shared" si="184"/>
        <v>0.82788345077347725</v>
      </c>
      <c r="H642">
        <f t="shared" si="185"/>
        <v>1.89312269655345</v>
      </c>
      <c r="I642">
        <v>642</v>
      </c>
      <c r="J642">
        <f t="shared" si="186"/>
        <v>641</v>
      </c>
      <c r="K642">
        <f t="shared" si="187"/>
        <v>1.6947917958996284</v>
      </c>
      <c r="L642">
        <f t="shared" si="188"/>
        <v>1.73354968324846</v>
      </c>
      <c r="M642">
        <v>642</v>
      </c>
      <c r="N642">
        <f t="shared" si="189"/>
        <v>641</v>
      </c>
      <c r="O642">
        <f t="shared" si="190"/>
        <v>0.705328581519168</v>
      </c>
      <c r="P642">
        <f t="shared" si="191"/>
        <v>0.74618298195866595</v>
      </c>
      <c r="Q642">
        <v>642</v>
      </c>
      <c r="R642">
        <f t="shared" si="192"/>
        <v>641</v>
      </c>
      <c r="S642">
        <f t="shared" si="193"/>
        <v>1.9170243204577686</v>
      </c>
      <c r="T642">
        <f t="shared" si="194"/>
        <v>1</v>
      </c>
      <c r="U642">
        <v>642</v>
      </c>
      <c r="V642">
        <f t="shared" si="195"/>
        <v>641</v>
      </c>
      <c r="W642">
        <f t="shared" si="196"/>
        <v>1.8629730809090401</v>
      </c>
      <c r="X642">
        <f t="shared" si="197"/>
        <v>0.93519413988924505</v>
      </c>
    </row>
    <row r="643" spans="1:24">
      <c r="A643">
        <v>643</v>
      </c>
      <c r="B643">
        <f t="shared" si="180"/>
        <v>642</v>
      </c>
      <c r="C643">
        <f t="shared" si="181"/>
        <v>0.88268925264017728</v>
      </c>
      <c r="D643">
        <f t="shared" si="182"/>
        <v>1.0427354058196601</v>
      </c>
      <c r="E643">
        <v>643</v>
      </c>
      <c r="F643">
        <f t="shared" si="183"/>
        <v>642</v>
      </c>
      <c r="G643">
        <f t="shared" si="184"/>
        <v>0.82900826535589056</v>
      </c>
      <c r="H643">
        <f t="shared" si="185"/>
        <v>1.10687730344655</v>
      </c>
      <c r="I643">
        <v>643</v>
      </c>
      <c r="J643">
        <f t="shared" si="186"/>
        <v>642</v>
      </c>
      <c r="K643">
        <f t="shared" si="187"/>
        <v>1.6954600353366769</v>
      </c>
      <c r="L643">
        <f t="shared" si="188"/>
        <v>1.26645031675154</v>
      </c>
      <c r="M643">
        <v>643</v>
      </c>
      <c r="N643">
        <f t="shared" si="189"/>
        <v>642</v>
      </c>
      <c r="O643">
        <f t="shared" si="190"/>
        <v>0.70603296773364199</v>
      </c>
      <c r="P643">
        <f t="shared" si="191"/>
        <v>0.253817018041334</v>
      </c>
      <c r="Q643">
        <v>643</v>
      </c>
      <c r="R643">
        <f t="shared" si="192"/>
        <v>642</v>
      </c>
      <c r="S643">
        <f t="shared" si="193"/>
        <v>1.9184549356222893</v>
      </c>
      <c r="T643">
        <f t="shared" si="194"/>
        <v>0</v>
      </c>
      <c r="U643">
        <v>643</v>
      </c>
      <c r="V643">
        <f t="shared" si="195"/>
        <v>642</v>
      </c>
      <c r="W643">
        <f t="shared" si="196"/>
        <v>1.8642182715811124</v>
      </c>
      <c r="X643">
        <f t="shared" si="197"/>
        <v>6.4805860110755301E-2</v>
      </c>
    </row>
    <row r="644" spans="1:24">
      <c r="A644">
        <v>644</v>
      </c>
      <c r="B644">
        <f t="shared" si="180"/>
        <v>643</v>
      </c>
      <c r="C644">
        <f t="shared" si="181"/>
        <v>0.88399759196544281</v>
      </c>
      <c r="D644">
        <f t="shared" si="182"/>
        <v>1.9572645941803399</v>
      </c>
      <c r="E644">
        <v>644</v>
      </c>
      <c r="F644">
        <f t="shared" si="183"/>
        <v>643</v>
      </c>
      <c r="G644">
        <f t="shared" si="184"/>
        <v>0.83013307993830387</v>
      </c>
      <c r="H644">
        <f t="shared" si="185"/>
        <v>1.89312269655345</v>
      </c>
      <c r="I644">
        <v>644</v>
      </c>
      <c r="J644">
        <f t="shared" si="186"/>
        <v>643</v>
      </c>
      <c r="K644">
        <f t="shared" si="187"/>
        <v>1.6961282747737254</v>
      </c>
      <c r="L644">
        <f t="shared" si="188"/>
        <v>1.73354968324846</v>
      </c>
      <c r="M644">
        <v>644</v>
      </c>
      <c r="N644">
        <f t="shared" si="189"/>
        <v>643</v>
      </c>
      <c r="O644">
        <f t="shared" si="190"/>
        <v>0.70673735394811599</v>
      </c>
      <c r="P644">
        <f t="shared" si="191"/>
        <v>0.74618298195866595</v>
      </c>
      <c r="Q644">
        <v>644</v>
      </c>
      <c r="R644">
        <f t="shared" si="192"/>
        <v>643</v>
      </c>
      <c r="S644">
        <f t="shared" si="193"/>
        <v>1.91988555078681</v>
      </c>
      <c r="T644">
        <f t="shared" si="194"/>
        <v>1</v>
      </c>
      <c r="U644">
        <v>644</v>
      </c>
      <c r="V644">
        <f t="shared" si="195"/>
        <v>643</v>
      </c>
      <c r="W644">
        <f t="shared" si="196"/>
        <v>1.8654634622531845</v>
      </c>
      <c r="X644">
        <f t="shared" si="197"/>
        <v>0.93519413988924505</v>
      </c>
    </row>
    <row r="645" spans="1:24">
      <c r="A645">
        <v>645</v>
      </c>
      <c r="B645">
        <f t="shared" si="180"/>
        <v>644</v>
      </c>
      <c r="C645">
        <f t="shared" si="181"/>
        <v>0.88530593129070845</v>
      </c>
      <c r="D645">
        <f t="shared" si="182"/>
        <v>1.0427354058196601</v>
      </c>
      <c r="E645">
        <v>645</v>
      </c>
      <c r="F645">
        <f t="shared" si="183"/>
        <v>644</v>
      </c>
      <c r="G645">
        <f t="shared" si="184"/>
        <v>0.83125789452071719</v>
      </c>
      <c r="H645">
        <f t="shared" si="185"/>
        <v>1.10687730344655</v>
      </c>
      <c r="I645">
        <v>645</v>
      </c>
      <c r="J645">
        <f t="shared" si="186"/>
        <v>644</v>
      </c>
      <c r="K645">
        <f t="shared" si="187"/>
        <v>1.6967965142107739</v>
      </c>
      <c r="L645">
        <f t="shared" si="188"/>
        <v>1.26645031675154</v>
      </c>
      <c r="M645">
        <v>645</v>
      </c>
      <c r="N645">
        <f t="shared" si="189"/>
        <v>644</v>
      </c>
      <c r="O645">
        <f t="shared" si="190"/>
        <v>0.70744174016258998</v>
      </c>
      <c r="P645">
        <f t="shared" si="191"/>
        <v>0.253817018041334</v>
      </c>
      <c r="Q645">
        <v>645</v>
      </c>
      <c r="R645">
        <f t="shared" si="192"/>
        <v>644</v>
      </c>
      <c r="S645">
        <f t="shared" si="193"/>
        <v>1.9213161659513307</v>
      </c>
      <c r="T645">
        <f t="shared" si="194"/>
        <v>0</v>
      </c>
      <c r="U645">
        <v>645</v>
      </c>
      <c r="V645">
        <f t="shared" si="195"/>
        <v>644</v>
      </c>
      <c r="W645">
        <f t="shared" si="196"/>
        <v>1.8667086529252566</v>
      </c>
      <c r="X645">
        <f t="shared" si="197"/>
        <v>6.4805860110755301E-2</v>
      </c>
    </row>
    <row r="646" spans="1:24">
      <c r="A646">
        <v>646</v>
      </c>
      <c r="B646">
        <f t="shared" si="180"/>
        <v>645</v>
      </c>
      <c r="C646">
        <f t="shared" si="181"/>
        <v>0.88661427061597409</v>
      </c>
      <c r="D646">
        <f t="shared" si="182"/>
        <v>1.9572645941803399</v>
      </c>
      <c r="E646">
        <v>646</v>
      </c>
      <c r="F646">
        <f t="shared" si="183"/>
        <v>645</v>
      </c>
      <c r="G646">
        <f t="shared" si="184"/>
        <v>0.83238270910313039</v>
      </c>
      <c r="H646">
        <f t="shared" si="185"/>
        <v>1.89312269655345</v>
      </c>
      <c r="I646">
        <v>646</v>
      </c>
      <c r="J646">
        <f t="shared" si="186"/>
        <v>645</v>
      </c>
      <c r="K646">
        <f t="shared" si="187"/>
        <v>1.6974647536478225</v>
      </c>
      <c r="L646">
        <f t="shared" si="188"/>
        <v>1.73354968324846</v>
      </c>
      <c r="M646">
        <v>646</v>
      </c>
      <c r="N646">
        <f t="shared" si="189"/>
        <v>645</v>
      </c>
      <c r="O646">
        <f t="shared" si="190"/>
        <v>0.70814612637706398</v>
      </c>
      <c r="P646">
        <f t="shared" si="191"/>
        <v>0.74618298195866595</v>
      </c>
      <c r="Q646">
        <v>646</v>
      </c>
      <c r="R646">
        <f t="shared" si="192"/>
        <v>645</v>
      </c>
      <c r="S646">
        <f t="shared" si="193"/>
        <v>1.9227467811158514</v>
      </c>
      <c r="T646">
        <f t="shared" si="194"/>
        <v>1</v>
      </c>
      <c r="U646">
        <v>646</v>
      </c>
      <c r="V646">
        <f t="shared" si="195"/>
        <v>645</v>
      </c>
      <c r="W646">
        <f t="shared" si="196"/>
        <v>1.8679538435973289</v>
      </c>
      <c r="X646">
        <f t="shared" si="197"/>
        <v>0.93519413988924505</v>
      </c>
    </row>
    <row r="647" spans="1:24">
      <c r="A647">
        <v>647</v>
      </c>
      <c r="B647">
        <f t="shared" si="180"/>
        <v>646</v>
      </c>
      <c r="C647">
        <f t="shared" si="181"/>
        <v>0.88792260994123962</v>
      </c>
      <c r="D647">
        <f t="shared" si="182"/>
        <v>1.0427354058196601</v>
      </c>
      <c r="E647">
        <v>647</v>
      </c>
      <c r="F647">
        <f t="shared" si="183"/>
        <v>646</v>
      </c>
      <c r="G647">
        <f t="shared" si="184"/>
        <v>0.83350752368554371</v>
      </c>
      <c r="H647">
        <f t="shared" si="185"/>
        <v>1.10687730344655</v>
      </c>
      <c r="I647">
        <v>647</v>
      </c>
      <c r="J647">
        <f t="shared" si="186"/>
        <v>646</v>
      </c>
      <c r="K647">
        <f t="shared" si="187"/>
        <v>1.698132993084871</v>
      </c>
      <c r="L647">
        <f t="shared" si="188"/>
        <v>1.26645031675154</v>
      </c>
      <c r="M647">
        <v>647</v>
      </c>
      <c r="N647">
        <f t="shared" si="189"/>
        <v>646</v>
      </c>
      <c r="O647">
        <f t="shared" si="190"/>
        <v>0.70885051259153797</v>
      </c>
      <c r="P647">
        <f t="shared" si="191"/>
        <v>0.253817018041334</v>
      </c>
      <c r="Q647">
        <v>647</v>
      </c>
      <c r="R647">
        <f t="shared" si="192"/>
        <v>646</v>
      </c>
      <c r="S647">
        <f t="shared" si="193"/>
        <v>1.9241773962803721</v>
      </c>
      <c r="T647">
        <f t="shared" si="194"/>
        <v>0</v>
      </c>
      <c r="U647">
        <v>647</v>
      </c>
      <c r="V647">
        <f t="shared" si="195"/>
        <v>646</v>
      </c>
      <c r="W647">
        <f t="shared" si="196"/>
        <v>1.8691990342694011</v>
      </c>
      <c r="X647">
        <f t="shared" si="197"/>
        <v>6.4805860110755301E-2</v>
      </c>
    </row>
    <row r="648" spans="1:24">
      <c r="A648">
        <v>648</v>
      </c>
      <c r="B648">
        <f t="shared" si="180"/>
        <v>647</v>
      </c>
      <c r="C648">
        <f t="shared" si="181"/>
        <v>0.88923094926650526</v>
      </c>
      <c r="D648">
        <f t="shared" si="182"/>
        <v>1.9572645941803399</v>
      </c>
      <c r="E648">
        <v>648</v>
      </c>
      <c r="F648">
        <f t="shared" si="183"/>
        <v>647</v>
      </c>
      <c r="G648">
        <f t="shared" si="184"/>
        <v>0.83463233826795702</v>
      </c>
      <c r="H648">
        <f t="shared" si="185"/>
        <v>1.89312269655345</v>
      </c>
      <c r="I648">
        <v>648</v>
      </c>
      <c r="J648">
        <f t="shared" si="186"/>
        <v>647</v>
      </c>
      <c r="K648">
        <f t="shared" si="187"/>
        <v>1.6988012325219195</v>
      </c>
      <c r="L648">
        <f t="shared" si="188"/>
        <v>1.73354968324846</v>
      </c>
      <c r="M648">
        <v>648</v>
      </c>
      <c r="N648">
        <f t="shared" si="189"/>
        <v>647</v>
      </c>
      <c r="O648">
        <f t="shared" si="190"/>
        <v>0.70955489880601197</v>
      </c>
      <c r="P648">
        <f t="shared" si="191"/>
        <v>0.74618298195866595</v>
      </c>
      <c r="Q648">
        <v>648</v>
      </c>
      <c r="R648">
        <f t="shared" si="192"/>
        <v>647</v>
      </c>
      <c r="S648">
        <f t="shared" si="193"/>
        <v>1.9256080114448928</v>
      </c>
      <c r="T648">
        <f t="shared" si="194"/>
        <v>1</v>
      </c>
      <c r="U648">
        <v>648</v>
      </c>
      <c r="V648">
        <f t="shared" si="195"/>
        <v>647</v>
      </c>
      <c r="W648">
        <f t="shared" si="196"/>
        <v>1.8704442249414734</v>
      </c>
      <c r="X648">
        <f t="shared" si="197"/>
        <v>0.93519413988924505</v>
      </c>
    </row>
    <row r="649" spans="1:24">
      <c r="A649">
        <v>649</v>
      </c>
      <c r="B649">
        <f t="shared" si="180"/>
        <v>648</v>
      </c>
      <c r="C649">
        <f t="shared" si="181"/>
        <v>0.89053928859177089</v>
      </c>
      <c r="D649">
        <f t="shared" si="182"/>
        <v>1.0427354058196601</v>
      </c>
      <c r="E649">
        <v>649</v>
      </c>
      <c r="F649">
        <f t="shared" si="183"/>
        <v>648</v>
      </c>
      <c r="G649">
        <f t="shared" si="184"/>
        <v>0.83575715285037033</v>
      </c>
      <c r="H649">
        <f t="shared" si="185"/>
        <v>1.10687730344655</v>
      </c>
      <c r="I649">
        <v>649</v>
      </c>
      <c r="J649">
        <f t="shared" si="186"/>
        <v>648</v>
      </c>
      <c r="K649">
        <f t="shared" si="187"/>
        <v>1.699469471958968</v>
      </c>
      <c r="L649">
        <f t="shared" si="188"/>
        <v>1.26645031675154</v>
      </c>
      <c r="M649">
        <v>649</v>
      </c>
      <c r="N649">
        <f t="shared" si="189"/>
        <v>648</v>
      </c>
      <c r="O649">
        <f t="shared" si="190"/>
        <v>0.71025928502048596</v>
      </c>
      <c r="P649">
        <f t="shared" si="191"/>
        <v>0.253817018041334</v>
      </c>
      <c r="Q649">
        <v>649</v>
      </c>
      <c r="R649">
        <f t="shared" si="192"/>
        <v>648</v>
      </c>
      <c r="S649">
        <f t="shared" si="193"/>
        <v>1.9270386266094135</v>
      </c>
      <c r="T649">
        <f t="shared" si="194"/>
        <v>0</v>
      </c>
      <c r="U649">
        <v>649</v>
      </c>
      <c r="V649">
        <f t="shared" si="195"/>
        <v>648</v>
      </c>
      <c r="W649">
        <f t="shared" si="196"/>
        <v>1.8716894156135455</v>
      </c>
      <c r="X649">
        <f t="shared" si="197"/>
        <v>6.4805860110755301E-2</v>
      </c>
    </row>
    <row r="650" spans="1:24">
      <c r="A650">
        <v>650</v>
      </c>
      <c r="B650">
        <f t="shared" si="180"/>
        <v>649</v>
      </c>
      <c r="C650">
        <f t="shared" si="181"/>
        <v>0.89184762791703642</v>
      </c>
      <c r="D650">
        <f t="shared" si="182"/>
        <v>1.9572645941803399</v>
      </c>
      <c r="E650">
        <v>650</v>
      </c>
      <c r="F650">
        <f t="shared" si="183"/>
        <v>649</v>
      </c>
      <c r="G650">
        <f t="shared" si="184"/>
        <v>0.83688196743278365</v>
      </c>
      <c r="H650">
        <f t="shared" si="185"/>
        <v>1.89312269655345</v>
      </c>
      <c r="I650">
        <v>650</v>
      </c>
      <c r="J650">
        <f t="shared" si="186"/>
        <v>649</v>
      </c>
      <c r="K650">
        <f t="shared" si="187"/>
        <v>1.7001377113960165</v>
      </c>
      <c r="L650">
        <f t="shared" si="188"/>
        <v>1.73354968324846</v>
      </c>
      <c r="M650">
        <v>650</v>
      </c>
      <c r="N650">
        <f t="shared" si="189"/>
        <v>649</v>
      </c>
      <c r="O650">
        <f t="shared" si="190"/>
        <v>0.71096367123495996</v>
      </c>
      <c r="P650">
        <f t="shared" si="191"/>
        <v>0.74618298195866595</v>
      </c>
      <c r="Q650">
        <v>650</v>
      </c>
      <c r="R650">
        <f t="shared" si="192"/>
        <v>649</v>
      </c>
      <c r="S650">
        <f t="shared" si="193"/>
        <v>1.9284692417739342</v>
      </c>
      <c r="T650">
        <f t="shared" si="194"/>
        <v>1</v>
      </c>
      <c r="U650">
        <v>650</v>
      </c>
      <c r="V650">
        <f t="shared" si="195"/>
        <v>649</v>
      </c>
      <c r="W650">
        <f t="shared" si="196"/>
        <v>1.8729346062856176</v>
      </c>
      <c r="X650">
        <f t="shared" si="197"/>
        <v>0.93519413988924505</v>
      </c>
    </row>
    <row r="651" spans="1:24">
      <c r="A651">
        <v>651</v>
      </c>
      <c r="B651">
        <f t="shared" si="180"/>
        <v>650</v>
      </c>
      <c r="C651">
        <f t="shared" si="181"/>
        <v>0.89315596724230206</v>
      </c>
      <c r="D651">
        <f t="shared" si="182"/>
        <v>1.0427354058196601</v>
      </c>
      <c r="E651">
        <v>651</v>
      </c>
      <c r="F651">
        <f t="shared" si="183"/>
        <v>650</v>
      </c>
      <c r="G651">
        <f t="shared" si="184"/>
        <v>0.83800678201519696</v>
      </c>
      <c r="H651">
        <f t="shared" si="185"/>
        <v>1.10687730344655</v>
      </c>
      <c r="I651">
        <v>651</v>
      </c>
      <c r="J651">
        <f t="shared" si="186"/>
        <v>650</v>
      </c>
      <c r="K651">
        <f t="shared" si="187"/>
        <v>1.7008059508330651</v>
      </c>
      <c r="L651">
        <f t="shared" si="188"/>
        <v>1.26645031675154</v>
      </c>
      <c r="M651">
        <v>651</v>
      </c>
      <c r="N651">
        <f t="shared" si="189"/>
        <v>650</v>
      </c>
      <c r="O651">
        <f t="shared" si="190"/>
        <v>0.71166805744943396</v>
      </c>
      <c r="P651">
        <f t="shared" si="191"/>
        <v>0.253817018041334</v>
      </c>
      <c r="Q651">
        <v>651</v>
      </c>
      <c r="R651">
        <f t="shared" si="192"/>
        <v>650</v>
      </c>
      <c r="S651">
        <f t="shared" si="193"/>
        <v>1.9298998569384549</v>
      </c>
      <c r="T651">
        <f t="shared" si="194"/>
        <v>0</v>
      </c>
      <c r="U651">
        <v>651</v>
      </c>
      <c r="V651">
        <f t="shared" si="195"/>
        <v>650</v>
      </c>
      <c r="W651">
        <f t="shared" si="196"/>
        <v>1.8741797969576899</v>
      </c>
      <c r="X651">
        <f t="shared" si="197"/>
        <v>6.4805860110755301E-2</v>
      </c>
    </row>
    <row r="652" spans="1:24">
      <c r="A652">
        <v>652</v>
      </c>
      <c r="B652">
        <f t="shared" si="180"/>
        <v>651</v>
      </c>
      <c r="C652">
        <f t="shared" si="181"/>
        <v>0.8944643065675677</v>
      </c>
      <c r="D652">
        <f t="shared" si="182"/>
        <v>1.9572645941803399</v>
      </c>
      <c r="E652">
        <v>652</v>
      </c>
      <c r="F652">
        <f t="shared" si="183"/>
        <v>651</v>
      </c>
      <c r="G652">
        <f t="shared" si="184"/>
        <v>0.83913159659761027</v>
      </c>
      <c r="H652">
        <f t="shared" si="185"/>
        <v>1.89312269655345</v>
      </c>
      <c r="I652">
        <v>652</v>
      </c>
      <c r="J652">
        <f t="shared" si="186"/>
        <v>651</v>
      </c>
      <c r="K652">
        <f t="shared" si="187"/>
        <v>1.7014741902701134</v>
      </c>
      <c r="L652">
        <f t="shared" si="188"/>
        <v>1.73354968324846</v>
      </c>
      <c r="M652">
        <v>652</v>
      </c>
      <c r="N652">
        <f t="shared" si="189"/>
        <v>651</v>
      </c>
      <c r="O652">
        <f t="shared" si="190"/>
        <v>0.71237244366390795</v>
      </c>
      <c r="P652">
        <f t="shared" si="191"/>
        <v>0.74618298195866595</v>
      </c>
      <c r="Q652">
        <v>652</v>
      </c>
      <c r="R652">
        <f t="shared" si="192"/>
        <v>651</v>
      </c>
      <c r="S652">
        <f t="shared" si="193"/>
        <v>1.9313304721029756</v>
      </c>
      <c r="T652">
        <f t="shared" si="194"/>
        <v>1</v>
      </c>
      <c r="U652">
        <v>652</v>
      </c>
      <c r="V652">
        <f t="shared" si="195"/>
        <v>651</v>
      </c>
      <c r="W652">
        <f t="shared" si="196"/>
        <v>1.8754249876297622</v>
      </c>
      <c r="X652">
        <f t="shared" si="197"/>
        <v>0.93519413988924505</v>
      </c>
    </row>
    <row r="653" spans="1:24">
      <c r="A653">
        <v>653</v>
      </c>
      <c r="B653">
        <f t="shared" si="180"/>
        <v>652</v>
      </c>
      <c r="C653">
        <f t="shared" si="181"/>
        <v>0.89577264589283323</v>
      </c>
      <c r="D653">
        <f t="shared" si="182"/>
        <v>1.0427354058196601</v>
      </c>
      <c r="E653">
        <v>653</v>
      </c>
      <c r="F653">
        <f t="shared" si="183"/>
        <v>652</v>
      </c>
      <c r="G653">
        <f t="shared" si="184"/>
        <v>0.84025641118002348</v>
      </c>
      <c r="H653">
        <f t="shared" si="185"/>
        <v>1.10687730344655</v>
      </c>
      <c r="I653">
        <v>653</v>
      </c>
      <c r="J653">
        <f t="shared" si="186"/>
        <v>652</v>
      </c>
      <c r="K653">
        <f t="shared" si="187"/>
        <v>1.7021424297071619</v>
      </c>
      <c r="L653">
        <f t="shared" si="188"/>
        <v>1.26645031675154</v>
      </c>
      <c r="M653">
        <v>653</v>
      </c>
      <c r="N653">
        <f t="shared" si="189"/>
        <v>652</v>
      </c>
      <c r="O653">
        <f t="shared" si="190"/>
        <v>0.71307682987838195</v>
      </c>
      <c r="P653">
        <f t="shared" si="191"/>
        <v>0.253817018041334</v>
      </c>
      <c r="Q653">
        <v>653</v>
      </c>
      <c r="R653">
        <f t="shared" si="192"/>
        <v>652</v>
      </c>
      <c r="S653">
        <f t="shared" si="193"/>
        <v>1.9327610872674963</v>
      </c>
      <c r="T653">
        <f t="shared" si="194"/>
        <v>0</v>
      </c>
      <c r="U653">
        <v>653</v>
      </c>
      <c r="V653">
        <f t="shared" si="195"/>
        <v>652</v>
      </c>
      <c r="W653">
        <f t="shared" si="196"/>
        <v>1.8766701783018345</v>
      </c>
      <c r="X653">
        <f t="shared" si="197"/>
        <v>6.4805860110755301E-2</v>
      </c>
    </row>
    <row r="654" spans="1:24">
      <c r="A654">
        <v>654</v>
      </c>
      <c r="B654">
        <f t="shared" si="180"/>
        <v>653</v>
      </c>
      <c r="C654">
        <f t="shared" si="181"/>
        <v>0.89708098521809887</v>
      </c>
      <c r="D654">
        <f t="shared" si="182"/>
        <v>1.9572645941803399</v>
      </c>
      <c r="E654">
        <v>654</v>
      </c>
      <c r="F654">
        <f t="shared" si="183"/>
        <v>653</v>
      </c>
      <c r="G654">
        <f t="shared" si="184"/>
        <v>0.84138122576243679</v>
      </c>
      <c r="H654">
        <f t="shared" si="185"/>
        <v>1.89312269655345</v>
      </c>
      <c r="I654">
        <v>654</v>
      </c>
      <c r="J654">
        <f t="shared" si="186"/>
        <v>653</v>
      </c>
      <c r="K654">
        <f t="shared" si="187"/>
        <v>1.7028106691442104</v>
      </c>
      <c r="L654">
        <f t="shared" si="188"/>
        <v>1.73354968324846</v>
      </c>
      <c r="M654">
        <v>654</v>
      </c>
      <c r="N654">
        <f t="shared" si="189"/>
        <v>653</v>
      </c>
      <c r="O654">
        <f t="shared" si="190"/>
        <v>0.71378121609285605</v>
      </c>
      <c r="P654">
        <f t="shared" si="191"/>
        <v>0.74618298195866595</v>
      </c>
      <c r="Q654">
        <v>654</v>
      </c>
      <c r="R654">
        <f t="shared" si="192"/>
        <v>653</v>
      </c>
      <c r="S654">
        <f t="shared" si="193"/>
        <v>1.934191702432017</v>
      </c>
      <c r="T654">
        <f t="shared" si="194"/>
        <v>1</v>
      </c>
      <c r="U654">
        <v>654</v>
      </c>
      <c r="V654">
        <f t="shared" si="195"/>
        <v>653</v>
      </c>
      <c r="W654">
        <f t="shared" si="196"/>
        <v>1.8779153689739065</v>
      </c>
      <c r="X654">
        <f t="shared" si="197"/>
        <v>0.93519413988924505</v>
      </c>
    </row>
    <row r="655" spans="1:24">
      <c r="A655">
        <v>655</v>
      </c>
      <c r="B655">
        <f t="shared" si="180"/>
        <v>654</v>
      </c>
      <c r="C655">
        <f t="shared" si="181"/>
        <v>0.89838932454336451</v>
      </c>
      <c r="D655">
        <f t="shared" si="182"/>
        <v>1.0427354058196601</v>
      </c>
      <c r="E655">
        <v>655</v>
      </c>
      <c r="F655">
        <f t="shared" si="183"/>
        <v>654</v>
      </c>
      <c r="G655">
        <f t="shared" si="184"/>
        <v>0.8425060403448501</v>
      </c>
      <c r="H655">
        <f t="shared" si="185"/>
        <v>1.10687730344655</v>
      </c>
      <c r="I655">
        <v>655</v>
      </c>
      <c r="J655">
        <f t="shared" si="186"/>
        <v>654</v>
      </c>
      <c r="K655">
        <f t="shared" si="187"/>
        <v>1.7034789085812589</v>
      </c>
      <c r="L655">
        <f t="shared" si="188"/>
        <v>1.26645031675154</v>
      </c>
      <c r="M655">
        <v>655</v>
      </c>
      <c r="N655">
        <f t="shared" si="189"/>
        <v>654</v>
      </c>
      <c r="O655">
        <f t="shared" si="190"/>
        <v>0.71448560230733005</v>
      </c>
      <c r="P655">
        <f t="shared" si="191"/>
        <v>0.253817018041334</v>
      </c>
      <c r="Q655">
        <v>655</v>
      </c>
      <c r="R655">
        <f t="shared" si="192"/>
        <v>654</v>
      </c>
      <c r="S655">
        <f t="shared" si="193"/>
        <v>1.9356223175965377</v>
      </c>
      <c r="T655">
        <f t="shared" si="194"/>
        <v>0</v>
      </c>
      <c r="U655">
        <v>655</v>
      </c>
      <c r="V655">
        <f t="shared" si="195"/>
        <v>654</v>
      </c>
      <c r="W655">
        <f t="shared" si="196"/>
        <v>1.8791605596459786</v>
      </c>
      <c r="X655">
        <f t="shared" si="197"/>
        <v>6.4805860110755301E-2</v>
      </c>
    </row>
    <row r="656" spans="1:24">
      <c r="A656">
        <v>656</v>
      </c>
      <c r="B656">
        <f t="shared" si="180"/>
        <v>655</v>
      </c>
      <c r="C656">
        <f t="shared" si="181"/>
        <v>0.89969766386863004</v>
      </c>
      <c r="D656">
        <f t="shared" si="182"/>
        <v>1.9572645941803399</v>
      </c>
      <c r="E656">
        <v>656</v>
      </c>
      <c r="F656">
        <f t="shared" si="183"/>
        <v>655</v>
      </c>
      <c r="G656">
        <f t="shared" si="184"/>
        <v>0.84363085492726342</v>
      </c>
      <c r="H656">
        <f t="shared" si="185"/>
        <v>1.89312269655345</v>
      </c>
      <c r="I656">
        <v>656</v>
      </c>
      <c r="J656">
        <f t="shared" si="186"/>
        <v>655</v>
      </c>
      <c r="K656">
        <f t="shared" si="187"/>
        <v>1.7041471480183075</v>
      </c>
      <c r="L656">
        <f t="shared" si="188"/>
        <v>1.73354968324846</v>
      </c>
      <c r="M656">
        <v>656</v>
      </c>
      <c r="N656">
        <f t="shared" si="189"/>
        <v>655</v>
      </c>
      <c r="O656">
        <f t="shared" si="190"/>
        <v>0.71518998852180404</v>
      </c>
      <c r="P656">
        <f t="shared" si="191"/>
        <v>0.74618298195866595</v>
      </c>
      <c r="Q656">
        <v>656</v>
      </c>
      <c r="R656">
        <f t="shared" si="192"/>
        <v>655</v>
      </c>
      <c r="S656">
        <f t="shared" si="193"/>
        <v>1.9370529327610584</v>
      </c>
      <c r="T656">
        <f t="shared" si="194"/>
        <v>1</v>
      </c>
      <c r="U656">
        <v>656</v>
      </c>
      <c r="V656">
        <f t="shared" si="195"/>
        <v>655</v>
      </c>
      <c r="W656">
        <f t="shared" si="196"/>
        <v>1.8804057503180509</v>
      </c>
      <c r="X656">
        <f t="shared" si="197"/>
        <v>0.93519413988924505</v>
      </c>
    </row>
    <row r="657" spans="1:24">
      <c r="A657">
        <v>657</v>
      </c>
      <c r="B657">
        <f t="shared" si="180"/>
        <v>656</v>
      </c>
      <c r="C657">
        <f t="shared" si="181"/>
        <v>0.90100600319389568</v>
      </c>
      <c r="D657">
        <f t="shared" si="182"/>
        <v>1.0427354058196601</v>
      </c>
      <c r="E657">
        <v>657</v>
      </c>
      <c r="F657">
        <f t="shared" si="183"/>
        <v>656</v>
      </c>
      <c r="G657">
        <f t="shared" si="184"/>
        <v>0.84475566950967673</v>
      </c>
      <c r="H657">
        <f t="shared" si="185"/>
        <v>1.10687730344655</v>
      </c>
      <c r="I657">
        <v>657</v>
      </c>
      <c r="J657">
        <f t="shared" si="186"/>
        <v>656</v>
      </c>
      <c r="K657">
        <f t="shared" si="187"/>
        <v>1.704815387455356</v>
      </c>
      <c r="L657">
        <f t="shared" si="188"/>
        <v>1.26645031675154</v>
      </c>
      <c r="M657">
        <v>657</v>
      </c>
      <c r="N657">
        <f t="shared" si="189"/>
        <v>656</v>
      </c>
      <c r="O657">
        <f t="shared" si="190"/>
        <v>0.71589437473627804</v>
      </c>
      <c r="P657">
        <f t="shared" si="191"/>
        <v>0.253817018041334</v>
      </c>
      <c r="Q657">
        <v>657</v>
      </c>
      <c r="R657">
        <f t="shared" si="192"/>
        <v>656</v>
      </c>
      <c r="S657">
        <f t="shared" si="193"/>
        <v>1.9384835479255791</v>
      </c>
      <c r="T657">
        <f t="shared" si="194"/>
        <v>0</v>
      </c>
      <c r="U657">
        <v>657</v>
      </c>
      <c r="V657">
        <f t="shared" si="195"/>
        <v>656</v>
      </c>
      <c r="W657">
        <f t="shared" si="196"/>
        <v>1.8816509409901232</v>
      </c>
      <c r="X657">
        <f t="shared" si="197"/>
        <v>6.4805860110755301E-2</v>
      </c>
    </row>
    <row r="658" spans="1:24">
      <c r="A658">
        <v>658</v>
      </c>
      <c r="B658">
        <f t="shared" si="180"/>
        <v>657</v>
      </c>
      <c r="C658">
        <f t="shared" si="181"/>
        <v>0.90231434251916121</v>
      </c>
      <c r="D658">
        <f t="shared" si="182"/>
        <v>1.9572645941803399</v>
      </c>
      <c r="E658">
        <v>658</v>
      </c>
      <c r="F658">
        <f t="shared" si="183"/>
        <v>657</v>
      </c>
      <c r="G658">
        <f t="shared" si="184"/>
        <v>0.84588048409209005</v>
      </c>
      <c r="H658">
        <f t="shared" si="185"/>
        <v>1.89312269655345</v>
      </c>
      <c r="I658">
        <v>658</v>
      </c>
      <c r="J658">
        <f t="shared" si="186"/>
        <v>657</v>
      </c>
      <c r="K658">
        <f t="shared" si="187"/>
        <v>1.7054836268924045</v>
      </c>
      <c r="L658">
        <f t="shared" si="188"/>
        <v>1.73354968324846</v>
      </c>
      <c r="M658">
        <v>658</v>
      </c>
      <c r="N658">
        <f t="shared" si="189"/>
        <v>657</v>
      </c>
      <c r="O658">
        <f t="shared" si="190"/>
        <v>0.71659876095075203</v>
      </c>
      <c r="P658">
        <f t="shared" si="191"/>
        <v>0.74618298195866595</v>
      </c>
      <c r="Q658">
        <v>658</v>
      </c>
      <c r="R658">
        <f t="shared" si="192"/>
        <v>657</v>
      </c>
      <c r="S658">
        <f t="shared" si="193"/>
        <v>1.9399141630900998</v>
      </c>
      <c r="T658">
        <f t="shared" si="194"/>
        <v>1</v>
      </c>
      <c r="U658">
        <v>658</v>
      </c>
      <c r="V658">
        <f t="shared" si="195"/>
        <v>657</v>
      </c>
      <c r="W658">
        <f t="shared" si="196"/>
        <v>1.8828961316621953</v>
      </c>
      <c r="X658">
        <f t="shared" si="197"/>
        <v>0.93519413988924505</v>
      </c>
    </row>
    <row r="659" spans="1:24">
      <c r="A659">
        <v>659</v>
      </c>
      <c r="B659">
        <f t="shared" si="180"/>
        <v>658</v>
      </c>
      <c r="C659">
        <f t="shared" si="181"/>
        <v>0.90362268184442684</v>
      </c>
      <c r="D659">
        <f t="shared" si="182"/>
        <v>1.0427354058196601</v>
      </c>
      <c r="E659">
        <v>659</v>
      </c>
      <c r="F659">
        <f t="shared" si="183"/>
        <v>658</v>
      </c>
      <c r="G659">
        <f t="shared" si="184"/>
        <v>0.84700529867450336</v>
      </c>
      <c r="H659">
        <f t="shared" si="185"/>
        <v>1.10687730344655</v>
      </c>
      <c r="I659">
        <v>659</v>
      </c>
      <c r="J659">
        <f t="shared" si="186"/>
        <v>658</v>
      </c>
      <c r="K659">
        <f t="shared" si="187"/>
        <v>1.7061518663294528</v>
      </c>
      <c r="L659">
        <f t="shared" si="188"/>
        <v>1.26645031675154</v>
      </c>
      <c r="M659">
        <v>659</v>
      </c>
      <c r="N659">
        <f t="shared" si="189"/>
        <v>658</v>
      </c>
      <c r="O659">
        <f t="shared" si="190"/>
        <v>0.71730314716522603</v>
      </c>
      <c r="P659">
        <f t="shared" si="191"/>
        <v>0.253817018041334</v>
      </c>
      <c r="Q659">
        <v>659</v>
      </c>
      <c r="R659">
        <f t="shared" si="192"/>
        <v>658</v>
      </c>
      <c r="S659">
        <f t="shared" si="193"/>
        <v>1.9413447782546205</v>
      </c>
      <c r="T659">
        <f t="shared" si="194"/>
        <v>0</v>
      </c>
      <c r="U659">
        <v>659</v>
      </c>
      <c r="V659">
        <f t="shared" si="195"/>
        <v>658</v>
      </c>
      <c r="W659">
        <f t="shared" si="196"/>
        <v>1.8841413223342676</v>
      </c>
      <c r="X659">
        <f t="shared" si="197"/>
        <v>6.4805860110755301E-2</v>
      </c>
    </row>
    <row r="660" spans="1:24">
      <c r="A660">
        <v>660</v>
      </c>
      <c r="B660">
        <f t="shared" si="180"/>
        <v>659</v>
      </c>
      <c r="C660">
        <f t="shared" si="181"/>
        <v>0.90493102116969248</v>
      </c>
      <c r="D660">
        <f t="shared" si="182"/>
        <v>1.9572645941803399</v>
      </c>
      <c r="E660">
        <v>660</v>
      </c>
      <c r="F660">
        <f t="shared" si="183"/>
        <v>659</v>
      </c>
      <c r="G660">
        <f t="shared" si="184"/>
        <v>0.84813011325691667</v>
      </c>
      <c r="H660">
        <f t="shared" si="185"/>
        <v>1.89312269655345</v>
      </c>
      <c r="I660">
        <v>660</v>
      </c>
      <c r="J660">
        <f t="shared" si="186"/>
        <v>659</v>
      </c>
      <c r="K660">
        <f t="shared" si="187"/>
        <v>1.7068201057665013</v>
      </c>
      <c r="L660">
        <f t="shared" si="188"/>
        <v>1.73354968324846</v>
      </c>
      <c r="M660">
        <v>660</v>
      </c>
      <c r="N660">
        <f t="shared" si="189"/>
        <v>659</v>
      </c>
      <c r="O660">
        <f t="shared" si="190"/>
        <v>0.71800753337970002</v>
      </c>
      <c r="P660">
        <f t="shared" si="191"/>
        <v>0.74618298195866595</v>
      </c>
      <c r="Q660">
        <v>660</v>
      </c>
      <c r="R660">
        <f t="shared" si="192"/>
        <v>659</v>
      </c>
      <c r="S660">
        <f t="shared" si="193"/>
        <v>1.9427753934191412</v>
      </c>
      <c r="T660">
        <f t="shared" si="194"/>
        <v>1</v>
      </c>
      <c r="U660">
        <v>660</v>
      </c>
      <c r="V660">
        <f t="shared" si="195"/>
        <v>659</v>
      </c>
      <c r="W660">
        <f t="shared" si="196"/>
        <v>1.8853865130063396</v>
      </c>
      <c r="X660">
        <f t="shared" si="197"/>
        <v>0.93519413988924505</v>
      </c>
    </row>
    <row r="661" spans="1:24">
      <c r="A661">
        <v>661</v>
      </c>
      <c r="B661">
        <f t="shared" si="180"/>
        <v>660</v>
      </c>
      <c r="C661">
        <f t="shared" si="181"/>
        <v>0.90623936049495801</v>
      </c>
      <c r="D661">
        <f t="shared" si="182"/>
        <v>1.0427354058196601</v>
      </c>
      <c r="E661">
        <v>661</v>
      </c>
      <c r="F661">
        <f t="shared" si="183"/>
        <v>660</v>
      </c>
      <c r="G661">
        <f t="shared" si="184"/>
        <v>0.84925492783932999</v>
      </c>
      <c r="H661">
        <f t="shared" si="185"/>
        <v>1.10687730344655</v>
      </c>
      <c r="I661">
        <v>661</v>
      </c>
      <c r="J661">
        <f t="shared" si="186"/>
        <v>660</v>
      </c>
      <c r="K661">
        <f t="shared" si="187"/>
        <v>1.7074883452035499</v>
      </c>
      <c r="L661">
        <f t="shared" si="188"/>
        <v>1.26645031675154</v>
      </c>
      <c r="M661">
        <v>661</v>
      </c>
      <c r="N661">
        <f t="shared" si="189"/>
        <v>660</v>
      </c>
      <c r="O661">
        <f t="shared" si="190"/>
        <v>0.71871191959417402</v>
      </c>
      <c r="P661">
        <f t="shared" si="191"/>
        <v>0.253817018041334</v>
      </c>
      <c r="Q661">
        <v>661</v>
      </c>
      <c r="R661">
        <f t="shared" si="192"/>
        <v>660</v>
      </c>
      <c r="S661">
        <f t="shared" si="193"/>
        <v>1.9442060085836619</v>
      </c>
      <c r="T661">
        <f t="shared" si="194"/>
        <v>0</v>
      </c>
      <c r="U661">
        <v>661</v>
      </c>
      <c r="V661">
        <f t="shared" si="195"/>
        <v>660</v>
      </c>
      <c r="W661">
        <f t="shared" si="196"/>
        <v>1.8866317036784119</v>
      </c>
      <c r="X661">
        <f t="shared" si="197"/>
        <v>6.4805860110755301E-2</v>
      </c>
    </row>
    <row r="662" spans="1:24">
      <c r="A662">
        <v>662</v>
      </c>
      <c r="B662">
        <f t="shared" si="180"/>
        <v>661</v>
      </c>
      <c r="C662">
        <f t="shared" si="181"/>
        <v>0.90754769982022365</v>
      </c>
      <c r="D662">
        <f t="shared" si="182"/>
        <v>1.9572645941803399</v>
      </c>
      <c r="E662">
        <v>662</v>
      </c>
      <c r="F662">
        <f t="shared" si="183"/>
        <v>661</v>
      </c>
      <c r="G662">
        <f t="shared" si="184"/>
        <v>0.85037974242174319</v>
      </c>
      <c r="H662">
        <f t="shared" si="185"/>
        <v>1.89312269655345</v>
      </c>
      <c r="I662">
        <v>662</v>
      </c>
      <c r="J662">
        <f t="shared" si="186"/>
        <v>661</v>
      </c>
      <c r="K662">
        <f t="shared" si="187"/>
        <v>1.7081565846405984</v>
      </c>
      <c r="L662">
        <f t="shared" si="188"/>
        <v>1.73354968324846</v>
      </c>
      <c r="M662">
        <v>662</v>
      </c>
      <c r="N662">
        <f t="shared" si="189"/>
        <v>661</v>
      </c>
      <c r="O662">
        <f t="shared" si="190"/>
        <v>0.71941630580864802</v>
      </c>
      <c r="P662">
        <f t="shared" si="191"/>
        <v>0.74618298195866595</v>
      </c>
      <c r="Q662">
        <v>662</v>
      </c>
      <c r="R662">
        <f t="shared" si="192"/>
        <v>661</v>
      </c>
      <c r="S662">
        <f t="shared" si="193"/>
        <v>1.9456366237481826</v>
      </c>
      <c r="T662">
        <f t="shared" si="194"/>
        <v>1</v>
      </c>
      <c r="U662">
        <v>662</v>
      </c>
      <c r="V662">
        <f t="shared" si="195"/>
        <v>661</v>
      </c>
      <c r="W662">
        <f t="shared" si="196"/>
        <v>1.8878768943504842</v>
      </c>
      <c r="X662">
        <f t="shared" si="197"/>
        <v>0.93519413988924505</v>
      </c>
    </row>
    <row r="663" spans="1:24">
      <c r="A663">
        <v>663</v>
      </c>
      <c r="B663">
        <f t="shared" si="180"/>
        <v>662</v>
      </c>
      <c r="C663">
        <f t="shared" si="181"/>
        <v>0.90885603914548929</v>
      </c>
      <c r="D663">
        <f t="shared" si="182"/>
        <v>1.0427354058196601</v>
      </c>
      <c r="E663">
        <v>663</v>
      </c>
      <c r="F663">
        <f t="shared" si="183"/>
        <v>662</v>
      </c>
      <c r="G663">
        <f t="shared" si="184"/>
        <v>0.8515045570041565</v>
      </c>
      <c r="H663">
        <f t="shared" si="185"/>
        <v>1.10687730344655</v>
      </c>
      <c r="I663">
        <v>663</v>
      </c>
      <c r="J663">
        <f t="shared" si="186"/>
        <v>662</v>
      </c>
      <c r="K663">
        <f t="shared" si="187"/>
        <v>1.7088248240776469</v>
      </c>
      <c r="L663">
        <f t="shared" si="188"/>
        <v>1.26645031675154</v>
      </c>
      <c r="M663">
        <v>663</v>
      </c>
      <c r="N663">
        <f t="shared" si="189"/>
        <v>662</v>
      </c>
      <c r="O663">
        <f t="shared" si="190"/>
        <v>0.72012069202312201</v>
      </c>
      <c r="P663">
        <f t="shared" si="191"/>
        <v>0.253817018041334</v>
      </c>
      <c r="Q663">
        <v>663</v>
      </c>
      <c r="R663">
        <f t="shared" si="192"/>
        <v>662</v>
      </c>
      <c r="S663">
        <f t="shared" si="193"/>
        <v>1.9470672389127033</v>
      </c>
      <c r="T663">
        <f t="shared" si="194"/>
        <v>0</v>
      </c>
      <c r="U663">
        <v>663</v>
      </c>
      <c r="V663">
        <f t="shared" si="195"/>
        <v>662</v>
      </c>
      <c r="W663">
        <f t="shared" si="196"/>
        <v>1.8891220850225563</v>
      </c>
      <c r="X663">
        <f t="shared" si="197"/>
        <v>6.4805860110755301E-2</v>
      </c>
    </row>
    <row r="664" spans="1:24">
      <c r="A664">
        <v>664</v>
      </c>
      <c r="B664">
        <f t="shared" si="180"/>
        <v>663</v>
      </c>
      <c r="C664">
        <f t="shared" si="181"/>
        <v>0.91016437847075482</v>
      </c>
      <c r="D664">
        <f t="shared" si="182"/>
        <v>1.9572645941803399</v>
      </c>
      <c r="E664">
        <v>664</v>
      </c>
      <c r="F664">
        <f t="shared" si="183"/>
        <v>663</v>
      </c>
      <c r="G664">
        <f t="shared" si="184"/>
        <v>0.85262937158656982</v>
      </c>
      <c r="H664">
        <f t="shared" si="185"/>
        <v>1.89312269655345</v>
      </c>
      <c r="I664">
        <v>664</v>
      </c>
      <c r="J664">
        <f t="shared" si="186"/>
        <v>663</v>
      </c>
      <c r="K664">
        <f t="shared" si="187"/>
        <v>1.7094930635146954</v>
      </c>
      <c r="L664">
        <f t="shared" si="188"/>
        <v>1.73354968324846</v>
      </c>
      <c r="M664">
        <v>664</v>
      </c>
      <c r="N664">
        <f t="shared" si="189"/>
        <v>663</v>
      </c>
      <c r="O664">
        <f t="shared" si="190"/>
        <v>0.72082507823759601</v>
      </c>
      <c r="P664">
        <f t="shared" si="191"/>
        <v>0.74618298195866595</v>
      </c>
      <c r="Q664">
        <v>664</v>
      </c>
      <c r="R664">
        <f t="shared" si="192"/>
        <v>663</v>
      </c>
      <c r="S664">
        <f t="shared" si="193"/>
        <v>1.948497854077224</v>
      </c>
      <c r="T664">
        <f t="shared" si="194"/>
        <v>1</v>
      </c>
      <c r="U664">
        <v>664</v>
      </c>
      <c r="V664">
        <f t="shared" si="195"/>
        <v>663</v>
      </c>
      <c r="W664">
        <f t="shared" si="196"/>
        <v>1.8903672756946284</v>
      </c>
      <c r="X664">
        <f t="shared" si="197"/>
        <v>0.93519413988924505</v>
      </c>
    </row>
    <row r="665" spans="1:24">
      <c r="A665">
        <v>665</v>
      </c>
      <c r="B665">
        <f t="shared" si="180"/>
        <v>664</v>
      </c>
      <c r="C665">
        <f t="shared" si="181"/>
        <v>0.91147271779602046</v>
      </c>
      <c r="D665">
        <f t="shared" si="182"/>
        <v>1.0427354058196601</v>
      </c>
      <c r="E665">
        <v>665</v>
      </c>
      <c r="F665">
        <f t="shared" si="183"/>
        <v>664</v>
      </c>
      <c r="G665">
        <f t="shared" si="184"/>
        <v>0.85375418616898313</v>
      </c>
      <c r="H665">
        <f t="shared" si="185"/>
        <v>1.10687730344655</v>
      </c>
      <c r="I665">
        <v>665</v>
      </c>
      <c r="J665">
        <f t="shared" si="186"/>
        <v>664</v>
      </c>
      <c r="K665">
        <f t="shared" si="187"/>
        <v>1.710161302951744</v>
      </c>
      <c r="L665">
        <f t="shared" si="188"/>
        <v>1.26645031675154</v>
      </c>
      <c r="M665">
        <v>665</v>
      </c>
      <c r="N665">
        <f t="shared" si="189"/>
        <v>664</v>
      </c>
      <c r="O665">
        <f t="shared" si="190"/>
        <v>0.72152946445207</v>
      </c>
      <c r="P665">
        <f t="shared" si="191"/>
        <v>0.253817018041334</v>
      </c>
      <c r="Q665">
        <v>665</v>
      </c>
      <c r="R665">
        <f t="shared" si="192"/>
        <v>664</v>
      </c>
      <c r="S665">
        <f t="shared" si="193"/>
        <v>1.9499284692417447</v>
      </c>
      <c r="T665">
        <f t="shared" si="194"/>
        <v>0</v>
      </c>
      <c r="U665">
        <v>665</v>
      </c>
      <c r="V665">
        <f t="shared" si="195"/>
        <v>664</v>
      </c>
      <c r="W665">
        <f t="shared" si="196"/>
        <v>1.8916124663667007</v>
      </c>
      <c r="X665">
        <f t="shared" si="197"/>
        <v>6.4805860110755301E-2</v>
      </c>
    </row>
    <row r="666" spans="1:24">
      <c r="A666">
        <v>666</v>
      </c>
      <c r="B666">
        <f t="shared" si="180"/>
        <v>665</v>
      </c>
      <c r="C666">
        <f t="shared" si="181"/>
        <v>0.9127810571212861</v>
      </c>
      <c r="D666">
        <f t="shared" si="182"/>
        <v>1.9572645941803399</v>
      </c>
      <c r="E666">
        <v>666</v>
      </c>
      <c r="F666">
        <f t="shared" si="183"/>
        <v>665</v>
      </c>
      <c r="G666">
        <f t="shared" si="184"/>
        <v>0.85487900075139645</v>
      </c>
      <c r="H666">
        <f t="shared" si="185"/>
        <v>1.89312269655345</v>
      </c>
      <c r="I666">
        <v>666</v>
      </c>
      <c r="J666">
        <f t="shared" si="186"/>
        <v>665</v>
      </c>
      <c r="K666">
        <f t="shared" si="187"/>
        <v>1.7108295423887925</v>
      </c>
      <c r="L666">
        <f t="shared" si="188"/>
        <v>1.73354968324846</v>
      </c>
      <c r="M666">
        <v>666</v>
      </c>
      <c r="N666">
        <f t="shared" si="189"/>
        <v>665</v>
      </c>
      <c r="O666">
        <f t="shared" si="190"/>
        <v>0.722233850666544</v>
      </c>
      <c r="P666">
        <f t="shared" si="191"/>
        <v>0.74618298195866595</v>
      </c>
      <c r="Q666">
        <v>666</v>
      </c>
      <c r="R666">
        <f t="shared" si="192"/>
        <v>665</v>
      </c>
      <c r="S666">
        <f t="shared" si="193"/>
        <v>1.9513590844062654</v>
      </c>
      <c r="T666">
        <f t="shared" si="194"/>
        <v>1</v>
      </c>
      <c r="U666">
        <v>666</v>
      </c>
      <c r="V666">
        <f t="shared" si="195"/>
        <v>665</v>
      </c>
      <c r="W666">
        <f t="shared" si="196"/>
        <v>1.892857657038773</v>
      </c>
      <c r="X666">
        <f t="shared" si="197"/>
        <v>0.93519413988924505</v>
      </c>
    </row>
    <row r="667" spans="1:24">
      <c r="A667">
        <v>667</v>
      </c>
      <c r="B667">
        <f t="shared" si="180"/>
        <v>666</v>
      </c>
      <c r="C667">
        <f t="shared" si="181"/>
        <v>0.91408939644655163</v>
      </c>
      <c r="D667">
        <f t="shared" si="182"/>
        <v>1.0427354058196601</v>
      </c>
      <c r="E667">
        <v>667</v>
      </c>
      <c r="F667">
        <f t="shared" si="183"/>
        <v>666</v>
      </c>
      <c r="G667">
        <f t="shared" si="184"/>
        <v>0.85600381533380976</v>
      </c>
      <c r="H667">
        <f t="shared" si="185"/>
        <v>1.10687730344655</v>
      </c>
      <c r="I667">
        <v>667</v>
      </c>
      <c r="J667">
        <f t="shared" si="186"/>
        <v>666</v>
      </c>
      <c r="K667">
        <f t="shared" si="187"/>
        <v>1.711497781825841</v>
      </c>
      <c r="L667">
        <f t="shared" si="188"/>
        <v>1.26645031675154</v>
      </c>
      <c r="M667">
        <v>667</v>
      </c>
      <c r="N667">
        <f t="shared" si="189"/>
        <v>666</v>
      </c>
      <c r="O667">
        <f t="shared" si="190"/>
        <v>0.72293823688101799</v>
      </c>
      <c r="P667">
        <f t="shared" si="191"/>
        <v>0.253817018041334</v>
      </c>
      <c r="Q667">
        <v>667</v>
      </c>
      <c r="R667">
        <f t="shared" si="192"/>
        <v>666</v>
      </c>
      <c r="S667">
        <f t="shared" si="193"/>
        <v>1.9527896995707863</v>
      </c>
      <c r="T667">
        <f t="shared" si="194"/>
        <v>0</v>
      </c>
      <c r="U667">
        <v>667</v>
      </c>
      <c r="V667">
        <f t="shared" si="195"/>
        <v>666</v>
      </c>
      <c r="W667">
        <f t="shared" si="196"/>
        <v>1.8941028477108452</v>
      </c>
      <c r="X667">
        <f t="shared" si="197"/>
        <v>6.4805860110755301E-2</v>
      </c>
    </row>
    <row r="668" spans="1:24">
      <c r="A668">
        <v>668</v>
      </c>
      <c r="B668">
        <f t="shared" si="180"/>
        <v>667</v>
      </c>
      <c r="C668">
        <f t="shared" si="181"/>
        <v>0.91539773577181727</v>
      </c>
      <c r="D668">
        <f t="shared" si="182"/>
        <v>1.9572645941803399</v>
      </c>
      <c r="E668">
        <v>668</v>
      </c>
      <c r="F668">
        <f t="shared" si="183"/>
        <v>667</v>
      </c>
      <c r="G668">
        <f t="shared" si="184"/>
        <v>0.85712862991622307</v>
      </c>
      <c r="H668">
        <f t="shared" si="185"/>
        <v>1.89312269655345</v>
      </c>
      <c r="I668">
        <v>668</v>
      </c>
      <c r="J668">
        <f t="shared" si="186"/>
        <v>667</v>
      </c>
      <c r="K668">
        <f t="shared" si="187"/>
        <v>1.7121660212628895</v>
      </c>
      <c r="L668">
        <f t="shared" si="188"/>
        <v>1.73354968324846</v>
      </c>
      <c r="M668">
        <v>668</v>
      </c>
      <c r="N668">
        <f t="shared" si="189"/>
        <v>667</v>
      </c>
      <c r="O668">
        <f t="shared" si="190"/>
        <v>0.72364262309549199</v>
      </c>
      <c r="P668">
        <f t="shared" si="191"/>
        <v>0.74618298195866595</v>
      </c>
      <c r="Q668">
        <v>668</v>
      </c>
      <c r="R668">
        <f t="shared" si="192"/>
        <v>667</v>
      </c>
      <c r="S668">
        <f t="shared" si="193"/>
        <v>1.954220314735307</v>
      </c>
      <c r="T668">
        <f t="shared" si="194"/>
        <v>1</v>
      </c>
      <c r="U668">
        <v>668</v>
      </c>
      <c r="V668">
        <f t="shared" si="195"/>
        <v>667</v>
      </c>
      <c r="W668">
        <f t="shared" si="196"/>
        <v>1.8953480383829173</v>
      </c>
      <c r="X668">
        <f t="shared" si="197"/>
        <v>0.93519413988924505</v>
      </c>
    </row>
    <row r="669" spans="1:24">
      <c r="A669">
        <v>669</v>
      </c>
      <c r="B669">
        <f t="shared" si="180"/>
        <v>668</v>
      </c>
      <c r="C669">
        <f t="shared" si="181"/>
        <v>0.91670607509708291</v>
      </c>
      <c r="D669">
        <f t="shared" si="182"/>
        <v>1.0427354058196601</v>
      </c>
      <c r="E669">
        <v>669</v>
      </c>
      <c r="F669">
        <f t="shared" si="183"/>
        <v>668</v>
      </c>
      <c r="G669">
        <f t="shared" si="184"/>
        <v>0.85825344449863628</v>
      </c>
      <c r="H669">
        <f t="shared" si="185"/>
        <v>1.10687730344655</v>
      </c>
      <c r="I669">
        <v>669</v>
      </c>
      <c r="J669">
        <f t="shared" si="186"/>
        <v>668</v>
      </c>
      <c r="K669">
        <f t="shared" si="187"/>
        <v>1.712834260699938</v>
      </c>
      <c r="L669">
        <f t="shared" si="188"/>
        <v>1.26645031675154</v>
      </c>
      <c r="M669">
        <v>669</v>
      </c>
      <c r="N669">
        <f t="shared" si="189"/>
        <v>668</v>
      </c>
      <c r="O669">
        <f t="shared" si="190"/>
        <v>0.72434700930996598</v>
      </c>
      <c r="P669">
        <f t="shared" si="191"/>
        <v>0.253817018041334</v>
      </c>
      <c r="Q669">
        <v>669</v>
      </c>
      <c r="R669">
        <f t="shared" si="192"/>
        <v>668</v>
      </c>
      <c r="S669">
        <f t="shared" si="193"/>
        <v>1.9556509298998277</v>
      </c>
      <c r="T669">
        <f t="shared" si="194"/>
        <v>0</v>
      </c>
      <c r="U669">
        <v>669</v>
      </c>
      <c r="V669">
        <f t="shared" si="195"/>
        <v>668</v>
      </c>
      <c r="W669">
        <f t="shared" si="196"/>
        <v>1.8965932290549894</v>
      </c>
      <c r="X669">
        <f t="shared" si="197"/>
        <v>6.4805860110755301E-2</v>
      </c>
    </row>
    <row r="670" spans="1:24">
      <c r="A670">
        <v>670</v>
      </c>
      <c r="B670">
        <f t="shared" si="180"/>
        <v>669</v>
      </c>
      <c r="C670">
        <f t="shared" si="181"/>
        <v>0.91801441442234843</v>
      </c>
      <c r="D670">
        <f t="shared" si="182"/>
        <v>1.9572645941803399</v>
      </c>
      <c r="E670">
        <v>670</v>
      </c>
      <c r="F670">
        <f t="shared" si="183"/>
        <v>669</v>
      </c>
      <c r="G670">
        <f t="shared" si="184"/>
        <v>0.85937825908104959</v>
      </c>
      <c r="H670">
        <f t="shared" si="185"/>
        <v>1.89312269655345</v>
      </c>
      <c r="I670">
        <v>670</v>
      </c>
      <c r="J670">
        <f t="shared" si="186"/>
        <v>669</v>
      </c>
      <c r="K670">
        <f t="shared" si="187"/>
        <v>1.7135025001369866</v>
      </c>
      <c r="L670">
        <f t="shared" si="188"/>
        <v>1.73354968324846</v>
      </c>
      <c r="M670">
        <v>670</v>
      </c>
      <c r="N670">
        <f t="shared" si="189"/>
        <v>669</v>
      </c>
      <c r="O670">
        <f t="shared" si="190"/>
        <v>0.72505139552443998</v>
      </c>
      <c r="P670">
        <f t="shared" si="191"/>
        <v>0.74618298195866595</v>
      </c>
      <c r="Q670">
        <v>670</v>
      </c>
      <c r="R670">
        <f t="shared" si="192"/>
        <v>669</v>
      </c>
      <c r="S670">
        <f t="shared" si="193"/>
        <v>1.9570815450643484</v>
      </c>
      <c r="T670">
        <f t="shared" si="194"/>
        <v>1</v>
      </c>
      <c r="U670">
        <v>670</v>
      </c>
      <c r="V670">
        <f t="shared" si="195"/>
        <v>669</v>
      </c>
      <c r="W670">
        <f t="shared" si="196"/>
        <v>1.8978384197270617</v>
      </c>
      <c r="X670">
        <f t="shared" si="197"/>
        <v>0.93519413988924505</v>
      </c>
    </row>
    <row r="671" spans="1:24">
      <c r="A671">
        <v>671</v>
      </c>
      <c r="B671">
        <f t="shared" si="180"/>
        <v>670</v>
      </c>
      <c r="C671">
        <f t="shared" si="181"/>
        <v>0.91932275374761407</v>
      </c>
      <c r="D671">
        <f t="shared" si="182"/>
        <v>1.0427354058196601</v>
      </c>
      <c r="E671">
        <v>671</v>
      </c>
      <c r="F671">
        <f t="shared" si="183"/>
        <v>670</v>
      </c>
      <c r="G671">
        <f t="shared" si="184"/>
        <v>0.8605030736634629</v>
      </c>
      <c r="H671">
        <f t="shared" si="185"/>
        <v>1.10687730344655</v>
      </c>
      <c r="I671">
        <v>671</v>
      </c>
      <c r="J671">
        <f t="shared" si="186"/>
        <v>670</v>
      </c>
      <c r="K671">
        <f t="shared" si="187"/>
        <v>1.7141707395740349</v>
      </c>
      <c r="L671">
        <f t="shared" si="188"/>
        <v>1.26645031675154</v>
      </c>
      <c r="M671">
        <v>671</v>
      </c>
      <c r="N671">
        <f t="shared" si="189"/>
        <v>670</v>
      </c>
      <c r="O671">
        <f t="shared" si="190"/>
        <v>0.72575578173891397</v>
      </c>
      <c r="P671">
        <f t="shared" si="191"/>
        <v>0.253817018041334</v>
      </c>
      <c r="Q671">
        <v>671</v>
      </c>
      <c r="R671">
        <f t="shared" si="192"/>
        <v>670</v>
      </c>
      <c r="S671">
        <f t="shared" si="193"/>
        <v>1.9585121602288691</v>
      </c>
      <c r="T671">
        <f t="shared" si="194"/>
        <v>0</v>
      </c>
      <c r="U671">
        <v>671</v>
      </c>
      <c r="V671">
        <f t="shared" si="195"/>
        <v>670</v>
      </c>
      <c r="W671">
        <f t="shared" si="196"/>
        <v>1.899083610399134</v>
      </c>
      <c r="X671">
        <f t="shared" si="197"/>
        <v>6.4805860110755301E-2</v>
      </c>
    </row>
    <row r="672" spans="1:24">
      <c r="A672">
        <v>672</v>
      </c>
      <c r="B672">
        <f t="shared" si="180"/>
        <v>671</v>
      </c>
      <c r="C672">
        <f t="shared" si="181"/>
        <v>0.9206310930728796</v>
      </c>
      <c r="D672">
        <f t="shared" si="182"/>
        <v>1.9572645941803399</v>
      </c>
      <c r="E672">
        <v>672</v>
      </c>
      <c r="F672">
        <f t="shared" si="183"/>
        <v>671</v>
      </c>
      <c r="G672">
        <f t="shared" si="184"/>
        <v>0.86162788824587622</v>
      </c>
      <c r="H672">
        <f t="shared" si="185"/>
        <v>1.89312269655345</v>
      </c>
      <c r="I672">
        <v>672</v>
      </c>
      <c r="J672">
        <f t="shared" si="186"/>
        <v>671</v>
      </c>
      <c r="K672">
        <f t="shared" si="187"/>
        <v>1.7148389790110834</v>
      </c>
      <c r="L672">
        <f t="shared" si="188"/>
        <v>1.73354968324846</v>
      </c>
      <c r="M672">
        <v>672</v>
      </c>
      <c r="N672">
        <f t="shared" si="189"/>
        <v>671</v>
      </c>
      <c r="O672">
        <f t="shared" si="190"/>
        <v>0.72646016795338797</v>
      </c>
      <c r="P672">
        <f t="shared" si="191"/>
        <v>0.74618298195866595</v>
      </c>
      <c r="Q672">
        <v>672</v>
      </c>
      <c r="R672">
        <f t="shared" si="192"/>
        <v>671</v>
      </c>
      <c r="S672">
        <f t="shared" si="193"/>
        <v>1.9599427753933898</v>
      </c>
      <c r="T672">
        <f t="shared" si="194"/>
        <v>1</v>
      </c>
      <c r="U672">
        <v>672</v>
      </c>
      <c r="V672">
        <f t="shared" si="195"/>
        <v>671</v>
      </c>
      <c r="W672">
        <f t="shared" si="196"/>
        <v>1.9003288010712063</v>
      </c>
      <c r="X672">
        <f t="shared" si="197"/>
        <v>0.93519413988924505</v>
      </c>
    </row>
    <row r="673" spans="1:24">
      <c r="A673">
        <v>673</v>
      </c>
      <c r="B673">
        <f t="shared" si="180"/>
        <v>672</v>
      </c>
      <c r="C673">
        <f t="shared" si="181"/>
        <v>0.92193943239814524</v>
      </c>
      <c r="D673">
        <f t="shared" si="182"/>
        <v>1.0427354058196601</v>
      </c>
      <c r="E673">
        <v>673</v>
      </c>
      <c r="F673">
        <f t="shared" si="183"/>
        <v>672</v>
      </c>
      <c r="G673">
        <f t="shared" si="184"/>
        <v>0.86275270282828953</v>
      </c>
      <c r="H673">
        <f t="shared" si="185"/>
        <v>1.10687730344655</v>
      </c>
      <c r="I673">
        <v>673</v>
      </c>
      <c r="J673">
        <f t="shared" si="186"/>
        <v>672</v>
      </c>
      <c r="K673">
        <f t="shared" si="187"/>
        <v>1.7155072184481319</v>
      </c>
      <c r="L673">
        <f t="shared" si="188"/>
        <v>1.26645031675154</v>
      </c>
      <c r="M673">
        <v>673</v>
      </c>
      <c r="N673">
        <f t="shared" si="189"/>
        <v>672</v>
      </c>
      <c r="O673">
        <f t="shared" si="190"/>
        <v>0.72716455416786197</v>
      </c>
      <c r="P673">
        <f t="shared" si="191"/>
        <v>0.253817018041334</v>
      </c>
      <c r="Q673">
        <v>673</v>
      </c>
      <c r="R673">
        <f t="shared" si="192"/>
        <v>672</v>
      </c>
      <c r="S673">
        <f t="shared" si="193"/>
        <v>1.9613733905579105</v>
      </c>
      <c r="T673">
        <f t="shared" si="194"/>
        <v>0</v>
      </c>
      <c r="U673">
        <v>673</v>
      </c>
      <c r="V673">
        <f t="shared" si="195"/>
        <v>672</v>
      </c>
      <c r="W673">
        <f t="shared" si="196"/>
        <v>1.9015739917432783</v>
      </c>
      <c r="X673">
        <f t="shared" si="197"/>
        <v>6.4805860110755301E-2</v>
      </c>
    </row>
    <row r="674" spans="1:24">
      <c r="A674">
        <v>674</v>
      </c>
      <c r="B674">
        <f t="shared" si="180"/>
        <v>673</v>
      </c>
      <c r="C674">
        <f t="shared" si="181"/>
        <v>0.92324777172341088</v>
      </c>
      <c r="D674">
        <f t="shared" si="182"/>
        <v>1.9572645941803399</v>
      </c>
      <c r="E674">
        <v>674</v>
      </c>
      <c r="F674">
        <f t="shared" si="183"/>
        <v>673</v>
      </c>
      <c r="G674">
        <f t="shared" si="184"/>
        <v>0.86387751741070284</v>
      </c>
      <c r="H674">
        <f t="shared" si="185"/>
        <v>1.89312269655345</v>
      </c>
      <c r="I674">
        <v>674</v>
      </c>
      <c r="J674">
        <f t="shared" si="186"/>
        <v>673</v>
      </c>
      <c r="K674">
        <f t="shared" si="187"/>
        <v>1.7161754578851804</v>
      </c>
      <c r="L674">
        <f t="shared" si="188"/>
        <v>1.73354968324846</v>
      </c>
      <c r="M674">
        <v>674</v>
      </c>
      <c r="N674">
        <f t="shared" si="189"/>
        <v>673</v>
      </c>
      <c r="O674">
        <f t="shared" si="190"/>
        <v>0.72786894038233596</v>
      </c>
      <c r="P674">
        <f t="shared" si="191"/>
        <v>0.74618298195866595</v>
      </c>
      <c r="Q674">
        <v>674</v>
      </c>
      <c r="R674">
        <f t="shared" si="192"/>
        <v>673</v>
      </c>
      <c r="S674">
        <f t="shared" si="193"/>
        <v>1.9628040057224312</v>
      </c>
      <c r="T674">
        <f t="shared" si="194"/>
        <v>1</v>
      </c>
      <c r="U674">
        <v>674</v>
      </c>
      <c r="V674">
        <f t="shared" si="195"/>
        <v>673</v>
      </c>
      <c r="W674">
        <f t="shared" si="196"/>
        <v>1.9028191824153504</v>
      </c>
      <c r="X674">
        <f t="shared" si="197"/>
        <v>0.93519413988924505</v>
      </c>
    </row>
    <row r="675" spans="1:24">
      <c r="A675">
        <v>675</v>
      </c>
      <c r="B675">
        <f t="shared" si="180"/>
        <v>674</v>
      </c>
      <c r="C675">
        <f t="shared" si="181"/>
        <v>0.92455611104867641</v>
      </c>
      <c r="D675">
        <f t="shared" si="182"/>
        <v>1.0427354058196601</v>
      </c>
      <c r="E675">
        <v>675</v>
      </c>
      <c r="F675">
        <f t="shared" si="183"/>
        <v>674</v>
      </c>
      <c r="G675">
        <f t="shared" si="184"/>
        <v>0.86500233199311616</v>
      </c>
      <c r="H675">
        <f t="shared" si="185"/>
        <v>1.10687730344655</v>
      </c>
      <c r="I675">
        <v>675</v>
      </c>
      <c r="J675">
        <f t="shared" si="186"/>
        <v>674</v>
      </c>
      <c r="K675">
        <f t="shared" si="187"/>
        <v>1.716843697322229</v>
      </c>
      <c r="L675">
        <f t="shared" si="188"/>
        <v>1.26645031675154</v>
      </c>
      <c r="M675">
        <v>675</v>
      </c>
      <c r="N675">
        <f t="shared" si="189"/>
        <v>674</v>
      </c>
      <c r="O675">
        <f t="shared" si="190"/>
        <v>0.72857332659680996</v>
      </c>
      <c r="P675">
        <f t="shared" si="191"/>
        <v>0.253817018041334</v>
      </c>
      <c r="Q675">
        <v>675</v>
      </c>
      <c r="R675">
        <f t="shared" si="192"/>
        <v>674</v>
      </c>
      <c r="S675">
        <f t="shared" si="193"/>
        <v>1.9642346208869519</v>
      </c>
      <c r="T675">
        <f t="shared" si="194"/>
        <v>0</v>
      </c>
      <c r="U675">
        <v>675</v>
      </c>
      <c r="V675">
        <f t="shared" si="195"/>
        <v>674</v>
      </c>
      <c r="W675">
        <f t="shared" si="196"/>
        <v>1.9040643730874227</v>
      </c>
      <c r="X675">
        <f t="shared" si="197"/>
        <v>6.4805860110755301E-2</v>
      </c>
    </row>
    <row r="676" spans="1:24">
      <c r="A676">
        <v>676</v>
      </c>
      <c r="B676">
        <f t="shared" si="180"/>
        <v>675</v>
      </c>
      <c r="C676">
        <f t="shared" si="181"/>
        <v>0.92586445037394205</v>
      </c>
      <c r="D676">
        <f t="shared" si="182"/>
        <v>1.9572645941803399</v>
      </c>
      <c r="E676">
        <v>676</v>
      </c>
      <c r="F676">
        <f t="shared" si="183"/>
        <v>675</v>
      </c>
      <c r="G676">
        <f t="shared" si="184"/>
        <v>0.86612714657552947</v>
      </c>
      <c r="H676">
        <f t="shared" si="185"/>
        <v>1.89312269655345</v>
      </c>
      <c r="I676">
        <v>676</v>
      </c>
      <c r="J676">
        <f t="shared" si="186"/>
        <v>675</v>
      </c>
      <c r="K676">
        <f t="shared" si="187"/>
        <v>1.7175119367592775</v>
      </c>
      <c r="L676">
        <f t="shared" si="188"/>
        <v>1.73354968324846</v>
      </c>
      <c r="M676">
        <v>676</v>
      </c>
      <c r="N676">
        <f t="shared" si="189"/>
        <v>675</v>
      </c>
      <c r="O676">
        <f t="shared" si="190"/>
        <v>0.72927771281128395</v>
      </c>
      <c r="P676">
        <f t="shared" si="191"/>
        <v>0.74618298195866595</v>
      </c>
      <c r="Q676">
        <v>676</v>
      </c>
      <c r="R676">
        <f t="shared" si="192"/>
        <v>675</v>
      </c>
      <c r="S676">
        <f t="shared" si="193"/>
        <v>1.9656652360514726</v>
      </c>
      <c r="T676">
        <f t="shared" si="194"/>
        <v>1</v>
      </c>
      <c r="U676">
        <v>676</v>
      </c>
      <c r="V676">
        <f t="shared" si="195"/>
        <v>675</v>
      </c>
      <c r="W676">
        <f t="shared" si="196"/>
        <v>1.905309563759495</v>
      </c>
      <c r="X676">
        <f t="shared" si="197"/>
        <v>0.93519413988924505</v>
      </c>
    </row>
    <row r="677" spans="1:24">
      <c r="A677">
        <v>677</v>
      </c>
      <c r="B677">
        <f t="shared" si="180"/>
        <v>676</v>
      </c>
      <c r="C677">
        <f t="shared" si="181"/>
        <v>0.92717278969920769</v>
      </c>
      <c r="D677">
        <f t="shared" si="182"/>
        <v>1.0427354058196601</v>
      </c>
      <c r="E677">
        <v>677</v>
      </c>
      <c r="F677">
        <f t="shared" si="183"/>
        <v>676</v>
      </c>
      <c r="G677">
        <f t="shared" si="184"/>
        <v>0.86725196115794279</v>
      </c>
      <c r="H677">
        <f t="shared" si="185"/>
        <v>1.10687730344655</v>
      </c>
      <c r="I677">
        <v>677</v>
      </c>
      <c r="J677">
        <f t="shared" si="186"/>
        <v>676</v>
      </c>
      <c r="K677">
        <f t="shared" si="187"/>
        <v>1.718180176196326</v>
      </c>
      <c r="L677">
        <f t="shared" si="188"/>
        <v>1.26645031675154</v>
      </c>
      <c r="M677">
        <v>677</v>
      </c>
      <c r="N677">
        <f t="shared" si="189"/>
        <v>676</v>
      </c>
      <c r="O677">
        <f t="shared" si="190"/>
        <v>0.72998209902575795</v>
      </c>
      <c r="P677">
        <f t="shared" si="191"/>
        <v>0.253817018041334</v>
      </c>
      <c r="Q677">
        <v>677</v>
      </c>
      <c r="R677">
        <f t="shared" si="192"/>
        <v>676</v>
      </c>
      <c r="S677">
        <f t="shared" si="193"/>
        <v>1.9670958512159933</v>
      </c>
      <c r="T677">
        <f t="shared" si="194"/>
        <v>0</v>
      </c>
      <c r="U677">
        <v>677</v>
      </c>
      <c r="V677">
        <f t="shared" si="195"/>
        <v>676</v>
      </c>
      <c r="W677">
        <f t="shared" si="196"/>
        <v>1.9065547544315671</v>
      </c>
      <c r="X677">
        <f t="shared" si="197"/>
        <v>6.4805860110755301E-2</v>
      </c>
    </row>
    <row r="678" spans="1:24">
      <c r="A678">
        <v>678</v>
      </c>
      <c r="B678">
        <f t="shared" si="180"/>
        <v>677</v>
      </c>
      <c r="C678">
        <f t="shared" si="181"/>
        <v>0.92848112902447322</v>
      </c>
      <c r="D678">
        <f t="shared" si="182"/>
        <v>1.9572645941803399</v>
      </c>
      <c r="E678">
        <v>678</v>
      </c>
      <c r="F678">
        <f t="shared" si="183"/>
        <v>677</v>
      </c>
      <c r="G678">
        <f t="shared" si="184"/>
        <v>0.86837677574035599</v>
      </c>
      <c r="H678">
        <f t="shared" si="185"/>
        <v>1.89312269655345</v>
      </c>
      <c r="I678">
        <v>678</v>
      </c>
      <c r="J678">
        <f t="shared" si="186"/>
        <v>677</v>
      </c>
      <c r="K678">
        <f t="shared" si="187"/>
        <v>1.7188484156333743</v>
      </c>
      <c r="L678">
        <f t="shared" si="188"/>
        <v>1.73354968324846</v>
      </c>
      <c r="M678">
        <v>678</v>
      </c>
      <c r="N678">
        <f t="shared" si="189"/>
        <v>677</v>
      </c>
      <c r="O678">
        <f t="shared" si="190"/>
        <v>0.73068648524023194</v>
      </c>
      <c r="P678">
        <f t="shared" si="191"/>
        <v>0.74618298195866595</v>
      </c>
      <c r="Q678">
        <v>678</v>
      </c>
      <c r="R678">
        <f t="shared" si="192"/>
        <v>677</v>
      </c>
      <c r="S678">
        <f t="shared" si="193"/>
        <v>1.968526466380514</v>
      </c>
      <c r="T678">
        <f t="shared" si="194"/>
        <v>1</v>
      </c>
      <c r="U678">
        <v>678</v>
      </c>
      <c r="V678">
        <f t="shared" si="195"/>
        <v>677</v>
      </c>
      <c r="W678">
        <f t="shared" si="196"/>
        <v>1.9077999451036391</v>
      </c>
      <c r="X678">
        <f t="shared" si="197"/>
        <v>0.93519413988924505</v>
      </c>
    </row>
    <row r="679" spans="1:24">
      <c r="A679">
        <v>679</v>
      </c>
      <c r="B679">
        <f t="shared" si="180"/>
        <v>678</v>
      </c>
      <c r="C679">
        <f t="shared" si="181"/>
        <v>0.92978946834973886</v>
      </c>
      <c r="D679">
        <f t="shared" si="182"/>
        <v>1.0427354058196601</v>
      </c>
      <c r="E679">
        <v>679</v>
      </c>
      <c r="F679">
        <f t="shared" si="183"/>
        <v>678</v>
      </c>
      <c r="G679">
        <f t="shared" si="184"/>
        <v>0.8695015903227693</v>
      </c>
      <c r="H679">
        <f t="shared" si="185"/>
        <v>1.10687730344655</v>
      </c>
      <c r="I679">
        <v>679</v>
      </c>
      <c r="J679">
        <f t="shared" si="186"/>
        <v>678</v>
      </c>
      <c r="K679">
        <f t="shared" si="187"/>
        <v>1.7195166550704228</v>
      </c>
      <c r="L679">
        <f t="shared" si="188"/>
        <v>1.26645031675154</v>
      </c>
      <c r="M679">
        <v>679</v>
      </c>
      <c r="N679">
        <f t="shared" si="189"/>
        <v>678</v>
      </c>
      <c r="O679">
        <f t="shared" si="190"/>
        <v>0.73139087145470594</v>
      </c>
      <c r="P679">
        <f t="shared" si="191"/>
        <v>0.253817018041334</v>
      </c>
      <c r="Q679">
        <v>679</v>
      </c>
      <c r="R679">
        <f t="shared" si="192"/>
        <v>678</v>
      </c>
      <c r="S679">
        <f t="shared" si="193"/>
        <v>1.9699570815450347</v>
      </c>
      <c r="T679">
        <f t="shared" si="194"/>
        <v>0</v>
      </c>
      <c r="U679">
        <v>679</v>
      </c>
      <c r="V679">
        <f t="shared" si="195"/>
        <v>678</v>
      </c>
      <c r="W679">
        <f t="shared" si="196"/>
        <v>1.9090451357757114</v>
      </c>
      <c r="X679">
        <f t="shared" si="197"/>
        <v>6.4805860110755301E-2</v>
      </c>
    </row>
    <row r="680" spans="1:24">
      <c r="A680">
        <v>680</v>
      </c>
      <c r="B680">
        <f t="shared" si="180"/>
        <v>679</v>
      </c>
      <c r="C680">
        <f t="shared" si="181"/>
        <v>0.9310978076750045</v>
      </c>
      <c r="D680">
        <f t="shared" si="182"/>
        <v>1.9572645941803399</v>
      </c>
      <c r="E680">
        <v>680</v>
      </c>
      <c r="F680">
        <f t="shared" si="183"/>
        <v>679</v>
      </c>
      <c r="G680">
        <f t="shared" si="184"/>
        <v>0.87062640490518262</v>
      </c>
      <c r="H680">
        <f t="shared" si="185"/>
        <v>1.89312269655345</v>
      </c>
      <c r="I680">
        <v>680</v>
      </c>
      <c r="J680">
        <f t="shared" si="186"/>
        <v>679</v>
      </c>
      <c r="K680">
        <f t="shared" si="187"/>
        <v>1.7201848945074714</v>
      </c>
      <c r="L680">
        <f t="shared" si="188"/>
        <v>1.73354968324846</v>
      </c>
      <c r="M680">
        <v>680</v>
      </c>
      <c r="N680">
        <f t="shared" si="189"/>
        <v>679</v>
      </c>
      <c r="O680">
        <f t="shared" si="190"/>
        <v>0.73209525766917993</v>
      </c>
      <c r="P680">
        <f t="shared" si="191"/>
        <v>0.74618298195866595</v>
      </c>
      <c r="Q680">
        <v>680</v>
      </c>
      <c r="R680">
        <f t="shared" si="192"/>
        <v>679</v>
      </c>
      <c r="S680">
        <f t="shared" si="193"/>
        <v>1.9713876967095554</v>
      </c>
      <c r="T680">
        <f t="shared" si="194"/>
        <v>1</v>
      </c>
      <c r="U680">
        <v>680</v>
      </c>
      <c r="V680">
        <f t="shared" si="195"/>
        <v>679</v>
      </c>
      <c r="W680">
        <f t="shared" si="196"/>
        <v>1.9102903264477837</v>
      </c>
      <c r="X680">
        <f t="shared" si="197"/>
        <v>0.93519413988924505</v>
      </c>
    </row>
    <row r="681" spans="1:24">
      <c r="A681">
        <v>681</v>
      </c>
      <c r="B681">
        <f t="shared" si="180"/>
        <v>680</v>
      </c>
      <c r="C681">
        <f t="shared" si="181"/>
        <v>0.93240614700027002</v>
      </c>
      <c r="D681">
        <f t="shared" si="182"/>
        <v>1.0427354058196601</v>
      </c>
      <c r="E681">
        <v>681</v>
      </c>
      <c r="F681">
        <f t="shared" si="183"/>
        <v>680</v>
      </c>
      <c r="G681">
        <f t="shared" si="184"/>
        <v>0.87175121948759593</v>
      </c>
      <c r="H681">
        <f t="shared" si="185"/>
        <v>1.10687730344655</v>
      </c>
      <c r="I681">
        <v>681</v>
      </c>
      <c r="J681">
        <f t="shared" si="186"/>
        <v>680</v>
      </c>
      <c r="K681">
        <f t="shared" si="187"/>
        <v>1.7208531339445199</v>
      </c>
      <c r="L681">
        <f t="shared" si="188"/>
        <v>1.26645031675154</v>
      </c>
      <c r="M681">
        <v>681</v>
      </c>
      <c r="N681">
        <f t="shared" si="189"/>
        <v>680</v>
      </c>
      <c r="O681">
        <f t="shared" si="190"/>
        <v>0.73279964388365393</v>
      </c>
      <c r="P681">
        <f t="shared" si="191"/>
        <v>0.253817018041334</v>
      </c>
      <c r="Q681">
        <v>681</v>
      </c>
      <c r="R681">
        <f t="shared" si="192"/>
        <v>680</v>
      </c>
      <c r="S681">
        <f t="shared" si="193"/>
        <v>1.9728183118740761</v>
      </c>
      <c r="T681">
        <f t="shared" si="194"/>
        <v>0</v>
      </c>
      <c r="U681">
        <v>681</v>
      </c>
      <c r="V681">
        <f t="shared" si="195"/>
        <v>680</v>
      </c>
      <c r="W681">
        <f t="shared" si="196"/>
        <v>1.911535517119856</v>
      </c>
      <c r="X681">
        <f t="shared" si="197"/>
        <v>6.4805860110755301E-2</v>
      </c>
    </row>
    <row r="682" spans="1:24">
      <c r="A682">
        <v>682</v>
      </c>
      <c r="B682">
        <f t="shared" si="180"/>
        <v>681</v>
      </c>
      <c r="C682">
        <f t="shared" si="181"/>
        <v>0.93371448632553566</v>
      </c>
      <c r="D682">
        <f t="shared" si="182"/>
        <v>1.9572645941803399</v>
      </c>
      <c r="E682">
        <v>682</v>
      </c>
      <c r="F682">
        <f t="shared" si="183"/>
        <v>681</v>
      </c>
      <c r="G682">
        <f t="shared" si="184"/>
        <v>0.87287603407000924</v>
      </c>
      <c r="H682">
        <f t="shared" si="185"/>
        <v>1.89312269655345</v>
      </c>
      <c r="I682">
        <v>682</v>
      </c>
      <c r="J682">
        <f t="shared" si="186"/>
        <v>681</v>
      </c>
      <c r="K682">
        <f t="shared" si="187"/>
        <v>1.7215213733815684</v>
      </c>
      <c r="L682">
        <f t="shared" si="188"/>
        <v>1.73354968324846</v>
      </c>
      <c r="M682">
        <v>682</v>
      </c>
      <c r="N682">
        <f t="shared" si="189"/>
        <v>681</v>
      </c>
      <c r="O682">
        <f t="shared" si="190"/>
        <v>0.73350403009812792</v>
      </c>
      <c r="P682">
        <f t="shared" si="191"/>
        <v>0.74618298195866595</v>
      </c>
      <c r="Q682">
        <v>682</v>
      </c>
      <c r="R682">
        <f t="shared" si="192"/>
        <v>681</v>
      </c>
      <c r="S682">
        <f t="shared" si="193"/>
        <v>1.9742489270385968</v>
      </c>
      <c r="T682">
        <f t="shared" si="194"/>
        <v>1</v>
      </c>
      <c r="U682">
        <v>682</v>
      </c>
      <c r="V682">
        <f t="shared" si="195"/>
        <v>681</v>
      </c>
      <c r="W682">
        <f t="shared" si="196"/>
        <v>1.9127807077919281</v>
      </c>
      <c r="X682">
        <f t="shared" si="197"/>
        <v>0.93519413988924505</v>
      </c>
    </row>
    <row r="683" spans="1:24">
      <c r="A683">
        <v>683</v>
      </c>
      <c r="B683">
        <f t="shared" si="180"/>
        <v>682</v>
      </c>
      <c r="C683">
        <f t="shared" si="181"/>
        <v>0.9350228256508013</v>
      </c>
      <c r="D683">
        <f t="shared" si="182"/>
        <v>1.0427354058196601</v>
      </c>
      <c r="E683">
        <v>683</v>
      </c>
      <c r="F683">
        <f t="shared" si="183"/>
        <v>682</v>
      </c>
      <c r="G683">
        <f t="shared" si="184"/>
        <v>0.87400084865242256</v>
      </c>
      <c r="H683">
        <f t="shared" si="185"/>
        <v>1.10687730344655</v>
      </c>
      <c r="I683">
        <v>683</v>
      </c>
      <c r="J683">
        <f t="shared" si="186"/>
        <v>682</v>
      </c>
      <c r="K683">
        <f t="shared" si="187"/>
        <v>1.7221896128186169</v>
      </c>
      <c r="L683">
        <f t="shared" si="188"/>
        <v>1.26645031675154</v>
      </c>
      <c r="M683">
        <v>683</v>
      </c>
      <c r="N683">
        <f t="shared" si="189"/>
        <v>682</v>
      </c>
      <c r="O683">
        <f t="shared" si="190"/>
        <v>0.73420841631260192</v>
      </c>
      <c r="P683">
        <f t="shared" si="191"/>
        <v>0.253817018041334</v>
      </c>
      <c r="Q683">
        <v>683</v>
      </c>
      <c r="R683">
        <f t="shared" si="192"/>
        <v>682</v>
      </c>
      <c r="S683">
        <f t="shared" si="193"/>
        <v>1.9756795422031175</v>
      </c>
      <c r="T683">
        <f t="shared" si="194"/>
        <v>0</v>
      </c>
      <c r="U683">
        <v>683</v>
      </c>
      <c r="V683">
        <f t="shared" si="195"/>
        <v>682</v>
      </c>
      <c r="W683">
        <f t="shared" si="196"/>
        <v>1.9140258984640002</v>
      </c>
      <c r="X683">
        <f t="shared" si="197"/>
        <v>6.4805860110755301E-2</v>
      </c>
    </row>
    <row r="684" spans="1:24">
      <c r="A684">
        <v>684</v>
      </c>
      <c r="B684">
        <f t="shared" si="180"/>
        <v>683</v>
      </c>
      <c r="C684">
        <f t="shared" si="181"/>
        <v>0.93633116497606683</v>
      </c>
      <c r="D684">
        <f t="shared" si="182"/>
        <v>1.9572645941803399</v>
      </c>
      <c r="E684">
        <v>684</v>
      </c>
      <c r="F684">
        <f t="shared" si="183"/>
        <v>683</v>
      </c>
      <c r="G684">
        <f t="shared" si="184"/>
        <v>0.87512566323483587</v>
      </c>
      <c r="H684">
        <f t="shared" si="185"/>
        <v>1.89312269655345</v>
      </c>
      <c r="I684">
        <v>684</v>
      </c>
      <c r="J684">
        <f t="shared" si="186"/>
        <v>683</v>
      </c>
      <c r="K684">
        <f t="shared" si="187"/>
        <v>1.7228578522556655</v>
      </c>
      <c r="L684">
        <f t="shared" si="188"/>
        <v>1.73354968324846</v>
      </c>
      <c r="M684">
        <v>684</v>
      </c>
      <c r="N684">
        <f t="shared" si="189"/>
        <v>683</v>
      </c>
      <c r="O684">
        <f t="shared" si="190"/>
        <v>0.73491280252707591</v>
      </c>
      <c r="P684">
        <f t="shared" si="191"/>
        <v>0.74618298195866595</v>
      </c>
      <c r="Q684">
        <v>684</v>
      </c>
      <c r="R684">
        <f t="shared" si="192"/>
        <v>683</v>
      </c>
      <c r="S684">
        <f t="shared" si="193"/>
        <v>1.9771101573676382</v>
      </c>
      <c r="T684">
        <f t="shared" si="194"/>
        <v>1</v>
      </c>
      <c r="U684">
        <v>684</v>
      </c>
      <c r="V684">
        <f t="shared" si="195"/>
        <v>683</v>
      </c>
      <c r="W684">
        <f t="shared" si="196"/>
        <v>1.9152710891360725</v>
      </c>
      <c r="X684">
        <f t="shared" si="197"/>
        <v>0.93519413988924505</v>
      </c>
    </row>
    <row r="685" spans="1:24">
      <c r="A685">
        <v>685</v>
      </c>
      <c r="B685">
        <f t="shared" si="180"/>
        <v>684</v>
      </c>
      <c r="C685">
        <f t="shared" si="181"/>
        <v>0.93763950430133247</v>
      </c>
      <c r="D685">
        <f t="shared" si="182"/>
        <v>1.0427354058196601</v>
      </c>
      <c r="E685">
        <v>685</v>
      </c>
      <c r="F685">
        <f t="shared" si="183"/>
        <v>684</v>
      </c>
      <c r="G685">
        <f t="shared" si="184"/>
        <v>0.87625047781724907</v>
      </c>
      <c r="H685">
        <f t="shared" si="185"/>
        <v>1.10687730344655</v>
      </c>
      <c r="I685">
        <v>685</v>
      </c>
      <c r="J685">
        <f t="shared" si="186"/>
        <v>684</v>
      </c>
      <c r="K685">
        <f t="shared" si="187"/>
        <v>1.723526091692714</v>
      </c>
      <c r="L685">
        <f t="shared" si="188"/>
        <v>1.26645031675154</v>
      </c>
      <c r="M685">
        <v>685</v>
      </c>
      <c r="N685">
        <f t="shared" si="189"/>
        <v>684</v>
      </c>
      <c r="O685">
        <f t="shared" si="190"/>
        <v>0.73561718874154991</v>
      </c>
      <c r="P685">
        <f t="shared" si="191"/>
        <v>0.253817018041334</v>
      </c>
      <c r="Q685">
        <v>685</v>
      </c>
      <c r="R685">
        <f t="shared" si="192"/>
        <v>684</v>
      </c>
      <c r="S685">
        <f t="shared" si="193"/>
        <v>1.9785407725321589</v>
      </c>
      <c r="T685">
        <f t="shared" si="194"/>
        <v>0</v>
      </c>
      <c r="U685">
        <v>685</v>
      </c>
      <c r="V685">
        <f t="shared" si="195"/>
        <v>684</v>
      </c>
      <c r="W685">
        <f t="shared" si="196"/>
        <v>1.9165162798081448</v>
      </c>
      <c r="X685">
        <f t="shared" si="197"/>
        <v>6.4805860110755301E-2</v>
      </c>
    </row>
    <row r="686" spans="1:24">
      <c r="A686">
        <v>686</v>
      </c>
      <c r="B686">
        <f t="shared" si="180"/>
        <v>685</v>
      </c>
      <c r="C686">
        <f t="shared" si="181"/>
        <v>0.93894784362659811</v>
      </c>
      <c r="D686">
        <f t="shared" si="182"/>
        <v>1.9572645941803399</v>
      </c>
      <c r="E686">
        <v>686</v>
      </c>
      <c r="F686">
        <f t="shared" si="183"/>
        <v>685</v>
      </c>
      <c r="G686">
        <f t="shared" si="184"/>
        <v>0.87737529239966239</v>
      </c>
      <c r="H686">
        <f t="shared" si="185"/>
        <v>1.89312269655345</v>
      </c>
      <c r="I686">
        <v>686</v>
      </c>
      <c r="J686">
        <f t="shared" si="186"/>
        <v>685</v>
      </c>
      <c r="K686">
        <f t="shared" si="187"/>
        <v>1.7241943311297625</v>
      </c>
      <c r="L686">
        <f t="shared" si="188"/>
        <v>1.73354968324846</v>
      </c>
      <c r="M686">
        <v>686</v>
      </c>
      <c r="N686">
        <f t="shared" si="189"/>
        <v>685</v>
      </c>
      <c r="O686">
        <f t="shared" si="190"/>
        <v>0.73632157495602391</v>
      </c>
      <c r="P686">
        <f t="shared" si="191"/>
        <v>0.74618298195866595</v>
      </c>
      <c r="Q686">
        <v>686</v>
      </c>
      <c r="R686">
        <f t="shared" si="192"/>
        <v>685</v>
      </c>
      <c r="S686">
        <f t="shared" si="193"/>
        <v>1.9799713876966796</v>
      </c>
      <c r="T686">
        <f t="shared" si="194"/>
        <v>1</v>
      </c>
      <c r="U686">
        <v>686</v>
      </c>
      <c r="V686">
        <f t="shared" si="195"/>
        <v>685</v>
      </c>
      <c r="W686">
        <f t="shared" si="196"/>
        <v>1.9177614704802171</v>
      </c>
      <c r="X686">
        <f t="shared" si="197"/>
        <v>0.93519413988924505</v>
      </c>
    </row>
    <row r="687" spans="1:24">
      <c r="A687">
        <v>687</v>
      </c>
      <c r="B687">
        <f t="shared" si="180"/>
        <v>686</v>
      </c>
      <c r="C687">
        <f t="shared" si="181"/>
        <v>0.94025618295186364</v>
      </c>
      <c r="D687">
        <f t="shared" si="182"/>
        <v>1.0427354058196601</v>
      </c>
      <c r="E687">
        <v>687</v>
      </c>
      <c r="F687">
        <f t="shared" si="183"/>
        <v>686</v>
      </c>
      <c r="G687">
        <f t="shared" si="184"/>
        <v>0.8785001069820757</v>
      </c>
      <c r="H687">
        <f t="shared" si="185"/>
        <v>1.10687730344655</v>
      </c>
      <c r="I687">
        <v>687</v>
      </c>
      <c r="J687">
        <f t="shared" si="186"/>
        <v>686</v>
      </c>
      <c r="K687">
        <f t="shared" si="187"/>
        <v>1.724862570566811</v>
      </c>
      <c r="L687">
        <f t="shared" si="188"/>
        <v>1.26645031675154</v>
      </c>
      <c r="M687">
        <v>687</v>
      </c>
      <c r="N687">
        <f t="shared" si="189"/>
        <v>686</v>
      </c>
      <c r="O687">
        <f t="shared" si="190"/>
        <v>0.7370259611704979</v>
      </c>
      <c r="P687">
        <f t="shared" si="191"/>
        <v>0.253817018041334</v>
      </c>
      <c r="Q687">
        <v>687</v>
      </c>
      <c r="R687">
        <f t="shared" si="192"/>
        <v>686</v>
      </c>
      <c r="S687">
        <f t="shared" si="193"/>
        <v>1.9814020028612003</v>
      </c>
      <c r="T687">
        <f t="shared" si="194"/>
        <v>0</v>
      </c>
      <c r="U687">
        <v>687</v>
      </c>
      <c r="V687">
        <f t="shared" si="195"/>
        <v>686</v>
      </c>
      <c r="W687">
        <f t="shared" si="196"/>
        <v>1.9190066611522891</v>
      </c>
      <c r="X687">
        <f t="shared" si="197"/>
        <v>6.4805860110755301E-2</v>
      </c>
    </row>
    <row r="688" spans="1:24">
      <c r="A688">
        <v>688</v>
      </c>
      <c r="B688">
        <f t="shared" si="180"/>
        <v>687</v>
      </c>
      <c r="C688">
        <f t="shared" si="181"/>
        <v>0.94156452227712928</v>
      </c>
      <c r="D688">
        <f t="shared" si="182"/>
        <v>1.9572645941803399</v>
      </c>
      <c r="E688">
        <v>688</v>
      </c>
      <c r="F688">
        <f t="shared" si="183"/>
        <v>687</v>
      </c>
      <c r="G688">
        <f t="shared" si="184"/>
        <v>0.87962492156448902</v>
      </c>
      <c r="H688">
        <f t="shared" si="185"/>
        <v>1.89312269655345</v>
      </c>
      <c r="I688">
        <v>688</v>
      </c>
      <c r="J688">
        <f t="shared" si="186"/>
        <v>687</v>
      </c>
      <c r="K688">
        <f t="shared" si="187"/>
        <v>1.7255308100038595</v>
      </c>
      <c r="L688">
        <f t="shared" si="188"/>
        <v>1.73354968324846</v>
      </c>
      <c r="M688">
        <v>688</v>
      </c>
      <c r="N688">
        <f t="shared" si="189"/>
        <v>687</v>
      </c>
      <c r="O688">
        <f t="shared" si="190"/>
        <v>0.7377303473849719</v>
      </c>
      <c r="P688">
        <f t="shared" si="191"/>
        <v>0.74618298195866595</v>
      </c>
      <c r="Q688">
        <v>688</v>
      </c>
      <c r="R688">
        <f t="shared" si="192"/>
        <v>687</v>
      </c>
      <c r="S688">
        <f t="shared" si="193"/>
        <v>1.982832618025721</v>
      </c>
      <c r="T688">
        <f t="shared" si="194"/>
        <v>1</v>
      </c>
      <c r="U688">
        <v>688</v>
      </c>
      <c r="V688">
        <f t="shared" si="195"/>
        <v>687</v>
      </c>
      <c r="W688">
        <f t="shared" si="196"/>
        <v>1.9202518518243612</v>
      </c>
      <c r="X688">
        <f t="shared" si="197"/>
        <v>0.93519413988924505</v>
      </c>
    </row>
    <row r="689" spans="1:24">
      <c r="A689">
        <v>689</v>
      </c>
      <c r="B689">
        <f t="shared" si="180"/>
        <v>688</v>
      </c>
      <c r="C689">
        <f t="shared" si="181"/>
        <v>0.94287286160239481</v>
      </c>
      <c r="D689">
        <f t="shared" si="182"/>
        <v>1.0427354058196601</v>
      </c>
      <c r="E689">
        <v>689</v>
      </c>
      <c r="F689">
        <f t="shared" si="183"/>
        <v>688</v>
      </c>
      <c r="G689">
        <f t="shared" si="184"/>
        <v>0.88074973614690233</v>
      </c>
      <c r="H689">
        <f t="shared" si="185"/>
        <v>1.10687730344655</v>
      </c>
      <c r="I689">
        <v>689</v>
      </c>
      <c r="J689">
        <f t="shared" si="186"/>
        <v>688</v>
      </c>
      <c r="K689">
        <f t="shared" si="187"/>
        <v>1.7261990494409081</v>
      </c>
      <c r="L689">
        <f t="shared" si="188"/>
        <v>1.26645031675154</v>
      </c>
      <c r="M689">
        <v>689</v>
      </c>
      <c r="N689">
        <f t="shared" si="189"/>
        <v>688</v>
      </c>
      <c r="O689">
        <f t="shared" si="190"/>
        <v>0.73843473359944589</v>
      </c>
      <c r="P689">
        <f t="shared" si="191"/>
        <v>0.253817018041334</v>
      </c>
      <c r="Q689">
        <v>689</v>
      </c>
      <c r="R689">
        <f t="shared" si="192"/>
        <v>688</v>
      </c>
      <c r="S689">
        <f t="shared" si="193"/>
        <v>1.9842632331902417</v>
      </c>
      <c r="T689">
        <f t="shared" si="194"/>
        <v>0</v>
      </c>
      <c r="U689">
        <v>689</v>
      </c>
      <c r="V689">
        <f t="shared" si="195"/>
        <v>688</v>
      </c>
      <c r="W689">
        <f t="shared" si="196"/>
        <v>1.9214970424964335</v>
      </c>
      <c r="X689">
        <f t="shared" si="197"/>
        <v>6.4805860110755301E-2</v>
      </c>
    </row>
    <row r="690" spans="1:24">
      <c r="A690">
        <v>690</v>
      </c>
      <c r="B690">
        <f t="shared" si="180"/>
        <v>689</v>
      </c>
      <c r="C690">
        <f t="shared" si="181"/>
        <v>0.94418120092766045</v>
      </c>
      <c r="D690">
        <f t="shared" si="182"/>
        <v>1.9572645941803399</v>
      </c>
      <c r="E690">
        <v>690</v>
      </c>
      <c r="F690">
        <f t="shared" si="183"/>
        <v>689</v>
      </c>
      <c r="G690">
        <f t="shared" si="184"/>
        <v>0.88187455072931564</v>
      </c>
      <c r="H690">
        <f t="shared" si="185"/>
        <v>1.89312269655345</v>
      </c>
      <c r="I690">
        <v>690</v>
      </c>
      <c r="J690">
        <f t="shared" si="186"/>
        <v>689</v>
      </c>
      <c r="K690">
        <f t="shared" si="187"/>
        <v>1.7268672888779564</v>
      </c>
      <c r="L690">
        <f t="shared" si="188"/>
        <v>1.73354968324846</v>
      </c>
      <c r="M690">
        <v>690</v>
      </c>
      <c r="N690">
        <f t="shared" si="189"/>
        <v>689</v>
      </c>
      <c r="O690">
        <f t="shared" si="190"/>
        <v>0.73913911981392</v>
      </c>
      <c r="P690">
        <f t="shared" si="191"/>
        <v>0.74618298195866595</v>
      </c>
      <c r="Q690">
        <v>690</v>
      </c>
      <c r="R690">
        <f t="shared" si="192"/>
        <v>689</v>
      </c>
      <c r="S690">
        <f t="shared" si="193"/>
        <v>1.9856938483547624</v>
      </c>
      <c r="T690">
        <f t="shared" si="194"/>
        <v>1</v>
      </c>
      <c r="U690">
        <v>690</v>
      </c>
      <c r="V690">
        <f t="shared" si="195"/>
        <v>689</v>
      </c>
      <c r="W690">
        <f t="shared" si="196"/>
        <v>1.9227422331685058</v>
      </c>
      <c r="X690">
        <f t="shared" si="197"/>
        <v>0.93519413988924505</v>
      </c>
    </row>
    <row r="691" spans="1:24">
      <c r="A691">
        <v>691</v>
      </c>
      <c r="B691">
        <f t="shared" si="180"/>
        <v>690</v>
      </c>
      <c r="C691">
        <f t="shared" si="181"/>
        <v>0.94548954025292609</v>
      </c>
      <c r="D691">
        <f t="shared" si="182"/>
        <v>1.0427354058196601</v>
      </c>
      <c r="E691">
        <v>691</v>
      </c>
      <c r="F691">
        <f t="shared" si="183"/>
        <v>690</v>
      </c>
      <c r="G691">
        <f t="shared" si="184"/>
        <v>0.88299936531172896</v>
      </c>
      <c r="H691">
        <f t="shared" si="185"/>
        <v>1.10687730344655</v>
      </c>
      <c r="I691">
        <v>691</v>
      </c>
      <c r="J691">
        <f t="shared" si="186"/>
        <v>690</v>
      </c>
      <c r="K691">
        <f t="shared" si="187"/>
        <v>1.7275355283150049</v>
      </c>
      <c r="L691">
        <f t="shared" si="188"/>
        <v>1.26645031675154</v>
      </c>
      <c r="M691">
        <v>691</v>
      </c>
      <c r="N691">
        <f t="shared" si="189"/>
        <v>690</v>
      </c>
      <c r="O691">
        <f t="shared" si="190"/>
        <v>0.73984350602839399</v>
      </c>
      <c r="P691">
        <f t="shared" si="191"/>
        <v>0.253817018041334</v>
      </c>
      <c r="Q691">
        <v>691</v>
      </c>
      <c r="R691">
        <f t="shared" si="192"/>
        <v>690</v>
      </c>
      <c r="S691">
        <f t="shared" si="193"/>
        <v>1.9871244635192831</v>
      </c>
      <c r="T691">
        <f t="shared" si="194"/>
        <v>0</v>
      </c>
      <c r="U691">
        <v>691</v>
      </c>
      <c r="V691">
        <f t="shared" si="195"/>
        <v>690</v>
      </c>
      <c r="W691">
        <f t="shared" si="196"/>
        <v>1.9239874238405779</v>
      </c>
      <c r="X691">
        <f t="shared" si="197"/>
        <v>6.4805860110755301E-2</v>
      </c>
    </row>
    <row r="692" spans="1:24">
      <c r="A692">
        <v>692</v>
      </c>
      <c r="B692">
        <f t="shared" si="180"/>
        <v>691</v>
      </c>
      <c r="C692">
        <f t="shared" si="181"/>
        <v>0.94679787957819161</v>
      </c>
      <c r="D692">
        <f t="shared" si="182"/>
        <v>1.9572645941803399</v>
      </c>
      <c r="E692">
        <v>692</v>
      </c>
      <c r="F692">
        <f t="shared" si="183"/>
        <v>691</v>
      </c>
      <c r="G692">
        <f t="shared" si="184"/>
        <v>0.88412417989414227</v>
      </c>
      <c r="H692">
        <f t="shared" si="185"/>
        <v>1.89312269655345</v>
      </c>
      <c r="I692">
        <v>692</v>
      </c>
      <c r="J692">
        <f t="shared" si="186"/>
        <v>691</v>
      </c>
      <c r="K692">
        <f t="shared" si="187"/>
        <v>1.7282037677520534</v>
      </c>
      <c r="L692">
        <f t="shared" si="188"/>
        <v>1.73354968324846</v>
      </c>
      <c r="M692">
        <v>692</v>
      </c>
      <c r="N692">
        <f t="shared" si="189"/>
        <v>691</v>
      </c>
      <c r="O692">
        <f t="shared" si="190"/>
        <v>0.74054789224286799</v>
      </c>
      <c r="P692">
        <f t="shared" si="191"/>
        <v>0.74618298195866595</v>
      </c>
      <c r="Q692">
        <v>692</v>
      </c>
      <c r="R692">
        <f t="shared" si="192"/>
        <v>691</v>
      </c>
      <c r="S692">
        <f t="shared" si="193"/>
        <v>1.9885550786838038</v>
      </c>
      <c r="T692">
        <f t="shared" si="194"/>
        <v>1</v>
      </c>
      <c r="U692">
        <v>692</v>
      </c>
      <c r="V692">
        <f t="shared" si="195"/>
        <v>691</v>
      </c>
      <c r="W692">
        <f t="shared" si="196"/>
        <v>1.9252326145126502</v>
      </c>
      <c r="X692">
        <f t="shared" si="197"/>
        <v>0.93519413988924505</v>
      </c>
    </row>
    <row r="693" spans="1:24">
      <c r="A693">
        <v>693</v>
      </c>
      <c r="B693">
        <f t="shared" si="180"/>
        <v>692</v>
      </c>
      <c r="C693">
        <f t="shared" si="181"/>
        <v>0.94810621890345725</v>
      </c>
      <c r="D693">
        <f t="shared" si="182"/>
        <v>1.0427354058196601</v>
      </c>
      <c r="E693">
        <v>693</v>
      </c>
      <c r="F693">
        <f t="shared" si="183"/>
        <v>692</v>
      </c>
      <c r="G693">
        <f t="shared" si="184"/>
        <v>0.88524899447655558</v>
      </c>
      <c r="H693">
        <f t="shared" si="185"/>
        <v>1.10687730344655</v>
      </c>
      <c r="I693">
        <v>693</v>
      </c>
      <c r="J693">
        <f t="shared" si="186"/>
        <v>692</v>
      </c>
      <c r="K693">
        <f t="shared" si="187"/>
        <v>1.7288720071891019</v>
      </c>
      <c r="L693">
        <f t="shared" si="188"/>
        <v>1.26645031675154</v>
      </c>
      <c r="M693">
        <v>693</v>
      </c>
      <c r="N693">
        <f t="shared" si="189"/>
        <v>692</v>
      </c>
      <c r="O693">
        <f t="shared" si="190"/>
        <v>0.74125227845734198</v>
      </c>
      <c r="P693">
        <f t="shared" si="191"/>
        <v>0.253817018041334</v>
      </c>
      <c r="Q693">
        <v>693</v>
      </c>
      <c r="R693">
        <f t="shared" si="192"/>
        <v>692</v>
      </c>
      <c r="S693">
        <f t="shared" si="193"/>
        <v>1.9899856938483245</v>
      </c>
      <c r="T693">
        <f t="shared" si="194"/>
        <v>0</v>
      </c>
      <c r="U693">
        <v>693</v>
      </c>
      <c r="V693">
        <f t="shared" si="195"/>
        <v>692</v>
      </c>
      <c r="W693">
        <f t="shared" si="196"/>
        <v>1.9264778051847222</v>
      </c>
      <c r="X693">
        <f t="shared" si="197"/>
        <v>6.4805860110755301E-2</v>
      </c>
    </row>
    <row r="694" spans="1:24">
      <c r="A694">
        <v>694</v>
      </c>
      <c r="B694">
        <f t="shared" si="180"/>
        <v>693</v>
      </c>
      <c r="C694">
        <f t="shared" si="181"/>
        <v>0.94941455822872289</v>
      </c>
      <c r="D694">
        <f t="shared" si="182"/>
        <v>1.9572645941803399</v>
      </c>
      <c r="E694">
        <v>694</v>
      </c>
      <c r="F694">
        <f t="shared" si="183"/>
        <v>693</v>
      </c>
      <c r="G694">
        <f t="shared" si="184"/>
        <v>0.88637380905896879</v>
      </c>
      <c r="H694">
        <f t="shared" si="185"/>
        <v>1.89312269655345</v>
      </c>
      <c r="I694">
        <v>694</v>
      </c>
      <c r="J694">
        <f t="shared" si="186"/>
        <v>693</v>
      </c>
      <c r="K694">
        <f t="shared" si="187"/>
        <v>1.7295402466261505</v>
      </c>
      <c r="L694">
        <f t="shared" si="188"/>
        <v>1.73354968324846</v>
      </c>
      <c r="M694">
        <v>694</v>
      </c>
      <c r="N694">
        <f t="shared" si="189"/>
        <v>693</v>
      </c>
      <c r="O694">
        <f t="shared" si="190"/>
        <v>0.74195666467181598</v>
      </c>
      <c r="P694">
        <f t="shared" si="191"/>
        <v>0.74618298195866595</v>
      </c>
      <c r="Q694">
        <v>694</v>
      </c>
      <c r="R694">
        <f t="shared" si="192"/>
        <v>693</v>
      </c>
      <c r="S694">
        <f t="shared" si="193"/>
        <v>1.9914163090128452</v>
      </c>
      <c r="T694">
        <f t="shared" si="194"/>
        <v>1</v>
      </c>
      <c r="U694">
        <v>694</v>
      </c>
      <c r="V694">
        <f t="shared" si="195"/>
        <v>693</v>
      </c>
      <c r="W694">
        <f t="shared" si="196"/>
        <v>1.9277229958567945</v>
      </c>
      <c r="X694">
        <f t="shared" si="197"/>
        <v>0.93519413988924505</v>
      </c>
    </row>
    <row r="695" spans="1:24">
      <c r="A695">
        <v>695</v>
      </c>
      <c r="B695">
        <f t="shared" si="180"/>
        <v>694</v>
      </c>
      <c r="C695">
        <f t="shared" si="181"/>
        <v>0.95072289755398842</v>
      </c>
      <c r="D695">
        <f t="shared" si="182"/>
        <v>1.0427354058196601</v>
      </c>
      <c r="E695">
        <v>695</v>
      </c>
      <c r="F695">
        <f t="shared" si="183"/>
        <v>694</v>
      </c>
      <c r="G695">
        <f t="shared" si="184"/>
        <v>0.8874986236413821</v>
      </c>
      <c r="H695">
        <f t="shared" si="185"/>
        <v>1.10687730344655</v>
      </c>
      <c r="I695">
        <v>695</v>
      </c>
      <c r="J695">
        <f t="shared" si="186"/>
        <v>694</v>
      </c>
      <c r="K695">
        <f t="shared" si="187"/>
        <v>1.730208486063199</v>
      </c>
      <c r="L695">
        <f t="shared" si="188"/>
        <v>1.26645031675154</v>
      </c>
      <c r="M695">
        <v>695</v>
      </c>
      <c r="N695">
        <f t="shared" si="189"/>
        <v>694</v>
      </c>
      <c r="O695">
        <f t="shared" si="190"/>
        <v>0.74266105088628998</v>
      </c>
      <c r="P695">
        <f t="shared" si="191"/>
        <v>0.253817018041334</v>
      </c>
      <c r="Q695">
        <v>695</v>
      </c>
      <c r="R695">
        <f t="shared" si="192"/>
        <v>694</v>
      </c>
      <c r="S695">
        <f t="shared" si="193"/>
        <v>1.9928469241773659</v>
      </c>
      <c r="T695">
        <f t="shared" si="194"/>
        <v>0</v>
      </c>
      <c r="U695">
        <v>695</v>
      </c>
      <c r="V695">
        <f t="shared" si="195"/>
        <v>694</v>
      </c>
      <c r="W695">
        <f t="shared" si="196"/>
        <v>1.9289681865288668</v>
      </c>
      <c r="X695">
        <f t="shared" si="197"/>
        <v>6.4805860110755301E-2</v>
      </c>
    </row>
    <row r="696" spans="1:24">
      <c r="A696">
        <v>696</v>
      </c>
      <c r="B696">
        <f t="shared" si="180"/>
        <v>695</v>
      </c>
      <c r="C696">
        <f t="shared" si="181"/>
        <v>0.95203123687925406</v>
      </c>
      <c r="D696">
        <f t="shared" si="182"/>
        <v>1.9572645941803399</v>
      </c>
      <c r="E696">
        <v>696</v>
      </c>
      <c r="F696">
        <f t="shared" si="183"/>
        <v>695</v>
      </c>
      <c r="G696">
        <f t="shared" si="184"/>
        <v>0.88862343822379541</v>
      </c>
      <c r="H696">
        <f t="shared" si="185"/>
        <v>1.89312269655345</v>
      </c>
      <c r="I696">
        <v>696</v>
      </c>
      <c r="J696">
        <f t="shared" si="186"/>
        <v>695</v>
      </c>
      <c r="K696">
        <f t="shared" si="187"/>
        <v>1.7308767255002475</v>
      </c>
      <c r="L696">
        <f t="shared" si="188"/>
        <v>1.73354968324846</v>
      </c>
      <c r="M696">
        <v>696</v>
      </c>
      <c r="N696">
        <f t="shared" si="189"/>
        <v>695</v>
      </c>
      <c r="O696">
        <f t="shared" si="190"/>
        <v>0.74336543710076397</v>
      </c>
      <c r="P696">
        <f t="shared" si="191"/>
        <v>0.74618298195866595</v>
      </c>
      <c r="Q696">
        <v>696</v>
      </c>
      <c r="R696">
        <f t="shared" si="192"/>
        <v>695</v>
      </c>
      <c r="S696">
        <f t="shared" si="193"/>
        <v>1.9942775393418866</v>
      </c>
      <c r="T696">
        <f t="shared" si="194"/>
        <v>1</v>
      </c>
      <c r="U696">
        <v>696</v>
      </c>
      <c r="V696">
        <f t="shared" si="195"/>
        <v>695</v>
      </c>
      <c r="W696">
        <f t="shared" si="196"/>
        <v>1.9302133772009389</v>
      </c>
      <c r="X696">
        <f t="shared" si="197"/>
        <v>0.93519413988924505</v>
      </c>
    </row>
    <row r="697" spans="1:24">
      <c r="A697">
        <v>697</v>
      </c>
      <c r="B697">
        <f t="shared" si="180"/>
        <v>696</v>
      </c>
      <c r="C697">
        <f t="shared" si="181"/>
        <v>0.9533395762045197</v>
      </c>
      <c r="D697">
        <f t="shared" si="182"/>
        <v>1.0427354058196601</v>
      </c>
      <c r="E697">
        <v>697</v>
      </c>
      <c r="F697">
        <f t="shared" si="183"/>
        <v>696</v>
      </c>
      <c r="G697">
        <f t="shared" si="184"/>
        <v>0.88974825280620873</v>
      </c>
      <c r="H697">
        <f t="shared" si="185"/>
        <v>1.10687730344655</v>
      </c>
      <c r="I697">
        <v>697</v>
      </c>
      <c r="J697">
        <f t="shared" si="186"/>
        <v>696</v>
      </c>
      <c r="K697">
        <f t="shared" si="187"/>
        <v>1.7315449649372958</v>
      </c>
      <c r="L697">
        <f t="shared" si="188"/>
        <v>1.26645031675154</v>
      </c>
      <c r="M697">
        <v>697</v>
      </c>
      <c r="N697">
        <f t="shared" si="189"/>
        <v>696</v>
      </c>
      <c r="O697">
        <f t="shared" si="190"/>
        <v>0.74406982331523797</v>
      </c>
      <c r="P697">
        <f t="shared" si="191"/>
        <v>0.253817018041334</v>
      </c>
      <c r="Q697">
        <v>697</v>
      </c>
      <c r="R697">
        <f t="shared" si="192"/>
        <v>696</v>
      </c>
      <c r="S697">
        <f t="shared" si="193"/>
        <v>1.9957081545064073</v>
      </c>
      <c r="T697">
        <f t="shared" si="194"/>
        <v>0</v>
      </c>
      <c r="U697">
        <v>697</v>
      </c>
      <c r="V697">
        <f t="shared" si="195"/>
        <v>696</v>
      </c>
      <c r="W697">
        <f t="shared" si="196"/>
        <v>1.931458567873011</v>
      </c>
      <c r="X697">
        <f t="shared" si="197"/>
        <v>6.4805860110755301E-2</v>
      </c>
    </row>
    <row r="698" spans="1:24">
      <c r="A698">
        <v>698</v>
      </c>
      <c r="B698">
        <f t="shared" si="180"/>
        <v>697</v>
      </c>
      <c r="C698">
        <f t="shared" si="181"/>
        <v>0.95464791552978523</v>
      </c>
      <c r="D698">
        <f t="shared" si="182"/>
        <v>1.9572645941803399</v>
      </c>
      <c r="E698">
        <v>698</v>
      </c>
      <c r="F698">
        <f t="shared" si="183"/>
        <v>697</v>
      </c>
      <c r="G698">
        <f t="shared" si="184"/>
        <v>0.89087306738862204</v>
      </c>
      <c r="H698">
        <f t="shared" si="185"/>
        <v>1.89312269655345</v>
      </c>
      <c r="I698">
        <v>698</v>
      </c>
      <c r="J698">
        <f t="shared" si="186"/>
        <v>697</v>
      </c>
      <c r="K698">
        <f t="shared" si="187"/>
        <v>1.7322132043743443</v>
      </c>
      <c r="L698">
        <f t="shared" si="188"/>
        <v>1.73354968324846</v>
      </c>
      <c r="M698">
        <v>698</v>
      </c>
      <c r="N698">
        <f t="shared" si="189"/>
        <v>697</v>
      </c>
      <c r="O698">
        <f t="shared" si="190"/>
        <v>0.74477420952971196</v>
      </c>
      <c r="P698">
        <f t="shared" si="191"/>
        <v>0.74618298195866595</v>
      </c>
      <c r="Q698">
        <v>698</v>
      </c>
      <c r="R698">
        <f t="shared" si="192"/>
        <v>697</v>
      </c>
      <c r="S698">
        <f t="shared" si="193"/>
        <v>1.997138769670928</v>
      </c>
      <c r="T698">
        <f t="shared" si="194"/>
        <v>1</v>
      </c>
      <c r="U698">
        <v>698</v>
      </c>
      <c r="V698">
        <f t="shared" si="195"/>
        <v>697</v>
      </c>
      <c r="W698">
        <f t="shared" si="196"/>
        <v>1.9327037585450833</v>
      </c>
      <c r="X698">
        <f t="shared" si="197"/>
        <v>0.93519413988924505</v>
      </c>
    </row>
    <row r="699" spans="1:24">
      <c r="A699">
        <v>699</v>
      </c>
      <c r="B699">
        <f t="shared" si="180"/>
        <v>698</v>
      </c>
      <c r="C699">
        <f t="shared" si="181"/>
        <v>0.95595625485505087</v>
      </c>
      <c r="D699">
        <f t="shared" si="182"/>
        <v>1.0427354058196601</v>
      </c>
      <c r="E699">
        <v>699</v>
      </c>
      <c r="F699">
        <f t="shared" si="183"/>
        <v>698</v>
      </c>
      <c r="G699">
        <f t="shared" si="184"/>
        <v>0.89199788197103536</v>
      </c>
      <c r="H699">
        <f t="shared" si="185"/>
        <v>1.10687730344655</v>
      </c>
      <c r="I699">
        <v>699</v>
      </c>
      <c r="J699">
        <f t="shared" si="186"/>
        <v>698</v>
      </c>
      <c r="K699">
        <f t="shared" si="187"/>
        <v>1.7328814438113929</v>
      </c>
      <c r="L699">
        <f t="shared" si="188"/>
        <v>1.26645031675154</v>
      </c>
      <c r="M699">
        <v>699</v>
      </c>
      <c r="N699">
        <f t="shared" si="189"/>
        <v>698</v>
      </c>
      <c r="O699">
        <f t="shared" si="190"/>
        <v>0.74547859574418596</v>
      </c>
      <c r="P699">
        <f t="shared" si="191"/>
        <v>0.253817018041334</v>
      </c>
      <c r="Q699">
        <v>699</v>
      </c>
      <c r="R699">
        <f t="shared" si="192"/>
        <v>698</v>
      </c>
      <c r="S699">
        <f t="shared" si="193"/>
        <v>1.9985693848354487</v>
      </c>
      <c r="T699">
        <f t="shared" si="194"/>
        <v>0</v>
      </c>
      <c r="U699">
        <v>699</v>
      </c>
      <c r="V699">
        <f t="shared" si="195"/>
        <v>698</v>
      </c>
      <c r="W699">
        <f t="shared" si="196"/>
        <v>1.9339489492171555</v>
      </c>
      <c r="X699">
        <f t="shared" si="197"/>
        <v>6.4805860110755301E-2</v>
      </c>
    </row>
    <row r="700" spans="1:24">
      <c r="A700">
        <v>700</v>
      </c>
      <c r="B700">
        <f t="shared" si="180"/>
        <v>699</v>
      </c>
      <c r="C700">
        <f t="shared" si="181"/>
        <v>0.95726459418031651</v>
      </c>
      <c r="D700">
        <f t="shared" si="182"/>
        <v>1.9572645941803399</v>
      </c>
      <c r="E700">
        <v>700</v>
      </c>
      <c r="F700">
        <f t="shared" si="183"/>
        <v>699</v>
      </c>
      <c r="G700">
        <f t="shared" si="184"/>
        <v>0.89312269655344867</v>
      </c>
      <c r="H700">
        <f t="shared" si="185"/>
        <v>1.89312269655345</v>
      </c>
      <c r="I700">
        <v>700</v>
      </c>
      <c r="J700">
        <f t="shared" si="186"/>
        <v>699</v>
      </c>
      <c r="K700">
        <f t="shared" si="187"/>
        <v>1.7335496832484414</v>
      </c>
      <c r="L700">
        <f t="shared" si="188"/>
        <v>1.73354968324846</v>
      </c>
      <c r="M700">
        <v>700</v>
      </c>
      <c r="N700">
        <f t="shared" si="189"/>
        <v>699</v>
      </c>
      <c r="O700">
        <f t="shared" si="190"/>
        <v>0.74618298195865995</v>
      </c>
      <c r="P700">
        <f t="shared" si="191"/>
        <v>0.74618298195866595</v>
      </c>
      <c r="Q700">
        <v>700</v>
      </c>
      <c r="R700">
        <f t="shared" si="192"/>
        <v>699</v>
      </c>
      <c r="S700">
        <f t="shared" si="193"/>
        <v>1.9999999999999694</v>
      </c>
      <c r="T700">
        <f t="shared" si="194"/>
        <v>1</v>
      </c>
      <c r="U700">
        <v>700</v>
      </c>
      <c r="V700">
        <f t="shared" si="195"/>
        <v>699</v>
      </c>
      <c r="W700">
        <f t="shared" si="196"/>
        <v>1.9351941398892278</v>
      </c>
      <c r="X700">
        <f t="shared" si="197"/>
        <v>0.93519413988924505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4A3B0-BB58-4A16-B348-9035F7A3CA18}">
  <sheetPr codeName="Sheet5_HID_HID"/>
  <dimension ref="A1:B304"/>
  <sheetViews>
    <sheetView workbookViewId="0">
      <selection activeCell="B1" sqref="B1"/>
    </sheetView>
  </sheetViews>
  <sheetFormatPr defaultRowHeight="15"/>
  <sheetData>
    <row r="1" spans="1:2">
      <c r="A1">
        <v>1</v>
      </c>
      <c r="B1">
        <v>1</v>
      </c>
    </row>
    <row r="2" spans="1:2">
      <c r="A2">
        <v>0.99275362318840576</v>
      </c>
      <c r="B2">
        <v>1</v>
      </c>
    </row>
    <row r="3" spans="1:2">
      <c r="A3">
        <v>0.98550724637681153</v>
      </c>
      <c r="B3">
        <v>1</v>
      </c>
    </row>
    <row r="4" spans="1:2">
      <c r="A4">
        <v>0.97826086956521729</v>
      </c>
      <c r="B4">
        <v>1</v>
      </c>
    </row>
    <row r="5" spans="1:2">
      <c r="A5">
        <v>0.97101449275362306</v>
      </c>
      <c r="B5">
        <v>1</v>
      </c>
    </row>
    <row r="6" spans="1:2">
      <c r="A6">
        <v>0.96376811594202882</v>
      </c>
      <c r="B6">
        <v>1</v>
      </c>
    </row>
    <row r="7" spans="1:2">
      <c r="A7">
        <v>0.95652173913043459</v>
      </c>
      <c r="B7">
        <v>1</v>
      </c>
    </row>
    <row r="8" spans="1:2">
      <c r="A8">
        <v>0.94927536231884035</v>
      </c>
      <c r="B8">
        <v>1</v>
      </c>
    </row>
    <row r="9" spans="1:2">
      <c r="A9">
        <v>0.94202898550724612</v>
      </c>
      <c r="B9">
        <v>1</v>
      </c>
    </row>
    <row r="10" spans="1:2">
      <c r="A10">
        <v>0.93478260869565188</v>
      </c>
      <c r="B10">
        <v>1</v>
      </c>
    </row>
    <row r="11" spans="1:2">
      <c r="A11">
        <v>0.93478260869565188</v>
      </c>
      <c r="B11">
        <v>0.9939393939393939</v>
      </c>
    </row>
    <row r="12" spans="1:2">
      <c r="A12">
        <v>0.93478260869565188</v>
      </c>
      <c r="B12">
        <v>0.9878787878787878</v>
      </c>
    </row>
    <row r="13" spans="1:2">
      <c r="A13">
        <v>0.92753623188405765</v>
      </c>
      <c r="B13">
        <v>0.9878787878787878</v>
      </c>
    </row>
    <row r="14" spans="1:2">
      <c r="A14">
        <v>0.92753623188405765</v>
      </c>
      <c r="B14">
        <v>0.9818181818181817</v>
      </c>
    </row>
    <row r="15" spans="1:2">
      <c r="A15">
        <v>0.92028985507246341</v>
      </c>
      <c r="B15">
        <v>0.9818181818181817</v>
      </c>
    </row>
    <row r="16" spans="1:2">
      <c r="A16">
        <v>0.91304347826086918</v>
      </c>
      <c r="B16">
        <v>0.9818181818181817</v>
      </c>
    </row>
    <row r="17" spans="1:2">
      <c r="A17">
        <v>0.91304347826086918</v>
      </c>
      <c r="B17">
        <v>0.9757575757575756</v>
      </c>
    </row>
    <row r="18" spans="1:2">
      <c r="A18">
        <v>0.90579710144927494</v>
      </c>
      <c r="B18">
        <v>0.9757575757575756</v>
      </c>
    </row>
    <row r="19" spans="1:2">
      <c r="A19">
        <v>0.89855072463768071</v>
      </c>
      <c r="B19">
        <v>0.9757575757575756</v>
      </c>
    </row>
    <row r="20" spans="1:2">
      <c r="A20">
        <v>0.89130434782608647</v>
      </c>
      <c r="B20">
        <v>0.9757575757575756</v>
      </c>
    </row>
    <row r="21" spans="1:2">
      <c r="A21">
        <v>0.88405797101449224</v>
      </c>
      <c r="B21">
        <v>0.9757575757575756</v>
      </c>
    </row>
    <row r="22" spans="1:2">
      <c r="A22">
        <v>0.876811594202898</v>
      </c>
      <c r="B22">
        <v>0.9757575757575756</v>
      </c>
    </row>
    <row r="23" spans="1:2">
      <c r="A23">
        <v>0.86956521739130377</v>
      </c>
      <c r="B23">
        <v>0.9757575757575756</v>
      </c>
    </row>
    <row r="24" spans="1:2">
      <c r="A24">
        <v>0.86231884057970953</v>
      </c>
      <c r="B24">
        <v>0.9757575757575756</v>
      </c>
    </row>
    <row r="25" spans="1:2">
      <c r="A25">
        <v>0.8550724637681153</v>
      </c>
      <c r="B25">
        <v>0.9757575757575756</v>
      </c>
    </row>
    <row r="26" spans="1:2">
      <c r="A26">
        <v>0.84782608695652106</v>
      </c>
      <c r="B26">
        <v>0.9757575757575756</v>
      </c>
    </row>
    <row r="27" spans="1:2">
      <c r="A27">
        <v>0.84057971014492683</v>
      </c>
      <c r="B27">
        <v>0.9757575757575756</v>
      </c>
    </row>
    <row r="28" spans="1:2">
      <c r="A28">
        <v>0.83333333333333259</v>
      </c>
      <c r="B28">
        <v>0.9757575757575756</v>
      </c>
    </row>
    <row r="29" spans="1:2">
      <c r="A29">
        <v>0.82608695652173836</v>
      </c>
      <c r="B29">
        <v>0.9757575757575756</v>
      </c>
    </row>
    <row r="30" spans="1:2">
      <c r="A30">
        <v>0.81884057971014412</v>
      </c>
      <c r="B30">
        <v>0.9757575757575756</v>
      </c>
    </row>
    <row r="31" spans="1:2">
      <c r="A31">
        <v>0.81159420289854989</v>
      </c>
      <c r="B31">
        <v>0.9757575757575756</v>
      </c>
    </row>
    <row r="32" spans="1:2">
      <c r="A32">
        <v>0.80434782608695565</v>
      </c>
      <c r="B32">
        <v>0.9757575757575756</v>
      </c>
    </row>
    <row r="33" spans="1:2">
      <c r="A33">
        <v>0.79710144927536142</v>
      </c>
      <c r="B33">
        <v>0.9757575757575756</v>
      </c>
    </row>
    <row r="34" spans="1:2">
      <c r="A34">
        <v>0.79710144927536142</v>
      </c>
      <c r="B34">
        <v>0.9696969696969695</v>
      </c>
    </row>
    <row r="35" spans="1:2">
      <c r="A35">
        <v>0.79710144927536142</v>
      </c>
      <c r="B35">
        <v>0.9636363636363634</v>
      </c>
    </row>
    <row r="36" spans="1:2">
      <c r="A36">
        <v>0.78985507246376718</v>
      </c>
      <c r="B36">
        <v>0.9636363636363634</v>
      </c>
    </row>
    <row r="37" spans="1:2">
      <c r="A37">
        <v>0.78260869565217295</v>
      </c>
      <c r="B37">
        <v>0.9636363636363634</v>
      </c>
    </row>
    <row r="38" spans="1:2">
      <c r="A38">
        <v>0.77536231884057871</v>
      </c>
      <c r="B38">
        <v>0.9636363636363634</v>
      </c>
    </row>
    <row r="39" spans="1:2">
      <c r="A39">
        <v>0.76811594202898448</v>
      </c>
      <c r="B39">
        <v>0.9636363636363634</v>
      </c>
    </row>
    <row r="40" spans="1:2">
      <c r="A40">
        <v>0.76086956521739024</v>
      </c>
      <c r="B40">
        <v>0.9636363636363634</v>
      </c>
    </row>
    <row r="41" spans="1:2">
      <c r="A41">
        <v>0.75362318840579601</v>
      </c>
      <c r="B41">
        <v>0.9636363636363634</v>
      </c>
    </row>
    <row r="42" spans="1:2">
      <c r="A42">
        <v>0.74637681159420177</v>
      </c>
      <c r="B42">
        <v>0.9636363636363634</v>
      </c>
    </row>
    <row r="43" spans="1:2">
      <c r="A43">
        <v>0.73913043478260754</v>
      </c>
      <c r="B43">
        <v>0.9636363636363634</v>
      </c>
    </row>
    <row r="44" spans="1:2">
      <c r="A44">
        <v>0.7318840579710133</v>
      </c>
      <c r="B44">
        <v>0.9636363636363634</v>
      </c>
    </row>
    <row r="45" spans="1:2">
      <c r="A45">
        <v>0.72463768115941907</v>
      </c>
      <c r="B45">
        <v>0.9636363636363634</v>
      </c>
    </row>
    <row r="46" spans="1:2">
      <c r="A46">
        <v>0.71739130434782483</v>
      </c>
      <c r="B46">
        <v>0.9636363636363634</v>
      </c>
    </row>
    <row r="47" spans="1:2">
      <c r="A47">
        <v>0.71739130434782483</v>
      </c>
      <c r="B47">
        <v>0.9575757575757573</v>
      </c>
    </row>
    <row r="48" spans="1:2">
      <c r="A48">
        <v>0.71739130434782483</v>
      </c>
      <c r="B48">
        <v>0.9515151515151512</v>
      </c>
    </row>
    <row r="49" spans="1:2">
      <c r="A49">
        <v>0.71739130434782483</v>
      </c>
      <c r="B49">
        <v>0.9454545454545451</v>
      </c>
    </row>
    <row r="50" spans="1:2">
      <c r="A50">
        <v>0.7101449275362306</v>
      </c>
      <c r="B50">
        <v>0.9454545454545451</v>
      </c>
    </row>
    <row r="51" spans="1:2">
      <c r="A51">
        <v>0.70289855072463636</v>
      </c>
      <c r="B51">
        <v>0.9454545454545451</v>
      </c>
    </row>
    <row r="52" spans="1:2">
      <c r="A52">
        <v>0.69565217391304213</v>
      </c>
      <c r="B52">
        <v>0.9454545454545451</v>
      </c>
    </row>
    <row r="53" spans="1:2">
      <c r="A53">
        <v>0.68840579710144789</v>
      </c>
      <c r="B53">
        <v>0.9454545454545451</v>
      </c>
    </row>
    <row r="54" spans="1:2">
      <c r="A54">
        <v>0.68115942028985366</v>
      </c>
      <c r="B54">
        <v>0.9454545454545451</v>
      </c>
    </row>
    <row r="55" spans="1:2">
      <c r="A55">
        <v>0.67391304347825942</v>
      </c>
      <c r="B55">
        <v>0.9454545454545451</v>
      </c>
    </row>
    <row r="56" spans="1:2">
      <c r="A56">
        <v>0.66666666666666519</v>
      </c>
      <c r="B56">
        <v>0.9454545454545451</v>
      </c>
    </row>
    <row r="57" spans="1:2">
      <c r="A57">
        <v>0.65942028985507095</v>
      </c>
      <c r="B57">
        <v>0.9454545454545451</v>
      </c>
    </row>
    <row r="58" spans="1:2">
      <c r="A58">
        <v>0.65942028985507095</v>
      </c>
      <c r="B58">
        <v>0.939393939393939</v>
      </c>
    </row>
    <row r="59" spans="1:2">
      <c r="A59">
        <v>0.65217391304347672</v>
      </c>
      <c r="B59">
        <v>0.939393939393939</v>
      </c>
    </row>
    <row r="60" spans="1:2">
      <c r="A60">
        <v>0.64492753623188248</v>
      </c>
      <c r="B60">
        <v>0.939393939393939</v>
      </c>
    </row>
    <row r="61" spans="1:2">
      <c r="A61">
        <v>0.63768115942028825</v>
      </c>
      <c r="B61">
        <v>0.939393939393939</v>
      </c>
    </row>
    <row r="62" spans="1:2">
      <c r="A62">
        <v>0.63768115942028825</v>
      </c>
      <c r="B62">
        <v>0.9333333333333329</v>
      </c>
    </row>
    <row r="63" spans="1:2">
      <c r="A63">
        <v>0.63043478260869401</v>
      </c>
      <c r="B63">
        <v>0.9333333333333329</v>
      </c>
    </row>
    <row r="64" spans="1:2">
      <c r="A64">
        <v>0.62318840579709978</v>
      </c>
      <c r="B64">
        <v>0.9333333333333329</v>
      </c>
    </row>
    <row r="65" spans="1:2">
      <c r="A65">
        <v>0.61594202898550554</v>
      </c>
      <c r="B65">
        <v>0.9333333333333329</v>
      </c>
    </row>
    <row r="66" spans="1:2">
      <c r="A66">
        <v>0.60869565217391131</v>
      </c>
      <c r="B66">
        <v>0.9333333333333329</v>
      </c>
    </row>
    <row r="67" spans="1:2">
      <c r="A67">
        <v>0.60144927536231707</v>
      </c>
      <c r="B67">
        <v>0.9333333333333329</v>
      </c>
    </row>
    <row r="68" spans="1:2">
      <c r="A68">
        <v>0.60144927536231707</v>
      </c>
      <c r="B68">
        <v>0.9272727272727268</v>
      </c>
    </row>
    <row r="69" spans="1:2">
      <c r="A69">
        <v>0.59420289855072284</v>
      </c>
      <c r="B69">
        <v>0.9272727272727268</v>
      </c>
    </row>
    <row r="70" spans="1:2">
      <c r="A70">
        <v>0.5869565217391286</v>
      </c>
      <c r="B70">
        <v>0.9272727272727268</v>
      </c>
    </row>
    <row r="71" spans="1:2">
      <c r="A71">
        <v>0.5869565217391286</v>
      </c>
      <c r="B71">
        <v>0.9212121212121207</v>
      </c>
    </row>
    <row r="72" spans="1:2">
      <c r="A72">
        <v>0.57971014492753437</v>
      </c>
      <c r="B72">
        <v>0.9212121212121207</v>
      </c>
    </row>
    <row r="73" spans="1:2">
      <c r="A73">
        <v>0.57246376811594013</v>
      </c>
      <c r="B73">
        <v>0.9212121212121207</v>
      </c>
    </row>
    <row r="74" spans="1:2">
      <c r="A74">
        <v>0.5652173913043459</v>
      </c>
      <c r="B74">
        <v>0.9212121212121207</v>
      </c>
    </row>
    <row r="75" spans="1:2">
      <c r="A75">
        <v>0.55797101449275166</v>
      </c>
      <c r="B75">
        <v>0.9212121212121207</v>
      </c>
    </row>
    <row r="76" spans="1:2">
      <c r="A76">
        <v>0.55072463768115743</v>
      </c>
      <c r="B76">
        <v>0.9212121212121207</v>
      </c>
    </row>
    <row r="77" spans="1:2">
      <c r="A77">
        <v>0.55072463768115743</v>
      </c>
      <c r="B77">
        <v>0.91515151515151461</v>
      </c>
    </row>
    <row r="78" spans="1:2">
      <c r="A78">
        <v>0.54347826086956319</v>
      </c>
      <c r="B78">
        <v>0.91515151515151461</v>
      </c>
    </row>
    <row r="79" spans="1:2">
      <c r="A79">
        <v>0.53623188405796895</v>
      </c>
      <c r="B79">
        <v>0.91515151515151461</v>
      </c>
    </row>
    <row r="80" spans="1:2">
      <c r="A80">
        <v>0.52898550724637472</v>
      </c>
      <c r="B80">
        <v>0.91515151515151461</v>
      </c>
    </row>
    <row r="81" spans="1:2">
      <c r="A81">
        <v>0.52173913043478048</v>
      </c>
      <c r="B81">
        <v>0.91515151515151461</v>
      </c>
    </row>
    <row r="82" spans="1:2">
      <c r="A82">
        <v>0.52173913043478048</v>
      </c>
      <c r="B82">
        <v>0.90909090909090851</v>
      </c>
    </row>
    <row r="83" spans="1:2">
      <c r="A83">
        <v>0.51449275362318625</v>
      </c>
      <c r="B83">
        <v>0.90909090909090851</v>
      </c>
    </row>
    <row r="84" spans="1:2">
      <c r="A84">
        <v>0.50724637681159201</v>
      </c>
      <c r="B84">
        <v>0.90909090909090851</v>
      </c>
    </row>
    <row r="85" spans="1:2">
      <c r="A85">
        <v>0.50724637681159201</v>
      </c>
      <c r="B85">
        <v>0.90303030303030241</v>
      </c>
    </row>
    <row r="86" spans="1:2">
      <c r="A86">
        <v>0.49999999999999784</v>
      </c>
      <c r="B86">
        <v>0.90303030303030241</v>
      </c>
    </row>
    <row r="87" spans="1:2">
      <c r="A87">
        <v>0.49999999999999784</v>
      </c>
      <c r="B87">
        <v>0.89696969696969631</v>
      </c>
    </row>
    <row r="88" spans="1:2">
      <c r="A88">
        <v>0.49999999999999784</v>
      </c>
      <c r="B88">
        <v>0.89090909090909021</v>
      </c>
    </row>
    <row r="89" spans="1:2">
      <c r="A89">
        <v>0.49275362318840366</v>
      </c>
      <c r="B89">
        <v>0.89090909090909021</v>
      </c>
    </row>
    <row r="90" spans="1:2">
      <c r="A90">
        <v>0.48550724637680948</v>
      </c>
      <c r="B90">
        <v>0.89090909090909021</v>
      </c>
    </row>
    <row r="91" spans="1:2">
      <c r="A91">
        <v>0.4782608695652153</v>
      </c>
      <c r="B91">
        <v>0.89090909090909021</v>
      </c>
    </row>
    <row r="92" spans="1:2">
      <c r="A92">
        <v>0.4782608695652153</v>
      </c>
      <c r="B92">
        <v>0.88484848484848411</v>
      </c>
    </row>
    <row r="93" spans="1:2">
      <c r="A93">
        <v>0.4782608695652153</v>
      </c>
      <c r="B93">
        <v>0.87878787878787801</v>
      </c>
    </row>
    <row r="94" spans="1:2">
      <c r="A94">
        <v>0.47101449275362112</v>
      </c>
      <c r="B94">
        <v>0.87878787878787801</v>
      </c>
    </row>
    <row r="95" spans="1:2">
      <c r="A95">
        <v>0.47101449275362112</v>
      </c>
      <c r="B95">
        <v>0.87272727272727191</v>
      </c>
    </row>
    <row r="96" spans="1:2">
      <c r="A96">
        <v>0.46376811594202694</v>
      </c>
      <c r="B96">
        <v>0.87272727272727191</v>
      </c>
    </row>
    <row r="97" spans="1:2">
      <c r="A97">
        <v>0.45652173913043276</v>
      </c>
      <c r="B97">
        <v>0.87272727272727191</v>
      </c>
    </row>
    <row r="98" spans="1:2">
      <c r="A98">
        <v>0.44927536231883858</v>
      </c>
      <c r="B98">
        <v>0.87272727272727191</v>
      </c>
    </row>
    <row r="99" spans="1:2">
      <c r="A99">
        <v>0.44927536231883858</v>
      </c>
      <c r="B99">
        <v>0.86666666666666581</v>
      </c>
    </row>
    <row r="100" spans="1:2">
      <c r="A100">
        <v>0.4420289855072444</v>
      </c>
      <c r="B100">
        <v>0.86666666666666581</v>
      </c>
    </row>
    <row r="101" spans="1:2">
      <c r="A101">
        <v>0.4420289855072444</v>
      </c>
      <c r="B101">
        <v>0.86060606060605971</v>
      </c>
    </row>
    <row r="102" spans="1:2">
      <c r="A102">
        <v>0.4420289855072444</v>
      </c>
      <c r="B102">
        <v>0.85454545454545361</v>
      </c>
    </row>
    <row r="103" spans="1:2">
      <c r="A103">
        <v>0.4420289855072444</v>
      </c>
      <c r="B103">
        <v>0.84848484848484751</v>
      </c>
    </row>
    <row r="104" spans="1:2">
      <c r="A104">
        <v>0.4420289855072444</v>
      </c>
      <c r="B104">
        <v>0.84242424242424141</v>
      </c>
    </row>
    <row r="105" spans="1:2">
      <c r="A105">
        <v>0.43478260869565022</v>
      </c>
      <c r="B105">
        <v>0.84242424242424141</v>
      </c>
    </row>
    <row r="106" spans="1:2">
      <c r="A106">
        <v>0.42753623188405604</v>
      </c>
      <c r="B106">
        <v>0.84242424242424141</v>
      </c>
    </row>
    <row r="107" spans="1:2">
      <c r="A107">
        <v>0.42028985507246186</v>
      </c>
      <c r="B107">
        <v>0.84242424242424141</v>
      </c>
    </row>
    <row r="108" spans="1:2">
      <c r="A108">
        <v>0.41304347826086768</v>
      </c>
      <c r="B108">
        <v>0.84242424242424141</v>
      </c>
    </row>
    <row r="109" spans="1:2">
      <c r="A109">
        <v>0.4057971014492735</v>
      </c>
      <c r="B109">
        <v>0.84242424242424141</v>
      </c>
    </row>
    <row r="110" spans="1:2">
      <c r="A110">
        <v>0.4057971014492735</v>
      </c>
      <c r="B110">
        <v>0.83636363636363531</v>
      </c>
    </row>
    <row r="111" spans="1:2">
      <c r="A111">
        <v>0.39855072463767932</v>
      </c>
      <c r="B111">
        <v>0.83636363636363531</v>
      </c>
    </row>
    <row r="112" spans="1:2">
      <c r="A112">
        <v>0.39855072463767932</v>
      </c>
      <c r="B112">
        <v>0.83030303030302921</v>
      </c>
    </row>
    <row r="113" spans="1:2">
      <c r="A113">
        <v>0.39855072463767932</v>
      </c>
      <c r="B113">
        <v>0.82424242424242311</v>
      </c>
    </row>
    <row r="114" spans="1:2">
      <c r="A114">
        <v>0.39855072463767932</v>
      </c>
      <c r="B114">
        <v>0.81818181818181701</v>
      </c>
    </row>
    <row r="115" spans="1:2">
      <c r="A115">
        <v>0.39130434782608514</v>
      </c>
      <c r="B115">
        <v>0.81818181818181701</v>
      </c>
    </row>
    <row r="116" spans="1:2">
      <c r="A116">
        <v>0.38405797101449096</v>
      </c>
      <c r="B116">
        <v>0.81818181818181701</v>
      </c>
    </row>
    <row r="117" spans="1:2">
      <c r="A117">
        <v>0.37681159420289678</v>
      </c>
      <c r="B117">
        <v>0.81818181818181701</v>
      </c>
    </row>
    <row r="118" spans="1:2">
      <c r="A118">
        <v>0.37681159420289678</v>
      </c>
      <c r="B118">
        <v>0.81212121212121091</v>
      </c>
    </row>
    <row r="119" spans="1:2">
      <c r="A119">
        <v>0.3695652173913026</v>
      </c>
      <c r="B119">
        <v>0.81212121212121091</v>
      </c>
    </row>
    <row r="120" spans="1:2">
      <c r="A120">
        <v>0.3695652173913026</v>
      </c>
      <c r="B120">
        <v>0.80606060606060481</v>
      </c>
    </row>
    <row r="121" spans="1:2">
      <c r="A121">
        <v>0.3695652173913026</v>
      </c>
      <c r="B121">
        <v>0.79999999999999871</v>
      </c>
    </row>
    <row r="122" spans="1:2">
      <c r="A122">
        <v>0.36231884057970842</v>
      </c>
      <c r="B122">
        <v>0.79999999999999871</v>
      </c>
    </row>
    <row r="123" spans="1:2">
      <c r="A123">
        <v>0.35507246376811424</v>
      </c>
      <c r="B123">
        <v>0.79999999999999871</v>
      </c>
    </row>
    <row r="124" spans="1:2">
      <c r="A124">
        <v>0.35507246376811424</v>
      </c>
      <c r="B124">
        <v>0.79393939393939261</v>
      </c>
    </row>
    <row r="125" spans="1:2">
      <c r="A125">
        <v>0.34782608695652006</v>
      </c>
      <c r="B125">
        <v>0.79393939393939261</v>
      </c>
    </row>
    <row r="126" spans="1:2">
      <c r="A126">
        <v>0.34782608695652006</v>
      </c>
      <c r="B126">
        <v>0.78787878787878651</v>
      </c>
    </row>
    <row r="127" spans="1:2">
      <c r="A127">
        <v>0.34057971014492588</v>
      </c>
      <c r="B127">
        <v>0.78787878787878651</v>
      </c>
    </row>
    <row r="128" spans="1:2">
      <c r="A128">
        <v>0.33333333333333171</v>
      </c>
      <c r="B128">
        <v>0.78787878787878651</v>
      </c>
    </row>
    <row r="129" spans="1:2">
      <c r="A129">
        <v>0.32608695652173753</v>
      </c>
      <c r="B129">
        <v>0.78787878787878651</v>
      </c>
    </row>
    <row r="130" spans="1:2">
      <c r="A130">
        <v>0.31884057971014335</v>
      </c>
      <c r="B130">
        <v>0.78787878787878651</v>
      </c>
    </row>
    <row r="131" spans="1:2">
      <c r="A131">
        <v>0.31159420289854917</v>
      </c>
      <c r="B131">
        <v>0.78787878787878651</v>
      </c>
    </row>
    <row r="132" spans="1:2">
      <c r="A132">
        <v>0.30434782608695499</v>
      </c>
      <c r="B132">
        <v>0.78787878787878651</v>
      </c>
    </row>
    <row r="133" spans="1:2">
      <c r="A133">
        <v>0.30434782608695499</v>
      </c>
      <c r="B133">
        <v>0.78181818181818041</v>
      </c>
    </row>
    <row r="134" spans="1:2">
      <c r="A134">
        <v>0.30434782608695499</v>
      </c>
      <c r="B134">
        <v>0.77575757575757431</v>
      </c>
    </row>
    <row r="135" spans="1:2">
      <c r="A135">
        <v>0.29710144927536081</v>
      </c>
      <c r="B135">
        <v>0.77575757575757431</v>
      </c>
    </row>
    <row r="136" spans="1:2">
      <c r="A136">
        <v>0.28985507246376663</v>
      </c>
      <c r="B136">
        <v>0.77575757575757431</v>
      </c>
    </row>
    <row r="137" spans="1:2">
      <c r="A137">
        <v>0.28260869565217245</v>
      </c>
      <c r="B137">
        <v>0.77575757575757431</v>
      </c>
    </row>
    <row r="138" spans="1:2">
      <c r="A138">
        <v>0.27536231884057827</v>
      </c>
      <c r="B138">
        <v>0.77575757575757431</v>
      </c>
    </row>
    <row r="139" spans="1:2">
      <c r="A139">
        <v>0.27536231884057827</v>
      </c>
      <c r="B139">
        <v>0.76969696969696821</v>
      </c>
    </row>
    <row r="140" spans="1:2">
      <c r="A140">
        <v>0.27536231884057827</v>
      </c>
      <c r="B140">
        <v>0.76363636363636211</v>
      </c>
    </row>
    <row r="141" spans="1:2">
      <c r="A141">
        <v>0.27536231884057827</v>
      </c>
      <c r="B141">
        <v>0.75757575757575601</v>
      </c>
    </row>
    <row r="142" spans="1:2">
      <c r="A142">
        <v>0.26811594202898409</v>
      </c>
      <c r="B142">
        <v>0.75757575757575601</v>
      </c>
    </row>
    <row r="143" spans="1:2">
      <c r="A143">
        <v>0.26086956521738991</v>
      </c>
      <c r="B143">
        <v>0.75757575757575601</v>
      </c>
    </row>
    <row r="144" spans="1:2">
      <c r="A144">
        <v>0.25362318840579573</v>
      </c>
      <c r="B144">
        <v>0.75757575757575601</v>
      </c>
    </row>
    <row r="145" spans="1:2">
      <c r="A145">
        <v>0.25362318840579573</v>
      </c>
      <c r="B145">
        <v>0.75151515151514992</v>
      </c>
    </row>
    <row r="146" spans="1:2">
      <c r="A146">
        <v>0.24637681159420152</v>
      </c>
      <c r="B146">
        <v>0.75151515151514992</v>
      </c>
    </row>
    <row r="147" spans="1:2">
      <c r="A147">
        <v>0.23913043478260732</v>
      </c>
      <c r="B147">
        <v>0.75151515151514992</v>
      </c>
    </row>
    <row r="148" spans="1:2">
      <c r="A148">
        <v>0.23188405797101311</v>
      </c>
      <c r="B148">
        <v>0.75151515151514992</v>
      </c>
    </row>
    <row r="149" spans="1:2">
      <c r="A149">
        <v>0.2246376811594189</v>
      </c>
      <c r="B149">
        <v>0.75151515151514992</v>
      </c>
    </row>
    <row r="150" spans="1:2">
      <c r="A150">
        <v>0.21739130434782469</v>
      </c>
      <c r="B150">
        <v>0.75151515151514992</v>
      </c>
    </row>
    <row r="151" spans="1:2">
      <c r="A151">
        <v>0.21739130434782469</v>
      </c>
      <c r="B151">
        <v>0.74545454545454382</v>
      </c>
    </row>
    <row r="152" spans="1:2">
      <c r="A152">
        <v>0.21739130434782469</v>
      </c>
      <c r="B152">
        <v>0.73939393939393772</v>
      </c>
    </row>
    <row r="153" spans="1:2">
      <c r="A153">
        <v>0.21739130434782469</v>
      </c>
      <c r="B153">
        <v>0.73333333333333162</v>
      </c>
    </row>
    <row r="154" spans="1:2">
      <c r="A154">
        <v>0.21014492753623049</v>
      </c>
      <c r="B154">
        <v>0.73333333333333162</v>
      </c>
    </row>
    <row r="155" spans="1:2">
      <c r="A155">
        <v>0.21014492753623049</v>
      </c>
      <c r="B155">
        <v>0.72727272727272552</v>
      </c>
    </row>
    <row r="156" spans="1:2">
      <c r="A156">
        <v>0.20289855072463628</v>
      </c>
      <c r="B156">
        <v>0.72727272727272552</v>
      </c>
    </row>
    <row r="157" spans="1:2">
      <c r="A157">
        <v>0.20289855072463628</v>
      </c>
      <c r="B157">
        <v>0.72121212121211942</v>
      </c>
    </row>
    <row r="158" spans="1:2">
      <c r="A158">
        <v>0.20289855072463628</v>
      </c>
      <c r="B158">
        <v>0.71515151515151332</v>
      </c>
    </row>
    <row r="159" spans="1:2">
      <c r="A159">
        <v>0.20289855072463628</v>
      </c>
      <c r="B159">
        <v>0.70909090909090722</v>
      </c>
    </row>
    <row r="160" spans="1:2">
      <c r="A160">
        <v>0.19565217391304207</v>
      </c>
      <c r="B160">
        <v>0.70909090909090722</v>
      </c>
    </row>
    <row r="161" spans="1:2">
      <c r="A161">
        <v>0.19565217391304207</v>
      </c>
      <c r="B161">
        <v>0.70303030303030112</v>
      </c>
    </row>
    <row r="162" spans="1:2">
      <c r="A162">
        <v>0.19565217391304207</v>
      </c>
      <c r="B162">
        <v>0.69696969696969502</v>
      </c>
    </row>
    <row r="163" spans="1:2">
      <c r="A163">
        <v>0.18840579710144786</v>
      </c>
      <c r="B163">
        <v>0.69696969696969502</v>
      </c>
    </row>
    <row r="164" spans="1:2">
      <c r="A164">
        <v>0.18115942028985366</v>
      </c>
      <c r="B164">
        <v>0.69696969696969502</v>
      </c>
    </row>
    <row r="165" spans="1:2">
      <c r="A165">
        <v>0.18115942028985366</v>
      </c>
      <c r="B165">
        <v>0.69090909090908892</v>
      </c>
    </row>
    <row r="166" spans="1:2">
      <c r="A166">
        <v>0.17391304347825945</v>
      </c>
      <c r="B166">
        <v>0.69090909090908892</v>
      </c>
    </row>
    <row r="167" spans="1:2">
      <c r="A167">
        <v>0.16666666666666524</v>
      </c>
      <c r="B167">
        <v>0.69090909090908892</v>
      </c>
    </row>
    <row r="168" spans="1:2">
      <c r="A168">
        <v>0.15942028985507103</v>
      </c>
      <c r="B168">
        <v>0.69090909090908892</v>
      </c>
    </row>
    <row r="169" spans="1:2">
      <c r="A169">
        <v>0.15942028985507103</v>
      </c>
      <c r="B169">
        <v>0.68484848484848282</v>
      </c>
    </row>
    <row r="170" spans="1:2">
      <c r="A170">
        <v>0.15942028985507103</v>
      </c>
      <c r="B170">
        <v>0.67878787878787672</v>
      </c>
    </row>
    <row r="171" spans="1:2">
      <c r="A171">
        <v>0.15217391304347683</v>
      </c>
      <c r="B171">
        <v>0.67878787878787672</v>
      </c>
    </row>
    <row r="172" spans="1:2">
      <c r="A172">
        <v>0.15217391304347683</v>
      </c>
      <c r="B172">
        <v>0.67272727272727062</v>
      </c>
    </row>
    <row r="173" spans="1:2">
      <c r="A173">
        <v>0.15217391304347683</v>
      </c>
      <c r="B173">
        <v>0.66666666666666452</v>
      </c>
    </row>
    <row r="174" spans="1:2">
      <c r="A174">
        <v>0.15217391304347683</v>
      </c>
      <c r="B174">
        <v>0.66060606060605842</v>
      </c>
    </row>
    <row r="175" spans="1:2">
      <c r="A175">
        <v>0.15217391304347683</v>
      </c>
      <c r="B175">
        <v>0.65454545454545232</v>
      </c>
    </row>
    <row r="176" spans="1:2">
      <c r="A176">
        <v>0.15217391304347683</v>
      </c>
      <c r="B176">
        <v>0.64848484848484622</v>
      </c>
    </row>
    <row r="177" spans="1:2">
      <c r="A177">
        <v>0.14492753623188262</v>
      </c>
      <c r="B177">
        <v>0.64848484848484622</v>
      </c>
    </row>
    <row r="178" spans="1:2">
      <c r="A178">
        <v>0.13768115942028841</v>
      </c>
      <c r="B178">
        <v>0.64848484848484622</v>
      </c>
    </row>
    <row r="179" spans="1:2">
      <c r="A179">
        <v>0.13768115942028841</v>
      </c>
      <c r="B179">
        <v>0.64242424242424012</v>
      </c>
    </row>
    <row r="180" spans="1:2">
      <c r="A180">
        <v>0.13768115942028841</v>
      </c>
      <c r="B180">
        <v>0.63636363636363402</v>
      </c>
    </row>
    <row r="181" spans="1:2">
      <c r="A181">
        <v>0.13768115942028841</v>
      </c>
      <c r="B181">
        <v>0.63030303030302792</v>
      </c>
    </row>
    <row r="182" spans="1:2">
      <c r="A182">
        <v>0.13768115942028841</v>
      </c>
      <c r="B182">
        <v>0.62424242424242182</v>
      </c>
    </row>
    <row r="183" spans="1:2">
      <c r="A183">
        <v>0.13043478260869421</v>
      </c>
      <c r="B183">
        <v>0.62424242424242182</v>
      </c>
    </row>
    <row r="184" spans="1:2">
      <c r="A184">
        <v>0.13043478260869421</v>
      </c>
      <c r="B184">
        <v>0.61818181818181572</v>
      </c>
    </row>
    <row r="185" spans="1:2">
      <c r="A185">
        <v>0.1231884057971</v>
      </c>
      <c r="B185">
        <v>0.61818181818181572</v>
      </c>
    </row>
    <row r="186" spans="1:2">
      <c r="A186">
        <v>0.11594202898550579</v>
      </c>
      <c r="B186">
        <v>0.61818181818181572</v>
      </c>
    </row>
    <row r="187" spans="1:2">
      <c r="A187">
        <v>0.11594202898550579</v>
      </c>
      <c r="B187">
        <v>0.61212121212120962</v>
      </c>
    </row>
    <row r="188" spans="1:2">
      <c r="A188">
        <v>0.11594202898550579</v>
      </c>
      <c r="B188">
        <v>0.60606060606060352</v>
      </c>
    </row>
    <row r="189" spans="1:2">
      <c r="A189">
        <v>0.11594202898550579</v>
      </c>
      <c r="B189">
        <v>0.59999999999999742</v>
      </c>
    </row>
    <row r="190" spans="1:2">
      <c r="A190">
        <v>0.11594202898550579</v>
      </c>
      <c r="B190">
        <v>0.59393939393939132</v>
      </c>
    </row>
    <row r="191" spans="1:2">
      <c r="A191">
        <v>0.11594202898550579</v>
      </c>
      <c r="B191">
        <v>0.58787878787878523</v>
      </c>
    </row>
    <row r="192" spans="1:2">
      <c r="A192">
        <v>0.11594202898550579</v>
      </c>
      <c r="B192">
        <v>0.58181818181817913</v>
      </c>
    </row>
    <row r="193" spans="1:2">
      <c r="A193">
        <v>0.11594202898550579</v>
      </c>
      <c r="B193">
        <v>0.57575757575757303</v>
      </c>
    </row>
    <row r="194" spans="1:2">
      <c r="A194">
        <v>0.11594202898550579</v>
      </c>
      <c r="B194">
        <v>0.56969696969696693</v>
      </c>
    </row>
    <row r="195" spans="1:2">
      <c r="A195">
        <v>0.11594202898550579</v>
      </c>
      <c r="B195">
        <v>0.56363636363636083</v>
      </c>
    </row>
    <row r="196" spans="1:2">
      <c r="A196">
        <v>0.11594202898550579</v>
      </c>
      <c r="B196">
        <v>0.55757575757575473</v>
      </c>
    </row>
    <row r="197" spans="1:2">
      <c r="A197">
        <v>0.11594202898550579</v>
      </c>
      <c r="B197">
        <v>0.55151515151514863</v>
      </c>
    </row>
    <row r="198" spans="1:2">
      <c r="A198">
        <v>0.11594202898550579</v>
      </c>
      <c r="B198">
        <v>0.54545454545454253</v>
      </c>
    </row>
    <row r="199" spans="1:2">
      <c r="A199">
        <v>0.11594202898550579</v>
      </c>
      <c r="B199">
        <v>0.53939393939393643</v>
      </c>
    </row>
    <row r="200" spans="1:2">
      <c r="A200">
        <v>0.11594202898550579</v>
      </c>
      <c r="B200">
        <v>0.53333333333333033</v>
      </c>
    </row>
    <row r="201" spans="1:2">
      <c r="A201">
        <v>0.11594202898550579</v>
      </c>
      <c r="B201">
        <v>0.52727272727272423</v>
      </c>
    </row>
    <row r="202" spans="1:2">
      <c r="A202">
        <v>0.11594202898550579</v>
      </c>
      <c r="B202">
        <v>0.52121212121211813</v>
      </c>
    </row>
    <row r="203" spans="1:2">
      <c r="A203">
        <v>0.11594202898550579</v>
      </c>
      <c r="B203">
        <v>0.51515151515151203</v>
      </c>
    </row>
    <row r="204" spans="1:2">
      <c r="A204">
        <v>0.11594202898550579</v>
      </c>
      <c r="B204">
        <v>0.50909090909090593</v>
      </c>
    </row>
    <row r="205" spans="1:2">
      <c r="A205">
        <v>0.11594202898550579</v>
      </c>
      <c r="B205">
        <v>0.50303030303029983</v>
      </c>
    </row>
    <row r="206" spans="1:2">
      <c r="A206">
        <v>0.10869565217391158</v>
      </c>
      <c r="B206">
        <v>0.50303030303029983</v>
      </c>
    </row>
    <row r="207" spans="1:2">
      <c r="A207">
        <v>0.10869565217391158</v>
      </c>
      <c r="B207">
        <v>0.49696969696969379</v>
      </c>
    </row>
    <row r="208" spans="1:2">
      <c r="A208">
        <v>0.10869565217391158</v>
      </c>
      <c r="B208">
        <v>0.49090909090908774</v>
      </c>
    </row>
    <row r="209" spans="1:2">
      <c r="A209">
        <v>0.10144927536231738</v>
      </c>
      <c r="B209">
        <v>0.49090909090908774</v>
      </c>
    </row>
    <row r="210" spans="1:2">
      <c r="A210">
        <v>0.10144927536231738</v>
      </c>
      <c r="B210">
        <v>0.4848484848484817</v>
      </c>
    </row>
    <row r="211" spans="1:2">
      <c r="A211">
        <v>0.10144927536231738</v>
      </c>
      <c r="B211">
        <v>0.47878787878787565</v>
      </c>
    </row>
    <row r="212" spans="1:2">
      <c r="A212">
        <v>0.10144927536231738</v>
      </c>
      <c r="B212">
        <v>0.47272727272726961</v>
      </c>
    </row>
    <row r="213" spans="1:2">
      <c r="A213">
        <v>0.10144927536231738</v>
      </c>
      <c r="B213">
        <v>0.46666666666666357</v>
      </c>
    </row>
    <row r="214" spans="1:2">
      <c r="A214">
        <v>9.4202898550723169E-2</v>
      </c>
      <c r="B214">
        <v>0.46666666666666357</v>
      </c>
    </row>
    <row r="215" spans="1:2">
      <c r="A215">
        <v>8.6956521739128961E-2</v>
      </c>
      <c r="B215">
        <v>0.46666666666666357</v>
      </c>
    </row>
    <row r="216" spans="1:2">
      <c r="A216">
        <v>8.6956521739128961E-2</v>
      </c>
      <c r="B216">
        <v>0.46060606060605752</v>
      </c>
    </row>
    <row r="217" spans="1:2">
      <c r="A217">
        <v>7.9710144927534754E-2</v>
      </c>
      <c r="B217">
        <v>0.46060606060605752</v>
      </c>
    </row>
    <row r="218" spans="1:2">
      <c r="A218">
        <v>7.9710144927534754E-2</v>
      </c>
      <c r="B218">
        <v>0.45454545454545148</v>
      </c>
    </row>
    <row r="219" spans="1:2">
      <c r="A219">
        <v>7.2463768115940547E-2</v>
      </c>
      <c r="B219">
        <v>0.45454545454545148</v>
      </c>
    </row>
    <row r="220" spans="1:2">
      <c r="A220">
        <v>6.5217391304346339E-2</v>
      </c>
      <c r="B220">
        <v>0.45454545454545148</v>
      </c>
    </row>
    <row r="221" spans="1:2">
      <c r="A221">
        <v>6.5217391304346339E-2</v>
      </c>
      <c r="B221">
        <v>0.44848484848484543</v>
      </c>
    </row>
    <row r="222" spans="1:2">
      <c r="A222">
        <v>6.5217391304346339E-2</v>
      </c>
      <c r="B222">
        <v>0.44242424242423939</v>
      </c>
    </row>
    <row r="223" spans="1:2">
      <c r="A223">
        <v>6.5217391304346339E-2</v>
      </c>
      <c r="B223">
        <v>0.43636363636363334</v>
      </c>
    </row>
    <row r="224" spans="1:2">
      <c r="A224">
        <v>5.7971014492752139E-2</v>
      </c>
      <c r="B224">
        <v>0.43636363636363334</v>
      </c>
    </row>
    <row r="225" spans="1:2">
      <c r="A225">
        <v>5.0724637681157939E-2</v>
      </c>
      <c r="B225">
        <v>0.43636363636363334</v>
      </c>
    </row>
    <row r="226" spans="1:2">
      <c r="A226">
        <v>5.0724637681157939E-2</v>
      </c>
      <c r="B226">
        <v>0.4303030303030273</v>
      </c>
    </row>
    <row r="227" spans="1:2">
      <c r="A227">
        <v>5.0724637681157939E-2</v>
      </c>
      <c r="B227">
        <v>0.42424242424242126</v>
      </c>
    </row>
    <row r="228" spans="1:2">
      <c r="A228">
        <v>4.3478260869563738E-2</v>
      </c>
      <c r="B228">
        <v>0.42424242424242126</v>
      </c>
    </row>
    <row r="229" spans="1:2">
      <c r="A229">
        <v>4.3478260869563738E-2</v>
      </c>
      <c r="B229">
        <v>0.41818181818181521</v>
      </c>
    </row>
    <row r="230" spans="1:2">
      <c r="A230">
        <v>4.3478260869563738E-2</v>
      </c>
      <c r="B230">
        <v>0.41212121212120917</v>
      </c>
    </row>
    <row r="231" spans="1:2">
      <c r="A231">
        <v>4.3478260869563738E-2</v>
      </c>
      <c r="B231">
        <v>0.40606060606060312</v>
      </c>
    </row>
    <row r="232" spans="1:2">
      <c r="A232">
        <v>3.6231884057969538E-2</v>
      </c>
      <c r="B232">
        <v>0.40606060606060312</v>
      </c>
    </row>
    <row r="233" spans="1:2">
      <c r="A233">
        <v>2.8985507246375334E-2</v>
      </c>
      <c r="B233">
        <v>0.40606060606060312</v>
      </c>
    </row>
    <row r="234" spans="1:2">
      <c r="A234">
        <v>2.173913043478113E-2</v>
      </c>
      <c r="B234">
        <v>0.40606060606060312</v>
      </c>
    </row>
    <row r="235" spans="1:2">
      <c r="A235">
        <v>2.173913043478113E-2</v>
      </c>
      <c r="B235">
        <v>0.39999999999999708</v>
      </c>
    </row>
    <row r="236" spans="1:2">
      <c r="A236">
        <v>2.173913043478113E-2</v>
      </c>
      <c r="B236">
        <v>0.39393939393939104</v>
      </c>
    </row>
    <row r="237" spans="1:2">
      <c r="A237">
        <v>2.173913043478113E-2</v>
      </c>
      <c r="B237">
        <v>0.38787878787878499</v>
      </c>
    </row>
    <row r="238" spans="1:2">
      <c r="A238">
        <v>2.173913043478113E-2</v>
      </c>
      <c r="B238">
        <v>0.38181818181817895</v>
      </c>
    </row>
    <row r="239" spans="1:2">
      <c r="A239">
        <v>2.173913043478113E-2</v>
      </c>
      <c r="B239">
        <v>0.3757575757575729</v>
      </c>
    </row>
    <row r="240" spans="1:2">
      <c r="A240">
        <v>2.173913043478113E-2</v>
      </c>
      <c r="B240">
        <v>0.36969696969696686</v>
      </c>
    </row>
    <row r="241" spans="1:2">
      <c r="A241">
        <v>2.173913043478113E-2</v>
      </c>
      <c r="B241">
        <v>0.36363636363636082</v>
      </c>
    </row>
    <row r="242" spans="1:2">
      <c r="A242">
        <v>2.173913043478113E-2</v>
      </c>
      <c r="B242">
        <v>0.35757575757575477</v>
      </c>
    </row>
    <row r="243" spans="1:2">
      <c r="A243">
        <v>2.173913043478113E-2</v>
      </c>
      <c r="B243">
        <v>0.35151515151514873</v>
      </c>
    </row>
    <row r="244" spans="1:2">
      <c r="A244">
        <v>2.173913043478113E-2</v>
      </c>
      <c r="B244">
        <v>0.34545454545454268</v>
      </c>
    </row>
    <row r="245" spans="1:2">
      <c r="A245">
        <v>2.173913043478113E-2</v>
      </c>
      <c r="B245">
        <v>0.33939393939393664</v>
      </c>
    </row>
    <row r="246" spans="1:2">
      <c r="A246">
        <v>2.173913043478113E-2</v>
      </c>
      <c r="B246">
        <v>0.33333333333333059</v>
      </c>
    </row>
    <row r="247" spans="1:2">
      <c r="A247">
        <v>2.173913043478113E-2</v>
      </c>
      <c r="B247">
        <v>0.32727272727272455</v>
      </c>
    </row>
    <row r="248" spans="1:2">
      <c r="A248">
        <v>2.173913043478113E-2</v>
      </c>
      <c r="B248">
        <v>0.32121212121211851</v>
      </c>
    </row>
    <row r="249" spans="1:2">
      <c r="A249">
        <v>2.173913043478113E-2</v>
      </c>
      <c r="B249">
        <v>0.31515151515151246</v>
      </c>
    </row>
    <row r="250" spans="1:2">
      <c r="A250">
        <v>2.173913043478113E-2</v>
      </c>
      <c r="B250">
        <v>0.30909090909090642</v>
      </c>
    </row>
    <row r="251" spans="1:2">
      <c r="A251">
        <v>2.173913043478113E-2</v>
      </c>
      <c r="B251">
        <v>0.30303030303030037</v>
      </c>
    </row>
    <row r="252" spans="1:2">
      <c r="A252">
        <v>2.173913043478113E-2</v>
      </c>
      <c r="B252">
        <v>0.29696969696969433</v>
      </c>
    </row>
    <row r="253" spans="1:2">
      <c r="A253">
        <v>2.173913043478113E-2</v>
      </c>
      <c r="B253">
        <v>0.29090909090908829</v>
      </c>
    </row>
    <row r="254" spans="1:2">
      <c r="A254">
        <v>2.173913043478113E-2</v>
      </c>
      <c r="B254">
        <v>0.28484848484848224</v>
      </c>
    </row>
    <row r="255" spans="1:2">
      <c r="A255">
        <v>2.173913043478113E-2</v>
      </c>
      <c r="B255">
        <v>0.2787878787878762</v>
      </c>
    </row>
    <row r="256" spans="1:2">
      <c r="A256">
        <v>2.173913043478113E-2</v>
      </c>
      <c r="B256">
        <v>0.27272727272727015</v>
      </c>
    </row>
    <row r="257" spans="1:2">
      <c r="A257">
        <v>2.173913043478113E-2</v>
      </c>
      <c r="B257">
        <v>0.26666666666666411</v>
      </c>
    </row>
    <row r="258" spans="1:2">
      <c r="A258">
        <v>2.173913043478113E-2</v>
      </c>
      <c r="B258">
        <v>0.26060606060605807</v>
      </c>
    </row>
    <row r="259" spans="1:2">
      <c r="A259">
        <v>1.4492753623186926E-2</v>
      </c>
      <c r="B259">
        <v>0.26060606060605807</v>
      </c>
    </row>
    <row r="260" spans="1:2">
      <c r="A260">
        <v>1.4492753623186926E-2</v>
      </c>
      <c r="B260">
        <v>0.25454545454545202</v>
      </c>
    </row>
    <row r="261" spans="1:2">
      <c r="A261">
        <v>1.4492753623186926E-2</v>
      </c>
      <c r="B261">
        <v>0.24848484848484595</v>
      </c>
    </row>
    <row r="262" spans="1:2">
      <c r="A262">
        <v>1.4492753623186926E-2</v>
      </c>
      <c r="B262">
        <v>0.24242424242423988</v>
      </c>
    </row>
    <row r="263" spans="1:2">
      <c r="A263">
        <v>1.4492753623186926E-2</v>
      </c>
      <c r="B263">
        <v>0.23636363636363381</v>
      </c>
    </row>
    <row r="264" spans="1:2">
      <c r="A264">
        <v>1.4492753623186926E-2</v>
      </c>
      <c r="B264">
        <v>0.23030303030302773</v>
      </c>
    </row>
    <row r="265" spans="1:2">
      <c r="A265">
        <v>1.4492753623186926E-2</v>
      </c>
      <c r="B265">
        <v>0.22424242424242166</v>
      </c>
    </row>
    <row r="266" spans="1:2">
      <c r="A266">
        <v>1.4492753623186926E-2</v>
      </c>
      <c r="B266">
        <v>0.21818181818181559</v>
      </c>
    </row>
    <row r="267" spans="1:2">
      <c r="A267">
        <v>1.4492753623186926E-2</v>
      </c>
      <c r="B267">
        <v>0.21212121212120952</v>
      </c>
    </row>
    <row r="268" spans="1:2">
      <c r="A268">
        <v>1.4492753623186926E-2</v>
      </c>
      <c r="B268">
        <v>0.20606060606060345</v>
      </c>
    </row>
    <row r="269" spans="1:2">
      <c r="A269">
        <v>1.4492753623186926E-2</v>
      </c>
      <c r="B269">
        <v>0.19999999999999737</v>
      </c>
    </row>
    <row r="270" spans="1:2">
      <c r="A270">
        <v>1.4492753623186926E-2</v>
      </c>
      <c r="B270">
        <v>0.1939393939393913</v>
      </c>
    </row>
    <row r="271" spans="1:2">
      <c r="A271">
        <v>1.4492753623186926E-2</v>
      </c>
      <c r="B271">
        <v>0.18787878787878523</v>
      </c>
    </row>
    <row r="272" spans="1:2">
      <c r="A272">
        <v>1.4492753623186926E-2</v>
      </c>
      <c r="B272">
        <v>0.18181818181817916</v>
      </c>
    </row>
    <row r="273" spans="1:2">
      <c r="A273">
        <v>1.4492753623186926E-2</v>
      </c>
      <c r="B273">
        <v>0.17575757575757309</v>
      </c>
    </row>
    <row r="274" spans="1:2">
      <c r="A274">
        <v>1.4492753623186926E-2</v>
      </c>
      <c r="B274">
        <v>0.16969696969696701</v>
      </c>
    </row>
    <row r="275" spans="1:2">
      <c r="A275">
        <v>1.4492753623186926E-2</v>
      </c>
      <c r="B275">
        <v>0.16363636363636094</v>
      </c>
    </row>
    <row r="276" spans="1:2">
      <c r="A276">
        <v>7.2463768115927233E-3</v>
      </c>
      <c r="B276">
        <v>0.16363636363636094</v>
      </c>
    </row>
    <row r="277" spans="1:2">
      <c r="A277">
        <v>7.2463768115927233E-3</v>
      </c>
      <c r="B277">
        <v>0.15757575757575487</v>
      </c>
    </row>
    <row r="278" spans="1:2">
      <c r="A278">
        <v>7.2463768115927233E-3</v>
      </c>
      <c r="B278">
        <v>0.1515151515151488</v>
      </c>
    </row>
    <row r="279" spans="1:2">
      <c r="A279">
        <v>7.2463768115927233E-3</v>
      </c>
      <c r="B279">
        <v>0.14545454545454273</v>
      </c>
    </row>
    <row r="280" spans="1:2">
      <c r="A280">
        <v>7.2463768115927233E-3</v>
      </c>
      <c r="B280">
        <v>0.13939393939393666</v>
      </c>
    </row>
    <row r="281" spans="1:2">
      <c r="A281">
        <v>7.2463768115927233E-3</v>
      </c>
      <c r="B281">
        <v>0.13333333333333058</v>
      </c>
    </row>
    <row r="282" spans="1:2">
      <c r="A282">
        <v>7.2463768115927233E-3</v>
      </c>
      <c r="B282">
        <v>0.12727272727272451</v>
      </c>
    </row>
    <row r="283" spans="1:2">
      <c r="A283">
        <v>7.2463768115927233E-3</v>
      </c>
      <c r="B283">
        <v>0.12121212121211845</v>
      </c>
    </row>
    <row r="284" spans="1:2">
      <c r="A284">
        <v>7.2463768115927233E-3</v>
      </c>
      <c r="B284">
        <v>0.1151515151515124</v>
      </c>
    </row>
    <row r="285" spans="1:2">
      <c r="A285">
        <v>7.2463768115927233E-3</v>
      </c>
      <c r="B285">
        <v>0.10909090909090634</v>
      </c>
    </row>
    <row r="286" spans="1:2">
      <c r="A286">
        <v>7.2463768115927233E-3</v>
      </c>
      <c r="B286">
        <v>0.10303030303030028</v>
      </c>
    </row>
    <row r="287" spans="1:2">
      <c r="A287">
        <v>7.2463768115927233E-3</v>
      </c>
      <c r="B287">
        <v>9.6969696969694222E-2</v>
      </c>
    </row>
    <row r="288" spans="1:2">
      <c r="A288">
        <v>7.2463768115927233E-3</v>
      </c>
      <c r="B288">
        <v>9.0909090909088164E-2</v>
      </c>
    </row>
    <row r="289" spans="1:2">
      <c r="A289">
        <v>7.2463768115927233E-3</v>
      </c>
      <c r="B289">
        <v>8.4848484848482106E-2</v>
      </c>
    </row>
    <row r="290" spans="1:2">
      <c r="A290">
        <v>7.2463768115927233E-3</v>
      </c>
      <c r="B290">
        <v>7.8787878787876048E-2</v>
      </c>
    </row>
    <row r="291" spans="1:2">
      <c r="A291">
        <v>7.2463768115927233E-3</v>
      </c>
      <c r="B291">
        <v>7.272727272726999E-2</v>
      </c>
    </row>
    <row r="292" spans="1:2">
      <c r="A292">
        <v>-1.4797191250082165E-15</v>
      </c>
      <c r="B292">
        <v>7.272727272726999E-2</v>
      </c>
    </row>
    <row r="293" spans="1:2">
      <c r="A293">
        <v>-1.4797191250082165E-15</v>
      </c>
      <c r="B293">
        <v>6.6666666666663932E-2</v>
      </c>
    </row>
    <row r="294" spans="1:2">
      <c r="A294">
        <v>-1.4797191250082165E-15</v>
      </c>
      <c r="B294">
        <v>6.0606060606057874E-2</v>
      </c>
    </row>
    <row r="295" spans="1:2">
      <c r="A295">
        <v>-1.4797191250082165E-15</v>
      </c>
      <c r="B295">
        <v>5.4545454545451816E-2</v>
      </c>
    </row>
    <row r="296" spans="1:2">
      <c r="A296">
        <v>-1.4797191250082165E-15</v>
      </c>
      <c r="B296">
        <v>4.8484848484845758E-2</v>
      </c>
    </row>
    <row r="297" spans="1:2">
      <c r="A297">
        <v>-1.4797191250082165E-15</v>
      </c>
      <c r="B297">
        <v>4.24242424242397E-2</v>
      </c>
    </row>
    <row r="298" spans="1:2">
      <c r="A298">
        <v>-1.4797191250082165E-15</v>
      </c>
      <c r="B298">
        <v>3.6363636363633642E-2</v>
      </c>
    </row>
    <row r="299" spans="1:2">
      <c r="A299">
        <v>-1.4797191250082165E-15</v>
      </c>
      <c r="B299">
        <v>3.030303030302758E-2</v>
      </c>
    </row>
    <row r="300" spans="1:2">
      <c r="A300">
        <v>-1.4797191250082165E-15</v>
      </c>
      <c r="B300">
        <v>2.4242424242421519E-2</v>
      </c>
    </row>
    <row r="301" spans="1:2">
      <c r="A301">
        <v>-1.4797191250082165E-15</v>
      </c>
      <c r="B301">
        <v>1.8181818181815457E-2</v>
      </c>
    </row>
    <row r="302" spans="1:2">
      <c r="A302">
        <v>-1.4797191250082165E-15</v>
      </c>
      <c r="B302">
        <v>1.2121212121209396E-2</v>
      </c>
    </row>
    <row r="303" spans="1:2">
      <c r="A303">
        <v>-1.4797191250082165E-15</v>
      </c>
      <c r="B303">
        <v>6.0606060606033354E-3</v>
      </c>
    </row>
    <row r="304" spans="1:2">
      <c r="A304">
        <v>-1.4797191250082165E-15</v>
      </c>
      <c r="B304">
        <v>-2.7252505807595639E-15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0352F-5C92-4578-8396-704C981D476D}">
  <sheetPr codeName="Sheet9"/>
  <dimension ref="A1:O304"/>
  <sheetViews>
    <sheetView topLeftCell="C4" workbookViewId="0">
      <selection activeCell="I24" sqref="I24"/>
    </sheetView>
  </sheetViews>
  <sheetFormatPr defaultRowHeight="15"/>
  <cols>
    <col min="3" max="3" width="13.28515625" customWidth="1"/>
    <col min="7" max="7" width="19" bestFit="1" customWidth="1"/>
    <col min="9" max="9" width="12" bestFit="1" customWidth="1"/>
    <col min="12" max="12" width="15.140625" bestFit="1" customWidth="1"/>
    <col min="13" max="13" width="16.28515625" bestFit="1" customWidth="1"/>
    <col min="14" max="14" width="8" customWidth="1"/>
    <col min="15" max="15" width="11.28515625" bestFit="1" customWidth="1"/>
  </cols>
  <sheetData>
    <row r="1" spans="1:13">
      <c r="A1" s="1" t="s">
        <v>2</v>
      </c>
      <c r="C1" s="116" t="s">
        <v>8</v>
      </c>
      <c r="D1" s="117" t="s">
        <v>13</v>
      </c>
    </row>
    <row r="2" spans="1:13">
      <c r="A2">
        <v>3</v>
      </c>
      <c r="C2" s="114">
        <v>0</v>
      </c>
      <c r="D2" s="115">
        <v>1</v>
      </c>
      <c r="F2" t="s">
        <v>601</v>
      </c>
      <c r="G2" t="s">
        <v>602</v>
      </c>
      <c r="K2" t="s">
        <v>597</v>
      </c>
    </row>
    <row r="3" spans="1:13">
      <c r="A3">
        <v>2</v>
      </c>
      <c r="C3" s="114">
        <v>0</v>
      </c>
      <c r="D3" s="115">
        <v>1</v>
      </c>
      <c r="F3">
        <f>COUNTIF(A2:A304, 0)</f>
        <v>143</v>
      </c>
      <c r="G3">
        <f>303/4</f>
        <v>75.75</v>
      </c>
      <c r="K3" t="s">
        <v>598</v>
      </c>
    </row>
    <row r="4" spans="1:13">
      <c r="A4">
        <v>1</v>
      </c>
      <c r="C4" s="114">
        <v>0</v>
      </c>
      <c r="D4" s="115">
        <v>1</v>
      </c>
      <c r="F4">
        <f>COUNTIF(A2:A304, 1)</f>
        <v>50</v>
      </c>
      <c r="G4">
        <f>303/4</f>
        <v>75.75</v>
      </c>
      <c r="I4">
        <f>_xlfn.CHISQ.TEST(F3:F6, G3:G6)</f>
        <v>5.1964149508945139E-23</v>
      </c>
    </row>
    <row r="5" spans="1:13">
      <c r="A5">
        <v>1</v>
      </c>
      <c r="C5" s="114">
        <v>0</v>
      </c>
      <c r="D5" s="115">
        <v>1</v>
      </c>
      <c r="F5">
        <f>COUNTIF(A2:A304, 2)</f>
        <v>87</v>
      </c>
      <c r="G5">
        <f>303/4</f>
        <v>75.75</v>
      </c>
      <c r="I5">
        <f>SUMXMY2(F3:F6, G3:G6)/G3:G6</f>
        <v>106.86138613861387</v>
      </c>
      <c r="K5">
        <f>SUM(F3:F6)</f>
        <v>303</v>
      </c>
    </row>
    <row r="6" spans="1:13">
      <c r="A6">
        <v>0</v>
      </c>
      <c r="C6" s="114">
        <v>1</v>
      </c>
      <c r="D6" s="115">
        <v>1</v>
      </c>
      <c r="F6">
        <f>COUNTIF(A2:A304, 3)</f>
        <v>23</v>
      </c>
      <c r="G6">
        <f>303/4</f>
        <v>75.75</v>
      </c>
      <c r="K6">
        <f>K5/303</f>
        <v>1</v>
      </c>
    </row>
    <row r="7" spans="1:13">
      <c r="A7">
        <v>0</v>
      </c>
      <c r="C7" s="114">
        <v>0</v>
      </c>
      <c r="D7" s="115">
        <v>1</v>
      </c>
      <c r="K7">
        <f>K6*303</f>
        <v>303</v>
      </c>
    </row>
    <row r="8" spans="1:13" ht="18.75">
      <c r="A8">
        <v>1</v>
      </c>
      <c r="C8" s="114">
        <v>0</v>
      </c>
      <c r="D8" s="115">
        <v>1</v>
      </c>
      <c r="G8" s="120" t="s">
        <v>604</v>
      </c>
    </row>
    <row r="9" spans="1:13" ht="16.5" thickBot="1">
      <c r="A9">
        <v>1</v>
      </c>
      <c r="C9" s="114">
        <v>0</v>
      </c>
      <c r="D9" s="115">
        <v>1</v>
      </c>
      <c r="G9" s="122" t="s">
        <v>609</v>
      </c>
    </row>
    <row r="10" spans="1:13">
      <c r="A10">
        <v>2</v>
      </c>
      <c r="C10" s="114">
        <v>0</v>
      </c>
      <c r="D10" s="115">
        <v>1</v>
      </c>
      <c r="G10" s="35" t="s">
        <v>599</v>
      </c>
      <c r="H10" s="29"/>
      <c r="I10" s="30">
        <v>106.86138613861387</v>
      </c>
    </row>
    <row r="11" spans="1:13" ht="15.75" thickBot="1">
      <c r="A11">
        <v>2</v>
      </c>
      <c r="C11" s="114">
        <v>0</v>
      </c>
      <c r="D11" s="115">
        <v>1</v>
      </c>
      <c r="G11" s="121" t="s">
        <v>600</v>
      </c>
      <c r="H11" s="26"/>
      <c r="I11" s="44">
        <v>5.1964149508945139E-23</v>
      </c>
    </row>
    <row r="12" spans="1:13" ht="48" customHeight="1">
      <c r="A12">
        <v>0</v>
      </c>
      <c r="C12" s="114">
        <v>0</v>
      </c>
      <c r="D12" s="115">
        <v>1</v>
      </c>
      <c r="G12" s="145" t="s">
        <v>603</v>
      </c>
      <c r="H12" s="145"/>
      <c r="I12" s="145"/>
      <c r="J12" s="145"/>
      <c r="K12" s="145"/>
      <c r="L12" s="145"/>
      <c r="M12" s="145"/>
    </row>
    <row r="13" spans="1:13">
      <c r="A13">
        <v>2</v>
      </c>
      <c r="C13" s="114">
        <v>0</v>
      </c>
      <c r="D13" s="115">
        <v>1</v>
      </c>
    </row>
    <row r="14" spans="1:13" ht="18.75">
      <c r="A14">
        <v>1</v>
      </c>
      <c r="C14" s="114">
        <v>0</v>
      </c>
      <c r="D14" s="115">
        <v>1</v>
      </c>
      <c r="G14" s="120" t="s">
        <v>611</v>
      </c>
    </row>
    <row r="15" spans="1:13">
      <c r="A15">
        <v>3</v>
      </c>
      <c r="C15" s="114">
        <v>1</v>
      </c>
      <c r="D15" s="115">
        <v>1</v>
      </c>
      <c r="G15" t="s">
        <v>610</v>
      </c>
    </row>
    <row r="16" spans="1:13">
      <c r="A16">
        <v>3</v>
      </c>
      <c r="C16" s="114">
        <v>0</v>
      </c>
      <c r="D16" s="115">
        <v>1</v>
      </c>
    </row>
    <row r="17" spans="1:15">
      <c r="A17">
        <v>2</v>
      </c>
      <c r="C17" s="114">
        <v>0</v>
      </c>
      <c r="D17" s="115">
        <v>1</v>
      </c>
      <c r="G17" s="1" t="s">
        <v>618</v>
      </c>
      <c r="L17" s="21" t="s">
        <v>52</v>
      </c>
      <c r="M17" s="21" t="s">
        <v>35</v>
      </c>
    </row>
    <row r="18" spans="1:15" ht="30">
      <c r="A18">
        <v>2</v>
      </c>
      <c r="C18" s="114">
        <v>0</v>
      </c>
      <c r="D18" s="115">
        <v>1</v>
      </c>
      <c r="G18" s="46"/>
      <c r="H18" s="46" t="s">
        <v>614</v>
      </c>
      <c r="I18" s="46" t="s">
        <v>615</v>
      </c>
      <c r="J18" s="46" t="s">
        <v>612</v>
      </c>
      <c r="L18" s="21" t="s">
        <v>37</v>
      </c>
      <c r="M18">
        <v>0</v>
      </c>
      <c r="N18">
        <v>1</v>
      </c>
      <c r="O18" t="s">
        <v>36</v>
      </c>
    </row>
    <row r="19" spans="1:15">
      <c r="A19">
        <v>3</v>
      </c>
      <c r="C19" s="114">
        <v>0</v>
      </c>
      <c r="D19" s="115">
        <v>1</v>
      </c>
      <c r="G19" s="123" t="s">
        <v>616</v>
      </c>
      <c r="H19" s="48">
        <v>62</v>
      </c>
      <c r="I19" s="48">
        <v>142</v>
      </c>
      <c r="J19" s="48">
        <v>204</v>
      </c>
      <c r="L19" s="22">
        <v>0</v>
      </c>
      <c r="M19">
        <v>62</v>
      </c>
      <c r="N19">
        <v>142</v>
      </c>
      <c r="O19">
        <v>204</v>
      </c>
    </row>
    <row r="20" spans="1:15">
      <c r="A20">
        <v>0</v>
      </c>
      <c r="C20" s="114">
        <v>0</v>
      </c>
      <c r="D20" s="115">
        <v>1</v>
      </c>
      <c r="G20" s="123" t="s">
        <v>617</v>
      </c>
      <c r="H20" s="48">
        <v>76</v>
      </c>
      <c r="I20" s="48">
        <v>23</v>
      </c>
      <c r="J20" s="48">
        <v>99</v>
      </c>
      <c r="L20" s="22">
        <v>1</v>
      </c>
      <c r="M20">
        <v>76</v>
      </c>
      <c r="N20">
        <v>23</v>
      </c>
      <c r="O20">
        <v>99</v>
      </c>
    </row>
    <row r="21" spans="1:15">
      <c r="A21">
        <v>3</v>
      </c>
      <c r="C21" s="114">
        <v>0</v>
      </c>
      <c r="D21" s="115">
        <v>1</v>
      </c>
      <c r="G21" s="123" t="s">
        <v>613</v>
      </c>
      <c r="H21" s="48">
        <v>138</v>
      </c>
      <c r="I21" s="48">
        <v>165</v>
      </c>
      <c r="J21" s="48">
        <v>303</v>
      </c>
      <c r="L21" s="22" t="s">
        <v>36</v>
      </c>
      <c r="M21">
        <v>138</v>
      </c>
      <c r="N21">
        <v>165</v>
      </c>
      <c r="O21">
        <v>303</v>
      </c>
    </row>
    <row r="22" spans="1:15">
      <c r="A22">
        <v>0</v>
      </c>
      <c r="C22" s="114">
        <v>0</v>
      </c>
      <c r="D22" s="115">
        <v>1</v>
      </c>
    </row>
    <row r="23" spans="1:15">
      <c r="A23">
        <v>2</v>
      </c>
      <c r="C23" s="114">
        <v>1</v>
      </c>
      <c r="D23" s="115">
        <v>1</v>
      </c>
      <c r="H23">
        <f>138*204/303</f>
        <v>92.910891089108915</v>
      </c>
      <c r="I23">
        <f>165*99/303</f>
        <v>53.910891089108908</v>
      </c>
    </row>
    <row r="24" spans="1:15">
      <c r="A24">
        <v>0</v>
      </c>
      <c r="C24" s="114">
        <v>0</v>
      </c>
      <c r="D24" s="115">
        <v>1</v>
      </c>
    </row>
    <row r="25" spans="1:15">
      <c r="A25">
        <v>2</v>
      </c>
      <c r="C25" s="114">
        <v>1</v>
      </c>
      <c r="D25" s="115">
        <v>1</v>
      </c>
    </row>
    <row r="26" spans="1:15">
      <c r="A26">
        <v>3</v>
      </c>
      <c r="C26" s="114">
        <v>1</v>
      </c>
      <c r="D26" s="115">
        <v>1</v>
      </c>
    </row>
    <row r="27" spans="1:15">
      <c r="A27">
        <v>1</v>
      </c>
      <c r="C27" s="114">
        <v>0</v>
      </c>
      <c r="D27" s="115">
        <v>1</v>
      </c>
    </row>
    <row r="28" spans="1:15">
      <c r="A28">
        <v>2</v>
      </c>
      <c r="C28" s="114">
        <v>0</v>
      </c>
      <c r="D28" s="115">
        <v>1</v>
      </c>
    </row>
    <row r="29" spans="1:15">
      <c r="A29">
        <v>2</v>
      </c>
      <c r="C29" s="114">
        <v>0</v>
      </c>
      <c r="D29" s="115">
        <v>1</v>
      </c>
    </row>
    <row r="30" spans="1:15">
      <c r="A30">
        <v>2</v>
      </c>
      <c r="C30" s="114">
        <v>0</v>
      </c>
      <c r="D30" s="115">
        <v>1</v>
      </c>
    </row>
    <row r="31" spans="1:15">
      <c r="A31">
        <v>2</v>
      </c>
      <c r="C31" s="114">
        <v>0</v>
      </c>
      <c r="D31" s="115">
        <v>1</v>
      </c>
    </row>
    <row r="32" spans="1:15">
      <c r="A32">
        <v>1</v>
      </c>
      <c r="C32" s="114">
        <v>0</v>
      </c>
      <c r="D32" s="115">
        <v>1</v>
      </c>
    </row>
    <row r="33" spans="1:4">
      <c r="A33">
        <v>0</v>
      </c>
      <c r="C33" s="114">
        <v>0</v>
      </c>
      <c r="D33" s="115">
        <v>1</v>
      </c>
    </row>
    <row r="34" spans="1:4">
      <c r="A34">
        <v>1</v>
      </c>
      <c r="C34" s="114">
        <v>0</v>
      </c>
      <c r="D34" s="115">
        <v>1</v>
      </c>
    </row>
    <row r="35" spans="1:4">
      <c r="A35">
        <v>2</v>
      </c>
      <c r="C35" s="114">
        <v>0</v>
      </c>
      <c r="D35" s="115">
        <v>1</v>
      </c>
    </row>
    <row r="36" spans="1:4">
      <c r="A36">
        <v>3</v>
      </c>
      <c r="C36" s="114">
        <v>1</v>
      </c>
      <c r="D36" s="115">
        <v>1</v>
      </c>
    </row>
    <row r="37" spans="1:4">
      <c r="A37">
        <v>2</v>
      </c>
      <c r="C37" s="114">
        <v>1</v>
      </c>
      <c r="D37" s="115">
        <v>1</v>
      </c>
    </row>
    <row r="38" spans="1:4">
      <c r="A38">
        <v>2</v>
      </c>
      <c r="C38" s="114">
        <v>0</v>
      </c>
      <c r="D38" s="115">
        <v>1</v>
      </c>
    </row>
    <row r="39" spans="1:4">
      <c r="A39">
        <v>2</v>
      </c>
      <c r="C39" s="114">
        <v>0</v>
      </c>
      <c r="D39" s="115">
        <v>1</v>
      </c>
    </row>
    <row r="40" spans="1:4">
      <c r="A40">
        <v>2</v>
      </c>
      <c r="C40" s="114">
        <v>0</v>
      </c>
      <c r="D40" s="115">
        <v>1</v>
      </c>
    </row>
    <row r="41" spans="1:4">
      <c r="A41">
        <v>2</v>
      </c>
      <c r="C41" s="114">
        <v>0</v>
      </c>
      <c r="D41" s="115">
        <v>1</v>
      </c>
    </row>
    <row r="42" spans="1:4">
      <c r="A42">
        <v>2</v>
      </c>
      <c r="C42" s="114">
        <v>0</v>
      </c>
      <c r="D42" s="115">
        <v>1</v>
      </c>
    </row>
    <row r="43" spans="1:4">
      <c r="A43">
        <v>1</v>
      </c>
      <c r="C43" s="114">
        <v>0</v>
      </c>
      <c r="D43" s="115">
        <v>1</v>
      </c>
    </row>
    <row r="44" spans="1:4">
      <c r="A44">
        <v>0</v>
      </c>
      <c r="C44" s="114">
        <v>1</v>
      </c>
      <c r="D44" s="115">
        <v>1</v>
      </c>
    </row>
    <row r="45" spans="1:4">
      <c r="A45">
        <v>0</v>
      </c>
      <c r="C45" s="114">
        <v>0</v>
      </c>
      <c r="D45" s="115">
        <v>1</v>
      </c>
    </row>
    <row r="46" spans="1:4">
      <c r="A46">
        <v>2</v>
      </c>
      <c r="C46" s="114">
        <v>0</v>
      </c>
      <c r="D46" s="115">
        <v>1</v>
      </c>
    </row>
    <row r="47" spans="1:4">
      <c r="A47">
        <v>1</v>
      </c>
      <c r="C47" s="114">
        <v>0</v>
      </c>
      <c r="D47" s="115">
        <v>1</v>
      </c>
    </row>
    <row r="48" spans="1:4">
      <c r="A48">
        <v>2</v>
      </c>
      <c r="C48" s="114">
        <v>0</v>
      </c>
      <c r="D48" s="115">
        <v>1</v>
      </c>
    </row>
    <row r="49" spans="1:4">
      <c r="A49">
        <v>2</v>
      </c>
      <c r="C49" s="114">
        <v>0</v>
      </c>
      <c r="D49" s="115">
        <v>1</v>
      </c>
    </row>
    <row r="50" spans="1:4">
      <c r="A50">
        <v>2</v>
      </c>
      <c r="C50" s="114">
        <v>0</v>
      </c>
      <c r="D50" s="115">
        <v>1</v>
      </c>
    </row>
    <row r="51" spans="1:4">
      <c r="A51">
        <v>0</v>
      </c>
      <c r="C51" s="114">
        <v>0</v>
      </c>
      <c r="D51" s="115">
        <v>1</v>
      </c>
    </row>
    <row r="52" spans="1:4">
      <c r="A52">
        <v>2</v>
      </c>
      <c r="C52" s="114">
        <v>0</v>
      </c>
      <c r="D52" s="115">
        <v>1</v>
      </c>
    </row>
    <row r="53" spans="1:4">
      <c r="A53">
        <v>0</v>
      </c>
      <c r="C53" s="114">
        <v>0</v>
      </c>
      <c r="D53" s="115">
        <v>1</v>
      </c>
    </row>
    <row r="54" spans="1:4">
      <c r="A54">
        <v>2</v>
      </c>
      <c r="C54" s="114">
        <v>0</v>
      </c>
      <c r="D54" s="115">
        <v>1</v>
      </c>
    </row>
    <row r="55" spans="1:4">
      <c r="A55">
        <v>2</v>
      </c>
      <c r="C55" s="114">
        <v>0</v>
      </c>
      <c r="D55" s="115">
        <v>1</v>
      </c>
    </row>
    <row r="56" spans="1:4">
      <c r="A56">
        <v>2</v>
      </c>
      <c r="C56" s="114">
        <v>0</v>
      </c>
      <c r="D56" s="115">
        <v>1</v>
      </c>
    </row>
    <row r="57" spans="1:4">
      <c r="A57">
        <v>1</v>
      </c>
      <c r="C57" s="114">
        <v>0</v>
      </c>
      <c r="D57" s="115">
        <v>1</v>
      </c>
    </row>
    <row r="58" spans="1:4">
      <c r="A58">
        <v>0</v>
      </c>
      <c r="C58" s="114">
        <v>0</v>
      </c>
      <c r="D58" s="115">
        <v>1</v>
      </c>
    </row>
    <row r="59" spans="1:4">
      <c r="A59">
        <v>0</v>
      </c>
      <c r="C59" s="114">
        <v>0</v>
      </c>
      <c r="D59" s="115">
        <v>1</v>
      </c>
    </row>
    <row r="60" spans="1:4">
      <c r="A60">
        <v>3</v>
      </c>
      <c r="C60" s="114">
        <v>0</v>
      </c>
      <c r="D60" s="115">
        <v>1</v>
      </c>
    </row>
    <row r="61" spans="1:4">
      <c r="A61">
        <v>0</v>
      </c>
      <c r="C61" s="114">
        <v>0</v>
      </c>
      <c r="D61" s="115">
        <v>1</v>
      </c>
    </row>
    <row r="62" spans="1:4">
      <c r="A62">
        <v>2</v>
      </c>
      <c r="C62" s="114">
        <v>0</v>
      </c>
      <c r="D62" s="115">
        <v>1</v>
      </c>
    </row>
    <row r="63" spans="1:4">
      <c r="A63">
        <v>1</v>
      </c>
      <c r="C63" s="114">
        <v>0</v>
      </c>
      <c r="D63" s="115">
        <v>1</v>
      </c>
    </row>
    <row r="64" spans="1:4">
      <c r="A64">
        <v>3</v>
      </c>
      <c r="C64" s="114">
        <v>0</v>
      </c>
      <c r="D64" s="115">
        <v>1</v>
      </c>
    </row>
    <row r="65" spans="1:4">
      <c r="A65">
        <v>1</v>
      </c>
      <c r="C65" s="114">
        <v>0</v>
      </c>
      <c r="D65" s="115">
        <v>1</v>
      </c>
    </row>
    <row r="66" spans="1:4">
      <c r="A66">
        <v>2</v>
      </c>
      <c r="C66" s="114">
        <v>0</v>
      </c>
      <c r="D66" s="115">
        <v>1</v>
      </c>
    </row>
    <row r="67" spans="1:4">
      <c r="A67">
        <v>0</v>
      </c>
      <c r="C67" s="114">
        <v>0</v>
      </c>
      <c r="D67" s="115">
        <v>1</v>
      </c>
    </row>
    <row r="68" spans="1:4">
      <c r="A68">
        <v>2</v>
      </c>
      <c r="C68" s="114">
        <v>1</v>
      </c>
      <c r="D68" s="115">
        <v>1</v>
      </c>
    </row>
    <row r="69" spans="1:4">
      <c r="A69">
        <v>1</v>
      </c>
      <c r="C69" s="114">
        <v>0</v>
      </c>
      <c r="D69" s="115">
        <v>1</v>
      </c>
    </row>
    <row r="70" spans="1:4">
      <c r="A70">
        <v>1</v>
      </c>
      <c r="C70" s="114">
        <v>0</v>
      </c>
      <c r="D70" s="115">
        <v>1</v>
      </c>
    </row>
    <row r="71" spans="1:4">
      <c r="A71">
        <v>0</v>
      </c>
      <c r="C71" s="114">
        <v>0</v>
      </c>
      <c r="D71" s="115">
        <v>1</v>
      </c>
    </row>
    <row r="72" spans="1:4">
      <c r="A72">
        <v>2</v>
      </c>
      <c r="C72" s="114">
        <v>0</v>
      </c>
      <c r="D72" s="115">
        <v>1</v>
      </c>
    </row>
    <row r="73" spans="1:4">
      <c r="A73">
        <v>2</v>
      </c>
      <c r="C73" s="114">
        <v>1</v>
      </c>
      <c r="D73" s="115">
        <v>1</v>
      </c>
    </row>
    <row r="74" spans="1:4">
      <c r="A74">
        <v>1</v>
      </c>
      <c r="C74" s="114">
        <v>0</v>
      </c>
      <c r="D74" s="115">
        <v>1</v>
      </c>
    </row>
    <row r="75" spans="1:4">
      <c r="A75">
        <v>0</v>
      </c>
      <c r="C75" s="114">
        <v>1</v>
      </c>
      <c r="D75" s="115">
        <v>1</v>
      </c>
    </row>
    <row r="76" spans="1:4">
      <c r="A76">
        <v>2</v>
      </c>
      <c r="C76" s="114">
        <v>0</v>
      </c>
      <c r="D76" s="115">
        <v>1</v>
      </c>
    </row>
    <row r="77" spans="1:4">
      <c r="A77">
        <v>1</v>
      </c>
      <c r="C77" s="114">
        <v>0</v>
      </c>
      <c r="D77" s="115">
        <v>1</v>
      </c>
    </row>
    <row r="78" spans="1:4">
      <c r="A78">
        <v>2</v>
      </c>
      <c r="C78" s="114">
        <v>0</v>
      </c>
      <c r="D78" s="115">
        <v>1</v>
      </c>
    </row>
    <row r="79" spans="1:4">
      <c r="A79">
        <v>1</v>
      </c>
      <c r="C79" s="114">
        <v>1</v>
      </c>
      <c r="D79" s="115">
        <v>1</v>
      </c>
    </row>
    <row r="80" spans="1:4">
      <c r="A80">
        <v>1</v>
      </c>
      <c r="C80" s="114">
        <v>0</v>
      </c>
      <c r="D80" s="115">
        <v>1</v>
      </c>
    </row>
    <row r="81" spans="1:4">
      <c r="A81">
        <v>2</v>
      </c>
      <c r="C81" s="114">
        <v>1</v>
      </c>
      <c r="D81" s="115">
        <v>1</v>
      </c>
    </row>
    <row r="82" spans="1:4">
      <c r="A82">
        <v>2</v>
      </c>
      <c r="C82" s="114">
        <v>0</v>
      </c>
      <c r="D82" s="115">
        <v>1</v>
      </c>
    </row>
    <row r="83" spans="1:4">
      <c r="A83">
        <v>1</v>
      </c>
      <c r="C83" s="114">
        <v>0</v>
      </c>
      <c r="D83" s="115">
        <v>1</v>
      </c>
    </row>
    <row r="84" spans="1:4">
      <c r="A84">
        <v>2</v>
      </c>
      <c r="C84" s="114">
        <v>0</v>
      </c>
      <c r="D84" s="115">
        <v>1</v>
      </c>
    </row>
    <row r="85" spans="1:4">
      <c r="A85">
        <v>3</v>
      </c>
      <c r="C85" s="114">
        <v>0</v>
      </c>
      <c r="D85" s="115">
        <v>1</v>
      </c>
    </row>
    <row r="86" spans="1:4">
      <c r="A86">
        <v>0</v>
      </c>
      <c r="C86" s="114">
        <v>0</v>
      </c>
      <c r="D86" s="115">
        <v>1</v>
      </c>
    </row>
    <row r="87" spans="1:4">
      <c r="A87">
        <v>2</v>
      </c>
      <c r="C87" s="114">
        <v>0</v>
      </c>
      <c r="D87" s="115">
        <v>1</v>
      </c>
    </row>
    <row r="88" spans="1:4">
      <c r="A88">
        <v>2</v>
      </c>
      <c r="C88" s="114">
        <v>0</v>
      </c>
      <c r="D88" s="115">
        <v>1</v>
      </c>
    </row>
    <row r="89" spans="1:4">
      <c r="A89">
        <v>1</v>
      </c>
      <c r="C89" s="114">
        <v>0</v>
      </c>
      <c r="D89" s="115">
        <v>1</v>
      </c>
    </row>
    <row r="90" spans="1:4">
      <c r="A90">
        <v>2</v>
      </c>
      <c r="C90" s="114">
        <v>0</v>
      </c>
      <c r="D90" s="115">
        <v>1</v>
      </c>
    </row>
    <row r="91" spans="1:4">
      <c r="A91">
        <v>0</v>
      </c>
      <c r="C91" s="114">
        <v>0</v>
      </c>
      <c r="D91" s="115">
        <v>1</v>
      </c>
    </row>
    <row r="92" spans="1:4">
      <c r="A92">
        <v>2</v>
      </c>
      <c r="C92" s="114">
        <v>0</v>
      </c>
      <c r="D92" s="115">
        <v>1</v>
      </c>
    </row>
    <row r="93" spans="1:4">
      <c r="A93">
        <v>0</v>
      </c>
      <c r="C93" s="114">
        <v>1</v>
      </c>
      <c r="D93" s="115">
        <v>1</v>
      </c>
    </row>
    <row r="94" spans="1:4">
      <c r="A94">
        <v>2</v>
      </c>
      <c r="C94" s="114">
        <v>0</v>
      </c>
      <c r="D94" s="115">
        <v>1</v>
      </c>
    </row>
    <row r="95" spans="1:4">
      <c r="A95">
        <v>1</v>
      </c>
      <c r="C95" s="114">
        <v>1</v>
      </c>
      <c r="D95" s="115">
        <v>1</v>
      </c>
    </row>
    <row r="96" spans="1:4">
      <c r="A96">
        <v>1</v>
      </c>
      <c r="C96" s="114">
        <v>0</v>
      </c>
      <c r="D96" s="115">
        <v>1</v>
      </c>
    </row>
    <row r="97" spans="1:4">
      <c r="A97">
        <v>0</v>
      </c>
      <c r="C97" s="114">
        <v>1</v>
      </c>
      <c r="D97" s="115">
        <v>1</v>
      </c>
    </row>
    <row r="98" spans="1:4">
      <c r="A98">
        <v>0</v>
      </c>
      <c r="C98" s="114">
        <v>0</v>
      </c>
      <c r="D98" s="115">
        <v>1</v>
      </c>
    </row>
    <row r="99" spans="1:4">
      <c r="A99">
        <v>0</v>
      </c>
      <c r="C99" s="114">
        <v>0</v>
      </c>
      <c r="D99" s="115">
        <v>1</v>
      </c>
    </row>
    <row r="100" spans="1:4">
      <c r="A100">
        <v>2</v>
      </c>
      <c r="C100" s="114">
        <v>0</v>
      </c>
      <c r="D100" s="115">
        <v>1</v>
      </c>
    </row>
    <row r="101" spans="1:4">
      <c r="A101">
        <v>2</v>
      </c>
      <c r="C101" s="114">
        <v>0</v>
      </c>
      <c r="D101" s="115">
        <v>1</v>
      </c>
    </row>
    <row r="102" spans="1:4">
      <c r="A102">
        <v>3</v>
      </c>
      <c r="C102" s="114">
        <v>0</v>
      </c>
      <c r="D102" s="115">
        <v>1</v>
      </c>
    </row>
    <row r="103" spans="1:4">
      <c r="A103">
        <v>3</v>
      </c>
      <c r="C103" s="114">
        <v>0</v>
      </c>
      <c r="D103" s="115">
        <v>1</v>
      </c>
    </row>
    <row r="104" spans="1:4">
      <c r="A104">
        <v>1</v>
      </c>
      <c r="C104" s="114">
        <v>0</v>
      </c>
      <c r="D104" s="115">
        <v>1</v>
      </c>
    </row>
    <row r="105" spans="1:4">
      <c r="A105">
        <v>2</v>
      </c>
      <c r="C105" s="114">
        <v>0</v>
      </c>
      <c r="D105" s="115">
        <v>1</v>
      </c>
    </row>
    <row r="106" spans="1:4">
      <c r="A106">
        <v>2</v>
      </c>
      <c r="C106" s="114">
        <v>0</v>
      </c>
      <c r="D106" s="115">
        <v>1</v>
      </c>
    </row>
    <row r="107" spans="1:4">
      <c r="A107">
        <v>2</v>
      </c>
      <c r="C107" s="114">
        <v>0</v>
      </c>
      <c r="D107" s="115">
        <v>1</v>
      </c>
    </row>
    <row r="108" spans="1:4">
      <c r="A108">
        <v>3</v>
      </c>
      <c r="C108" s="114">
        <v>0</v>
      </c>
      <c r="D108" s="115">
        <v>1</v>
      </c>
    </row>
    <row r="109" spans="1:4">
      <c r="A109">
        <v>0</v>
      </c>
      <c r="C109" s="114">
        <v>1</v>
      </c>
      <c r="D109" s="115">
        <v>1</v>
      </c>
    </row>
    <row r="110" spans="1:4">
      <c r="A110">
        <v>1</v>
      </c>
      <c r="C110" s="114">
        <v>0</v>
      </c>
      <c r="D110" s="115">
        <v>1</v>
      </c>
    </row>
    <row r="111" spans="1:4">
      <c r="A111">
        <v>0</v>
      </c>
      <c r="C111" s="114">
        <v>0</v>
      </c>
      <c r="D111" s="115">
        <v>1</v>
      </c>
    </row>
    <row r="112" spans="1:4">
      <c r="A112">
        <v>0</v>
      </c>
      <c r="C112" s="114">
        <v>1</v>
      </c>
      <c r="D112" s="115">
        <v>1</v>
      </c>
    </row>
    <row r="113" spans="1:4">
      <c r="A113">
        <v>2</v>
      </c>
      <c r="C113" s="114">
        <v>0</v>
      </c>
      <c r="D113" s="115">
        <v>1</v>
      </c>
    </row>
    <row r="114" spans="1:4">
      <c r="A114">
        <v>2</v>
      </c>
      <c r="C114" s="114">
        <v>0</v>
      </c>
      <c r="D114" s="115">
        <v>1</v>
      </c>
    </row>
    <row r="115" spans="1:4">
      <c r="A115">
        <v>0</v>
      </c>
      <c r="C115" s="114">
        <v>0</v>
      </c>
      <c r="D115" s="115">
        <v>1</v>
      </c>
    </row>
    <row r="116" spans="1:4">
      <c r="A116">
        <v>1</v>
      </c>
      <c r="C116" s="114">
        <v>0</v>
      </c>
      <c r="D116" s="115">
        <v>1</v>
      </c>
    </row>
    <row r="117" spans="1:4">
      <c r="A117">
        <v>2</v>
      </c>
      <c r="C117" s="114">
        <v>0</v>
      </c>
      <c r="D117" s="115">
        <v>1</v>
      </c>
    </row>
    <row r="118" spans="1:4">
      <c r="A118">
        <v>2</v>
      </c>
      <c r="C118" s="114">
        <v>0</v>
      </c>
      <c r="D118" s="115">
        <v>1</v>
      </c>
    </row>
    <row r="119" spans="1:4">
      <c r="A119">
        <v>3</v>
      </c>
      <c r="C119" s="114">
        <v>0</v>
      </c>
      <c r="D119" s="115">
        <v>1</v>
      </c>
    </row>
    <row r="120" spans="1:4">
      <c r="A120">
        <v>1</v>
      </c>
      <c r="C120" s="114">
        <v>0</v>
      </c>
      <c r="D120" s="115">
        <v>1</v>
      </c>
    </row>
    <row r="121" spans="1:4">
      <c r="A121">
        <v>0</v>
      </c>
      <c r="C121" s="114">
        <v>1</v>
      </c>
      <c r="D121" s="115">
        <v>1</v>
      </c>
    </row>
    <row r="122" spans="1:4">
      <c r="A122">
        <v>0</v>
      </c>
      <c r="C122" s="114">
        <v>0</v>
      </c>
      <c r="D122" s="115">
        <v>1</v>
      </c>
    </row>
    <row r="123" spans="1:4">
      <c r="A123">
        <v>0</v>
      </c>
      <c r="C123" s="114">
        <v>0</v>
      </c>
      <c r="D123" s="115">
        <v>1</v>
      </c>
    </row>
    <row r="124" spans="1:4">
      <c r="A124">
        <v>2</v>
      </c>
      <c r="C124" s="114">
        <v>1</v>
      </c>
      <c r="D124" s="115">
        <v>1</v>
      </c>
    </row>
    <row r="125" spans="1:4">
      <c r="A125">
        <v>2</v>
      </c>
      <c r="C125" s="114">
        <v>0</v>
      </c>
      <c r="D125" s="115">
        <v>1</v>
      </c>
    </row>
    <row r="126" spans="1:4">
      <c r="A126">
        <v>2</v>
      </c>
      <c r="C126" s="114">
        <v>0</v>
      </c>
      <c r="D126" s="115">
        <v>1</v>
      </c>
    </row>
    <row r="127" spans="1:4">
      <c r="A127">
        <v>1</v>
      </c>
      <c r="C127" s="114">
        <v>0</v>
      </c>
      <c r="D127" s="115">
        <v>1</v>
      </c>
    </row>
    <row r="128" spans="1:4">
      <c r="A128">
        <v>0</v>
      </c>
      <c r="C128" s="114">
        <v>0</v>
      </c>
      <c r="D128" s="115">
        <v>1</v>
      </c>
    </row>
    <row r="129" spans="1:4">
      <c r="A129">
        <v>2</v>
      </c>
      <c r="C129" s="114">
        <v>0</v>
      </c>
      <c r="D129" s="115">
        <v>1</v>
      </c>
    </row>
    <row r="130" spans="1:4">
      <c r="A130">
        <v>2</v>
      </c>
      <c r="C130" s="114">
        <v>0</v>
      </c>
      <c r="D130" s="115">
        <v>1</v>
      </c>
    </row>
    <row r="131" spans="1:4">
      <c r="A131">
        <v>1</v>
      </c>
      <c r="C131" s="114">
        <v>1</v>
      </c>
      <c r="D131" s="115">
        <v>1</v>
      </c>
    </row>
    <row r="132" spans="1:4">
      <c r="A132">
        <v>2</v>
      </c>
      <c r="C132" s="114">
        <v>0</v>
      </c>
      <c r="D132" s="115">
        <v>1</v>
      </c>
    </row>
    <row r="133" spans="1:4">
      <c r="A133">
        <v>1</v>
      </c>
      <c r="C133" s="114">
        <v>0</v>
      </c>
      <c r="D133" s="115">
        <v>1</v>
      </c>
    </row>
    <row r="134" spans="1:4">
      <c r="A134">
        <v>1</v>
      </c>
      <c r="C134" s="114">
        <v>0</v>
      </c>
      <c r="D134" s="115">
        <v>1</v>
      </c>
    </row>
    <row r="135" spans="1:4">
      <c r="A135">
        <v>1</v>
      </c>
      <c r="C135" s="114">
        <v>0</v>
      </c>
      <c r="D135" s="115">
        <v>1</v>
      </c>
    </row>
    <row r="136" spans="1:4">
      <c r="A136">
        <v>1</v>
      </c>
      <c r="C136" s="114">
        <v>0</v>
      </c>
      <c r="D136" s="115">
        <v>1</v>
      </c>
    </row>
    <row r="137" spans="1:4">
      <c r="A137">
        <v>0</v>
      </c>
      <c r="C137" s="114">
        <v>0</v>
      </c>
      <c r="D137" s="115">
        <v>1</v>
      </c>
    </row>
    <row r="138" spans="1:4">
      <c r="A138">
        <v>2</v>
      </c>
      <c r="C138" s="114">
        <v>0</v>
      </c>
      <c r="D138" s="115">
        <v>1</v>
      </c>
    </row>
    <row r="139" spans="1:4">
      <c r="A139">
        <v>1</v>
      </c>
      <c r="C139" s="114">
        <v>0</v>
      </c>
      <c r="D139" s="115">
        <v>1</v>
      </c>
    </row>
    <row r="140" spans="1:4">
      <c r="A140">
        <v>0</v>
      </c>
      <c r="C140" s="114">
        <v>1</v>
      </c>
      <c r="D140" s="115">
        <v>1</v>
      </c>
    </row>
    <row r="141" spans="1:4">
      <c r="A141">
        <v>0</v>
      </c>
      <c r="C141" s="114">
        <v>1</v>
      </c>
      <c r="D141" s="115">
        <v>1</v>
      </c>
    </row>
    <row r="142" spans="1:4">
      <c r="A142">
        <v>2</v>
      </c>
      <c r="C142" s="114">
        <v>0</v>
      </c>
      <c r="D142" s="115">
        <v>1</v>
      </c>
    </row>
    <row r="143" spans="1:4">
      <c r="A143">
        <v>0</v>
      </c>
      <c r="C143" s="114">
        <v>0</v>
      </c>
      <c r="D143" s="115">
        <v>1</v>
      </c>
    </row>
    <row r="144" spans="1:4">
      <c r="A144">
        <v>2</v>
      </c>
      <c r="C144" s="114">
        <v>0</v>
      </c>
      <c r="D144" s="115">
        <v>1</v>
      </c>
    </row>
    <row r="145" spans="1:4">
      <c r="A145">
        <v>0</v>
      </c>
      <c r="C145" s="114">
        <v>0</v>
      </c>
      <c r="D145" s="115">
        <v>1</v>
      </c>
    </row>
    <row r="146" spans="1:4">
      <c r="A146">
        <v>2</v>
      </c>
      <c r="C146" s="114">
        <v>0</v>
      </c>
      <c r="D146" s="115">
        <v>1</v>
      </c>
    </row>
    <row r="147" spans="1:4">
      <c r="A147">
        <v>1</v>
      </c>
      <c r="C147" s="114">
        <v>0</v>
      </c>
      <c r="D147" s="115">
        <v>1</v>
      </c>
    </row>
    <row r="148" spans="1:4">
      <c r="A148">
        <v>2</v>
      </c>
      <c r="C148" s="114">
        <v>0</v>
      </c>
      <c r="D148" s="115">
        <v>1</v>
      </c>
    </row>
    <row r="149" spans="1:4">
      <c r="A149">
        <v>3</v>
      </c>
      <c r="C149" s="114">
        <v>0</v>
      </c>
      <c r="D149" s="115">
        <v>1</v>
      </c>
    </row>
    <row r="150" spans="1:4">
      <c r="A150">
        <v>2</v>
      </c>
      <c r="C150" s="114">
        <v>0</v>
      </c>
      <c r="D150" s="115">
        <v>1</v>
      </c>
    </row>
    <row r="151" spans="1:4">
      <c r="A151">
        <v>2</v>
      </c>
      <c r="C151" s="114">
        <v>0</v>
      </c>
      <c r="D151" s="115">
        <v>1</v>
      </c>
    </row>
    <row r="152" spans="1:4">
      <c r="A152">
        <v>0</v>
      </c>
      <c r="C152" s="114">
        <v>0</v>
      </c>
      <c r="D152" s="115">
        <v>1</v>
      </c>
    </row>
    <row r="153" spans="1:4">
      <c r="A153">
        <v>0</v>
      </c>
      <c r="C153" s="114">
        <v>0</v>
      </c>
      <c r="D153" s="115">
        <v>1</v>
      </c>
    </row>
    <row r="154" spans="1:4">
      <c r="A154">
        <v>3</v>
      </c>
      <c r="C154" s="114">
        <v>0</v>
      </c>
      <c r="D154" s="115">
        <v>1</v>
      </c>
    </row>
    <row r="155" spans="1:4">
      <c r="A155">
        <v>2</v>
      </c>
      <c r="C155" s="114">
        <v>0</v>
      </c>
      <c r="D155" s="115">
        <v>1</v>
      </c>
    </row>
    <row r="156" spans="1:4">
      <c r="A156">
        <v>2</v>
      </c>
      <c r="C156" s="114">
        <v>0</v>
      </c>
      <c r="D156" s="115">
        <v>1</v>
      </c>
    </row>
    <row r="157" spans="1:4">
      <c r="A157">
        <v>0</v>
      </c>
      <c r="C157" s="114">
        <v>0</v>
      </c>
      <c r="D157" s="115">
        <v>1</v>
      </c>
    </row>
    <row r="158" spans="1:4">
      <c r="A158">
        <v>2</v>
      </c>
      <c r="C158" s="114">
        <v>0</v>
      </c>
      <c r="D158" s="115">
        <v>1</v>
      </c>
    </row>
    <row r="159" spans="1:4">
      <c r="A159">
        <v>1</v>
      </c>
      <c r="C159" s="114">
        <v>0</v>
      </c>
      <c r="D159" s="115">
        <v>1</v>
      </c>
    </row>
    <row r="160" spans="1:4">
      <c r="A160">
        <v>1</v>
      </c>
      <c r="C160" s="114">
        <v>0</v>
      </c>
      <c r="D160" s="115">
        <v>1</v>
      </c>
    </row>
    <row r="161" spans="1:4">
      <c r="A161">
        <v>1</v>
      </c>
      <c r="C161" s="114">
        <v>0</v>
      </c>
      <c r="D161" s="115">
        <v>1</v>
      </c>
    </row>
    <row r="162" spans="1:4">
      <c r="A162">
        <v>1</v>
      </c>
      <c r="C162" s="114">
        <v>0</v>
      </c>
      <c r="D162" s="115">
        <v>1</v>
      </c>
    </row>
    <row r="163" spans="1:4">
      <c r="A163">
        <v>1</v>
      </c>
      <c r="C163" s="114">
        <v>0</v>
      </c>
      <c r="D163" s="115">
        <v>1</v>
      </c>
    </row>
    <row r="164" spans="1:4">
      <c r="A164">
        <v>1</v>
      </c>
      <c r="C164" s="114">
        <v>0</v>
      </c>
      <c r="D164" s="115">
        <v>1</v>
      </c>
    </row>
    <row r="165" spans="1:4">
      <c r="A165">
        <v>2</v>
      </c>
      <c r="C165" s="114">
        <v>0</v>
      </c>
      <c r="D165" s="115">
        <v>1</v>
      </c>
    </row>
    <row r="166" spans="1:4">
      <c r="A166">
        <v>2</v>
      </c>
      <c r="C166" s="114">
        <v>0</v>
      </c>
      <c r="D166" s="115">
        <v>1</v>
      </c>
    </row>
    <row r="167" spans="1:4">
      <c r="A167">
        <v>0</v>
      </c>
      <c r="C167" s="114">
        <v>1</v>
      </c>
      <c r="D167" s="115">
        <v>0</v>
      </c>
    </row>
    <row r="168" spans="1:4">
      <c r="A168">
        <v>0</v>
      </c>
      <c r="C168" s="114">
        <v>1</v>
      </c>
      <c r="D168" s="115">
        <v>0</v>
      </c>
    </row>
    <row r="169" spans="1:4">
      <c r="A169">
        <v>0</v>
      </c>
      <c r="C169" s="114">
        <v>0</v>
      </c>
      <c r="D169" s="115">
        <v>0</v>
      </c>
    </row>
    <row r="170" spans="1:4">
      <c r="A170">
        <v>0</v>
      </c>
      <c r="C170" s="114">
        <v>0</v>
      </c>
      <c r="D170" s="115">
        <v>0</v>
      </c>
    </row>
    <row r="171" spans="1:4">
      <c r="A171">
        <v>0</v>
      </c>
      <c r="C171" s="114">
        <v>1</v>
      </c>
      <c r="D171" s="115">
        <v>0</v>
      </c>
    </row>
    <row r="172" spans="1:4">
      <c r="A172">
        <v>2</v>
      </c>
      <c r="C172" s="114">
        <v>1</v>
      </c>
      <c r="D172" s="115">
        <v>0</v>
      </c>
    </row>
    <row r="173" spans="1:4">
      <c r="A173">
        <v>1</v>
      </c>
      <c r="C173" s="114">
        <v>0</v>
      </c>
      <c r="D173" s="115">
        <v>0</v>
      </c>
    </row>
    <row r="174" spans="1:4">
      <c r="A174">
        <v>1</v>
      </c>
      <c r="C174" s="114">
        <v>0</v>
      </c>
      <c r="D174" s="115">
        <v>0</v>
      </c>
    </row>
    <row r="175" spans="1:4">
      <c r="A175">
        <v>2</v>
      </c>
      <c r="C175" s="114">
        <v>0</v>
      </c>
      <c r="D175" s="115">
        <v>0</v>
      </c>
    </row>
    <row r="176" spans="1:4">
      <c r="A176">
        <v>0</v>
      </c>
      <c r="C176" s="114">
        <v>1</v>
      </c>
      <c r="D176" s="115">
        <v>0</v>
      </c>
    </row>
    <row r="177" spans="1:4">
      <c r="A177">
        <v>0</v>
      </c>
      <c r="C177" s="114">
        <v>1</v>
      </c>
      <c r="D177" s="115">
        <v>0</v>
      </c>
    </row>
    <row r="178" spans="1:4">
      <c r="A178">
        <v>0</v>
      </c>
      <c r="C178" s="114">
        <v>1</v>
      </c>
      <c r="D178" s="115">
        <v>0</v>
      </c>
    </row>
    <row r="179" spans="1:4">
      <c r="A179">
        <v>2</v>
      </c>
      <c r="C179" s="114">
        <v>0</v>
      </c>
      <c r="D179" s="115">
        <v>0</v>
      </c>
    </row>
    <row r="180" spans="1:4">
      <c r="A180">
        <v>0</v>
      </c>
      <c r="C180" s="114">
        <v>1</v>
      </c>
      <c r="D180" s="115">
        <v>0</v>
      </c>
    </row>
    <row r="181" spans="1:4">
      <c r="A181">
        <v>0</v>
      </c>
      <c r="C181" s="114">
        <v>1</v>
      </c>
      <c r="D181" s="115">
        <v>0</v>
      </c>
    </row>
    <row r="182" spans="1:4">
      <c r="A182">
        <v>0</v>
      </c>
      <c r="C182" s="114">
        <v>1</v>
      </c>
      <c r="D182" s="115">
        <v>0</v>
      </c>
    </row>
    <row r="183" spans="1:4">
      <c r="A183">
        <v>0</v>
      </c>
      <c r="C183" s="114">
        <v>0</v>
      </c>
      <c r="D183" s="115">
        <v>0</v>
      </c>
    </row>
    <row r="184" spans="1:4">
      <c r="A184">
        <v>0</v>
      </c>
      <c r="C184" s="114">
        <v>0</v>
      </c>
      <c r="D184" s="115">
        <v>0</v>
      </c>
    </row>
    <row r="185" spans="1:4">
      <c r="A185">
        <v>2</v>
      </c>
      <c r="C185" s="114">
        <v>0</v>
      </c>
      <c r="D185" s="115">
        <v>0</v>
      </c>
    </row>
    <row r="186" spans="1:4">
      <c r="A186">
        <v>0</v>
      </c>
      <c r="C186" s="114">
        <v>0</v>
      </c>
      <c r="D186" s="115">
        <v>0</v>
      </c>
    </row>
    <row r="187" spans="1:4">
      <c r="A187">
        <v>0</v>
      </c>
      <c r="C187" s="114">
        <v>0</v>
      </c>
      <c r="D187" s="115">
        <v>0</v>
      </c>
    </row>
    <row r="188" spans="1:4">
      <c r="A188">
        <v>0</v>
      </c>
      <c r="C188" s="114">
        <v>1</v>
      </c>
      <c r="D188" s="115">
        <v>0</v>
      </c>
    </row>
    <row r="189" spans="1:4">
      <c r="A189">
        <v>0</v>
      </c>
      <c r="C189" s="114">
        <v>1</v>
      </c>
      <c r="D189" s="115">
        <v>0</v>
      </c>
    </row>
    <row r="190" spans="1:4">
      <c r="A190">
        <v>2</v>
      </c>
      <c r="C190" s="114">
        <v>0</v>
      </c>
      <c r="D190" s="115">
        <v>0</v>
      </c>
    </row>
    <row r="191" spans="1:4">
      <c r="A191">
        <v>0</v>
      </c>
      <c r="C191" s="114">
        <v>0</v>
      </c>
      <c r="D191" s="115">
        <v>0</v>
      </c>
    </row>
    <row r="192" spans="1:4">
      <c r="A192">
        <v>0</v>
      </c>
      <c r="C192" s="114">
        <v>1</v>
      </c>
      <c r="D192" s="115">
        <v>0</v>
      </c>
    </row>
    <row r="193" spans="1:4">
      <c r="A193">
        <v>0</v>
      </c>
      <c r="C193" s="114">
        <v>1</v>
      </c>
      <c r="D193" s="115">
        <v>0</v>
      </c>
    </row>
    <row r="194" spans="1:4">
      <c r="A194">
        <v>0</v>
      </c>
      <c r="C194" s="114">
        <v>0</v>
      </c>
      <c r="D194" s="115">
        <v>0</v>
      </c>
    </row>
    <row r="195" spans="1:4">
      <c r="A195">
        <v>0</v>
      </c>
      <c r="C195" s="114">
        <v>1</v>
      </c>
      <c r="D195" s="115">
        <v>0</v>
      </c>
    </row>
    <row r="196" spans="1:4">
      <c r="A196">
        <v>2</v>
      </c>
      <c r="C196" s="114">
        <v>0</v>
      </c>
      <c r="D196" s="115">
        <v>0</v>
      </c>
    </row>
    <row r="197" spans="1:4">
      <c r="A197">
        <v>0</v>
      </c>
      <c r="C197" s="114">
        <v>1</v>
      </c>
      <c r="D197" s="115">
        <v>0</v>
      </c>
    </row>
    <row r="198" spans="1:4">
      <c r="A198">
        <v>2</v>
      </c>
      <c r="C198" s="114">
        <v>0</v>
      </c>
      <c r="D198" s="115">
        <v>0</v>
      </c>
    </row>
    <row r="199" spans="1:4">
      <c r="A199">
        <v>0</v>
      </c>
      <c r="C199" s="114">
        <v>0</v>
      </c>
      <c r="D199" s="115">
        <v>0</v>
      </c>
    </row>
    <row r="200" spans="1:4">
      <c r="A200">
        <v>0</v>
      </c>
      <c r="C200" s="114">
        <v>1</v>
      </c>
      <c r="D200" s="115">
        <v>0</v>
      </c>
    </row>
    <row r="201" spans="1:4">
      <c r="A201">
        <v>0</v>
      </c>
      <c r="C201" s="114">
        <v>0</v>
      </c>
      <c r="D201" s="115">
        <v>0</v>
      </c>
    </row>
    <row r="202" spans="1:4">
      <c r="A202">
        <v>0</v>
      </c>
      <c r="C202" s="114">
        <v>0</v>
      </c>
      <c r="D202" s="115">
        <v>0</v>
      </c>
    </row>
    <row r="203" spans="1:4">
      <c r="A203">
        <v>0</v>
      </c>
      <c r="C203" s="114">
        <v>1</v>
      </c>
      <c r="D203" s="115">
        <v>0</v>
      </c>
    </row>
    <row r="204" spans="1:4">
      <c r="A204">
        <v>0</v>
      </c>
      <c r="C204" s="114">
        <v>1</v>
      </c>
      <c r="D204" s="115">
        <v>0</v>
      </c>
    </row>
    <row r="205" spans="1:4">
      <c r="A205">
        <v>2</v>
      </c>
      <c r="C205" s="114">
        <v>1</v>
      </c>
      <c r="D205" s="115">
        <v>0</v>
      </c>
    </row>
    <row r="206" spans="1:4">
      <c r="A206">
        <v>0</v>
      </c>
      <c r="C206" s="114">
        <v>0</v>
      </c>
      <c r="D206" s="115">
        <v>0</v>
      </c>
    </row>
    <row r="207" spans="1:4">
      <c r="A207">
        <v>0</v>
      </c>
      <c r="C207" s="114">
        <v>1</v>
      </c>
      <c r="D207" s="115">
        <v>0</v>
      </c>
    </row>
    <row r="208" spans="1:4">
      <c r="A208">
        <v>0</v>
      </c>
      <c r="C208" s="114">
        <v>1</v>
      </c>
      <c r="D208" s="115">
        <v>0</v>
      </c>
    </row>
    <row r="209" spans="1:4">
      <c r="A209">
        <v>0</v>
      </c>
      <c r="C209" s="114">
        <v>0</v>
      </c>
      <c r="D209" s="115">
        <v>0</v>
      </c>
    </row>
    <row r="210" spans="1:4">
      <c r="A210">
        <v>2</v>
      </c>
      <c r="C210" s="114">
        <v>0</v>
      </c>
      <c r="D210" s="115">
        <v>0</v>
      </c>
    </row>
    <row r="211" spans="1:4">
      <c r="A211">
        <v>0</v>
      </c>
      <c r="C211" s="114">
        <v>1</v>
      </c>
      <c r="D211" s="115">
        <v>0</v>
      </c>
    </row>
    <row r="212" spans="1:4">
      <c r="A212">
        <v>2</v>
      </c>
      <c r="C212" s="114">
        <v>0</v>
      </c>
      <c r="D212" s="115">
        <v>0</v>
      </c>
    </row>
    <row r="213" spans="1:4">
      <c r="A213">
        <v>0</v>
      </c>
      <c r="C213" s="114">
        <v>1</v>
      </c>
      <c r="D213" s="115">
        <v>0</v>
      </c>
    </row>
    <row r="214" spans="1:4">
      <c r="A214">
        <v>0</v>
      </c>
      <c r="C214" s="114">
        <v>0</v>
      </c>
      <c r="D214" s="115">
        <v>0</v>
      </c>
    </row>
    <row r="215" spans="1:4">
      <c r="A215">
        <v>0</v>
      </c>
      <c r="C215" s="114">
        <v>1</v>
      </c>
      <c r="D215" s="115">
        <v>0</v>
      </c>
    </row>
    <row r="216" spans="1:4">
      <c r="A216">
        <v>0</v>
      </c>
      <c r="C216" s="114">
        <v>1</v>
      </c>
      <c r="D216" s="115">
        <v>0</v>
      </c>
    </row>
    <row r="217" spans="1:4">
      <c r="A217">
        <v>0</v>
      </c>
      <c r="C217" s="114">
        <v>1</v>
      </c>
      <c r="D217" s="115">
        <v>0</v>
      </c>
    </row>
    <row r="218" spans="1:4">
      <c r="A218">
        <v>2</v>
      </c>
      <c r="C218" s="114">
        <v>0</v>
      </c>
      <c r="D218" s="115">
        <v>0</v>
      </c>
    </row>
    <row r="219" spans="1:4">
      <c r="A219">
        <v>0</v>
      </c>
      <c r="C219" s="114">
        <v>1</v>
      </c>
      <c r="D219" s="115">
        <v>0</v>
      </c>
    </row>
    <row r="220" spans="1:4">
      <c r="A220">
        <v>0</v>
      </c>
      <c r="C220" s="114">
        <v>0</v>
      </c>
      <c r="D220" s="115">
        <v>0</v>
      </c>
    </row>
    <row r="221" spans="1:4">
      <c r="A221">
        <v>0</v>
      </c>
      <c r="C221" s="114">
        <v>1</v>
      </c>
      <c r="D221" s="115">
        <v>0</v>
      </c>
    </row>
    <row r="222" spans="1:4">
      <c r="A222">
        <v>0</v>
      </c>
      <c r="C222" s="114">
        <v>0</v>
      </c>
      <c r="D222" s="115">
        <v>0</v>
      </c>
    </row>
    <row r="223" spans="1:4">
      <c r="A223">
        <v>0</v>
      </c>
      <c r="C223" s="114">
        <v>1</v>
      </c>
      <c r="D223" s="115">
        <v>0</v>
      </c>
    </row>
    <row r="224" spans="1:4">
      <c r="A224">
        <v>3</v>
      </c>
      <c r="C224" s="114">
        <v>0</v>
      </c>
      <c r="D224" s="115">
        <v>0</v>
      </c>
    </row>
    <row r="225" spans="1:4">
      <c r="A225">
        <v>0</v>
      </c>
      <c r="C225" s="114">
        <v>1</v>
      </c>
      <c r="D225" s="115">
        <v>0</v>
      </c>
    </row>
    <row r="226" spans="1:4">
      <c r="A226">
        <v>0</v>
      </c>
      <c r="C226" s="114">
        <v>1</v>
      </c>
      <c r="D226" s="115">
        <v>0</v>
      </c>
    </row>
    <row r="227" spans="1:4">
      <c r="A227">
        <v>0</v>
      </c>
      <c r="C227" s="114">
        <v>1</v>
      </c>
      <c r="D227" s="115">
        <v>0</v>
      </c>
    </row>
    <row r="228" spans="1:4">
      <c r="A228">
        <v>1</v>
      </c>
      <c r="C228" s="114">
        <v>0</v>
      </c>
      <c r="D228" s="115">
        <v>0</v>
      </c>
    </row>
    <row r="229" spans="1:4">
      <c r="A229">
        <v>0</v>
      </c>
      <c r="C229" s="114">
        <v>1</v>
      </c>
      <c r="D229" s="115">
        <v>0</v>
      </c>
    </row>
    <row r="230" spans="1:4">
      <c r="A230">
        <v>3</v>
      </c>
      <c r="C230" s="114">
        <v>0</v>
      </c>
      <c r="D230" s="115">
        <v>0</v>
      </c>
    </row>
    <row r="231" spans="1:4">
      <c r="A231">
        <v>2</v>
      </c>
      <c r="C231" s="114">
        <v>1</v>
      </c>
      <c r="D231" s="115">
        <v>0</v>
      </c>
    </row>
    <row r="232" spans="1:4">
      <c r="A232">
        <v>2</v>
      </c>
      <c r="C232" s="114">
        <v>0</v>
      </c>
      <c r="D232" s="115">
        <v>0</v>
      </c>
    </row>
    <row r="233" spans="1:4">
      <c r="A233">
        <v>0</v>
      </c>
      <c r="C233" s="114">
        <v>0</v>
      </c>
      <c r="D233" s="115">
        <v>0</v>
      </c>
    </row>
    <row r="234" spans="1:4">
      <c r="A234">
        <v>0</v>
      </c>
      <c r="C234" s="114">
        <v>1</v>
      </c>
      <c r="D234" s="115">
        <v>0</v>
      </c>
    </row>
    <row r="235" spans="1:4">
      <c r="A235">
        <v>0</v>
      </c>
      <c r="C235" s="114">
        <v>1</v>
      </c>
      <c r="D235" s="115">
        <v>0</v>
      </c>
    </row>
    <row r="236" spans="1:4">
      <c r="A236">
        <v>0</v>
      </c>
      <c r="C236" s="114">
        <v>0</v>
      </c>
      <c r="D236" s="115">
        <v>0</v>
      </c>
    </row>
    <row r="237" spans="1:4">
      <c r="A237">
        <v>0</v>
      </c>
      <c r="C237" s="114">
        <v>1</v>
      </c>
      <c r="D237" s="115">
        <v>0</v>
      </c>
    </row>
    <row r="238" spans="1:4">
      <c r="A238">
        <v>0</v>
      </c>
      <c r="C238" s="114">
        <v>0</v>
      </c>
      <c r="D238" s="115">
        <v>0</v>
      </c>
    </row>
    <row r="239" spans="1:4">
      <c r="A239">
        <v>0</v>
      </c>
      <c r="C239" s="114">
        <v>0</v>
      </c>
      <c r="D239" s="115">
        <v>0</v>
      </c>
    </row>
    <row r="240" spans="1:4">
      <c r="A240">
        <v>0</v>
      </c>
      <c r="C240" s="114">
        <v>1</v>
      </c>
      <c r="D240" s="115">
        <v>0</v>
      </c>
    </row>
    <row r="241" spans="1:4">
      <c r="A241">
        <v>0</v>
      </c>
      <c r="C241" s="114">
        <v>1</v>
      </c>
      <c r="D241" s="115">
        <v>0</v>
      </c>
    </row>
    <row r="242" spans="1:4">
      <c r="A242">
        <v>2</v>
      </c>
      <c r="C242" s="114">
        <v>1</v>
      </c>
      <c r="D242" s="115">
        <v>0</v>
      </c>
    </row>
    <row r="243" spans="1:4">
      <c r="A243">
        <v>0</v>
      </c>
      <c r="C243" s="114">
        <v>1</v>
      </c>
      <c r="D243" s="115">
        <v>0</v>
      </c>
    </row>
    <row r="244" spans="1:4">
      <c r="A244">
        <v>0</v>
      </c>
      <c r="C244" s="114">
        <v>0</v>
      </c>
      <c r="D244" s="115">
        <v>0</v>
      </c>
    </row>
    <row r="245" spans="1:4">
      <c r="A245">
        <v>0</v>
      </c>
      <c r="C245" s="114">
        <v>1</v>
      </c>
      <c r="D245" s="115">
        <v>0</v>
      </c>
    </row>
    <row r="246" spans="1:4">
      <c r="A246">
        <v>0</v>
      </c>
      <c r="C246" s="114">
        <v>1</v>
      </c>
      <c r="D246" s="115">
        <v>0</v>
      </c>
    </row>
    <row r="247" spans="1:4">
      <c r="A247">
        <v>0</v>
      </c>
      <c r="C247" s="114">
        <v>0</v>
      </c>
      <c r="D247" s="115">
        <v>0</v>
      </c>
    </row>
    <row r="248" spans="1:4">
      <c r="A248">
        <v>0</v>
      </c>
      <c r="C248" s="114">
        <v>1</v>
      </c>
      <c r="D248" s="115">
        <v>0</v>
      </c>
    </row>
    <row r="249" spans="1:4">
      <c r="A249">
        <v>1</v>
      </c>
      <c r="C249" s="114">
        <v>1</v>
      </c>
      <c r="D249" s="115">
        <v>0</v>
      </c>
    </row>
    <row r="250" spans="1:4">
      <c r="A250">
        <v>1</v>
      </c>
      <c r="C250" s="114">
        <v>0</v>
      </c>
      <c r="D250" s="115">
        <v>0</v>
      </c>
    </row>
    <row r="251" spans="1:4">
      <c r="A251">
        <v>2</v>
      </c>
      <c r="C251" s="114">
        <v>0</v>
      </c>
      <c r="D251" s="115">
        <v>0</v>
      </c>
    </row>
    <row r="252" spans="1:4">
      <c r="A252">
        <v>0</v>
      </c>
      <c r="C252" s="114">
        <v>1</v>
      </c>
      <c r="D252" s="115">
        <v>0</v>
      </c>
    </row>
    <row r="253" spans="1:4">
      <c r="A253">
        <v>0</v>
      </c>
      <c r="C253" s="114">
        <v>1</v>
      </c>
      <c r="D253" s="115">
        <v>0</v>
      </c>
    </row>
    <row r="254" spans="1:4">
      <c r="A254">
        <v>0</v>
      </c>
      <c r="C254" s="114">
        <v>0</v>
      </c>
      <c r="D254" s="115">
        <v>0</v>
      </c>
    </row>
    <row r="255" spans="1:4">
      <c r="A255">
        <v>0</v>
      </c>
      <c r="C255" s="114">
        <v>1</v>
      </c>
      <c r="D255" s="115">
        <v>0</v>
      </c>
    </row>
    <row r="256" spans="1:4">
      <c r="A256">
        <v>3</v>
      </c>
      <c r="C256" s="114">
        <v>0</v>
      </c>
      <c r="D256" s="115">
        <v>0</v>
      </c>
    </row>
    <row r="257" spans="1:4">
      <c r="A257">
        <v>0</v>
      </c>
      <c r="C257" s="114">
        <v>1</v>
      </c>
      <c r="D257" s="115">
        <v>0</v>
      </c>
    </row>
    <row r="258" spans="1:4">
      <c r="A258">
        <v>0</v>
      </c>
      <c r="C258" s="114">
        <v>1</v>
      </c>
      <c r="D258" s="115">
        <v>0</v>
      </c>
    </row>
    <row r="259" spans="1:4">
      <c r="A259">
        <v>0</v>
      </c>
      <c r="C259" s="114">
        <v>1</v>
      </c>
      <c r="D259" s="115">
        <v>0</v>
      </c>
    </row>
    <row r="260" spans="1:4">
      <c r="A260">
        <v>0</v>
      </c>
      <c r="C260" s="114">
        <v>1</v>
      </c>
      <c r="D260" s="115">
        <v>0</v>
      </c>
    </row>
    <row r="261" spans="1:4">
      <c r="A261">
        <v>3</v>
      </c>
      <c r="C261" s="114">
        <v>1</v>
      </c>
      <c r="D261" s="115">
        <v>0</v>
      </c>
    </row>
    <row r="262" spans="1:4">
      <c r="A262">
        <v>0</v>
      </c>
      <c r="C262" s="114">
        <v>1</v>
      </c>
      <c r="D262" s="115">
        <v>0</v>
      </c>
    </row>
    <row r="263" spans="1:4">
      <c r="A263">
        <v>0</v>
      </c>
      <c r="C263" s="114">
        <v>0</v>
      </c>
      <c r="D263" s="115">
        <v>0</v>
      </c>
    </row>
    <row r="264" spans="1:4">
      <c r="A264">
        <v>0</v>
      </c>
      <c r="C264" s="114">
        <v>1</v>
      </c>
      <c r="D264" s="115">
        <v>0</v>
      </c>
    </row>
    <row r="265" spans="1:4">
      <c r="A265">
        <v>0</v>
      </c>
      <c r="C265" s="114">
        <v>1</v>
      </c>
      <c r="D265" s="115">
        <v>0</v>
      </c>
    </row>
    <row r="266" spans="1:4">
      <c r="A266">
        <v>0</v>
      </c>
      <c r="C266" s="114">
        <v>1</v>
      </c>
      <c r="D266" s="115">
        <v>0</v>
      </c>
    </row>
    <row r="267" spans="1:4">
      <c r="A267">
        <v>0</v>
      </c>
      <c r="C267" s="114">
        <v>1</v>
      </c>
      <c r="D267" s="115">
        <v>0</v>
      </c>
    </row>
    <row r="268" spans="1:4">
      <c r="A268">
        <v>0</v>
      </c>
      <c r="C268" s="114">
        <v>1</v>
      </c>
      <c r="D268" s="115">
        <v>0</v>
      </c>
    </row>
    <row r="269" spans="1:4">
      <c r="A269">
        <v>2</v>
      </c>
      <c r="C269" s="114">
        <v>0</v>
      </c>
      <c r="D269" s="115">
        <v>0</v>
      </c>
    </row>
    <row r="270" spans="1:4">
      <c r="A270">
        <v>0</v>
      </c>
      <c r="C270" s="114">
        <v>1</v>
      </c>
      <c r="D270" s="115">
        <v>0</v>
      </c>
    </row>
    <row r="271" spans="1:4">
      <c r="A271">
        <v>0</v>
      </c>
      <c r="C271" s="114">
        <v>1</v>
      </c>
      <c r="D271" s="115">
        <v>0</v>
      </c>
    </row>
    <row r="272" spans="1:4">
      <c r="A272">
        <v>0</v>
      </c>
      <c r="C272" s="114">
        <v>0</v>
      </c>
      <c r="D272" s="115">
        <v>0</v>
      </c>
    </row>
    <row r="273" spans="1:4">
      <c r="A273">
        <v>3</v>
      </c>
      <c r="C273" s="114">
        <v>0</v>
      </c>
      <c r="D273" s="115">
        <v>0</v>
      </c>
    </row>
    <row r="274" spans="1:4">
      <c r="A274">
        <v>0</v>
      </c>
      <c r="C274" s="114">
        <v>0</v>
      </c>
      <c r="D274" s="115">
        <v>0</v>
      </c>
    </row>
    <row r="275" spans="1:4">
      <c r="A275">
        <v>0</v>
      </c>
      <c r="C275" s="114">
        <v>0</v>
      </c>
      <c r="D275" s="115">
        <v>0</v>
      </c>
    </row>
    <row r="276" spans="1:4">
      <c r="A276">
        <v>0</v>
      </c>
      <c r="C276" s="114">
        <v>1</v>
      </c>
      <c r="D276" s="115">
        <v>0</v>
      </c>
    </row>
    <row r="277" spans="1:4">
      <c r="A277">
        <v>0</v>
      </c>
      <c r="C277" s="114">
        <v>0</v>
      </c>
      <c r="D277" s="115">
        <v>0</v>
      </c>
    </row>
    <row r="278" spans="1:4">
      <c r="A278">
        <v>0</v>
      </c>
      <c r="C278" s="114">
        <v>0</v>
      </c>
      <c r="D278" s="115">
        <v>0</v>
      </c>
    </row>
    <row r="279" spans="1:4">
      <c r="A279">
        <v>1</v>
      </c>
      <c r="C279" s="114">
        <v>0</v>
      </c>
      <c r="D279" s="115">
        <v>0</v>
      </c>
    </row>
    <row r="280" spans="1:4">
      <c r="A280">
        <v>1</v>
      </c>
      <c r="C280" s="114">
        <v>0</v>
      </c>
      <c r="D280" s="115">
        <v>0</v>
      </c>
    </row>
    <row r="281" spans="1:4">
      <c r="A281">
        <v>0</v>
      </c>
      <c r="C281" s="114">
        <v>1</v>
      </c>
      <c r="D281" s="115">
        <v>0</v>
      </c>
    </row>
    <row r="282" spans="1:4">
      <c r="A282">
        <v>0</v>
      </c>
      <c r="C282" s="114">
        <v>1</v>
      </c>
      <c r="D282" s="115">
        <v>0</v>
      </c>
    </row>
    <row r="283" spans="1:4">
      <c r="A283">
        <v>0</v>
      </c>
      <c r="C283" s="114">
        <v>1</v>
      </c>
      <c r="D283" s="115">
        <v>0</v>
      </c>
    </row>
    <row r="284" spans="1:4">
      <c r="A284">
        <v>2</v>
      </c>
      <c r="C284" s="114">
        <v>0</v>
      </c>
      <c r="D284" s="115">
        <v>0</v>
      </c>
    </row>
    <row r="285" spans="1:4">
      <c r="A285">
        <v>0</v>
      </c>
      <c r="C285" s="114">
        <v>0</v>
      </c>
      <c r="D285" s="115">
        <v>0</v>
      </c>
    </row>
    <row r="286" spans="1:4">
      <c r="A286">
        <v>0</v>
      </c>
      <c r="C286" s="114">
        <v>1</v>
      </c>
      <c r="D286" s="115">
        <v>0</v>
      </c>
    </row>
    <row r="287" spans="1:4">
      <c r="A287">
        <v>0</v>
      </c>
      <c r="C287" s="114">
        <v>1</v>
      </c>
      <c r="D287" s="115">
        <v>0</v>
      </c>
    </row>
    <row r="288" spans="1:4">
      <c r="A288">
        <v>3</v>
      </c>
      <c r="C288" s="114">
        <v>0</v>
      </c>
      <c r="D288" s="115">
        <v>0</v>
      </c>
    </row>
    <row r="289" spans="1:4">
      <c r="A289">
        <v>1</v>
      </c>
      <c r="C289" s="114">
        <v>0</v>
      </c>
      <c r="D289" s="115">
        <v>0</v>
      </c>
    </row>
    <row r="290" spans="1:4">
      <c r="A290">
        <v>0</v>
      </c>
      <c r="C290" s="114">
        <v>1</v>
      </c>
      <c r="D290" s="115">
        <v>0</v>
      </c>
    </row>
    <row r="291" spans="1:4">
      <c r="A291">
        <v>0</v>
      </c>
      <c r="C291" s="114">
        <v>1</v>
      </c>
      <c r="D291" s="115">
        <v>0</v>
      </c>
    </row>
    <row r="292" spans="1:4">
      <c r="A292">
        <v>0</v>
      </c>
      <c r="C292" s="114">
        <v>0</v>
      </c>
      <c r="D292" s="115">
        <v>0</v>
      </c>
    </row>
    <row r="293" spans="1:4">
      <c r="A293">
        <v>0</v>
      </c>
      <c r="C293" s="114">
        <v>0</v>
      </c>
      <c r="D293" s="115">
        <v>0</v>
      </c>
    </row>
    <row r="294" spans="1:4">
      <c r="A294">
        <v>0</v>
      </c>
      <c r="C294" s="114">
        <v>1</v>
      </c>
      <c r="D294" s="115">
        <v>0</v>
      </c>
    </row>
    <row r="295" spans="1:4">
      <c r="A295">
        <v>2</v>
      </c>
      <c r="C295" s="114">
        <v>0</v>
      </c>
      <c r="D295" s="115">
        <v>0</v>
      </c>
    </row>
    <row r="296" spans="1:4">
      <c r="A296">
        <v>0</v>
      </c>
      <c r="C296" s="114">
        <v>1</v>
      </c>
      <c r="D296" s="115">
        <v>0</v>
      </c>
    </row>
    <row r="297" spans="1:4">
      <c r="A297">
        <v>0</v>
      </c>
      <c r="C297" s="114">
        <v>1</v>
      </c>
      <c r="D297" s="115">
        <v>0</v>
      </c>
    </row>
    <row r="298" spans="1:4">
      <c r="A298">
        <v>0</v>
      </c>
      <c r="C298" s="114">
        <v>1</v>
      </c>
      <c r="D298" s="115">
        <v>0</v>
      </c>
    </row>
    <row r="299" spans="1:4">
      <c r="A299">
        <v>0</v>
      </c>
      <c r="C299" s="114">
        <v>0</v>
      </c>
      <c r="D299" s="115">
        <v>0</v>
      </c>
    </row>
    <row r="300" spans="1:4">
      <c r="A300">
        <v>0</v>
      </c>
      <c r="C300" s="114">
        <v>1</v>
      </c>
      <c r="D300" s="115">
        <v>0</v>
      </c>
    </row>
    <row r="301" spans="1:4">
      <c r="A301">
        <v>3</v>
      </c>
      <c r="C301" s="114">
        <v>0</v>
      </c>
      <c r="D301" s="115">
        <v>0</v>
      </c>
    </row>
    <row r="302" spans="1:4">
      <c r="A302">
        <v>0</v>
      </c>
      <c r="C302" s="114">
        <v>0</v>
      </c>
      <c r="D302" s="115">
        <v>0</v>
      </c>
    </row>
    <row r="303" spans="1:4">
      <c r="A303">
        <v>0</v>
      </c>
      <c r="C303" s="114">
        <v>1</v>
      </c>
      <c r="D303" s="115">
        <v>0</v>
      </c>
    </row>
    <row r="304" spans="1:4">
      <c r="A304">
        <v>1</v>
      </c>
      <c r="C304" s="118">
        <v>0</v>
      </c>
      <c r="D304" s="119">
        <v>0</v>
      </c>
    </row>
  </sheetData>
  <mergeCells count="1">
    <mergeCell ref="G12:M12"/>
  </mergeCells>
  <pageMargins left="0.7" right="0.7" top="0.75" bottom="0.75" header="0.3" footer="0.3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5ADDD-4259-4DD0-A48B-3F3227C621D2}">
  <sheetPr codeName="Sheet6"/>
  <dimension ref="A1:D304"/>
  <sheetViews>
    <sheetView workbookViewId="0">
      <selection activeCell="J16" sqref="J16"/>
    </sheetView>
  </sheetViews>
  <sheetFormatPr defaultRowHeight="15"/>
  <sheetData>
    <row r="1" spans="1:4">
      <c r="A1" s="1" t="s">
        <v>1</v>
      </c>
      <c r="B1" s="1" t="s">
        <v>7</v>
      </c>
      <c r="C1" t="s">
        <v>94</v>
      </c>
      <c r="D1" t="s">
        <v>95</v>
      </c>
    </row>
    <row r="2" spans="1:4">
      <c r="A2">
        <v>1</v>
      </c>
      <c r="B2">
        <v>150</v>
      </c>
      <c r="C2">
        <v>150</v>
      </c>
      <c r="D2">
        <v>172</v>
      </c>
    </row>
    <row r="3" spans="1:4">
      <c r="A3">
        <v>1</v>
      </c>
      <c r="B3">
        <v>187</v>
      </c>
      <c r="C3">
        <v>187</v>
      </c>
      <c r="D3">
        <v>163</v>
      </c>
    </row>
    <row r="4" spans="1:4">
      <c r="A4">
        <v>0</v>
      </c>
      <c r="B4">
        <v>172</v>
      </c>
      <c r="C4">
        <v>178</v>
      </c>
      <c r="D4">
        <v>153</v>
      </c>
    </row>
    <row r="5" spans="1:4">
      <c r="A5">
        <v>1</v>
      </c>
      <c r="B5">
        <v>178</v>
      </c>
      <c r="C5">
        <v>148</v>
      </c>
      <c r="D5">
        <v>139</v>
      </c>
    </row>
    <row r="6" spans="1:4">
      <c r="A6">
        <v>0</v>
      </c>
      <c r="B6">
        <v>163</v>
      </c>
      <c r="C6">
        <v>173</v>
      </c>
      <c r="D6">
        <v>162</v>
      </c>
    </row>
    <row r="7" spans="1:4">
      <c r="A7">
        <v>1</v>
      </c>
      <c r="B7">
        <v>148</v>
      </c>
      <c r="C7">
        <v>162</v>
      </c>
      <c r="D7">
        <v>158</v>
      </c>
    </row>
    <row r="8" spans="1:4">
      <c r="A8">
        <v>0</v>
      </c>
      <c r="B8">
        <v>153</v>
      </c>
      <c r="C8">
        <v>174</v>
      </c>
      <c r="D8">
        <v>172</v>
      </c>
    </row>
    <row r="9" spans="1:4">
      <c r="A9">
        <v>1</v>
      </c>
      <c r="B9">
        <v>173</v>
      </c>
      <c r="C9">
        <v>160</v>
      </c>
      <c r="D9">
        <v>114</v>
      </c>
    </row>
    <row r="10" spans="1:4">
      <c r="A10">
        <v>1</v>
      </c>
      <c r="B10">
        <v>162</v>
      </c>
      <c r="C10">
        <v>171</v>
      </c>
      <c r="D10">
        <v>151</v>
      </c>
    </row>
    <row r="11" spans="1:4">
      <c r="A11">
        <v>1</v>
      </c>
      <c r="B11">
        <v>174</v>
      </c>
      <c r="C11">
        <v>144</v>
      </c>
      <c r="D11">
        <v>162</v>
      </c>
    </row>
    <row r="12" spans="1:4">
      <c r="A12">
        <v>1</v>
      </c>
      <c r="B12">
        <v>160</v>
      </c>
      <c r="C12">
        <v>171</v>
      </c>
      <c r="D12">
        <v>157</v>
      </c>
    </row>
    <row r="13" spans="1:4">
      <c r="A13">
        <v>0</v>
      </c>
      <c r="B13">
        <v>139</v>
      </c>
      <c r="C13">
        <v>161</v>
      </c>
      <c r="D13">
        <v>168</v>
      </c>
    </row>
    <row r="14" spans="1:4">
      <c r="A14">
        <v>1</v>
      </c>
      <c r="B14">
        <v>171</v>
      </c>
      <c r="C14">
        <v>179</v>
      </c>
      <c r="D14">
        <v>160</v>
      </c>
    </row>
    <row r="15" spans="1:4">
      <c r="A15">
        <v>1</v>
      </c>
      <c r="B15">
        <v>144</v>
      </c>
      <c r="C15">
        <v>178</v>
      </c>
      <c r="D15">
        <v>170</v>
      </c>
    </row>
    <row r="16" spans="1:4">
      <c r="A16">
        <v>0</v>
      </c>
      <c r="B16">
        <v>162</v>
      </c>
      <c r="C16">
        <v>137</v>
      </c>
      <c r="D16">
        <v>148</v>
      </c>
    </row>
    <row r="17" spans="1:4">
      <c r="A17">
        <v>0</v>
      </c>
      <c r="B17">
        <v>158</v>
      </c>
      <c r="C17">
        <v>178</v>
      </c>
      <c r="D17">
        <v>151</v>
      </c>
    </row>
    <row r="18" spans="1:4">
      <c r="A18">
        <v>0</v>
      </c>
      <c r="B18">
        <v>172</v>
      </c>
      <c r="C18">
        <v>157</v>
      </c>
      <c r="D18">
        <v>142</v>
      </c>
    </row>
    <row r="19" spans="1:4">
      <c r="A19">
        <v>0</v>
      </c>
      <c r="B19">
        <v>114</v>
      </c>
      <c r="C19">
        <v>123</v>
      </c>
      <c r="D19">
        <v>143</v>
      </c>
    </row>
    <row r="20" spans="1:4">
      <c r="A20">
        <v>1</v>
      </c>
      <c r="B20">
        <v>171</v>
      </c>
      <c r="C20">
        <v>152</v>
      </c>
      <c r="D20">
        <v>115</v>
      </c>
    </row>
    <row r="21" spans="1:4">
      <c r="A21">
        <v>0</v>
      </c>
      <c r="B21">
        <v>151</v>
      </c>
      <c r="C21">
        <v>140</v>
      </c>
      <c r="D21">
        <v>160</v>
      </c>
    </row>
    <row r="22" spans="1:4">
      <c r="A22">
        <v>1</v>
      </c>
      <c r="B22">
        <v>161</v>
      </c>
      <c r="C22">
        <v>188</v>
      </c>
      <c r="D22">
        <v>149</v>
      </c>
    </row>
    <row r="23" spans="1:4">
      <c r="A23">
        <v>1</v>
      </c>
      <c r="B23">
        <v>179</v>
      </c>
      <c r="C23">
        <v>152</v>
      </c>
      <c r="D23">
        <v>175</v>
      </c>
    </row>
    <row r="24" spans="1:4">
      <c r="A24">
        <v>1</v>
      </c>
      <c r="B24">
        <v>178</v>
      </c>
      <c r="C24">
        <v>125</v>
      </c>
      <c r="D24">
        <v>172</v>
      </c>
    </row>
    <row r="25" spans="1:4">
      <c r="A25">
        <v>1</v>
      </c>
      <c r="B25">
        <v>137</v>
      </c>
      <c r="C25">
        <v>165</v>
      </c>
      <c r="D25">
        <v>159</v>
      </c>
    </row>
    <row r="26" spans="1:4">
      <c r="A26">
        <v>1</v>
      </c>
      <c r="B26">
        <v>178</v>
      </c>
      <c r="C26">
        <v>180</v>
      </c>
      <c r="D26">
        <v>130</v>
      </c>
    </row>
    <row r="27" spans="1:4">
      <c r="A27">
        <v>0</v>
      </c>
      <c r="B27">
        <v>162</v>
      </c>
      <c r="C27">
        <v>148</v>
      </c>
      <c r="D27">
        <v>182</v>
      </c>
    </row>
    <row r="28" spans="1:4">
      <c r="A28">
        <v>1</v>
      </c>
      <c r="B28">
        <v>157</v>
      </c>
      <c r="C28">
        <v>182</v>
      </c>
      <c r="D28">
        <v>175</v>
      </c>
    </row>
    <row r="29" spans="1:4">
      <c r="A29">
        <v>1</v>
      </c>
      <c r="B29">
        <v>123</v>
      </c>
      <c r="C29">
        <v>172</v>
      </c>
      <c r="D29">
        <v>163</v>
      </c>
    </row>
    <row r="30" spans="1:4">
      <c r="A30">
        <v>0</v>
      </c>
      <c r="B30">
        <v>157</v>
      </c>
      <c r="C30">
        <v>180</v>
      </c>
      <c r="D30">
        <v>165</v>
      </c>
    </row>
    <row r="31" spans="1:4">
      <c r="A31">
        <v>1</v>
      </c>
      <c r="B31">
        <v>152</v>
      </c>
      <c r="C31">
        <v>156</v>
      </c>
      <c r="D31">
        <v>161</v>
      </c>
    </row>
    <row r="32" spans="1:4">
      <c r="A32">
        <v>0</v>
      </c>
      <c r="B32">
        <v>168</v>
      </c>
      <c r="C32">
        <v>151</v>
      </c>
      <c r="D32">
        <v>160</v>
      </c>
    </row>
    <row r="33" spans="1:4">
      <c r="A33">
        <v>1</v>
      </c>
      <c r="B33">
        <v>140</v>
      </c>
      <c r="C33">
        <v>146</v>
      </c>
      <c r="D33">
        <v>122</v>
      </c>
    </row>
    <row r="34" spans="1:4">
      <c r="A34">
        <v>1</v>
      </c>
      <c r="B34">
        <v>188</v>
      </c>
      <c r="C34">
        <v>158</v>
      </c>
      <c r="D34">
        <v>160</v>
      </c>
    </row>
    <row r="35" spans="1:4">
      <c r="A35">
        <v>1</v>
      </c>
      <c r="B35">
        <v>152</v>
      </c>
      <c r="C35">
        <v>186</v>
      </c>
      <c r="D35">
        <v>158</v>
      </c>
    </row>
    <row r="36" spans="1:4">
      <c r="A36">
        <v>1</v>
      </c>
      <c r="B36">
        <v>125</v>
      </c>
      <c r="C36">
        <v>185</v>
      </c>
      <c r="D36">
        <v>122</v>
      </c>
    </row>
    <row r="37" spans="1:4">
      <c r="A37">
        <v>0</v>
      </c>
      <c r="B37">
        <v>160</v>
      </c>
      <c r="C37">
        <v>174</v>
      </c>
      <c r="D37">
        <v>159</v>
      </c>
    </row>
    <row r="38" spans="1:4">
      <c r="A38">
        <v>0</v>
      </c>
      <c r="B38">
        <v>170</v>
      </c>
      <c r="C38">
        <v>156</v>
      </c>
      <c r="D38">
        <v>138</v>
      </c>
    </row>
    <row r="39" spans="1:4">
      <c r="A39">
        <v>1</v>
      </c>
      <c r="B39">
        <v>165</v>
      </c>
      <c r="C39">
        <v>190</v>
      </c>
      <c r="D39">
        <v>157</v>
      </c>
    </row>
    <row r="40" spans="1:4">
      <c r="A40">
        <v>0</v>
      </c>
      <c r="B40">
        <v>148</v>
      </c>
      <c r="C40">
        <v>132</v>
      </c>
      <c r="D40">
        <v>179</v>
      </c>
    </row>
    <row r="41" spans="1:4">
      <c r="A41">
        <v>0</v>
      </c>
      <c r="B41">
        <v>151</v>
      </c>
      <c r="C41">
        <v>165</v>
      </c>
      <c r="D41">
        <v>115</v>
      </c>
    </row>
    <row r="42" spans="1:4">
      <c r="A42">
        <v>0</v>
      </c>
      <c r="B42">
        <v>142</v>
      </c>
      <c r="C42">
        <v>143</v>
      </c>
      <c r="D42">
        <v>152</v>
      </c>
    </row>
    <row r="43" spans="1:4">
      <c r="A43">
        <v>1</v>
      </c>
      <c r="B43">
        <v>180</v>
      </c>
      <c r="C43">
        <v>170</v>
      </c>
      <c r="D43">
        <v>162</v>
      </c>
    </row>
    <row r="44" spans="1:4">
      <c r="A44">
        <v>1</v>
      </c>
      <c r="B44">
        <v>148</v>
      </c>
      <c r="C44">
        <v>147</v>
      </c>
      <c r="D44">
        <v>159</v>
      </c>
    </row>
    <row r="45" spans="1:4">
      <c r="A45">
        <v>0</v>
      </c>
      <c r="B45">
        <v>143</v>
      </c>
      <c r="C45">
        <v>154</v>
      </c>
      <c r="D45">
        <v>154</v>
      </c>
    </row>
    <row r="46" spans="1:4">
      <c r="A46">
        <v>1</v>
      </c>
      <c r="B46">
        <v>182</v>
      </c>
      <c r="C46">
        <v>202</v>
      </c>
      <c r="D46">
        <v>133</v>
      </c>
    </row>
    <row r="47" spans="1:4">
      <c r="A47">
        <v>1</v>
      </c>
      <c r="B47">
        <v>172</v>
      </c>
      <c r="C47">
        <v>186</v>
      </c>
      <c r="D47">
        <v>170</v>
      </c>
    </row>
    <row r="48" spans="1:4">
      <c r="A48">
        <v>1</v>
      </c>
      <c r="B48">
        <v>180</v>
      </c>
      <c r="C48">
        <v>166</v>
      </c>
      <c r="D48">
        <v>172</v>
      </c>
    </row>
    <row r="49" spans="1:4">
      <c r="A49">
        <v>1</v>
      </c>
      <c r="B49">
        <v>156</v>
      </c>
      <c r="C49">
        <v>164</v>
      </c>
      <c r="D49">
        <v>152</v>
      </c>
    </row>
    <row r="50" spans="1:4">
      <c r="A50">
        <v>0</v>
      </c>
      <c r="B50">
        <v>115</v>
      </c>
      <c r="C50">
        <v>184</v>
      </c>
      <c r="D50">
        <v>122</v>
      </c>
    </row>
    <row r="51" spans="1:4">
      <c r="A51">
        <v>0</v>
      </c>
      <c r="B51">
        <v>160</v>
      </c>
      <c r="C51">
        <v>154</v>
      </c>
      <c r="D51">
        <v>172</v>
      </c>
    </row>
    <row r="52" spans="1:4">
      <c r="A52">
        <v>0</v>
      </c>
      <c r="B52">
        <v>149</v>
      </c>
      <c r="C52">
        <v>179</v>
      </c>
      <c r="D52">
        <v>167</v>
      </c>
    </row>
    <row r="53" spans="1:4">
      <c r="A53">
        <v>1</v>
      </c>
      <c r="B53">
        <v>151</v>
      </c>
      <c r="C53">
        <v>170</v>
      </c>
      <c r="D53">
        <v>179</v>
      </c>
    </row>
    <row r="54" spans="1:4">
      <c r="A54">
        <v>1</v>
      </c>
      <c r="B54">
        <v>146</v>
      </c>
      <c r="C54">
        <v>178</v>
      </c>
      <c r="D54">
        <v>192</v>
      </c>
    </row>
    <row r="55" spans="1:4">
      <c r="A55">
        <v>0</v>
      </c>
      <c r="B55">
        <v>175</v>
      </c>
      <c r="C55">
        <v>151</v>
      </c>
      <c r="D55">
        <v>172</v>
      </c>
    </row>
    <row r="56" spans="1:4">
      <c r="A56">
        <v>0</v>
      </c>
      <c r="B56">
        <v>172</v>
      </c>
      <c r="C56">
        <v>156</v>
      </c>
      <c r="D56">
        <v>169</v>
      </c>
    </row>
    <row r="57" spans="1:4">
      <c r="A57">
        <v>1</v>
      </c>
      <c r="B57">
        <v>158</v>
      </c>
      <c r="C57">
        <v>175</v>
      </c>
      <c r="D57">
        <v>121</v>
      </c>
    </row>
    <row r="58" spans="1:4">
      <c r="A58">
        <v>1</v>
      </c>
      <c r="B58">
        <v>186</v>
      </c>
      <c r="C58">
        <v>168</v>
      </c>
      <c r="D58">
        <v>163</v>
      </c>
    </row>
    <row r="59" spans="1:4">
      <c r="A59">
        <v>1</v>
      </c>
      <c r="B59">
        <v>185</v>
      </c>
      <c r="C59">
        <v>169</v>
      </c>
      <c r="D59">
        <v>162</v>
      </c>
    </row>
    <row r="60" spans="1:4">
      <c r="A60">
        <v>1</v>
      </c>
      <c r="B60">
        <v>174</v>
      </c>
      <c r="C60">
        <v>111</v>
      </c>
      <c r="D60">
        <v>163</v>
      </c>
    </row>
    <row r="61" spans="1:4">
      <c r="A61">
        <v>0</v>
      </c>
      <c r="B61">
        <v>159</v>
      </c>
      <c r="C61">
        <v>147</v>
      </c>
      <c r="D61">
        <v>163</v>
      </c>
    </row>
    <row r="62" spans="1:4">
      <c r="A62">
        <v>0</v>
      </c>
      <c r="B62">
        <v>130</v>
      </c>
      <c r="C62">
        <v>162</v>
      </c>
      <c r="D62">
        <v>96</v>
      </c>
    </row>
    <row r="63" spans="1:4">
      <c r="A63">
        <v>1</v>
      </c>
      <c r="B63">
        <v>156</v>
      </c>
      <c r="C63">
        <v>173</v>
      </c>
      <c r="D63">
        <v>157</v>
      </c>
    </row>
    <row r="64" spans="1:4">
      <c r="A64">
        <v>1</v>
      </c>
      <c r="B64">
        <v>190</v>
      </c>
      <c r="C64">
        <v>178</v>
      </c>
      <c r="D64">
        <v>173</v>
      </c>
    </row>
    <row r="65" spans="1:4">
      <c r="A65">
        <v>1</v>
      </c>
      <c r="B65">
        <v>132</v>
      </c>
      <c r="C65">
        <v>145</v>
      </c>
      <c r="D65">
        <v>142</v>
      </c>
    </row>
    <row r="66" spans="1:4">
      <c r="A66">
        <v>1</v>
      </c>
      <c r="B66">
        <v>165</v>
      </c>
      <c r="C66">
        <v>194</v>
      </c>
      <c r="D66">
        <v>116</v>
      </c>
    </row>
    <row r="67" spans="1:4">
      <c r="A67">
        <v>0</v>
      </c>
      <c r="B67">
        <v>182</v>
      </c>
      <c r="C67">
        <v>163</v>
      </c>
      <c r="D67">
        <v>149</v>
      </c>
    </row>
    <row r="68" spans="1:4">
      <c r="A68">
        <v>1</v>
      </c>
      <c r="B68">
        <v>143</v>
      </c>
      <c r="C68">
        <v>131</v>
      </c>
      <c r="D68">
        <v>171</v>
      </c>
    </row>
    <row r="69" spans="1:4">
      <c r="A69">
        <v>0</v>
      </c>
      <c r="B69">
        <v>175</v>
      </c>
      <c r="C69">
        <v>173</v>
      </c>
      <c r="D69">
        <v>125</v>
      </c>
    </row>
    <row r="70" spans="1:4">
      <c r="A70">
        <v>1</v>
      </c>
      <c r="B70">
        <v>170</v>
      </c>
      <c r="C70">
        <v>161</v>
      </c>
      <c r="D70">
        <v>152</v>
      </c>
    </row>
    <row r="71" spans="1:4">
      <c r="A71">
        <v>0</v>
      </c>
      <c r="B71">
        <v>163</v>
      </c>
      <c r="C71">
        <v>155</v>
      </c>
      <c r="D71">
        <v>152</v>
      </c>
    </row>
    <row r="72" spans="1:4">
      <c r="A72">
        <v>1</v>
      </c>
      <c r="B72">
        <v>147</v>
      </c>
      <c r="C72">
        <v>168</v>
      </c>
      <c r="D72">
        <v>131</v>
      </c>
    </row>
    <row r="73" spans="1:4">
      <c r="A73">
        <v>1</v>
      </c>
      <c r="B73">
        <v>154</v>
      </c>
      <c r="C73">
        <v>162</v>
      </c>
      <c r="D73">
        <v>166</v>
      </c>
    </row>
    <row r="74" spans="1:4">
      <c r="A74">
        <v>1</v>
      </c>
      <c r="B74">
        <v>202</v>
      </c>
      <c r="C74">
        <v>182</v>
      </c>
      <c r="D74">
        <v>160</v>
      </c>
    </row>
    <row r="75" spans="1:4">
      <c r="A75">
        <v>1</v>
      </c>
      <c r="B75">
        <v>186</v>
      </c>
      <c r="C75">
        <v>143</v>
      </c>
      <c r="D75">
        <v>114</v>
      </c>
    </row>
    <row r="76" spans="1:4">
      <c r="A76">
        <v>0</v>
      </c>
      <c r="B76">
        <v>165</v>
      </c>
      <c r="C76">
        <v>162</v>
      </c>
      <c r="D76">
        <v>169</v>
      </c>
    </row>
    <row r="77" spans="1:4">
      <c r="A77">
        <v>0</v>
      </c>
      <c r="B77">
        <v>161</v>
      </c>
      <c r="C77">
        <v>153</v>
      </c>
      <c r="D77">
        <v>142</v>
      </c>
    </row>
    <row r="78" spans="1:4">
      <c r="A78">
        <v>1</v>
      </c>
      <c r="B78">
        <v>166</v>
      </c>
      <c r="C78">
        <v>140</v>
      </c>
      <c r="D78">
        <v>145</v>
      </c>
    </row>
    <row r="79" spans="1:4">
      <c r="A79">
        <v>1</v>
      </c>
      <c r="B79">
        <v>164</v>
      </c>
      <c r="C79">
        <v>126</v>
      </c>
      <c r="D79">
        <v>157</v>
      </c>
    </row>
    <row r="80" spans="1:4">
      <c r="A80">
        <v>1</v>
      </c>
      <c r="B80">
        <v>184</v>
      </c>
      <c r="C80">
        <v>105</v>
      </c>
      <c r="D80">
        <v>146</v>
      </c>
    </row>
    <row r="81" spans="1:4">
      <c r="A81">
        <v>1</v>
      </c>
      <c r="B81">
        <v>154</v>
      </c>
      <c r="C81">
        <v>181</v>
      </c>
      <c r="D81">
        <v>136</v>
      </c>
    </row>
    <row r="82" spans="1:4">
      <c r="A82">
        <v>1</v>
      </c>
      <c r="B82">
        <v>179</v>
      </c>
      <c r="C82">
        <v>143</v>
      </c>
      <c r="D82">
        <v>97</v>
      </c>
    </row>
    <row r="83" spans="1:4">
      <c r="A83">
        <v>1</v>
      </c>
      <c r="B83">
        <v>170</v>
      </c>
      <c r="C83">
        <v>169</v>
      </c>
      <c r="D83">
        <v>154</v>
      </c>
    </row>
    <row r="84" spans="1:4">
      <c r="A84">
        <v>0</v>
      </c>
      <c r="B84">
        <v>160</v>
      </c>
      <c r="C84">
        <v>150</v>
      </c>
      <c r="D84">
        <v>133</v>
      </c>
    </row>
    <row r="85" spans="1:4">
      <c r="A85">
        <v>1</v>
      </c>
      <c r="B85">
        <v>178</v>
      </c>
      <c r="C85">
        <v>138</v>
      </c>
      <c r="D85">
        <v>143</v>
      </c>
    </row>
    <row r="86" spans="1:4">
      <c r="A86">
        <v>0</v>
      </c>
      <c r="B86">
        <v>122</v>
      </c>
      <c r="C86">
        <v>155</v>
      </c>
      <c r="D86">
        <v>150</v>
      </c>
    </row>
    <row r="87" spans="1:4">
      <c r="A87">
        <v>0</v>
      </c>
      <c r="B87">
        <v>160</v>
      </c>
      <c r="C87">
        <v>179</v>
      </c>
      <c r="D87">
        <v>106</v>
      </c>
    </row>
    <row r="88" spans="1:4">
      <c r="A88">
        <v>1</v>
      </c>
      <c r="B88">
        <v>151</v>
      </c>
      <c r="C88">
        <v>174</v>
      </c>
      <c r="D88">
        <v>154</v>
      </c>
    </row>
    <row r="89" spans="1:4">
      <c r="A89">
        <v>1</v>
      </c>
      <c r="B89">
        <v>156</v>
      </c>
      <c r="C89">
        <v>144</v>
      </c>
      <c r="D89">
        <v>165</v>
      </c>
    </row>
    <row r="90" spans="1:4">
      <c r="A90">
        <v>0</v>
      </c>
      <c r="B90">
        <v>158</v>
      </c>
      <c r="C90">
        <v>163</v>
      </c>
      <c r="D90">
        <v>169</v>
      </c>
    </row>
    <row r="91" spans="1:4">
      <c r="A91">
        <v>0</v>
      </c>
      <c r="B91">
        <v>122</v>
      </c>
      <c r="C91">
        <v>169</v>
      </c>
      <c r="D91">
        <v>117</v>
      </c>
    </row>
    <row r="92" spans="1:4">
      <c r="A92">
        <v>1</v>
      </c>
      <c r="B92">
        <v>175</v>
      </c>
      <c r="C92">
        <v>182</v>
      </c>
      <c r="D92">
        <v>152</v>
      </c>
    </row>
    <row r="93" spans="1:4">
      <c r="A93">
        <v>1</v>
      </c>
      <c r="B93">
        <v>168</v>
      </c>
      <c r="C93">
        <v>173</v>
      </c>
      <c r="D93">
        <v>130</v>
      </c>
    </row>
    <row r="94" spans="1:4">
      <c r="A94">
        <v>1</v>
      </c>
      <c r="B94">
        <v>169</v>
      </c>
      <c r="C94">
        <v>173</v>
      </c>
      <c r="D94">
        <v>146</v>
      </c>
    </row>
    <row r="95" spans="1:4">
      <c r="A95">
        <v>0</v>
      </c>
      <c r="B95">
        <v>159</v>
      </c>
      <c r="C95">
        <v>108</v>
      </c>
      <c r="D95">
        <v>136</v>
      </c>
    </row>
    <row r="96" spans="1:4">
      <c r="A96">
        <v>0</v>
      </c>
      <c r="B96">
        <v>138</v>
      </c>
      <c r="C96">
        <v>129</v>
      </c>
      <c r="D96">
        <v>123</v>
      </c>
    </row>
    <row r="97" spans="1:4">
      <c r="A97">
        <v>1</v>
      </c>
      <c r="B97">
        <v>111</v>
      </c>
      <c r="C97">
        <v>147</v>
      </c>
      <c r="D97">
        <v>174</v>
      </c>
    </row>
    <row r="98" spans="1:4">
      <c r="A98">
        <v>0</v>
      </c>
      <c r="B98">
        <v>157</v>
      </c>
      <c r="C98">
        <v>155</v>
      </c>
    </row>
    <row r="99" spans="1:4">
      <c r="A99">
        <v>1</v>
      </c>
      <c r="B99">
        <v>147</v>
      </c>
      <c r="C99">
        <v>142</v>
      </c>
    </row>
    <row r="100" spans="1:4">
      <c r="A100">
        <v>1</v>
      </c>
      <c r="B100">
        <v>162</v>
      </c>
      <c r="C100">
        <v>168</v>
      </c>
    </row>
    <row r="101" spans="1:4">
      <c r="A101">
        <v>1</v>
      </c>
      <c r="B101">
        <v>173</v>
      </c>
      <c r="C101">
        <v>160</v>
      </c>
    </row>
    <row r="102" spans="1:4">
      <c r="A102">
        <v>1</v>
      </c>
      <c r="B102">
        <v>178</v>
      </c>
      <c r="C102">
        <v>173</v>
      </c>
    </row>
    <row r="103" spans="1:4">
      <c r="A103">
        <v>1</v>
      </c>
      <c r="B103">
        <v>145</v>
      </c>
      <c r="C103">
        <v>132</v>
      </c>
    </row>
    <row r="104" spans="1:4">
      <c r="A104">
        <v>0</v>
      </c>
      <c r="B104">
        <v>179</v>
      </c>
      <c r="C104">
        <v>114</v>
      </c>
    </row>
    <row r="105" spans="1:4">
      <c r="A105">
        <v>1</v>
      </c>
      <c r="B105">
        <v>194</v>
      </c>
      <c r="C105">
        <v>160</v>
      </c>
    </row>
    <row r="106" spans="1:4">
      <c r="A106">
        <v>1</v>
      </c>
      <c r="B106">
        <v>163</v>
      </c>
      <c r="C106">
        <v>158</v>
      </c>
    </row>
    <row r="107" spans="1:4">
      <c r="A107">
        <v>0</v>
      </c>
      <c r="B107">
        <v>115</v>
      </c>
      <c r="C107">
        <v>120</v>
      </c>
    </row>
    <row r="108" spans="1:4">
      <c r="A108">
        <v>1</v>
      </c>
      <c r="B108">
        <v>131</v>
      </c>
      <c r="C108">
        <v>112</v>
      </c>
    </row>
    <row r="109" spans="1:4">
      <c r="A109">
        <v>0</v>
      </c>
      <c r="B109">
        <v>152</v>
      </c>
      <c r="C109">
        <v>132</v>
      </c>
    </row>
    <row r="110" spans="1:4">
      <c r="A110">
        <v>0</v>
      </c>
      <c r="B110">
        <v>162</v>
      </c>
      <c r="C110">
        <v>165</v>
      </c>
    </row>
    <row r="111" spans="1:4">
      <c r="A111">
        <v>0</v>
      </c>
      <c r="B111">
        <v>159</v>
      </c>
      <c r="C111">
        <v>128</v>
      </c>
    </row>
    <row r="112" spans="1:4">
      <c r="A112">
        <v>0</v>
      </c>
      <c r="B112">
        <v>154</v>
      </c>
      <c r="C112">
        <v>153</v>
      </c>
    </row>
    <row r="113" spans="1:3">
      <c r="A113">
        <v>1</v>
      </c>
      <c r="B113">
        <v>173</v>
      </c>
      <c r="C113">
        <v>144</v>
      </c>
    </row>
    <row r="114" spans="1:3">
      <c r="A114">
        <v>0</v>
      </c>
      <c r="B114">
        <v>133</v>
      </c>
      <c r="C114">
        <v>109</v>
      </c>
    </row>
    <row r="115" spans="1:3">
      <c r="A115">
        <v>1</v>
      </c>
      <c r="B115">
        <v>161</v>
      </c>
      <c r="C115">
        <v>163</v>
      </c>
    </row>
    <row r="116" spans="1:3">
      <c r="A116">
        <v>1</v>
      </c>
      <c r="B116">
        <v>155</v>
      </c>
      <c r="C116">
        <v>158</v>
      </c>
    </row>
    <row r="117" spans="1:3">
      <c r="A117">
        <v>0</v>
      </c>
      <c r="B117">
        <v>170</v>
      </c>
      <c r="C117">
        <v>131</v>
      </c>
    </row>
    <row r="118" spans="1:3">
      <c r="A118">
        <v>1</v>
      </c>
      <c r="B118">
        <v>168</v>
      </c>
      <c r="C118">
        <v>113</v>
      </c>
    </row>
    <row r="119" spans="1:3">
      <c r="A119">
        <v>1</v>
      </c>
      <c r="B119">
        <v>162</v>
      </c>
      <c r="C119">
        <v>142</v>
      </c>
    </row>
    <row r="120" spans="1:3">
      <c r="A120">
        <v>0</v>
      </c>
      <c r="B120">
        <v>172</v>
      </c>
      <c r="C120">
        <v>155</v>
      </c>
    </row>
    <row r="121" spans="1:3">
      <c r="A121">
        <v>0</v>
      </c>
      <c r="B121">
        <v>152</v>
      </c>
      <c r="C121">
        <v>140</v>
      </c>
    </row>
    <row r="122" spans="1:3">
      <c r="A122">
        <v>0</v>
      </c>
      <c r="B122">
        <v>122</v>
      </c>
      <c r="C122">
        <v>147</v>
      </c>
    </row>
    <row r="123" spans="1:3">
      <c r="A123">
        <v>1</v>
      </c>
      <c r="B123">
        <v>182</v>
      </c>
      <c r="C123">
        <v>163</v>
      </c>
    </row>
    <row r="124" spans="1:3">
      <c r="A124">
        <v>0</v>
      </c>
      <c r="B124">
        <v>172</v>
      </c>
      <c r="C124">
        <v>99</v>
      </c>
    </row>
    <row r="125" spans="1:3">
      <c r="A125">
        <v>0</v>
      </c>
      <c r="B125">
        <v>167</v>
      </c>
      <c r="C125">
        <v>158</v>
      </c>
    </row>
    <row r="126" spans="1:3">
      <c r="A126">
        <v>0</v>
      </c>
      <c r="B126">
        <v>179</v>
      </c>
      <c r="C126">
        <v>177</v>
      </c>
    </row>
    <row r="127" spans="1:3">
      <c r="A127">
        <v>0</v>
      </c>
      <c r="B127">
        <v>192</v>
      </c>
      <c r="C127">
        <v>141</v>
      </c>
    </row>
    <row r="128" spans="1:3">
      <c r="A128">
        <v>1</v>
      </c>
      <c r="B128">
        <v>143</v>
      </c>
      <c r="C128">
        <v>111</v>
      </c>
    </row>
    <row r="129" spans="1:3">
      <c r="A129">
        <v>0</v>
      </c>
      <c r="B129">
        <v>172</v>
      </c>
      <c r="C129">
        <v>150</v>
      </c>
    </row>
    <row r="130" spans="1:3">
      <c r="A130">
        <v>0</v>
      </c>
      <c r="B130">
        <v>169</v>
      </c>
      <c r="C130">
        <v>161</v>
      </c>
    </row>
    <row r="131" spans="1:3">
      <c r="A131">
        <v>0</v>
      </c>
      <c r="B131">
        <v>121</v>
      </c>
      <c r="C131">
        <v>142</v>
      </c>
    </row>
    <row r="132" spans="1:3">
      <c r="A132">
        <v>0</v>
      </c>
      <c r="B132">
        <v>163</v>
      </c>
      <c r="C132">
        <v>139</v>
      </c>
    </row>
    <row r="133" spans="1:3">
      <c r="A133">
        <v>0</v>
      </c>
      <c r="B133">
        <v>162</v>
      </c>
      <c r="C133">
        <v>162</v>
      </c>
    </row>
    <row r="134" spans="1:3">
      <c r="A134">
        <v>1</v>
      </c>
      <c r="B134">
        <v>162</v>
      </c>
      <c r="C134">
        <v>150</v>
      </c>
    </row>
    <row r="135" spans="1:3">
      <c r="A135">
        <v>1</v>
      </c>
      <c r="B135">
        <v>153</v>
      </c>
      <c r="C135">
        <v>140</v>
      </c>
    </row>
    <row r="136" spans="1:3">
      <c r="A136">
        <v>0</v>
      </c>
      <c r="B136">
        <v>163</v>
      </c>
      <c r="C136">
        <v>140</v>
      </c>
    </row>
    <row r="137" spans="1:3">
      <c r="A137">
        <v>0</v>
      </c>
      <c r="B137">
        <v>163</v>
      </c>
      <c r="C137">
        <v>144</v>
      </c>
    </row>
    <row r="138" spans="1:3">
      <c r="A138">
        <v>0</v>
      </c>
      <c r="B138">
        <v>96</v>
      </c>
      <c r="C138">
        <v>132</v>
      </c>
    </row>
    <row r="139" spans="1:3">
      <c r="A139">
        <v>1</v>
      </c>
      <c r="B139">
        <v>140</v>
      </c>
      <c r="C139">
        <v>127</v>
      </c>
    </row>
    <row r="140" spans="1:3">
      <c r="A140">
        <v>1</v>
      </c>
      <c r="B140">
        <v>126</v>
      </c>
      <c r="C140">
        <v>150</v>
      </c>
    </row>
    <row r="141" spans="1:3">
      <c r="A141">
        <v>1</v>
      </c>
      <c r="B141">
        <v>105</v>
      </c>
      <c r="C141">
        <v>111</v>
      </c>
    </row>
    <row r="142" spans="1:3">
      <c r="A142">
        <v>0</v>
      </c>
      <c r="B142">
        <v>157</v>
      </c>
      <c r="C142">
        <v>174</v>
      </c>
    </row>
    <row r="143" spans="1:3">
      <c r="A143">
        <v>1</v>
      </c>
      <c r="B143">
        <v>181</v>
      </c>
      <c r="C143">
        <v>126</v>
      </c>
    </row>
    <row r="144" spans="1:3">
      <c r="A144">
        <v>0</v>
      </c>
      <c r="B144">
        <v>173</v>
      </c>
      <c r="C144">
        <v>125</v>
      </c>
    </row>
    <row r="145" spans="1:3">
      <c r="A145">
        <v>0</v>
      </c>
      <c r="B145">
        <v>142</v>
      </c>
      <c r="C145">
        <v>103</v>
      </c>
    </row>
    <row r="146" spans="1:3">
      <c r="A146">
        <v>0</v>
      </c>
      <c r="B146">
        <v>116</v>
      </c>
      <c r="C146">
        <v>130</v>
      </c>
    </row>
    <row r="147" spans="1:3">
      <c r="A147">
        <v>1</v>
      </c>
      <c r="B147">
        <v>143</v>
      </c>
      <c r="C147">
        <v>159</v>
      </c>
    </row>
    <row r="148" spans="1:3">
      <c r="A148">
        <v>0</v>
      </c>
      <c r="B148">
        <v>149</v>
      </c>
      <c r="C148">
        <v>131</v>
      </c>
    </row>
    <row r="149" spans="1:3">
      <c r="A149">
        <v>0</v>
      </c>
      <c r="B149">
        <v>171</v>
      </c>
      <c r="C149">
        <v>152</v>
      </c>
    </row>
    <row r="150" spans="1:3">
      <c r="A150">
        <v>1</v>
      </c>
      <c r="B150">
        <v>169</v>
      </c>
      <c r="C150">
        <v>124</v>
      </c>
    </row>
    <row r="151" spans="1:3">
      <c r="A151">
        <v>1</v>
      </c>
      <c r="B151">
        <v>150</v>
      </c>
      <c r="C151">
        <v>145</v>
      </c>
    </row>
    <row r="152" spans="1:3">
      <c r="A152">
        <v>1</v>
      </c>
      <c r="B152">
        <v>138</v>
      </c>
      <c r="C152">
        <v>96</v>
      </c>
    </row>
    <row r="153" spans="1:3">
      <c r="A153">
        <v>0</v>
      </c>
      <c r="B153">
        <v>125</v>
      </c>
      <c r="C153">
        <v>109</v>
      </c>
    </row>
    <row r="154" spans="1:3">
      <c r="A154">
        <v>1</v>
      </c>
      <c r="B154">
        <v>155</v>
      </c>
      <c r="C154">
        <v>173</v>
      </c>
    </row>
    <row r="155" spans="1:3">
      <c r="A155">
        <v>0</v>
      </c>
      <c r="B155">
        <v>152</v>
      </c>
      <c r="C155">
        <v>171</v>
      </c>
    </row>
    <row r="156" spans="1:3">
      <c r="A156">
        <v>0</v>
      </c>
      <c r="B156">
        <v>152</v>
      </c>
      <c r="C156">
        <v>170</v>
      </c>
    </row>
    <row r="157" spans="1:3">
      <c r="A157">
        <v>0</v>
      </c>
      <c r="B157">
        <v>131</v>
      </c>
      <c r="C157">
        <v>162</v>
      </c>
    </row>
    <row r="158" spans="1:3">
      <c r="A158">
        <v>1</v>
      </c>
      <c r="B158">
        <v>179</v>
      </c>
      <c r="C158">
        <v>156</v>
      </c>
    </row>
    <row r="159" spans="1:3">
      <c r="A159">
        <v>1</v>
      </c>
      <c r="B159">
        <v>174</v>
      </c>
      <c r="C159">
        <v>112</v>
      </c>
    </row>
    <row r="160" spans="1:3">
      <c r="A160">
        <v>1</v>
      </c>
      <c r="B160">
        <v>144</v>
      </c>
      <c r="C160">
        <v>132</v>
      </c>
    </row>
    <row r="161" spans="1:3">
      <c r="A161">
        <v>1</v>
      </c>
      <c r="B161">
        <v>163</v>
      </c>
      <c r="C161">
        <v>88</v>
      </c>
    </row>
    <row r="162" spans="1:3">
      <c r="A162">
        <v>1</v>
      </c>
      <c r="B162">
        <v>169</v>
      </c>
      <c r="C162">
        <v>105</v>
      </c>
    </row>
    <row r="163" spans="1:3">
      <c r="A163">
        <v>0</v>
      </c>
      <c r="B163">
        <v>166</v>
      </c>
      <c r="C163">
        <v>166</v>
      </c>
    </row>
    <row r="164" spans="1:3">
      <c r="A164">
        <v>1</v>
      </c>
      <c r="B164">
        <v>182</v>
      </c>
      <c r="C164">
        <v>120</v>
      </c>
    </row>
    <row r="165" spans="1:3">
      <c r="A165">
        <v>1</v>
      </c>
      <c r="B165">
        <v>173</v>
      </c>
      <c r="C165">
        <v>195</v>
      </c>
    </row>
    <row r="166" spans="1:3">
      <c r="A166">
        <v>1</v>
      </c>
      <c r="B166">
        <v>173</v>
      </c>
      <c r="C166">
        <v>146</v>
      </c>
    </row>
    <row r="167" spans="1:3">
      <c r="A167">
        <v>1</v>
      </c>
      <c r="B167">
        <v>108</v>
      </c>
      <c r="C167">
        <v>122</v>
      </c>
    </row>
    <row r="168" spans="1:3">
      <c r="A168">
        <v>1</v>
      </c>
      <c r="B168">
        <v>129</v>
      </c>
      <c r="C168">
        <v>143</v>
      </c>
    </row>
    <row r="169" spans="1:3">
      <c r="A169">
        <v>0</v>
      </c>
      <c r="B169">
        <v>160</v>
      </c>
      <c r="C169">
        <v>125</v>
      </c>
    </row>
    <row r="170" spans="1:3">
      <c r="A170">
        <v>1</v>
      </c>
      <c r="B170">
        <v>147</v>
      </c>
      <c r="C170">
        <v>125</v>
      </c>
    </row>
    <row r="171" spans="1:3">
      <c r="A171">
        <v>1</v>
      </c>
      <c r="B171">
        <v>155</v>
      </c>
      <c r="C171">
        <v>147</v>
      </c>
    </row>
    <row r="172" spans="1:3">
      <c r="A172">
        <v>1</v>
      </c>
      <c r="B172">
        <v>142</v>
      </c>
      <c r="C172">
        <v>130</v>
      </c>
    </row>
    <row r="173" spans="1:3">
      <c r="A173">
        <v>1</v>
      </c>
      <c r="B173">
        <v>168</v>
      </c>
      <c r="C173">
        <v>126</v>
      </c>
    </row>
    <row r="174" spans="1:3">
      <c r="A174">
        <v>1</v>
      </c>
      <c r="B174">
        <v>160</v>
      </c>
      <c r="C174">
        <v>182</v>
      </c>
    </row>
    <row r="175" spans="1:3">
      <c r="A175">
        <v>1</v>
      </c>
      <c r="B175">
        <v>173</v>
      </c>
      <c r="C175">
        <v>160</v>
      </c>
    </row>
    <row r="176" spans="1:3">
      <c r="A176">
        <v>1</v>
      </c>
      <c r="B176">
        <v>132</v>
      </c>
      <c r="C176">
        <v>95</v>
      </c>
    </row>
    <row r="177" spans="1:3">
      <c r="A177">
        <v>1</v>
      </c>
      <c r="B177">
        <v>114</v>
      </c>
      <c r="C177">
        <v>108</v>
      </c>
    </row>
    <row r="178" spans="1:3">
      <c r="A178">
        <v>1</v>
      </c>
      <c r="B178">
        <v>160</v>
      </c>
      <c r="C178">
        <v>132</v>
      </c>
    </row>
    <row r="179" spans="1:3">
      <c r="A179">
        <v>1</v>
      </c>
      <c r="B179">
        <v>158</v>
      </c>
      <c r="C179">
        <v>126</v>
      </c>
    </row>
    <row r="180" spans="1:3">
      <c r="A180">
        <v>1</v>
      </c>
      <c r="B180">
        <v>120</v>
      </c>
      <c r="C180">
        <v>116</v>
      </c>
    </row>
    <row r="181" spans="1:3">
      <c r="A181">
        <v>1</v>
      </c>
      <c r="B181">
        <v>112</v>
      </c>
      <c r="C181">
        <v>103</v>
      </c>
    </row>
    <row r="182" spans="1:3">
      <c r="A182">
        <v>1</v>
      </c>
      <c r="B182">
        <v>132</v>
      </c>
      <c r="C182">
        <v>144</v>
      </c>
    </row>
    <row r="183" spans="1:3">
      <c r="A183">
        <v>0</v>
      </c>
      <c r="B183">
        <v>114</v>
      </c>
      <c r="C183">
        <v>145</v>
      </c>
    </row>
    <row r="184" spans="1:3">
      <c r="A184">
        <v>0</v>
      </c>
      <c r="B184">
        <v>169</v>
      </c>
      <c r="C184">
        <v>71</v>
      </c>
    </row>
    <row r="185" spans="1:3">
      <c r="A185">
        <v>1</v>
      </c>
      <c r="B185">
        <v>165</v>
      </c>
      <c r="C185">
        <v>156</v>
      </c>
    </row>
    <row r="186" spans="1:3">
      <c r="A186">
        <v>1</v>
      </c>
      <c r="B186">
        <v>128</v>
      </c>
      <c r="C186">
        <v>118</v>
      </c>
    </row>
    <row r="187" spans="1:3">
      <c r="A187">
        <v>1</v>
      </c>
      <c r="B187">
        <v>153</v>
      </c>
      <c r="C187">
        <v>168</v>
      </c>
    </row>
    <row r="188" spans="1:3">
      <c r="A188">
        <v>1</v>
      </c>
      <c r="B188">
        <v>144</v>
      </c>
      <c r="C188">
        <v>105</v>
      </c>
    </row>
    <row r="189" spans="1:3">
      <c r="A189">
        <v>1</v>
      </c>
      <c r="B189">
        <v>109</v>
      </c>
      <c r="C189">
        <v>141</v>
      </c>
    </row>
    <row r="190" spans="1:3">
      <c r="A190">
        <v>1</v>
      </c>
      <c r="B190">
        <v>163</v>
      </c>
      <c r="C190">
        <v>125</v>
      </c>
    </row>
    <row r="191" spans="1:3">
      <c r="A191">
        <v>1</v>
      </c>
      <c r="B191">
        <v>158</v>
      </c>
      <c r="C191">
        <v>125</v>
      </c>
    </row>
    <row r="192" spans="1:3">
      <c r="A192">
        <v>0</v>
      </c>
      <c r="B192">
        <v>142</v>
      </c>
      <c r="C192">
        <v>156</v>
      </c>
    </row>
    <row r="193" spans="1:3">
      <c r="A193">
        <v>1</v>
      </c>
      <c r="B193">
        <v>131</v>
      </c>
      <c r="C193">
        <v>134</v>
      </c>
    </row>
    <row r="194" spans="1:3">
      <c r="A194">
        <v>1</v>
      </c>
      <c r="B194">
        <v>113</v>
      </c>
      <c r="C194">
        <v>181</v>
      </c>
    </row>
    <row r="195" spans="1:3">
      <c r="A195">
        <v>1</v>
      </c>
      <c r="B195">
        <v>142</v>
      </c>
      <c r="C195">
        <v>138</v>
      </c>
    </row>
    <row r="196" spans="1:3">
      <c r="A196">
        <v>1</v>
      </c>
      <c r="B196">
        <v>155</v>
      </c>
      <c r="C196">
        <v>120</v>
      </c>
    </row>
    <row r="197" spans="1:3">
      <c r="A197">
        <v>1</v>
      </c>
      <c r="B197">
        <v>140</v>
      </c>
      <c r="C197">
        <v>162</v>
      </c>
    </row>
    <row r="198" spans="1:3">
      <c r="A198">
        <v>1</v>
      </c>
      <c r="B198">
        <v>147</v>
      </c>
      <c r="C198">
        <v>164</v>
      </c>
    </row>
    <row r="199" spans="1:3">
      <c r="A199">
        <v>1</v>
      </c>
      <c r="B199">
        <v>163</v>
      </c>
      <c r="C199">
        <v>143</v>
      </c>
    </row>
    <row r="200" spans="1:3">
      <c r="A200">
        <v>1</v>
      </c>
      <c r="B200">
        <v>99</v>
      </c>
      <c r="C200">
        <v>161</v>
      </c>
    </row>
    <row r="201" spans="1:3">
      <c r="A201">
        <v>1</v>
      </c>
      <c r="B201">
        <v>158</v>
      </c>
      <c r="C201">
        <v>140</v>
      </c>
    </row>
    <row r="202" spans="1:3">
      <c r="A202">
        <v>1</v>
      </c>
      <c r="B202">
        <v>177</v>
      </c>
      <c r="C202">
        <v>150</v>
      </c>
    </row>
    <row r="203" spans="1:3">
      <c r="A203">
        <v>1</v>
      </c>
      <c r="B203">
        <v>141</v>
      </c>
      <c r="C203">
        <v>144</v>
      </c>
    </row>
    <row r="204" spans="1:3">
      <c r="A204">
        <v>1</v>
      </c>
      <c r="B204">
        <v>111</v>
      </c>
      <c r="C204">
        <v>144</v>
      </c>
    </row>
    <row r="205" spans="1:3">
      <c r="A205">
        <v>1</v>
      </c>
      <c r="B205">
        <v>150</v>
      </c>
      <c r="C205">
        <v>90</v>
      </c>
    </row>
    <row r="206" spans="1:3">
      <c r="A206">
        <v>0</v>
      </c>
      <c r="B206">
        <v>145</v>
      </c>
      <c r="C206">
        <v>132</v>
      </c>
    </row>
    <row r="207" spans="1:3">
      <c r="A207">
        <v>1</v>
      </c>
      <c r="B207">
        <v>161</v>
      </c>
      <c r="C207">
        <v>141</v>
      </c>
    </row>
    <row r="208" spans="1:3">
      <c r="A208">
        <v>1</v>
      </c>
      <c r="B208">
        <v>142</v>
      </c>
      <c r="C208">
        <v>115</v>
      </c>
    </row>
    <row r="209" spans="1:2">
      <c r="A209">
        <v>0</v>
      </c>
      <c r="B209">
        <v>157</v>
      </c>
    </row>
    <row r="210" spans="1:2">
      <c r="A210">
        <v>1</v>
      </c>
      <c r="B210">
        <v>139</v>
      </c>
    </row>
    <row r="211" spans="1:2">
      <c r="A211">
        <v>1</v>
      </c>
      <c r="B211">
        <v>162</v>
      </c>
    </row>
    <row r="212" spans="1:2">
      <c r="A212">
        <v>1</v>
      </c>
      <c r="B212">
        <v>150</v>
      </c>
    </row>
    <row r="213" spans="1:2">
      <c r="A213">
        <v>1</v>
      </c>
      <c r="B213">
        <v>140</v>
      </c>
    </row>
    <row r="214" spans="1:2">
      <c r="A214">
        <v>1</v>
      </c>
      <c r="B214">
        <v>140</v>
      </c>
    </row>
    <row r="215" spans="1:2">
      <c r="A215">
        <v>0</v>
      </c>
      <c r="B215">
        <v>146</v>
      </c>
    </row>
    <row r="216" spans="1:2">
      <c r="A216">
        <v>1</v>
      </c>
      <c r="B216">
        <v>144</v>
      </c>
    </row>
    <row r="217" spans="1:2">
      <c r="A217">
        <v>0</v>
      </c>
      <c r="B217">
        <v>136</v>
      </c>
    </row>
    <row r="218" spans="1:2">
      <c r="A218">
        <v>0</v>
      </c>
      <c r="B218">
        <v>97</v>
      </c>
    </row>
    <row r="219" spans="1:2">
      <c r="A219">
        <v>1</v>
      </c>
      <c r="B219">
        <v>132</v>
      </c>
    </row>
    <row r="220" spans="1:2">
      <c r="A220">
        <v>1</v>
      </c>
      <c r="B220">
        <v>127</v>
      </c>
    </row>
    <row r="221" spans="1:2">
      <c r="A221">
        <v>1</v>
      </c>
      <c r="B221">
        <v>150</v>
      </c>
    </row>
    <row r="222" spans="1:2">
      <c r="A222">
        <v>0</v>
      </c>
      <c r="B222">
        <v>154</v>
      </c>
    </row>
    <row r="223" spans="1:2">
      <c r="A223">
        <v>1</v>
      </c>
      <c r="B223">
        <v>111</v>
      </c>
    </row>
    <row r="224" spans="1:2">
      <c r="A224">
        <v>1</v>
      </c>
      <c r="B224">
        <v>174</v>
      </c>
    </row>
    <row r="225" spans="1:2">
      <c r="A225">
        <v>0</v>
      </c>
      <c r="B225">
        <v>133</v>
      </c>
    </row>
    <row r="226" spans="1:2">
      <c r="A226">
        <v>1</v>
      </c>
      <c r="B226">
        <v>126</v>
      </c>
    </row>
    <row r="227" spans="1:2">
      <c r="A227">
        <v>1</v>
      </c>
      <c r="B227">
        <v>125</v>
      </c>
    </row>
    <row r="228" spans="1:2">
      <c r="A228">
        <v>1</v>
      </c>
      <c r="B228">
        <v>103</v>
      </c>
    </row>
    <row r="229" spans="1:2">
      <c r="A229">
        <v>1</v>
      </c>
      <c r="B229">
        <v>130</v>
      </c>
    </row>
    <row r="230" spans="1:2">
      <c r="A230">
        <v>1</v>
      </c>
      <c r="B230">
        <v>159</v>
      </c>
    </row>
    <row r="231" spans="1:2">
      <c r="A231">
        <v>1</v>
      </c>
      <c r="B231">
        <v>131</v>
      </c>
    </row>
    <row r="232" spans="1:2">
      <c r="A232">
        <v>1</v>
      </c>
      <c r="B232">
        <v>152</v>
      </c>
    </row>
    <row r="233" spans="1:2">
      <c r="A233">
        <v>1</v>
      </c>
      <c r="B233">
        <v>124</v>
      </c>
    </row>
    <row r="234" spans="1:2">
      <c r="A234">
        <v>1</v>
      </c>
      <c r="B234">
        <v>145</v>
      </c>
    </row>
    <row r="235" spans="1:2">
      <c r="A235">
        <v>1</v>
      </c>
      <c r="B235">
        <v>96</v>
      </c>
    </row>
    <row r="236" spans="1:2">
      <c r="A236">
        <v>1</v>
      </c>
      <c r="B236">
        <v>109</v>
      </c>
    </row>
    <row r="237" spans="1:2">
      <c r="A237">
        <v>1</v>
      </c>
      <c r="B237">
        <v>173</v>
      </c>
    </row>
    <row r="238" spans="1:2">
      <c r="A238">
        <v>1</v>
      </c>
      <c r="B238">
        <v>171</v>
      </c>
    </row>
    <row r="239" spans="1:2">
      <c r="A239">
        <v>1</v>
      </c>
      <c r="B239">
        <v>170</v>
      </c>
    </row>
    <row r="240" spans="1:2">
      <c r="A240">
        <v>1</v>
      </c>
      <c r="B240">
        <v>162</v>
      </c>
    </row>
    <row r="241" spans="1:2">
      <c r="A241">
        <v>1</v>
      </c>
      <c r="B241">
        <v>156</v>
      </c>
    </row>
    <row r="242" spans="1:2">
      <c r="A242">
        <v>1</v>
      </c>
      <c r="B242">
        <v>112</v>
      </c>
    </row>
    <row r="243" spans="1:2">
      <c r="A243">
        <v>0</v>
      </c>
      <c r="B243">
        <v>143</v>
      </c>
    </row>
    <row r="244" spans="1:2">
      <c r="A244">
        <v>1</v>
      </c>
      <c r="B244">
        <v>132</v>
      </c>
    </row>
    <row r="245" spans="1:2">
      <c r="A245">
        <v>1</v>
      </c>
      <c r="B245">
        <v>88</v>
      </c>
    </row>
    <row r="246" spans="1:2">
      <c r="A246">
        <v>1</v>
      </c>
      <c r="B246">
        <v>105</v>
      </c>
    </row>
    <row r="247" spans="1:2">
      <c r="A247">
        <v>1</v>
      </c>
      <c r="B247">
        <v>166</v>
      </c>
    </row>
    <row r="248" spans="1:2">
      <c r="A248">
        <v>0</v>
      </c>
      <c r="B248">
        <v>150</v>
      </c>
    </row>
    <row r="249" spans="1:2">
      <c r="A249">
        <v>1</v>
      </c>
      <c r="B249">
        <v>120</v>
      </c>
    </row>
    <row r="250" spans="1:2">
      <c r="A250">
        <v>1</v>
      </c>
      <c r="B250">
        <v>195</v>
      </c>
    </row>
    <row r="251" spans="1:2">
      <c r="A251">
        <v>1</v>
      </c>
      <c r="B251">
        <v>146</v>
      </c>
    </row>
    <row r="252" spans="1:2">
      <c r="A252">
        <v>1</v>
      </c>
      <c r="B252">
        <v>122</v>
      </c>
    </row>
    <row r="253" spans="1:2">
      <c r="A253">
        <v>1</v>
      </c>
      <c r="B253">
        <v>143</v>
      </c>
    </row>
    <row r="254" spans="1:2">
      <c r="A254">
        <v>0</v>
      </c>
      <c r="B254">
        <v>106</v>
      </c>
    </row>
    <row r="255" spans="1:2">
      <c r="A255">
        <v>1</v>
      </c>
      <c r="B255">
        <v>125</v>
      </c>
    </row>
    <row r="256" spans="1:2">
      <c r="A256">
        <v>1</v>
      </c>
      <c r="B256">
        <v>125</v>
      </c>
    </row>
    <row r="257" spans="1:2">
      <c r="A257">
        <v>1</v>
      </c>
      <c r="B257">
        <v>147</v>
      </c>
    </row>
    <row r="258" spans="1:2">
      <c r="A258">
        <v>1</v>
      </c>
      <c r="B258">
        <v>130</v>
      </c>
    </row>
    <row r="259" spans="1:2">
      <c r="A259">
        <v>1</v>
      </c>
      <c r="B259">
        <v>126</v>
      </c>
    </row>
    <row r="260" spans="1:2">
      <c r="A260">
        <v>0</v>
      </c>
      <c r="B260">
        <v>154</v>
      </c>
    </row>
    <row r="261" spans="1:2">
      <c r="A261">
        <v>1</v>
      </c>
      <c r="B261">
        <v>182</v>
      </c>
    </row>
    <row r="262" spans="1:2">
      <c r="A262">
        <v>0</v>
      </c>
      <c r="B262">
        <v>165</v>
      </c>
    </row>
    <row r="263" spans="1:2">
      <c r="A263">
        <v>1</v>
      </c>
      <c r="B263">
        <v>160</v>
      </c>
    </row>
    <row r="264" spans="1:2">
      <c r="A264">
        <v>1</v>
      </c>
      <c r="B264">
        <v>95</v>
      </c>
    </row>
    <row r="265" spans="1:2">
      <c r="A265">
        <v>0</v>
      </c>
      <c r="B265">
        <v>169</v>
      </c>
    </row>
    <row r="266" spans="1:2">
      <c r="A266">
        <v>1</v>
      </c>
      <c r="B266">
        <v>108</v>
      </c>
    </row>
    <row r="267" spans="1:2">
      <c r="A267">
        <v>1</v>
      </c>
      <c r="B267">
        <v>132</v>
      </c>
    </row>
    <row r="268" spans="1:2">
      <c r="A268">
        <v>0</v>
      </c>
      <c r="B268">
        <v>117</v>
      </c>
    </row>
    <row r="269" spans="1:2">
      <c r="A269">
        <v>1</v>
      </c>
      <c r="B269">
        <v>126</v>
      </c>
    </row>
    <row r="270" spans="1:2">
      <c r="A270">
        <v>1</v>
      </c>
      <c r="B270">
        <v>116</v>
      </c>
    </row>
    <row r="271" spans="1:2">
      <c r="A271">
        <v>1</v>
      </c>
      <c r="B271">
        <v>103</v>
      </c>
    </row>
    <row r="272" spans="1:2">
      <c r="A272">
        <v>1</v>
      </c>
      <c r="B272">
        <v>144</v>
      </c>
    </row>
    <row r="273" spans="1:2">
      <c r="A273">
        <v>1</v>
      </c>
      <c r="B273">
        <v>145</v>
      </c>
    </row>
    <row r="274" spans="1:2">
      <c r="A274">
        <v>1</v>
      </c>
      <c r="B274">
        <v>71</v>
      </c>
    </row>
    <row r="275" spans="1:2">
      <c r="A275">
        <v>1</v>
      </c>
      <c r="B275">
        <v>156</v>
      </c>
    </row>
    <row r="276" spans="1:2">
      <c r="A276">
        <v>1</v>
      </c>
      <c r="B276">
        <v>118</v>
      </c>
    </row>
    <row r="277" spans="1:2">
      <c r="A277">
        <v>1</v>
      </c>
      <c r="B277">
        <v>168</v>
      </c>
    </row>
    <row r="278" spans="1:2">
      <c r="A278">
        <v>1</v>
      </c>
      <c r="B278">
        <v>105</v>
      </c>
    </row>
    <row r="279" spans="1:2">
      <c r="A279">
        <v>1</v>
      </c>
      <c r="B279">
        <v>141</v>
      </c>
    </row>
    <row r="280" spans="1:2">
      <c r="A280">
        <v>0</v>
      </c>
      <c r="B280">
        <v>152</v>
      </c>
    </row>
    <row r="281" spans="1:2">
      <c r="A281">
        <v>1</v>
      </c>
      <c r="B281">
        <v>125</v>
      </c>
    </row>
    <row r="282" spans="1:2">
      <c r="A282">
        <v>1</v>
      </c>
      <c r="B282">
        <v>125</v>
      </c>
    </row>
    <row r="283" spans="1:2">
      <c r="A283">
        <v>1</v>
      </c>
      <c r="B283">
        <v>156</v>
      </c>
    </row>
    <row r="284" spans="1:2">
      <c r="A284">
        <v>1</v>
      </c>
      <c r="B284">
        <v>134</v>
      </c>
    </row>
    <row r="285" spans="1:2">
      <c r="A285">
        <v>1</v>
      </c>
      <c r="B285">
        <v>181</v>
      </c>
    </row>
    <row r="286" spans="1:2">
      <c r="A286">
        <v>1</v>
      </c>
      <c r="B286">
        <v>138</v>
      </c>
    </row>
    <row r="287" spans="1:2">
      <c r="A287">
        <v>1</v>
      </c>
      <c r="B287">
        <v>120</v>
      </c>
    </row>
    <row r="288" spans="1:2">
      <c r="A288">
        <v>1</v>
      </c>
      <c r="B288">
        <v>162</v>
      </c>
    </row>
    <row r="289" spans="1:2">
      <c r="A289">
        <v>1</v>
      </c>
      <c r="B289">
        <v>164</v>
      </c>
    </row>
    <row r="290" spans="1:2">
      <c r="A290">
        <v>1</v>
      </c>
      <c r="B290">
        <v>143</v>
      </c>
    </row>
    <row r="291" spans="1:2">
      <c r="A291">
        <v>0</v>
      </c>
      <c r="B291">
        <v>130</v>
      </c>
    </row>
    <row r="292" spans="1:2">
      <c r="A292">
        <v>1</v>
      </c>
      <c r="B292">
        <v>161</v>
      </c>
    </row>
    <row r="293" spans="1:2">
      <c r="A293">
        <v>1</v>
      </c>
      <c r="B293">
        <v>140</v>
      </c>
    </row>
    <row r="294" spans="1:2">
      <c r="A294">
        <v>0</v>
      </c>
      <c r="B294">
        <v>146</v>
      </c>
    </row>
    <row r="295" spans="1:2">
      <c r="A295">
        <v>1</v>
      </c>
      <c r="B295">
        <v>150</v>
      </c>
    </row>
    <row r="296" spans="1:2">
      <c r="A296">
        <v>1</v>
      </c>
      <c r="B296">
        <v>144</v>
      </c>
    </row>
    <row r="297" spans="1:2">
      <c r="A297">
        <v>1</v>
      </c>
      <c r="B297">
        <v>144</v>
      </c>
    </row>
    <row r="298" spans="1:2">
      <c r="A298">
        <v>0</v>
      </c>
      <c r="B298">
        <v>136</v>
      </c>
    </row>
    <row r="299" spans="1:2">
      <c r="A299">
        <v>1</v>
      </c>
      <c r="B299">
        <v>90</v>
      </c>
    </row>
    <row r="300" spans="1:2">
      <c r="A300">
        <v>0</v>
      </c>
      <c r="B300">
        <v>123</v>
      </c>
    </row>
    <row r="301" spans="1:2">
      <c r="A301">
        <v>1</v>
      </c>
      <c r="B301">
        <v>132</v>
      </c>
    </row>
    <row r="302" spans="1:2">
      <c r="A302">
        <v>1</v>
      </c>
      <c r="B302">
        <v>141</v>
      </c>
    </row>
    <row r="303" spans="1:2">
      <c r="A303">
        <v>1</v>
      </c>
      <c r="B303">
        <v>115</v>
      </c>
    </row>
    <row r="304" spans="1:2">
      <c r="A304">
        <v>0</v>
      </c>
      <c r="B304">
        <v>174</v>
      </c>
    </row>
  </sheetData>
  <autoFilter ref="A1:A304" xr:uid="{FCC5ADDD-4259-4DD0-A48B-3F3227C621D2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0D68F-C026-4703-BE96-EE1E31A146BA}">
  <sheetPr codeName="Sheet8"/>
  <dimension ref="A3:P41"/>
  <sheetViews>
    <sheetView workbookViewId="0">
      <selection activeCell="J35" sqref="J35:P41"/>
    </sheetView>
  </sheetViews>
  <sheetFormatPr defaultRowHeight="15"/>
  <cols>
    <col min="1" max="1" width="13.140625" bestFit="1" customWidth="1"/>
    <col min="2" max="2" width="18.85546875" bestFit="1" customWidth="1"/>
  </cols>
  <sheetData>
    <row r="3" spans="1:5">
      <c r="A3" s="21" t="s">
        <v>37</v>
      </c>
      <c r="B3" t="s">
        <v>38</v>
      </c>
      <c r="D3" t="s">
        <v>37</v>
      </c>
      <c r="E3" t="s">
        <v>38</v>
      </c>
    </row>
    <row r="4" spans="1:5">
      <c r="A4" s="22" t="s">
        <v>39</v>
      </c>
      <c r="B4">
        <v>202</v>
      </c>
      <c r="D4" t="s">
        <v>39</v>
      </c>
      <c r="E4">
        <v>202</v>
      </c>
    </row>
    <row r="5" spans="1:5">
      <c r="A5" s="22" t="s">
        <v>40</v>
      </c>
      <c r="B5">
        <v>172.09090909090909</v>
      </c>
      <c r="D5" t="s">
        <v>40</v>
      </c>
      <c r="E5">
        <v>172.09090909090909</v>
      </c>
    </row>
    <row r="6" spans="1:5">
      <c r="A6" s="22" t="s">
        <v>41</v>
      </c>
      <c r="B6">
        <v>160.42424242424244</v>
      </c>
      <c r="D6" t="s">
        <v>41</v>
      </c>
      <c r="E6">
        <v>160.42424242424244</v>
      </c>
    </row>
    <row r="7" spans="1:5">
      <c r="A7" s="22" t="s">
        <v>42</v>
      </c>
      <c r="B7">
        <v>159.65789473684211</v>
      </c>
      <c r="D7" t="s">
        <v>42</v>
      </c>
      <c r="E7">
        <v>159.65789473684211</v>
      </c>
    </row>
    <row r="8" spans="1:5">
      <c r="A8" s="22" t="s">
        <v>43</v>
      </c>
      <c r="B8">
        <v>152.88888888888889</v>
      </c>
      <c r="D8" t="s">
        <v>43</v>
      </c>
      <c r="E8">
        <v>152.88888888888889</v>
      </c>
    </row>
    <row r="9" spans="1:5">
      <c r="A9" s="22" t="s">
        <v>44</v>
      </c>
      <c r="B9">
        <v>145.32394366197184</v>
      </c>
      <c r="D9" t="s">
        <v>44</v>
      </c>
      <c r="E9">
        <v>145.32394366197184</v>
      </c>
    </row>
    <row r="10" spans="1:5">
      <c r="A10" s="22" t="s">
        <v>45</v>
      </c>
      <c r="B10">
        <v>145.43396226415095</v>
      </c>
      <c r="D10" t="s">
        <v>45</v>
      </c>
      <c r="E10">
        <v>145.43396226415095</v>
      </c>
    </row>
    <row r="11" spans="1:5">
      <c r="A11" s="22" t="s">
        <v>46</v>
      </c>
      <c r="B11">
        <v>138.10526315789474</v>
      </c>
      <c r="D11" t="s">
        <v>46</v>
      </c>
      <c r="E11">
        <v>138.10526315789474</v>
      </c>
    </row>
    <row r="12" spans="1:5">
      <c r="A12" s="22" t="s">
        <v>47</v>
      </c>
      <c r="B12">
        <v>133.4</v>
      </c>
      <c r="D12" t="s">
        <v>47</v>
      </c>
      <c r="E12">
        <v>133.4</v>
      </c>
    </row>
    <row r="13" spans="1:5">
      <c r="A13" s="22" t="s">
        <v>48</v>
      </c>
      <c r="B13">
        <v>133</v>
      </c>
      <c r="D13" t="s">
        <v>48</v>
      </c>
      <c r="E13">
        <v>133</v>
      </c>
    </row>
    <row r="14" spans="1:5">
      <c r="A14" s="22" t="s">
        <v>36</v>
      </c>
      <c r="B14">
        <v>149.64686468646866</v>
      </c>
    </row>
    <row r="23" spans="2:14">
      <c r="J23" t="s">
        <v>121</v>
      </c>
    </row>
    <row r="24" spans="2:14" ht="15.75" thickBot="1"/>
    <row r="25" spans="2:14">
      <c r="J25" s="27" t="s">
        <v>105</v>
      </c>
      <c r="K25" s="27" t="s">
        <v>73</v>
      </c>
      <c r="L25" s="27" t="s">
        <v>72</v>
      </c>
      <c r="M25" s="27" t="s">
        <v>107</v>
      </c>
      <c r="N25" s="27" t="s">
        <v>85</v>
      </c>
    </row>
    <row r="26" spans="2:14">
      <c r="J26">
        <v>0</v>
      </c>
      <c r="K26">
        <v>2</v>
      </c>
      <c r="L26">
        <v>587</v>
      </c>
      <c r="M26">
        <v>293.5</v>
      </c>
      <c r="N26">
        <v>7320.5</v>
      </c>
    </row>
    <row r="27" spans="2:14">
      <c r="B27" s="47" t="s">
        <v>125</v>
      </c>
      <c r="C27" s="46">
        <v>0</v>
      </c>
      <c r="D27" s="46">
        <v>1</v>
      </c>
      <c r="J27">
        <v>1</v>
      </c>
      <c r="K27">
        <v>2</v>
      </c>
      <c r="L27">
        <v>523</v>
      </c>
      <c r="M27">
        <v>261.5</v>
      </c>
      <c r="N27">
        <v>6612.5</v>
      </c>
    </row>
    <row r="28" spans="2:14">
      <c r="B28" s="48">
        <v>0</v>
      </c>
      <c r="C28" s="48">
        <v>354</v>
      </c>
      <c r="D28" s="48">
        <v>233</v>
      </c>
      <c r="J28">
        <v>2</v>
      </c>
      <c r="K28">
        <v>2</v>
      </c>
      <c r="L28">
        <v>692</v>
      </c>
      <c r="M28">
        <v>346</v>
      </c>
      <c r="N28">
        <v>10082</v>
      </c>
    </row>
    <row r="29" spans="2:14">
      <c r="B29" s="48">
        <v>1</v>
      </c>
      <c r="C29" s="48">
        <v>204</v>
      </c>
      <c r="D29" s="48">
        <v>319</v>
      </c>
      <c r="J29">
        <v>3</v>
      </c>
      <c r="K29">
        <v>2</v>
      </c>
      <c r="L29">
        <v>473</v>
      </c>
      <c r="M29">
        <v>236.5</v>
      </c>
      <c r="N29">
        <v>12.5</v>
      </c>
    </row>
    <row r="30" spans="2:14">
      <c r="B30" s="48">
        <v>2</v>
      </c>
      <c r="C30" s="48">
        <v>275</v>
      </c>
      <c r="D30" s="48">
        <v>417</v>
      </c>
    </row>
    <row r="31" spans="2:14">
      <c r="B31" s="48">
        <v>3</v>
      </c>
      <c r="C31" s="48">
        <v>239</v>
      </c>
      <c r="D31" s="48">
        <v>234</v>
      </c>
      <c r="J31">
        <v>0</v>
      </c>
      <c r="K31">
        <v>4</v>
      </c>
      <c r="L31">
        <v>1072</v>
      </c>
      <c r="M31">
        <v>268</v>
      </c>
      <c r="N31">
        <v>4127.333333333333</v>
      </c>
    </row>
    <row r="32" spans="2:14" ht="15.75" thickBot="1">
      <c r="J32" s="26">
        <v>1</v>
      </c>
      <c r="K32" s="26">
        <v>4</v>
      </c>
      <c r="L32" s="26">
        <v>1203</v>
      </c>
      <c r="M32" s="26">
        <v>300.75</v>
      </c>
      <c r="N32" s="26">
        <v>7630.916666666667</v>
      </c>
    </row>
    <row r="35" spans="10:16" ht="15.75" thickBot="1">
      <c r="J35" t="s">
        <v>108</v>
      </c>
    </row>
    <row r="36" spans="10:16">
      <c r="J36" s="27" t="s">
        <v>109</v>
      </c>
      <c r="K36" s="27" t="s">
        <v>110</v>
      </c>
      <c r="L36" s="27" t="s">
        <v>88</v>
      </c>
      <c r="M36" s="27" t="s">
        <v>111</v>
      </c>
      <c r="N36" s="27" t="s">
        <v>112</v>
      </c>
      <c r="O36" s="27" t="s">
        <v>113</v>
      </c>
      <c r="P36" s="27" t="s">
        <v>114</v>
      </c>
    </row>
    <row r="37" spans="10:16">
      <c r="J37" t="s">
        <v>122</v>
      </c>
      <c r="K37">
        <v>13392.375</v>
      </c>
      <c r="L37">
        <v>3</v>
      </c>
      <c r="M37">
        <v>4464.125</v>
      </c>
      <c r="N37">
        <v>0.61201652014463692</v>
      </c>
      <c r="O37">
        <v>0.65173052652986818</v>
      </c>
      <c r="P37">
        <v>9.2766281531448112</v>
      </c>
    </row>
    <row r="38" spans="10:16">
      <c r="J38" t="s">
        <v>123</v>
      </c>
      <c r="K38">
        <v>2145.125</v>
      </c>
      <c r="L38">
        <v>1</v>
      </c>
      <c r="M38">
        <v>2145.125</v>
      </c>
      <c r="N38">
        <v>0.29408942128082532</v>
      </c>
      <c r="O38">
        <v>0.62530264038075234</v>
      </c>
      <c r="P38">
        <v>10.127964486013932</v>
      </c>
    </row>
    <row r="39" spans="10:16">
      <c r="J39" t="s">
        <v>124</v>
      </c>
      <c r="K39">
        <v>21882.375</v>
      </c>
      <c r="L39">
        <v>3</v>
      </c>
      <c r="M39">
        <v>7294.125</v>
      </c>
    </row>
    <row r="41" spans="10:16" ht="15.75" thickBot="1">
      <c r="J41" s="26" t="s">
        <v>17</v>
      </c>
      <c r="K41" s="26">
        <v>37419.875</v>
      </c>
      <c r="L41" s="26">
        <v>7</v>
      </c>
      <c r="M41" s="26"/>
      <c r="N41" s="26"/>
      <c r="O41" s="26"/>
      <c r="P41" s="26"/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orginal data</vt:lpstr>
      <vt:lpstr>des.Analysis</vt:lpstr>
      <vt:lpstr>Inf.Analysis</vt:lpstr>
      <vt:lpstr>1Anova</vt:lpstr>
      <vt:lpstr>regression</vt:lpstr>
      <vt:lpstr>Sheet5_HID</vt:lpstr>
      <vt:lpstr>Sheet5_HID_HID</vt:lpstr>
      <vt:lpstr>chi-sq</vt:lpstr>
      <vt:lpstr>heart rate M,F 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kumud gupta</dc:creator>
  <cp:lastModifiedBy>Prakrati  Gupta</cp:lastModifiedBy>
  <dcterms:created xsi:type="dcterms:W3CDTF">2024-08-03T04:30:46Z</dcterms:created>
  <dcterms:modified xsi:type="dcterms:W3CDTF">2025-01-25T05:04:23Z</dcterms:modified>
</cp:coreProperties>
</file>